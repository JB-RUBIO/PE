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ck\Desktop\Cours\3A\PE\lib\formatter\"/>
    </mc:Choice>
  </mc:AlternateContent>
  <bookViews>
    <workbookView xWindow="0" yWindow="0" windowWidth="28800" windowHeight="12435" activeTab="1"/>
  </bookViews>
  <sheets>
    <sheet name="Simplified Model" sheetId="1" r:id="rId1"/>
    <sheet name="Real Model" sheetId="5" r:id="rId2"/>
    <sheet name="Nombre campus" sheetId="3" r:id="rId3"/>
    <sheet name="Calendrier" sheetId="4" r:id="rId4"/>
  </sheets>
  <definedNames>
    <definedName name="_xlnm._FilterDatabase" localSheetId="1" hidden="1">'Real Model'!$A$14:$D$379</definedName>
    <definedName name="CA_cumulé">#REF!</definedName>
    <definedName name="commandes">'Simplified Model'!$D$17:$D$381</definedName>
    <definedName name="Dates">'Simplified Model'!$B$17:$B$381</definedName>
    <definedName name="Dates_Ca">#REF!</definedName>
  </definedNames>
  <calcPr calcId="152511" calcMode="manual"/>
</workbook>
</file>

<file path=xl/calcChain.xml><?xml version="1.0" encoding="utf-8"?>
<calcChain xmlns="http://schemas.openxmlformats.org/spreadsheetml/2006/main">
  <c r="G6" i="3" l="1"/>
  <c r="G7" i="3"/>
  <c r="G8" i="3"/>
  <c r="G9" i="3"/>
  <c r="G10" i="3"/>
  <c r="G11" i="3"/>
  <c r="G12" i="3"/>
  <c r="G13" i="3"/>
  <c r="C13" i="3" s="1"/>
  <c r="G14" i="3"/>
  <c r="C14" i="3" s="1"/>
  <c r="G15" i="3"/>
  <c r="C15" i="3" s="1"/>
  <c r="G16" i="3"/>
  <c r="C16" i="3" s="1"/>
  <c r="G17" i="3"/>
  <c r="C17" i="3" s="1"/>
  <c r="G18" i="3"/>
  <c r="C18" i="3" s="1"/>
  <c r="G19" i="3"/>
  <c r="C19" i="3" s="1"/>
  <c r="G20" i="3"/>
  <c r="C20" i="3" s="1"/>
  <c r="G21" i="3"/>
  <c r="C21" i="3" s="1"/>
  <c r="G22" i="3"/>
  <c r="C22" i="3" s="1"/>
  <c r="G5" i="3"/>
  <c r="BS5" i="5"/>
  <c r="BO5" i="5"/>
  <c r="BK5" i="5"/>
  <c r="BG5" i="5"/>
  <c r="BC5" i="5"/>
  <c r="AY5" i="5"/>
  <c r="AU5" i="5"/>
  <c r="AQ5" i="5"/>
  <c r="AM5" i="5"/>
  <c r="AI5" i="5"/>
  <c r="AE5" i="5"/>
  <c r="AA5" i="5"/>
  <c r="W5" i="5"/>
  <c r="S5" i="5"/>
  <c r="O5" i="5"/>
  <c r="K5" i="5"/>
  <c r="BR379" i="5"/>
  <c r="BR378" i="5"/>
  <c r="BR377" i="5"/>
  <c r="BR376" i="5"/>
  <c r="BR375" i="5"/>
  <c r="BR374" i="5"/>
  <c r="BR373" i="5"/>
  <c r="BR372" i="5"/>
  <c r="BR371" i="5"/>
  <c r="BR370" i="5"/>
  <c r="BR369" i="5"/>
  <c r="BR368" i="5"/>
  <c r="BR367" i="5"/>
  <c r="BR366" i="5"/>
  <c r="BR365" i="5"/>
  <c r="BR364" i="5"/>
  <c r="BR363" i="5"/>
  <c r="BR362" i="5"/>
  <c r="BR361" i="5"/>
  <c r="BR360" i="5"/>
  <c r="BR359" i="5"/>
  <c r="BR358" i="5"/>
  <c r="BR357" i="5"/>
  <c r="BR356" i="5"/>
  <c r="BR355" i="5"/>
  <c r="BR354" i="5"/>
  <c r="BR353" i="5"/>
  <c r="BR352" i="5"/>
  <c r="BR351" i="5"/>
  <c r="BR350" i="5"/>
  <c r="BR349" i="5"/>
  <c r="BR348" i="5"/>
  <c r="BR347" i="5"/>
  <c r="BR346" i="5"/>
  <c r="BR345" i="5"/>
  <c r="BR344" i="5"/>
  <c r="BR343" i="5"/>
  <c r="BR342" i="5"/>
  <c r="BR341" i="5"/>
  <c r="BR340" i="5"/>
  <c r="BR339" i="5"/>
  <c r="BR338" i="5"/>
  <c r="BR337" i="5"/>
  <c r="BR336" i="5"/>
  <c r="BR335" i="5"/>
  <c r="BR334" i="5"/>
  <c r="BR333" i="5"/>
  <c r="BR332" i="5"/>
  <c r="BR331" i="5"/>
  <c r="BR330" i="5"/>
  <c r="BR329" i="5"/>
  <c r="BR328" i="5"/>
  <c r="BR327" i="5"/>
  <c r="BR326" i="5"/>
  <c r="BR325" i="5"/>
  <c r="BR324" i="5"/>
  <c r="BR323" i="5"/>
  <c r="BR322" i="5"/>
  <c r="BR321" i="5"/>
  <c r="BR320" i="5"/>
  <c r="BR319" i="5"/>
  <c r="BR318" i="5"/>
  <c r="BR317" i="5"/>
  <c r="BR316" i="5"/>
  <c r="BR315" i="5"/>
  <c r="BR314" i="5"/>
  <c r="BR313" i="5"/>
  <c r="BR312" i="5"/>
  <c r="BR311" i="5"/>
  <c r="BR310" i="5"/>
  <c r="BR309" i="5"/>
  <c r="BR308" i="5"/>
  <c r="BR307" i="5"/>
  <c r="BR306" i="5"/>
  <c r="BR305" i="5"/>
  <c r="BR304" i="5"/>
  <c r="BR303" i="5"/>
  <c r="BR302" i="5"/>
  <c r="BR301" i="5"/>
  <c r="BR300" i="5"/>
  <c r="BR299" i="5"/>
  <c r="BR298" i="5"/>
  <c r="BR297" i="5"/>
  <c r="BR296" i="5"/>
  <c r="BR295" i="5"/>
  <c r="BR294" i="5"/>
  <c r="BR293" i="5"/>
  <c r="BR292" i="5"/>
  <c r="BR291" i="5"/>
  <c r="BR290" i="5"/>
  <c r="BR289" i="5"/>
  <c r="BR288" i="5"/>
  <c r="BR287" i="5"/>
  <c r="BR286" i="5"/>
  <c r="BR285" i="5"/>
  <c r="BR284" i="5"/>
  <c r="BR283" i="5"/>
  <c r="BR282" i="5"/>
  <c r="BR281" i="5"/>
  <c r="BR280" i="5"/>
  <c r="BR279" i="5"/>
  <c r="BR278" i="5"/>
  <c r="BR277" i="5"/>
  <c r="BR276" i="5"/>
  <c r="BR275" i="5"/>
  <c r="BR274" i="5"/>
  <c r="BR273" i="5"/>
  <c r="BR272" i="5"/>
  <c r="BR271" i="5"/>
  <c r="BR270" i="5"/>
  <c r="BR269" i="5"/>
  <c r="BR268" i="5"/>
  <c r="BR267" i="5"/>
  <c r="BR266" i="5"/>
  <c r="BR265" i="5"/>
  <c r="BR264" i="5"/>
  <c r="BR263" i="5"/>
  <c r="BR262" i="5"/>
  <c r="BR261" i="5"/>
  <c r="BR260" i="5"/>
  <c r="BR259" i="5"/>
  <c r="BR258" i="5"/>
  <c r="BR257" i="5"/>
  <c r="BR256" i="5"/>
  <c r="BR255" i="5"/>
  <c r="BR254" i="5"/>
  <c r="BR253" i="5"/>
  <c r="BR252" i="5"/>
  <c r="BR251" i="5"/>
  <c r="BR250" i="5"/>
  <c r="BR249" i="5"/>
  <c r="BR248" i="5"/>
  <c r="BR247" i="5"/>
  <c r="BR246" i="5"/>
  <c r="BR245" i="5"/>
  <c r="BR244" i="5"/>
  <c r="BR243" i="5"/>
  <c r="BR242" i="5"/>
  <c r="BR241" i="5"/>
  <c r="BR240" i="5"/>
  <c r="BR239" i="5"/>
  <c r="BR238" i="5"/>
  <c r="BR237" i="5"/>
  <c r="BR236" i="5"/>
  <c r="BR235" i="5"/>
  <c r="BR234" i="5"/>
  <c r="BR233" i="5"/>
  <c r="BR232" i="5"/>
  <c r="BR231" i="5"/>
  <c r="BR230" i="5"/>
  <c r="BR229" i="5"/>
  <c r="BR228" i="5"/>
  <c r="BR227" i="5"/>
  <c r="BR226" i="5"/>
  <c r="BR225" i="5"/>
  <c r="BR224" i="5"/>
  <c r="BR223" i="5"/>
  <c r="BR222" i="5"/>
  <c r="BR221" i="5"/>
  <c r="BR220" i="5"/>
  <c r="BR219" i="5"/>
  <c r="BR218" i="5"/>
  <c r="BR217" i="5"/>
  <c r="BR216" i="5"/>
  <c r="BR215" i="5"/>
  <c r="BR214" i="5"/>
  <c r="BR213" i="5"/>
  <c r="BR212" i="5"/>
  <c r="BR211" i="5"/>
  <c r="BR210" i="5"/>
  <c r="BR209" i="5"/>
  <c r="BR208" i="5"/>
  <c r="BR207" i="5"/>
  <c r="BR206" i="5"/>
  <c r="BR205" i="5"/>
  <c r="BR204" i="5"/>
  <c r="BR203" i="5"/>
  <c r="BR202" i="5"/>
  <c r="BS201" i="5"/>
  <c r="BR201" i="5"/>
  <c r="BS200" i="5"/>
  <c r="BR200" i="5"/>
  <c r="BS199" i="5"/>
  <c r="BR199" i="5"/>
  <c r="BS198" i="5"/>
  <c r="BR198" i="5"/>
  <c r="BS197" i="5"/>
  <c r="BR197" i="5"/>
  <c r="BS196" i="5"/>
  <c r="BR196" i="5"/>
  <c r="BS195" i="5"/>
  <c r="BR195" i="5"/>
  <c r="BS194" i="5"/>
  <c r="BR194" i="5"/>
  <c r="BS193" i="5"/>
  <c r="BR193" i="5"/>
  <c r="BS192" i="5"/>
  <c r="BR192" i="5"/>
  <c r="BS191" i="5"/>
  <c r="BR191" i="5"/>
  <c r="BS190" i="5"/>
  <c r="BR190" i="5"/>
  <c r="BS189" i="5"/>
  <c r="BR189" i="5"/>
  <c r="BS188" i="5"/>
  <c r="BR188" i="5"/>
  <c r="BS187" i="5"/>
  <c r="BR187" i="5"/>
  <c r="BS186" i="5"/>
  <c r="BR186" i="5"/>
  <c r="BS185" i="5"/>
  <c r="BR185" i="5"/>
  <c r="BS184" i="5"/>
  <c r="BR184" i="5"/>
  <c r="BS183" i="5"/>
  <c r="BR183" i="5"/>
  <c r="BS182" i="5"/>
  <c r="BR182" i="5"/>
  <c r="BS181" i="5"/>
  <c r="BR181" i="5"/>
  <c r="BS180" i="5"/>
  <c r="BR180" i="5"/>
  <c r="BS179" i="5"/>
  <c r="BR179" i="5"/>
  <c r="BS178" i="5"/>
  <c r="BR178" i="5"/>
  <c r="BS177" i="5"/>
  <c r="BR177" i="5"/>
  <c r="BS176" i="5"/>
  <c r="BR176" i="5"/>
  <c r="BS175" i="5"/>
  <c r="BR175" i="5"/>
  <c r="BS174" i="5"/>
  <c r="BR174" i="5"/>
  <c r="BS173" i="5"/>
  <c r="BR173" i="5"/>
  <c r="BS172" i="5"/>
  <c r="BR172" i="5"/>
  <c r="BS171" i="5"/>
  <c r="BR171" i="5"/>
  <c r="BS170" i="5"/>
  <c r="BR170" i="5"/>
  <c r="BS169" i="5"/>
  <c r="BR169" i="5"/>
  <c r="BS168" i="5"/>
  <c r="BR168" i="5"/>
  <c r="BS167" i="5"/>
  <c r="BR167" i="5"/>
  <c r="BS166" i="5"/>
  <c r="BR166" i="5"/>
  <c r="BS165" i="5"/>
  <c r="BR165" i="5"/>
  <c r="BS164" i="5"/>
  <c r="BR164" i="5"/>
  <c r="BS163" i="5"/>
  <c r="BR163" i="5"/>
  <c r="BS162" i="5"/>
  <c r="BR162" i="5"/>
  <c r="BS161" i="5"/>
  <c r="BR161" i="5"/>
  <c r="BS160" i="5"/>
  <c r="BR160" i="5"/>
  <c r="BS159" i="5"/>
  <c r="BR159" i="5"/>
  <c r="BS158" i="5"/>
  <c r="BR158" i="5"/>
  <c r="BS157" i="5"/>
  <c r="BR157" i="5"/>
  <c r="BS156" i="5"/>
  <c r="BR156" i="5"/>
  <c r="BS155" i="5"/>
  <c r="BR155" i="5"/>
  <c r="BS154" i="5"/>
  <c r="BR154" i="5"/>
  <c r="BS153" i="5"/>
  <c r="BR153" i="5"/>
  <c r="BS152" i="5"/>
  <c r="BR152" i="5"/>
  <c r="BS151" i="5"/>
  <c r="BR151" i="5"/>
  <c r="BS150" i="5"/>
  <c r="BR150" i="5"/>
  <c r="BS149" i="5"/>
  <c r="BR149" i="5"/>
  <c r="BS148" i="5"/>
  <c r="BR148" i="5"/>
  <c r="BS147" i="5"/>
  <c r="BR147" i="5"/>
  <c r="BS146" i="5"/>
  <c r="BR146" i="5"/>
  <c r="BS145" i="5"/>
  <c r="BR145" i="5"/>
  <c r="BS144" i="5"/>
  <c r="BR144" i="5"/>
  <c r="BS143" i="5"/>
  <c r="BR143" i="5"/>
  <c r="BS142" i="5"/>
  <c r="BR142" i="5"/>
  <c r="BS141" i="5"/>
  <c r="BR141" i="5"/>
  <c r="BS140" i="5"/>
  <c r="BR140" i="5"/>
  <c r="BS139" i="5"/>
  <c r="BR139" i="5"/>
  <c r="BS138" i="5"/>
  <c r="BR138" i="5"/>
  <c r="BS137" i="5"/>
  <c r="BR137" i="5"/>
  <c r="BS136" i="5"/>
  <c r="BR136" i="5"/>
  <c r="BS135" i="5"/>
  <c r="BR135" i="5"/>
  <c r="BS134" i="5"/>
  <c r="BR134" i="5"/>
  <c r="BS133" i="5"/>
  <c r="BR133" i="5"/>
  <c r="BS132" i="5"/>
  <c r="BR132" i="5"/>
  <c r="BS131" i="5"/>
  <c r="BR131" i="5"/>
  <c r="BS130" i="5"/>
  <c r="BR130" i="5"/>
  <c r="BS129" i="5"/>
  <c r="BR129" i="5"/>
  <c r="BS128" i="5"/>
  <c r="BR128" i="5"/>
  <c r="BS127" i="5"/>
  <c r="BR127" i="5"/>
  <c r="BS126" i="5"/>
  <c r="BR126" i="5"/>
  <c r="BS125" i="5"/>
  <c r="BR125" i="5"/>
  <c r="BS124" i="5"/>
  <c r="BR124" i="5"/>
  <c r="BS123" i="5"/>
  <c r="BR123" i="5"/>
  <c r="BS122" i="5"/>
  <c r="BR122" i="5"/>
  <c r="BS121" i="5"/>
  <c r="BR121" i="5"/>
  <c r="BS120" i="5"/>
  <c r="BR120" i="5"/>
  <c r="BS119" i="5"/>
  <c r="BR119" i="5"/>
  <c r="BS118" i="5"/>
  <c r="BR118" i="5"/>
  <c r="BS117" i="5"/>
  <c r="BR117" i="5"/>
  <c r="BS116" i="5"/>
  <c r="BR116" i="5"/>
  <c r="BS115" i="5"/>
  <c r="BR115" i="5"/>
  <c r="BS114" i="5"/>
  <c r="BR114" i="5"/>
  <c r="BS113" i="5"/>
  <c r="BR113" i="5"/>
  <c r="BS112" i="5"/>
  <c r="BR112" i="5"/>
  <c r="BS111" i="5"/>
  <c r="BR111" i="5"/>
  <c r="BS110" i="5"/>
  <c r="BR110" i="5"/>
  <c r="BS109" i="5"/>
  <c r="BR109" i="5"/>
  <c r="BS108" i="5"/>
  <c r="BR108" i="5"/>
  <c r="BS107" i="5"/>
  <c r="BR107" i="5"/>
  <c r="BS106" i="5"/>
  <c r="BR106" i="5"/>
  <c r="BS105" i="5"/>
  <c r="BR105" i="5"/>
  <c r="BS104" i="5"/>
  <c r="BR104" i="5"/>
  <c r="BS103" i="5"/>
  <c r="BR103" i="5"/>
  <c r="BS102" i="5"/>
  <c r="BR102" i="5"/>
  <c r="BS101" i="5"/>
  <c r="BR101" i="5"/>
  <c r="BS100" i="5"/>
  <c r="BR100" i="5"/>
  <c r="BS99" i="5"/>
  <c r="BR99" i="5"/>
  <c r="BS98" i="5"/>
  <c r="BR98" i="5"/>
  <c r="BS97" i="5"/>
  <c r="BR97" i="5"/>
  <c r="BS96" i="5"/>
  <c r="BR96" i="5"/>
  <c r="BS95" i="5"/>
  <c r="BR95" i="5"/>
  <c r="BS94" i="5"/>
  <c r="BR94" i="5"/>
  <c r="BS93" i="5"/>
  <c r="BR93" i="5"/>
  <c r="BS92" i="5"/>
  <c r="BR92" i="5"/>
  <c r="BS91" i="5"/>
  <c r="BR91" i="5"/>
  <c r="BS90" i="5"/>
  <c r="BR90" i="5"/>
  <c r="BS89" i="5"/>
  <c r="BR89" i="5"/>
  <c r="BS88" i="5"/>
  <c r="BR88" i="5"/>
  <c r="BS87" i="5"/>
  <c r="BR87" i="5"/>
  <c r="BS86" i="5"/>
  <c r="BR86" i="5"/>
  <c r="BS85" i="5"/>
  <c r="BR85" i="5"/>
  <c r="BS84" i="5"/>
  <c r="BR84" i="5"/>
  <c r="BS83" i="5"/>
  <c r="BR83" i="5"/>
  <c r="BS82" i="5"/>
  <c r="BR82" i="5"/>
  <c r="BS81" i="5"/>
  <c r="BR81" i="5"/>
  <c r="BS80" i="5"/>
  <c r="BR80" i="5"/>
  <c r="BS79" i="5"/>
  <c r="BR79" i="5"/>
  <c r="BS78" i="5"/>
  <c r="BR78" i="5"/>
  <c r="BS77" i="5"/>
  <c r="BR77" i="5"/>
  <c r="BS76" i="5"/>
  <c r="BR76" i="5"/>
  <c r="BS75" i="5"/>
  <c r="BR75" i="5"/>
  <c r="BS74" i="5"/>
  <c r="BR74" i="5"/>
  <c r="BR73" i="5"/>
  <c r="BR72" i="5"/>
  <c r="BR71" i="5"/>
  <c r="BR70" i="5"/>
  <c r="BR69" i="5"/>
  <c r="BR68" i="5"/>
  <c r="BR67" i="5"/>
  <c r="BR66" i="5"/>
  <c r="BR65" i="5"/>
  <c r="BR64" i="5"/>
  <c r="BR63" i="5"/>
  <c r="BR62" i="5"/>
  <c r="BR61" i="5"/>
  <c r="BR60" i="5"/>
  <c r="BR59" i="5"/>
  <c r="BR58" i="5"/>
  <c r="BR57" i="5"/>
  <c r="BR56" i="5"/>
  <c r="BR55" i="5"/>
  <c r="BR54" i="5"/>
  <c r="BR53" i="5"/>
  <c r="BR52" i="5"/>
  <c r="BR51" i="5"/>
  <c r="BR50" i="5"/>
  <c r="BR49" i="5"/>
  <c r="BR48" i="5"/>
  <c r="BR47" i="5"/>
  <c r="BR46" i="5"/>
  <c r="BR45" i="5"/>
  <c r="BR44" i="5"/>
  <c r="BR43" i="5"/>
  <c r="BR42" i="5"/>
  <c r="BR41" i="5"/>
  <c r="BR40" i="5"/>
  <c r="BR39" i="5"/>
  <c r="BR38" i="5"/>
  <c r="BR37" i="5"/>
  <c r="BR36" i="5"/>
  <c r="BR35" i="5"/>
  <c r="BR34" i="5"/>
  <c r="BR33" i="5"/>
  <c r="BR32" i="5"/>
  <c r="BR31" i="5"/>
  <c r="BR30" i="5"/>
  <c r="BR29" i="5"/>
  <c r="BR28" i="5"/>
  <c r="BR27" i="5"/>
  <c r="BR26" i="5"/>
  <c r="BR25" i="5"/>
  <c r="BR24" i="5"/>
  <c r="BR23" i="5"/>
  <c r="BR22" i="5"/>
  <c r="BR21" i="5"/>
  <c r="BR20" i="5"/>
  <c r="BR19" i="5"/>
  <c r="BR18" i="5"/>
  <c r="BR17" i="5"/>
  <c r="BR16" i="5"/>
  <c r="BR15" i="5"/>
  <c r="BN379" i="5"/>
  <c r="BN378" i="5"/>
  <c r="BN377" i="5"/>
  <c r="BN376" i="5"/>
  <c r="BN375" i="5"/>
  <c r="BN374" i="5"/>
  <c r="BN373" i="5"/>
  <c r="BN372" i="5"/>
  <c r="BN371" i="5"/>
  <c r="BN370" i="5"/>
  <c r="BN369" i="5"/>
  <c r="BN368" i="5"/>
  <c r="BN367" i="5"/>
  <c r="BN366" i="5"/>
  <c r="BN365" i="5"/>
  <c r="BN364" i="5"/>
  <c r="BN363" i="5"/>
  <c r="BN362" i="5"/>
  <c r="BN361" i="5"/>
  <c r="BN360" i="5"/>
  <c r="BN359" i="5"/>
  <c r="BN358" i="5"/>
  <c r="BN357" i="5"/>
  <c r="BN356" i="5"/>
  <c r="BN355" i="5"/>
  <c r="BN354" i="5"/>
  <c r="BN353" i="5"/>
  <c r="BN352" i="5"/>
  <c r="BN351" i="5"/>
  <c r="BN350" i="5"/>
  <c r="BN349" i="5"/>
  <c r="BN348" i="5"/>
  <c r="BN347" i="5"/>
  <c r="BN346" i="5"/>
  <c r="BN345" i="5"/>
  <c r="BN344" i="5"/>
  <c r="BN343" i="5"/>
  <c r="BN342" i="5"/>
  <c r="BN341" i="5"/>
  <c r="BN340" i="5"/>
  <c r="BN339" i="5"/>
  <c r="BN338" i="5"/>
  <c r="BN337" i="5"/>
  <c r="BN336" i="5"/>
  <c r="BN335" i="5"/>
  <c r="BN334" i="5"/>
  <c r="BN333" i="5"/>
  <c r="BN332" i="5"/>
  <c r="BN331" i="5"/>
  <c r="BN330" i="5"/>
  <c r="BN329" i="5"/>
  <c r="BN328" i="5"/>
  <c r="BN327" i="5"/>
  <c r="BN326" i="5"/>
  <c r="BN325" i="5"/>
  <c r="BN324" i="5"/>
  <c r="BN323" i="5"/>
  <c r="BN322" i="5"/>
  <c r="BN321" i="5"/>
  <c r="BN320" i="5"/>
  <c r="BN319" i="5"/>
  <c r="BN318" i="5"/>
  <c r="BN317" i="5"/>
  <c r="BN316" i="5"/>
  <c r="BN315" i="5"/>
  <c r="BN314" i="5"/>
  <c r="BN313" i="5"/>
  <c r="BN312" i="5"/>
  <c r="BN311" i="5"/>
  <c r="BN310" i="5"/>
  <c r="BN309" i="5"/>
  <c r="BN308" i="5"/>
  <c r="BN307" i="5"/>
  <c r="BN306" i="5"/>
  <c r="BN305" i="5"/>
  <c r="BN304" i="5"/>
  <c r="BN303" i="5"/>
  <c r="BN302" i="5"/>
  <c r="BN301" i="5"/>
  <c r="BN300" i="5"/>
  <c r="BN299" i="5"/>
  <c r="BN298" i="5"/>
  <c r="BN297" i="5"/>
  <c r="BN296" i="5"/>
  <c r="BN295" i="5"/>
  <c r="BN294" i="5"/>
  <c r="BN293" i="5"/>
  <c r="BN292" i="5"/>
  <c r="BN291" i="5"/>
  <c r="BN290" i="5"/>
  <c r="BN289" i="5"/>
  <c r="BN288" i="5"/>
  <c r="BN287" i="5"/>
  <c r="BN286" i="5"/>
  <c r="BN285" i="5"/>
  <c r="BN284" i="5"/>
  <c r="BN283" i="5"/>
  <c r="BN282" i="5"/>
  <c r="BN281" i="5"/>
  <c r="BN280" i="5"/>
  <c r="BN279" i="5"/>
  <c r="BN278" i="5"/>
  <c r="BN277" i="5"/>
  <c r="BN276" i="5"/>
  <c r="BN275" i="5"/>
  <c r="BN274" i="5"/>
  <c r="BN273" i="5"/>
  <c r="BN272" i="5"/>
  <c r="BN271" i="5"/>
  <c r="BN270" i="5"/>
  <c r="BN269" i="5"/>
  <c r="BN268" i="5"/>
  <c r="BN267" i="5"/>
  <c r="BN266" i="5"/>
  <c r="BN265" i="5"/>
  <c r="BN264" i="5"/>
  <c r="BN263" i="5"/>
  <c r="BN262" i="5"/>
  <c r="BN261" i="5"/>
  <c r="BN260" i="5"/>
  <c r="BN259" i="5"/>
  <c r="BN258" i="5"/>
  <c r="BN257" i="5"/>
  <c r="BN256" i="5"/>
  <c r="BN255" i="5"/>
  <c r="BN254" i="5"/>
  <c r="BN253" i="5"/>
  <c r="BN252" i="5"/>
  <c r="BN251" i="5"/>
  <c r="BN250" i="5"/>
  <c r="BN249" i="5"/>
  <c r="BN248" i="5"/>
  <c r="BN247" i="5"/>
  <c r="BN246" i="5"/>
  <c r="BN245" i="5"/>
  <c r="BN244" i="5"/>
  <c r="BN243" i="5"/>
  <c r="BN242" i="5"/>
  <c r="BN241" i="5"/>
  <c r="BN240" i="5"/>
  <c r="BN239" i="5"/>
  <c r="BN238" i="5"/>
  <c r="BN237" i="5"/>
  <c r="BN236" i="5"/>
  <c r="BN235" i="5"/>
  <c r="BN234" i="5"/>
  <c r="BN233" i="5"/>
  <c r="BN232" i="5"/>
  <c r="BN231" i="5"/>
  <c r="BN230" i="5"/>
  <c r="BN229" i="5"/>
  <c r="BN228" i="5"/>
  <c r="BN227" i="5"/>
  <c r="BN226" i="5"/>
  <c r="BN225" i="5"/>
  <c r="BN224" i="5"/>
  <c r="BN223" i="5"/>
  <c r="BN222" i="5"/>
  <c r="BN221" i="5"/>
  <c r="BN220" i="5"/>
  <c r="BN219" i="5"/>
  <c r="BN218" i="5"/>
  <c r="BN217" i="5"/>
  <c r="BN216" i="5"/>
  <c r="BN215" i="5"/>
  <c r="BN214" i="5"/>
  <c r="BN213" i="5"/>
  <c r="BN212" i="5"/>
  <c r="BN211" i="5"/>
  <c r="BN210" i="5"/>
  <c r="BN209" i="5"/>
  <c r="BN208" i="5"/>
  <c r="BN207" i="5"/>
  <c r="BN206" i="5"/>
  <c r="BN205" i="5"/>
  <c r="BN204" i="5"/>
  <c r="BN203" i="5"/>
  <c r="BN202" i="5"/>
  <c r="BO201" i="5"/>
  <c r="BN201" i="5"/>
  <c r="BO200" i="5"/>
  <c r="BN200" i="5"/>
  <c r="BO199" i="5"/>
  <c r="BN199" i="5"/>
  <c r="BO198" i="5"/>
  <c r="BN198" i="5"/>
  <c r="BO197" i="5"/>
  <c r="BN197" i="5"/>
  <c r="BO196" i="5"/>
  <c r="BN196" i="5"/>
  <c r="BO195" i="5"/>
  <c r="BN195" i="5"/>
  <c r="BO194" i="5"/>
  <c r="BN194" i="5"/>
  <c r="BO193" i="5"/>
  <c r="BN193" i="5"/>
  <c r="BO192" i="5"/>
  <c r="BN192" i="5"/>
  <c r="BO191" i="5"/>
  <c r="BN191" i="5"/>
  <c r="BO190" i="5"/>
  <c r="BN190" i="5"/>
  <c r="BO189" i="5"/>
  <c r="BN189" i="5"/>
  <c r="BO188" i="5"/>
  <c r="BN188" i="5"/>
  <c r="BO187" i="5"/>
  <c r="BN187" i="5"/>
  <c r="BO186" i="5"/>
  <c r="BN186" i="5"/>
  <c r="BO185" i="5"/>
  <c r="BN185" i="5"/>
  <c r="BO184" i="5"/>
  <c r="BN184" i="5"/>
  <c r="BO183" i="5"/>
  <c r="BN183" i="5"/>
  <c r="BO182" i="5"/>
  <c r="BN182" i="5"/>
  <c r="BO181" i="5"/>
  <c r="BN181" i="5"/>
  <c r="BO180" i="5"/>
  <c r="BN180" i="5"/>
  <c r="BO179" i="5"/>
  <c r="BN179" i="5"/>
  <c r="BO178" i="5"/>
  <c r="BN178" i="5"/>
  <c r="BO177" i="5"/>
  <c r="BN177" i="5"/>
  <c r="BO176" i="5"/>
  <c r="BN176" i="5"/>
  <c r="BO175" i="5"/>
  <c r="BN175" i="5"/>
  <c r="BO174" i="5"/>
  <c r="BN174" i="5"/>
  <c r="BO173" i="5"/>
  <c r="BN173" i="5"/>
  <c r="BO172" i="5"/>
  <c r="BN172" i="5"/>
  <c r="BO171" i="5"/>
  <c r="BN171" i="5"/>
  <c r="BO170" i="5"/>
  <c r="BN170" i="5"/>
  <c r="BO169" i="5"/>
  <c r="BN169" i="5"/>
  <c r="BO168" i="5"/>
  <c r="BN168" i="5"/>
  <c r="BO167" i="5"/>
  <c r="BN167" i="5"/>
  <c r="BO166" i="5"/>
  <c r="BN166" i="5"/>
  <c r="BO165" i="5"/>
  <c r="BN165" i="5"/>
  <c r="BO164" i="5"/>
  <c r="BN164" i="5"/>
  <c r="BO163" i="5"/>
  <c r="BN163" i="5"/>
  <c r="BO162" i="5"/>
  <c r="BN162" i="5"/>
  <c r="BO161" i="5"/>
  <c r="BN161" i="5"/>
  <c r="BO160" i="5"/>
  <c r="BN160" i="5"/>
  <c r="BO159" i="5"/>
  <c r="BN159" i="5"/>
  <c r="BO158" i="5"/>
  <c r="BN158" i="5"/>
  <c r="BO157" i="5"/>
  <c r="BN157" i="5"/>
  <c r="BO156" i="5"/>
  <c r="BN156" i="5"/>
  <c r="BO155" i="5"/>
  <c r="BN155" i="5"/>
  <c r="BO154" i="5"/>
  <c r="BN154" i="5"/>
  <c r="BO153" i="5"/>
  <c r="BN153" i="5"/>
  <c r="BO152" i="5"/>
  <c r="BN152" i="5"/>
  <c r="BO151" i="5"/>
  <c r="BN151" i="5"/>
  <c r="BO150" i="5"/>
  <c r="BN150" i="5"/>
  <c r="BO149" i="5"/>
  <c r="BN149" i="5"/>
  <c r="BO148" i="5"/>
  <c r="BN148" i="5"/>
  <c r="BO147" i="5"/>
  <c r="BN147" i="5"/>
  <c r="BO146" i="5"/>
  <c r="BN146" i="5"/>
  <c r="BO145" i="5"/>
  <c r="BN145" i="5"/>
  <c r="BO144" i="5"/>
  <c r="BN144" i="5"/>
  <c r="BO143" i="5"/>
  <c r="BN143" i="5"/>
  <c r="BO142" i="5"/>
  <c r="BN142" i="5"/>
  <c r="BO141" i="5"/>
  <c r="BN141" i="5"/>
  <c r="BO140" i="5"/>
  <c r="BN140" i="5"/>
  <c r="BO139" i="5"/>
  <c r="BN139" i="5"/>
  <c r="BO138" i="5"/>
  <c r="BN138" i="5"/>
  <c r="BO137" i="5"/>
  <c r="BN137" i="5"/>
  <c r="BO136" i="5"/>
  <c r="BN136" i="5"/>
  <c r="BO135" i="5"/>
  <c r="BN135" i="5"/>
  <c r="BO134" i="5"/>
  <c r="BN134" i="5"/>
  <c r="BO133" i="5"/>
  <c r="BN133" i="5"/>
  <c r="BO132" i="5"/>
  <c r="BN132" i="5"/>
  <c r="BO131" i="5"/>
  <c r="BN131" i="5"/>
  <c r="BO130" i="5"/>
  <c r="BN130" i="5"/>
  <c r="BO129" i="5"/>
  <c r="BN129" i="5"/>
  <c r="BO128" i="5"/>
  <c r="BN128" i="5"/>
  <c r="BO127" i="5"/>
  <c r="BN127" i="5"/>
  <c r="BO126" i="5"/>
  <c r="BN126" i="5"/>
  <c r="BO125" i="5"/>
  <c r="BN125" i="5"/>
  <c r="BO124" i="5"/>
  <c r="BN124" i="5"/>
  <c r="BO123" i="5"/>
  <c r="BN123" i="5"/>
  <c r="BO122" i="5"/>
  <c r="BN122" i="5"/>
  <c r="BO121" i="5"/>
  <c r="BN121" i="5"/>
  <c r="BO120" i="5"/>
  <c r="BN120" i="5"/>
  <c r="BO119" i="5"/>
  <c r="BN119" i="5"/>
  <c r="BO118" i="5"/>
  <c r="BN118" i="5"/>
  <c r="BO117" i="5"/>
  <c r="BN117" i="5"/>
  <c r="BO116" i="5"/>
  <c r="BN116" i="5"/>
  <c r="BO115" i="5"/>
  <c r="BN115" i="5"/>
  <c r="BO114" i="5"/>
  <c r="BN114" i="5"/>
  <c r="BO113" i="5"/>
  <c r="BN113" i="5"/>
  <c r="BO112" i="5"/>
  <c r="BN112" i="5"/>
  <c r="BO111" i="5"/>
  <c r="BN111" i="5"/>
  <c r="BO110" i="5"/>
  <c r="BN110" i="5"/>
  <c r="BO109" i="5"/>
  <c r="BN109" i="5"/>
  <c r="BO108" i="5"/>
  <c r="BN108" i="5"/>
  <c r="BO107" i="5"/>
  <c r="BN107" i="5"/>
  <c r="BO106" i="5"/>
  <c r="BN106" i="5"/>
  <c r="BO105" i="5"/>
  <c r="BN105" i="5"/>
  <c r="BO104" i="5"/>
  <c r="BN104" i="5"/>
  <c r="BO103" i="5"/>
  <c r="BN103" i="5"/>
  <c r="BO102" i="5"/>
  <c r="BN102" i="5"/>
  <c r="BO101" i="5"/>
  <c r="BN101" i="5"/>
  <c r="BO100" i="5"/>
  <c r="BN100" i="5"/>
  <c r="BO99" i="5"/>
  <c r="BN99" i="5"/>
  <c r="BO98" i="5"/>
  <c r="BN98" i="5"/>
  <c r="BO97" i="5"/>
  <c r="BN97" i="5"/>
  <c r="BO96" i="5"/>
  <c r="BN96" i="5"/>
  <c r="BO95" i="5"/>
  <c r="BN95" i="5"/>
  <c r="BO94" i="5"/>
  <c r="BN94" i="5"/>
  <c r="BO93" i="5"/>
  <c r="BN93" i="5"/>
  <c r="BO92" i="5"/>
  <c r="BN92" i="5"/>
  <c r="BO91" i="5"/>
  <c r="BN91" i="5"/>
  <c r="BO90" i="5"/>
  <c r="BN90" i="5"/>
  <c r="BO89" i="5"/>
  <c r="BN89" i="5"/>
  <c r="BO88" i="5"/>
  <c r="BN88" i="5"/>
  <c r="BO87" i="5"/>
  <c r="BN87" i="5"/>
  <c r="BO86" i="5"/>
  <c r="BN86" i="5"/>
  <c r="BO85" i="5"/>
  <c r="BN85" i="5"/>
  <c r="BO84" i="5"/>
  <c r="BN84" i="5"/>
  <c r="BO83" i="5"/>
  <c r="BN83" i="5"/>
  <c r="BO82" i="5"/>
  <c r="BN82" i="5"/>
  <c r="BO81" i="5"/>
  <c r="BN81" i="5"/>
  <c r="BO80" i="5"/>
  <c r="BN80" i="5"/>
  <c r="BO79" i="5"/>
  <c r="BN79" i="5"/>
  <c r="BO78" i="5"/>
  <c r="BN78" i="5"/>
  <c r="BO77" i="5"/>
  <c r="BN77" i="5"/>
  <c r="BO76" i="5"/>
  <c r="BN76" i="5"/>
  <c r="BO75" i="5"/>
  <c r="BN75" i="5"/>
  <c r="BO74" i="5"/>
  <c r="BN74" i="5"/>
  <c r="BN73" i="5"/>
  <c r="BN72" i="5"/>
  <c r="BN71" i="5"/>
  <c r="BN70" i="5"/>
  <c r="BN69" i="5"/>
  <c r="BN68" i="5"/>
  <c r="BN67" i="5"/>
  <c r="BN66" i="5"/>
  <c r="BN65" i="5"/>
  <c r="BN64" i="5"/>
  <c r="BN63" i="5"/>
  <c r="BN62" i="5"/>
  <c r="BN61" i="5"/>
  <c r="BN60" i="5"/>
  <c r="BN59" i="5"/>
  <c r="BN58" i="5"/>
  <c r="BN57" i="5"/>
  <c r="BN56" i="5"/>
  <c r="BN55" i="5"/>
  <c r="BN54" i="5"/>
  <c r="BN53" i="5"/>
  <c r="BN52" i="5"/>
  <c r="BN51" i="5"/>
  <c r="BN50" i="5"/>
  <c r="BN49" i="5"/>
  <c r="BN48" i="5"/>
  <c r="BN47" i="5"/>
  <c r="BN46" i="5"/>
  <c r="BN45" i="5"/>
  <c r="BN44" i="5"/>
  <c r="BN43" i="5"/>
  <c r="BN42" i="5"/>
  <c r="BN41" i="5"/>
  <c r="BN40" i="5"/>
  <c r="BN39" i="5"/>
  <c r="BN38" i="5"/>
  <c r="BN37" i="5"/>
  <c r="BN36" i="5"/>
  <c r="BN35" i="5"/>
  <c r="BN34" i="5"/>
  <c r="BN33" i="5"/>
  <c r="BN32" i="5"/>
  <c r="BN31" i="5"/>
  <c r="BN30" i="5"/>
  <c r="BN29" i="5"/>
  <c r="BN28" i="5"/>
  <c r="BN27" i="5"/>
  <c r="BN26" i="5"/>
  <c r="BN25" i="5"/>
  <c r="BN24" i="5"/>
  <c r="BN23" i="5"/>
  <c r="BN22" i="5"/>
  <c r="BN21" i="5"/>
  <c r="BN20" i="5"/>
  <c r="BN19" i="5"/>
  <c r="BN18" i="5"/>
  <c r="BN17" i="5"/>
  <c r="BN16" i="5"/>
  <c r="BN15" i="5"/>
  <c r="BJ379" i="5"/>
  <c r="BJ378" i="5"/>
  <c r="BJ377" i="5"/>
  <c r="BJ376" i="5"/>
  <c r="BJ375" i="5"/>
  <c r="BJ374" i="5"/>
  <c r="BJ373" i="5"/>
  <c r="BJ372" i="5"/>
  <c r="BJ371" i="5"/>
  <c r="BJ370" i="5"/>
  <c r="BJ369" i="5"/>
  <c r="BJ368" i="5"/>
  <c r="BJ367" i="5"/>
  <c r="BJ366" i="5"/>
  <c r="BJ365" i="5"/>
  <c r="BJ364" i="5"/>
  <c r="BJ363" i="5"/>
  <c r="BJ362" i="5"/>
  <c r="BJ361" i="5"/>
  <c r="BJ360" i="5"/>
  <c r="BJ359" i="5"/>
  <c r="BJ358" i="5"/>
  <c r="BJ357" i="5"/>
  <c r="BJ356" i="5"/>
  <c r="BJ355" i="5"/>
  <c r="BJ354" i="5"/>
  <c r="BJ353" i="5"/>
  <c r="BJ352" i="5"/>
  <c r="BJ351" i="5"/>
  <c r="BJ350" i="5"/>
  <c r="BJ349" i="5"/>
  <c r="BJ348" i="5"/>
  <c r="BJ347" i="5"/>
  <c r="BJ346" i="5"/>
  <c r="BJ345" i="5"/>
  <c r="BJ344" i="5"/>
  <c r="BJ343" i="5"/>
  <c r="BJ342" i="5"/>
  <c r="BJ341" i="5"/>
  <c r="BJ340" i="5"/>
  <c r="BJ339" i="5"/>
  <c r="BJ338" i="5"/>
  <c r="BJ337" i="5"/>
  <c r="BJ336" i="5"/>
  <c r="BJ335" i="5"/>
  <c r="BJ334" i="5"/>
  <c r="BJ333" i="5"/>
  <c r="BJ332" i="5"/>
  <c r="BJ331" i="5"/>
  <c r="BJ330" i="5"/>
  <c r="BJ329" i="5"/>
  <c r="BJ328" i="5"/>
  <c r="BJ327" i="5"/>
  <c r="BJ326" i="5"/>
  <c r="BJ325" i="5"/>
  <c r="BJ324" i="5"/>
  <c r="BJ323" i="5"/>
  <c r="BJ322" i="5"/>
  <c r="BJ321" i="5"/>
  <c r="BJ320" i="5"/>
  <c r="BJ319" i="5"/>
  <c r="BJ318" i="5"/>
  <c r="BJ317" i="5"/>
  <c r="BJ316" i="5"/>
  <c r="BJ315" i="5"/>
  <c r="BJ314" i="5"/>
  <c r="BJ313" i="5"/>
  <c r="BJ312" i="5"/>
  <c r="BJ311" i="5"/>
  <c r="BJ310" i="5"/>
  <c r="BJ309" i="5"/>
  <c r="BJ308" i="5"/>
  <c r="BJ307" i="5"/>
  <c r="BJ306" i="5"/>
  <c r="BJ305" i="5"/>
  <c r="BJ304" i="5"/>
  <c r="BJ303" i="5"/>
  <c r="BJ302" i="5"/>
  <c r="BJ301" i="5"/>
  <c r="BJ300" i="5"/>
  <c r="BJ299" i="5"/>
  <c r="BJ298" i="5"/>
  <c r="BJ297" i="5"/>
  <c r="BJ296" i="5"/>
  <c r="BJ295" i="5"/>
  <c r="BJ294" i="5"/>
  <c r="BJ293" i="5"/>
  <c r="BJ292" i="5"/>
  <c r="BJ291" i="5"/>
  <c r="BJ290" i="5"/>
  <c r="BJ289" i="5"/>
  <c r="BJ288" i="5"/>
  <c r="BJ287" i="5"/>
  <c r="BJ286" i="5"/>
  <c r="BJ285" i="5"/>
  <c r="BJ284" i="5"/>
  <c r="BJ283" i="5"/>
  <c r="BJ282" i="5"/>
  <c r="BJ281" i="5"/>
  <c r="BJ280" i="5"/>
  <c r="BJ279" i="5"/>
  <c r="BJ278" i="5"/>
  <c r="BJ277" i="5"/>
  <c r="BJ276" i="5"/>
  <c r="BJ275" i="5"/>
  <c r="BJ274" i="5"/>
  <c r="BJ273" i="5"/>
  <c r="BJ272" i="5"/>
  <c r="BJ271" i="5"/>
  <c r="BJ270" i="5"/>
  <c r="BJ269" i="5"/>
  <c r="BJ268" i="5"/>
  <c r="BJ267" i="5"/>
  <c r="BJ266" i="5"/>
  <c r="BJ265" i="5"/>
  <c r="BJ264" i="5"/>
  <c r="BJ263" i="5"/>
  <c r="BJ262" i="5"/>
  <c r="BJ261" i="5"/>
  <c r="BJ260" i="5"/>
  <c r="BJ259" i="5"/>
  <c r="BJ258" i="5"/>
  <c r="BJ257" i="5"/>
  <c r="BJ256" i="5"/>
  <c r="BJ255" i="5"/>
  <c r="BJ254" i="5"/>
  <c r="BJ253" i="5"/>
  <c r="BJ252" i="5"/>
  <c r="BJ251" i="5"/>
  <c r="BJ250" i="5"/>
  <c r="BJ249" i="5"/>
  <c r="BJ248" i="5"/>
  <c r="BJ247" i="5"/>
  <c r="BJ246" i="5"/>
  <c r="BJ245" i="5"/>
  <c r="BJ244" i="5"/>
  <c r="BJ243" i="5"/>
  <c r="BJ242" i="5"/>
  <c r="BJ241" i="5"/>
  <c r="BJ240" i="5"/>
  <c r="BJ239" i="5"/>
  <c r="BJ238" i="5"/>
  <c r="BJ237" i="5"/>
  <c r="BJ236" i="5"/>
  <c r="BJ235" i="5"/>
  <c r="BJ234" i="5"/>
  <c r="BJ233" i="5"/>
  <c r="BJ232" i="5"/>
  <c r="BJ231" i="5"/>
  <c r="BJ230" i="5"/>
  <c r="BJ229" i="5"/>
  <c r="BJ228" i="5"/>
  <c r="BJ227" i="5"/>
  <c r="BJ226" i="5"/>
  <c r="BJ225" i="5"/>
  <c r="BJ224" i="5"/>
  <c r="BJ223" i="5"/>
  <c r="BJ222" i="5"/>
  <c r="BJ221" i="5"/>
  <c r="BJ220" i="5"/>
  <c r="BJ219" i="5"/>
  <c r="BJ218" i="5"/>
  <c r="BJ217" i="5"/>
  <c r="BJ216" i="5"/>
  <c r="BJ215" i="5"/>
  <c r="BJ214" i="5"/>
  <c r="BJ213" i="5"/>
  <c r="BJ212" i="5"/>
  <c r="BJ211" i="5"/>
  <c r="BJ210" i="5"/>
  <c r="BJ209" i="5"/>
  <c r="BJ208" i="5"/>
  <c r="BJ207" i="5"/>
  <c r="BJ206" i="5"/>
  <c r="BJ205" i="5"/>
  <c r="BJ204" i="5"/>
  <c r="BJ203" i="5"/>
  <c r="BJ202" i="5"/>
  <c r="BK201" i="5"/>
  <c r="BJ201" i="5"/>
  <c r="BK200" i="5"/>
  <c r="BJ200" i="5"/>
  <c r="BK199" i="5"/>
  <c r="BJ199" i="5"/>
  <c r="BK198" i="5"/>
  <c r="BJ198" i="5"/>
  <c r="BK197" i="5"/>
  <c r="BJ197" i="5"/>
  <c r="BK196" i="5"/>
  <c r="BJ196" i="5"/>
  <c r="BK195" i="5"/>
  <c r="BJ195" i="5"/>
  <c r="BK194" i="5"/>
  <c r="BJ194" i="5"/>
  <c r="BK193" i="5"/>
  <c r="BJ193" i="5"/>
  <c r="BK192" i="5"/>
  <c r="BJ192" i="5"/>
  <c r="BK191" i="5"/>
  <c r="BJ191" i="5"/>
  <c r="BK190" i="5"/>
  <c r="BJ190" i="5"/>
  <c r="BK189" i="5"/>
  <c r="BJ189" i="5"/>
  <c r="BK188" i="5"/>
  <c r="BJ188" i="5"/>
  <c r="BK187" i="5"/>
  <c r="BJ187" i="5"/>
  <c r="BK186" i="5"/>
  <c r="BJ186" i="5"/>
  <c r="BK185" i="5"/>
  <c r="BJ185" i="5"/>
  <c r="BK184" i="5"/>
  <c r="BJ184" i="5"/>
  <c r="BK183" i="5"/>
  <c r="BJ183" i="5"/>
  <c r="BK182" i="5"/>
  <c r="BJ182" i="5"/>
  <c r="BK181" i="5"/>
  <c r="BJ181" i="5"/>
  <c r="BK180" i="5"/>
  <c r="BJ180" i="5"/>
  <c r="BK179" i="5"/>
  <c r="BJ179" i="5"/>
  <c r="BK178" i="5"/>
  <c r="BJ178" i="5"/>
  <c r="BK177" i="5"/>
  <c r="BJ177" i="5"/>
  <c r="BK176" i="5"/>
  <c r="BJ176" i="5"/>
  <c r="BK175" i="5"/>
  <c r="BJ175" i="5"/>
  <c r="BK174" i="5"/>
  <c r="BJ174" i="5"/>
  <c r="BK173" i="5"/>
  <c r="BJ173" i="5"/>
  <c r="BK172" i="5"/>
  <c r="BJ172" i="5"/>
  <c r="BK171" i="5"/>
  <c r="BJ171" i="5"/>
  <c r="BK170" i="5"/>
  <c r="BJ170" i="5"/>
  <c r="BK169" i="5"/>
  <c r="BJ169" i="5"/>
  <c r="BK168" i="5"/>
  <c r="BJ168" i="5"/>
  <c r="BK167" i="5"/>
  <c r="BJ167" i="5"/>
  <c r="BK166" i="5"/>
  <c r="BJ166" i="5"/>
  <c r="BK165" i="5"/>
  <c r="BJ165" i="5"/>
  <c r="BK164" i="5"/>
  <c r="BJ164" i="5"/>
  <c r="BK163" i="5"/>
  <c r="BJ163" i="5"/>
  <c r="BK162" i="5"/>
  <c r="BJ162" i="5"/>
  <c r="BK161" i="5"/>
  <c r="BJ161" i="5"/>
  <c r="BK160" i="5"/>
  <c r="BJ160" i="5"/>
  <c r="BK159" i="5"/>
  <c r="BJ159" i="5"/>
  <c r="BK158" i="5"/>
  <c r="BJ158" i="5"/>
  <c r="BK157" i="5"/>
  <c r="BJ157" i="5"/>
  <c r="BK156" i="5"/>
  <c r="BJ156" i="5"/>
  <c r="BK155" i="5"/>
  <c r="BJ155" i="5"/>
  <c r="BK154" i="5"/>
  <c r="BJ154" i="5"/>
  <c r="BK153" i="5"/>
  <c r="BJ153" i="5"/>
  <c r="BK152" i="5"/>
  <c r="BJ152" i="5"/>
  <c r="BK151" i="5"/>
  <c r="BJ151" i="5"/>
  <c r="BK150" i="5"/>
  <c r="BJ150" i="5"/>
  <c r="BK149" i="5"/>
  <c r="BJ149" i="5"/>
  <c r="BK148" i="5"/>
  <c r="BJ148" i="5"/>
  <c r="BK147" i="5"/>
  <c r="BJ147" i="5"/>
  <c r="BK146" i="5"/>
  <c r="BJ146" i="5"/>
  <c r="BK145" i="5"/>
  <c r="BJ145" i="5"/>
  <c r="BK144" i="5"/>
  <c r="BJ144" i="5"/>
  <c r="BK143" i="5"/>
  <c r="BJ143" i="5"/>
  <c r="BK142" i="5"/>
  <c r="BJ142" i="5"/>
  <c r="BK141" i="5"/>
  <c r="BJ141" i="5"/>
  <c r="BK140" i="5"/>
  <c r="BJ140" i="5"/>
  <c r="BK139" i="5"/>
  <c r="BJ139" i="5"/>
  <c r="BK138" i="5"/>
  <c r="BJ138" i="5"/>
  <c r="BK137" i="5"/>
  <c r="BJ137" i="5"/>
  <c r="BK136" i="5"/>
  <c r="BJ136" i="5"/>
  <c r="BK135" i="5"/>
  <c r="BJ135" i="5"/>
  <c r="BK134" i="5"/>
  <c r="BJ134" i="5"/>
  <c r="BK133" i="5"/>
  <c r="BJ133" i="5"/>
  <c r="BK132" i="5"/>
  <c r="BJ132" i="5"/>
  <c r="BK131" i="5"/>
  <c r="BJ131" i="5"/>
  <c r="BK130" i="5"/>
  <c r="BJ130" i="5"/>
  <c r="BK129" i="5"/>
  <c r="BJ129" i="5"/>
  <c r="BK128" i="5"/>
  <c r="BJ128" i="5"/>
  <c r="BK127" i="5"/>
  <c r="BJ127" i="5"/>
  <c r="BK126" i="5"/>
  <c r="BJ126" i="5"/>
  <c r="BK125" i="5"/>
  <c r="BJ125" i="5"/>
  <c r="BK124" i="5"/>
  <c r="BJ124" i="5"/>
  <c r="BK123" i="5"/>
  <c r="BJ123" i="5"/>
  <c r="BK122" i="5"/>
  <c r="BJ122" i="5"/>
  <c r="BK121" i="5"/>
  <c r="BJ121" i="5"/>
  <c r="BK120" i="5"/>
  <c r="BJ120" i="5"/>
  <c r="BK119" i="5"/>
  <c r="BJ119" i="5"/>
  <c r="BK118" i="5"/>
  <c r="BJ118" i="5"/>
  <c r="BK117" i="5"/>
  <c r="BJ117" i="5"/>
  <c r="BK116" i="5"/>
  <c r="BJ116" i="5"/>
  <c r="BK115" i="5"/>
  <c r="BJ115" i="5"/>
  <c r="BK114" i="5"/>
  <c r="BJ114" i="5"/>
  <c r="BK113" i="5"/>
  <c r="BJ113" i="5"/>
  <c r="BK112" i="5"/>
  <c r="BJ112" i="5"/>
  <c r="BK111" i="5"/>
  <c r="BJ111" i="5"/>
  <c r="BK110" i="5"/>
  <c r="BJ110" i="5"/>
  <c r="BK109" i="5"/>
  <c r="BJ109" i="5"/>
  <c r="BK108" i="5"/>
  <c r="BJ108" i="5"/>
  <c r="BK107" i="5"/>
  <c r="BJ107" i="5"/>
  <c r="BK106" i="5"/>
  <c r="BJ106" i="5"/>
  <c r="BK105" i="5"/>
  <c r="BJ105" i="5"/>
  <c r="BK104" i="5"/>
  <c r="BJ104" i="5"/>
  <c r="BK103" i="5"/>
  <c r="BJ103" i="5"/>
  <c r="BK102" i="5"/>
  <c r="BJ102" i="5"/>
  <c r="BK101" i="5"/>
  <c r="BJ101" i="5"/>
  <c r="BK100" i="5"/>
  <c r="BJ100" i="5"/>
  <c r="BK99" i="5"/>
  <c r="BJ99" i="5"/>
  <c r="BK98" i="5"/>
  <c r="BJ98" i="5"/>
  <c r="BK97" i="5"/>
  <c r="BJ97" i="5"/>
  <c r="BK96" i="5"/>
  <c r="BJ96" i="5"/>
  <c r="BK95" i="5"/>
  <c r="BJ95" i="5"/>
  <c r="BK94" i="5"/>
  <c r="BJ94" i="5"/>
  <c r="BK93" i="5"/>
  <c r="BJ93" i="5"/>
  <c r="BK92" i="5"/>
  <c r="BJ92" i="5"/>
  <c r="BK91" i="5"/>
  <c r="BJ91" i="5"/>
  <c r="BK90" i="5"/>
  <c r="BJ90" i="5"/>
  <c r="BK89" i="5"/>
  <c r="BJ89" i="5"/>
  <c r="BK88" i="5"/>
  <c r="BJ88" i="5"/>
  <c r="BK87" i="5"/>
  <c r="BJ87" i="5"/>
  <c r="BK86" i="5"/>
  <c r="BJ86" i="5"/>
  <c r="BK85" i="5"/>
  <c r="BJ85" i="5"/>
  <c r="BK84" i="5"/>
  <c r="BJ84" i="5"/>
  <c r="BK83" i="5"/>
  <c r="BJ83" i="5"/>
  <c r="BK82" i="5"/>
  <c r="BJ82" i="5"/>
  <c r="BK81" i="5"/>
  <c r="BJ81" i="5"/>
  <c r="BK80" i="5"/>
  <c r="BJ80" i="5"/>
  <c r="BK79" i="5"/>
  <c r="BJ79" i="5"/>
  <c r="BK78" i="5"/>
  <c r="BJ78" i="5"/>
  <c r="BK77" i="5"/>
  <c r="BJ77" i="5"/>
  <c r="BK76" i="5"/>
  <c r="BJ76" i="5"/>
  <c r="BK75" i="5"/>
  <c r="BJ75" i="5"/>
  <c r="BK74" i="5"/>
  <c r="BJ74" i="5"/>
  <c r="BJ73" i="5"/>
  <c r="BJ72" i="5"/>
  <c r="BJ71" i="5"/>
  <c r="BJ70" i="5"/>
  <c r="BJ69" i="5"/>
  <c r="BJ68" i="5"/>
  <c r="BJ67" i="5"/>
  <c r="BJ66" i="5"/>
  <c r="BJ65" i="5"/>
  <c r="BJ64" i="5"/>
  <c r="BJ63" i="5"/>
  <c r="BJ62" i="5"/>
  <c r="BJ61" i="5"/>
  <c r="BJ60" i="5"/>
  <c r="BJ59" i="5"/>
  <c r="BJ58" i="5"/>
  <c r="BJ57" i="5"/>
  <c r="BJ56" i="5"/>
  <c r="BJ55" i="5"/>
  <c r="BJ54" i="5"/>
  <c r="BJ53" i="5"/>
  <c r="BJ52" i="5"/>
  <c r="BJ51" i="5"/>
  <c r="BJ50" i="5"/>
  <c r="BJ49" i="5"/>
  <c r="BJ48" i="5"/>
  <c r="BJ47" i="5"/>
  <c r="BJ46" i="5"/>
  <c r="BJ45" i="5"/>
  <c r="BJ44" i="5"/>
  <c r="BJ43" i="5"/>
  <c r="BJ42" i="5"/>
  <c r="BJ41" i="5"/>
  <c r="BJ40" i="5"/>
  <c r="BJ39" i="5"/>
  <c r="BJ38" i="5"/>
  <c r="BJ37" i="5"/>
  <c r="BJ36" i="5"/>
  <c r="BJ35" i="5"/>
  <c r="BJ34" i="5"/>
  <c r="BJ33" i="5"/>
  <c r="BJ32" i="5"/>
  <c r="BJ31" i="5"/>
  <c r="BJ30" i="5"/>
  <c r="BJ29" i="5"/>
  <c r="BJ28" i="5"/>
  <c r="BJ27" i="5"/>
  <c r="BJ26" i="5"/>
  <c r="BJ25" i="5"/>
  <c r="BJ24" i="5"/>
  <c r="BJ23" i="5"/>
  <c r="BJ22" i="5"/>
  <c r="BJ21" i="5"/>
  <c r="BJ20" i="5"/>
  <c r="BJ19" i="5"/>
  <c r="BJ18" i="5"/>
  <c r="BJ17" i="5"/>
  <c r="BJ16" i="5"/>
  <c r="BJ15" i="5"/>
  <c r="BF379" i="5"/>
  <c r="BF378" i="5"/>
  <c r="BF377" i="5"/>
  <c r="BF376" i="5"/>
  <c r="BF375" i="5"/>
  <c r="BF374" i="5"/>
  <c r="BF373" i="5"/>
  <c r="BF372" i="5"/>
  <c r="BF371" i="5"/>
  <c r="BF370" i="5"/>
  <c r="BF369" i="5"/>
  <c r="BF368" i="5"/>
  <c r="BF367" i="5"/>
  <c r="BF366" i="5"/>
  <c r="BF365" i="5"/>
  <c r="BF364" i="5"/>
  <c r="BF363" i="5"/>
  <c r="BF362" i="5"/>
  <c r="BF361" i="5"/>
  <c r="BF360" i="5"/>
  <c r="BF359" i="5"/>
  <c r="BF358" i="5"/>
  <c r="BF357" i="5"/>
  <c r="BF356" i="5"/>
  <c r="BF355" i="5"/>
  <c r="BF354" i="5"/>
  <c r="BF353" i="5"/>
  <c r="BF352" i="5"/>
  <c r="BF351" i="5"/>
  <c r="BF350" i="5"/>
  <c r="BF349" i="5"/>
  <c r="BF348" i="5"/>
  <c r="BF347" i="5"/>
  <c r="BF346" i="5"/>
  <c r="BF345" i="5"/>
  <c r="BF344" i="5"/>
  <c r="BF343" i="5"/>
  <c r="BF342" i="5"/>
  <c r="BF341" i="5"/>
  <c r="BF340" i="5"/>
  <c r="BF339" i="5"/>
  <c r="BF338" i="5"/>
  <c r="BF337" i="5"/>
  <c r="BF336" i="5"/>
  <c r="BF335" i="5"/>
  <c r="BF334" i="5"/>
  <c r="BF333" i="5"/>
  <c r="BF332" i="5"/>
  <c r="BF331" i="5"/>
  <c r="BF330" i="5"/>
  <c r="BF329" i="5"/>
  <c r="BF328" i="5"/>
  <c r="BF327" i="5"/>
  <c r="BF326" i="5"/>
  <c r="BF325" i="5"/>
  <c r="BF324" i="5"/>
  <c r="BF323" i="5"/>
  <c r="BF322" i="5"/>
  <c r="BF321" i="5"/>
  <c r="BF320" i="5"/>
  <c r="BF319" i="5"/>
  <c r="BF318" i="5"/>
  <c r="BF317" i="5"/>
  <c r="BF316" i="5"/>
  <c r="BF315" i="5"/>
  <c r="BF314" i="5"/>
  <c r="BF313" i="5"/>
  <c r="BF312" i="5"/>
  <c r="BF311" i="5"/>
  <c r="BF310" i="5"/>
  <c r="BF309" i="5"/>
  <c r="BF308" i="5"/>
  <c r="BF307" i="5"/>
  <c r="BF306" i="5"/>
  <c r="BF305" i="5"/>
  <c r="BF304" i="5"/>
  <c r="BF303" i="5"/>
  <c r="BF302" i="5"/>
  <c r="BF301" i="5"/>
  <c r="BF300" i="5"/>
  <c r="BF299" i="5"/>
  <c r="BF298" i="5"/>
  <c r="BF297" i="5"/>
  <c r="BF296" i="5"/>
  <c r="BF295" i="5"/>
  <c r="BF294" i="5"/>
  <c r="BF293" i="5"/>
  <c r="BF292" i="5"/>
  <c r="BF291" i="5"/>
  <c r="BF290" i="5"/>
  <c r="BF289" i="5"/>
  <c r="BF288" i="5"/>
  <c r="BF287" i="5"/>
  <c r="BF286" i="5"/>
  <c r="BF285" i="5"/>
  <c r="BF284" i="5"/>
  <c r="BF283" i="5"/>
  <c r="BF282" i="5"/>
  <c r="BF281" i="5"/>
  <c r="BF280" i="5"/>
  <c r="BF279" i="5"/>
  <c r="BF278" i="5"/>
  <c r="BF277" i="5"/>
  <c r="BF276" i="5"/>
  <c r="BF275" i="5"/>
  <c r="BF274" i="5"/>
  <c r="BF273" i="5"/>
  <c r="BF272" i="5"/>
  <c r="BF271" i="5"/>
  <c r="BF270" i="5"/>
  <c r="BF269" i="5"/>
  <c r="BF268" i="5"/>
  <c r="BF267" i="5"/>
  <c r="BF266" i="5"/>
  <c r="BF265" i="5"/>
  <c r="BF264" i="5"/>
  <c r="BF263" i="5"/>
  <c r="BF262" i="5"/>
  <c r="BF261" i="5"/>
  <c r="BF260" i="5"/>
  <c r="BF259" i="5"/>
  <c r="BF258" i="5"/>
  <c r="BF257" i="5"/>
  <c r="BF256" i="5"/>
  <c r="BF255" i="5"/>
  <c r="BF254" i="5"/>
  <c r="BF253" i="5"/>
  <c r="BF252" i="5"/>
  <c r="BF251" i="5"/>
  <c r="BF250" i="5"/>
  <c r="BF249" i="5"/>
  <c r="BF248" i="5"/>
  <c r="BF247" i="5"/>
  <c r="BF246" i="5"/>
  <c r="BF245" i="5"/>
  <c r="BF244" i="5"/>
  <c r="BF243" i="5"/>
  <c r="BF242" i="5"/>
  <c r="BF241" i="5"/>
  <c r="BF240" i="5"/>
  <c r="BF239" i="5"/>
  <c r="BF238" i="5"/>
  <c r="BF237" i="5"/>
  <c r="BF236" i="5"/>
  <c r="BF235" i="5"/>
  <c r="BF234" i="5"/>
  <c r="BF233" i="5"/>
  <c r="BF232" i="5"/>
  <c r="BF231" i="5"/>
  <c r="BF230" i="5"/>
  <c r="BF229" i="5"/>
  <c r="BF228" i="5"/>
  <c r="BF227" i="5"/>
  <c r="BF226" i="5"/>
  <c r="BF225" i="5"/>
  <c r="BF224" i="5"/>
  <c r="BF223" i="5"/>
  <c r="BF222" i="5"/>
  <c r="BF221" i="5"/>
  <c r="BF220" i="5"/>
  <c r="BF219" i="5"/>
  <c r="BF218" i="5"/>
  <c r="BF217" i="5"/>
  <c r="BF216" i="5"/>
  <c r="BF215" i="5"/>
  <c r="BF214" i="5"/>
  <c r="BF213" i="5"/>
  <c r="BF212" i="5"/>
  <c r="BF211" i="5"/>
  <c r="BF210" i="5"/>
  <c r="BF209" i="5"/>
  <c r="BF208" i="5"/>
  <c r="BF207" i="5"/>
  <c r="BF206" i="5"/>
  <c r="BF205" i="5"/>
  <c r="BF204" i="5"/>
  <c r="BF203" i="5"/>
  <c r="BF202" i="5"/>
  <c r="BG201" i="5"/>
  <c r="BF201" i="5"/>
  <c r="BG200" i="5"/>
  <c r="BF200" i="5"/>
  <c r="BG199" i="5"/>
  <c r="BF199" i="5"/>
  <c r="BG198" i="5"/>
  <c r="BF198" i="5"/>
  <c r="BG197" i="5"/>
  <c r="BF197" i="5"/>
  <c r="BG196" i="5"/>
  <c r="BF196" i="5"/>
  <c r="BG195" i="5"/>
  <c r="BF195" i="5"/>
  <c r="BG194" i="5"/>
  <c r="BF194" i="5"/>
  <c r="BG193" i="5"/>
  <c r="BF193" i="5"/>
  <c r="BG192" i="5"/>
  <c r="BF192" i="5"/>
  <c r="BG191" i="5"/>
  <c r="BF191" i="5"/>
  <c r="BG190" i="5"/>
  <c r="BF190" i="5"/>
  <c r="BG189" i="5"/>
  <c r="BF189" i="5"/>
  <c r="BG188" i="5"/>
  <c r="BF188" i="5"/>
  <c r="BG187" i="5"/>
  <c r="BF187" i="5"/>
  <c r="BG186" i="5"/>
  <c r="BF186" i="5"/>
  <c r="BG185" i="5"/>
  <c r="BF185" i="5"/>
  <c r="BG184" i="5"/>
  <c r="BF184" i="5"/>
  <c r="BG183" i="5"/>
  <c r="BF183" i="5"/>
  <c r="BG182" i="5"/>
  <c r="BF182" i="5"/>
  <c r="BG181" i="5"/>
  <c r="BF181" i="5"/>
  <c r="BG180" i="5"/>
  <c r="BF180" i="5"/>
  <c r="BG179" i="5"/>
  <c r="BF179" i="5"/>
  <c r="BG178" i="5"/>
  <c r="BF178" i="5"/>
  <c r="BG177" i="5"/>
  <c r="BF177" i="5"/>
  <c r="BG176" i="5"/>
  <c r="BF176" i="5"/>
  <c r="BG175" i="5"/>
  <c r="BF175" i="5"/>
  <c r="BG174" i="5"/>
  <c r="BF174" i="5"/>
  <c r="BG173" i="5"/>
  <c r="BF173" i="5"/>
  <c r="BG172" i="5"/>
  <c r="BF172" i="5"/>
  <c r="BG171" i="5"/>
  <c r="BF171" i="5"/>
  <c r="BG170" i="5"/>
  <c r="BF170" i="5"/>
  <c r="BG169" i="5"/>
  <c r="BF169" i="5"/>
  <c r="BG168" i="5"/>
  <c r="BF168" i="5"/>
  <c r="BG167" i="5"/>
  <c r="BF167" i="5"/>
  <c r="BG166" i="5"/>
  <c r="BF166" i="5"/>
  <c r="BG165" i="5"/>
  <c r="BF165" i="5"/>
  <c r="BG164" i="5"/>
  <c r="BF164" i="5"/>
  <c r="BG163" i="5"/>
  <c r="BF163" i="5"/>
  <c r="BG162" i="5"/>
  <c r="BF162" i="5"/>
  <c r="BG161" i="5"/>
  <c r="BF161" i="5"/>
  <c r="BG160" i="5"/>
  <c r="BF160" i="5"/>
  <c r="BG159" i="5"/>
  <c r="BF159" i="5"/>
  <c r="BG158" i="5"/>
  <c r="BF158" i="5"/>
  <c r="BG157" i="5"/>
  <c r="BF157" i="5"/>
  <c r="BG156" i="5"/>
  <c r="BF156" i="5"/>
  <c r="BG155" i="5"/>
  <c r="BF155" i="5"/>
  <c r="BG154" i="5"/>
  <c r="BF154" i="5"/>
  <c r="BG153" i="5"/>
  <c r="BF153" i="5"/>
  <c r="BG152" i="5"/>
  <c r="BF152" i="5"/>
  <c r="BG151" i="5"/>
  <c r="BF151" i="5"/>
  <c r="BG150" i="5"/>
  <c r="BF150" i="5"/>
  <c r="BG149" i="5"/>
  <c r="BF149" i="5"/>
  <c r="BG148" i="5"/>
  <c r="BF148" i="5"/>
  <c r="BG147" i="5"/>
  <c r="BF147" i="5"/>
  <c r="BG146" i="5"/>
  <c r="BF146" i="5"/>
  <c r="BG145" i="5"/>
  <c r="BF145" i="5"/>
  <c r="BG144" i="5"/>
  <c r="BF144" i="5"/>
  <c r="BG143" i="5"/>
  <c r="BF143" i="5"/>
  <c r="BG142" i="5"/>
  <c r="BF142" i="5"/>
  <c r="BG141" i="5"/>
  <c r="BF141" i="5"/>
  <c r="BG140" i="5"/>
  <c r="BF140" i="5"/>
  <c r="BG139" i="5"/>
  <c r="BF139" i="5"/>
  <c r="BG138" i="5"/>
  <c r="BF138" i="5"/>
  <c r="BG137" i="5"/>
  <c r="BF137" i="5"/>
  <c r="BG136" i="5"/>
  <c r="BF136" i="5"/>
  <c r="BG135" i="5"/>
  <c r="BF135" i="5"/>
  <c r="BG134" i="5"/>
  <c r="BF134" i="5"/>
  <c r="BG133" i="5"/>
  <c r="BF133" i="5"/>
  <c r="BG132" i="5"/>
  <c r="BF132" i="5"/>
  <c r="BG131" i="5"/>
  <c r="BF131" i="5"/>
  <c r="BG130" i="5"/>
  <c r="BF130" i="5"/>
  <c r="BG129" i="5"/>
  <c r="BF129" i="5"/>
  <c r="BG128" i="5"/>
  <c r="BF128" i="5"/>
  <c r="BG127" i="5"/>
  <c r="BF127" i="5"/>
  <c r="BG126" i="5"/>
  <c r="BF126" i="5"/>
  <c r="BG125" i="5"/>
  <c r="BF125" i="5"/>
  <c r="BG124" i="5"/>
  <c r="BF124" i="5"/>
  <c r="BG123" i="5"/>
  <c r="BF123" i="5"/>
  <c r="BG122" i="5"/>
  <c r="BF122" i="5"/>
  <c r="BG121" i="5"/>
  <c r="BF121" i="5"/>
  <c r="BG120" i="5"/>
  <c r="BF120" i="5"/>
  <c r="BG119" i="5"/>
  <c r="BF119" i="5"/>
  <c r="BG118" i="5"/>
  <c r="BF118" i="5"/>
  <c r="BG117" i="5"/>
  <c r="BF117" i="5"/>
  <c r="BG116" i="5"/>
  <c r="BF116" i="5"/>
  <c r="BG115" i="5"/>
  <c r="BF115" i="5"/>
  <c r="BG114" i="5"/>
  <c r="BF114" i="5"/>
  <c r="BG113" i="5"/>
  <c r="BF113" i="5"/>
  <c r="BG112" i="5"/>
  <c r="BF112" i="5"/>
  <c r="BG111" i="5"/>
  <c r="BF111" i="5"/>
  <c r="BG110" i="5"/>
  <c r="BF110" i="5"/>
  <c r="BG109" i="5"/>
  <c r="BF109" i="5"/>
  <c r="BG108" i="5"/>
  <c r="BF108" i="5"/>
  <c r="BG107" i="5"/>
  <c r="BF107" i="5"/>
  <c r="BG106" i="5"/>
  <c r="BF106" i="5"/>
  <c r="BG105" i="5"/>
  <c r="BF105" i="5"/>
  <c r="BG104" i="5"/>
  <c r="BF104" i="5"/>
  <c r="BG103" i="5"/>
  <c r="BF103" i="5"/>
  <c r="BG102" i="5"/>
  <c r="BF102" i="5"/>
  <c r="BG101" i="5"/>
  <c r="BF101" i="5"/>
  <c r="BG100" i="5"/>
  <c r="BF100" i="5"/>
  <c r="BG99" i="5"/>
  <c r="BF99" i="5"/>
  <c r="BG98" i="5"/>
  <c r="BF98" i="5"/>
  <c r="BG97" i="5"/>
  <c r="BF97" i="5"/>
  <c r="BG96" i="5"/>
  <c r="BF96" i="5"/>
  <c r="BG95" i="5"/>
  <c r="BF95" i="5"/>
  <c r="BG94" i="5"/>
  <c r="BF94" i="5"/>
  <c r="BG93" i="5"/>
  <c r="BF93" i="5"/>
  <c r="BG92" i="5"/>
  <c r="BF92" i="5"/>
  <c r="BG91" i="5"/>
  <c r="BF91" i="5"/>
  <c r="BG90" i="5"/>
  <c r="BF90" i="5"/>
  <c r="BG89" i="5"/>
  <c r="BF89" i="5"/>
  <c r="BG88" i="5"/>
  <c r="BF88" i="5"/>
  <c r="BG87" i="5"/>
  <c r="BF87" i="5"/>
  <c r="BG86" i="5"/>
  <c r="BF86" i="5"/>
  <c r="BG85" i="5"/>
  <c r="BF85" i="5"/>
  <c r="BG84" i="5"/>
  <c r="BF84" i="5"/>
  <c r="BG83" i="5"/>
  <c r="BF83" i="5"/>
  <c r="BG82" i="5"/>
  <c r="BF82" i="5"/>
  <c r="BG81" i="5"/>
  <c r="BF81" i="5"/>
  <c r="BG80" i="5"/>
  <c r="BF80" i="5"/>
  <c r="BG79" i="5"/>
  <c r="BF79" i="5"/>
  <c r="BG78" i="5"/>
  <c r="BF78" i="5"/>
  <c r="BG77" i="5"/>
  <c r="BF77" i="5"/>
  <c r="BG76" i="5"/>
  <c r="BF76" i="5"/>
  <c r="BG75" i="5"/>
  <c r="BF75" i="5"/>
  <c r="BG74" i="5"/>
  <c r="BF74" i="5"/>
  <c r="BF73" i="5"/>
  <c r="BF72" i="5"/>
  <c r="BF71" i="5"/>
  <c r="BF70" i="5"/>
  <c r="BF69" i="5"/>
  <c r="BF68" i="5"/>
  <c r="BF67" i="5"/>
  <c r="BF66" i="5"/>
  <c r="BF65" i="5"/>
  <c r="BF64" i="5"/>
  <c r="BF63" i="5"/>
  <c r="BF62" i="5"/>
  <c r="BF61" i="5"/>
  <c r="BF60" i="5"/>
  <c r="BF59" i="5"/>
  <c r="BF58" i="5"/>
  <c r="BF57" i="5"/>
  <c r="BF56" i="5"/>
  <c r="BF55" i="5"/>
  <c r="BF54" i="5"/>
  <c r="BF53" i="5"/>
  <c r="BF52" i="5"/>
  <c r="BF51" i="5"/>
  <c r="BF50" i="5"/>
  <c r="BF49" i="5"/>
  <c r="BF48" i="5"/>
  <c r="BF47" i="5"/>
  <c r="BF46" i="5"/>
  <c r="BF45" i="5"/>
  <c r="BF44" i="5"/>
  <c r="BF43" i="5"/>
  <c r="BF42" i="5"/>
  <c r="BF41" i="5"/>
  <c r="BF40" i="5"/>
  <c r="BF39" i="5"/>
  <c r="BF38" i="5"/>
  <c r="BF37" i="5"/>
  <c r="BF36" i="5"/>
  <c r="BF35" i="5"/>
  <c r="BF34" i="5"/>
  <c r="BF33" i="5"/>
  <c r="BF32" i="5"/>
  <c r="BF31" i="5"/>
  <c r="BF30" i="5"/>
  <c r="BF29" i="5"/>
  <c r="BF28" i="5"/>
  <c r="BF27" i="5"/>
  <c r="BF26" i="5"/>
  <c r="BF25" i="5"/>
  <c r="BF24" i="5"/>
  <c r="BF23" i="5"/>
  <c r="BF22" i="5"/>
  <c r="BF21" i="5"/>
  <c r="BF20" i="5"/>
  <c r="BF19" i="5"/>
  <c r="BF18" i="5"/>
  <c r="BF17" i="5"/>
  <c r="BF16" i="5"/>
  <c r="BF15" i="5"/>
  <c r="BB379" i="5"/>
  <c r="BB378" i="5"/>
  <c r="BB377" i="5"/>
  <c r="BB376" i="5"/>
  <c r="BB375" i="5"/>
  <c r="BB374" i="5"/>
  <c r="BB373" i="5"/>
  <c r="BB372" i="5"/>
  <c r="BB371" i="5"/>
  <c r="BB370" i="5"/>
  <c r="BB369" i="5"/>
  <c r="BB368" i="5"/>
  <c r="BB367" i="5"/>
  <c r="BB366" i="5"/>
  <c r="BB365" i="5"/>
  <c r="BB364" i="5"/>
  <c r="BB363" i="5"/>
  <c r="BB362" i="5"/>
  <c r="BB361" i="5"/>
  <c r="BB360" i="5"/>
  <c r="BB359" i="5"/>
  <c r="BB358" i="5"/>
  <c r="BB357" i="5"/>
  <c r="BB356" i="5"/>
  <c r="BB355" i="5"/>
  <c r="BB354" i="5"/>
  <c r="BB353" i="5"/>
  <c r="BB352" i="5"/>
  <c r="BB351" i="5"/>
  <c r="BB350" i="5"/>
  <c r="BB349" i="5"/>
  <c r="BB348" i="5"/>
  <c r="BB347" i="5"/>
  <c r="BB346" i="5"/>
  <c r="BB345" i="5"/>
  <c r="BB344" i="5"/>
  <c r="BB343" i="5"/>
  <c r="BB342" i="5"/>
  <c r="BB341" i="5"/>
  <c r="BB340" i="5"/>
  <c r="BB339" i="5"/>
  <c r="BB338" i="5"/>
  <c r="BB337" i="5"/>
  <c r="BB336" i="5"/>
  <c r="BB335" i="5"/>
  <c r="BB334" i="5"/>
  <c r="BB333" i="5"/>
  <c r="BB332" i="5"/>
  <c r="BB331" i="5"/>
  <c r="BB330" i="5"/>
  <c r="BB329" i="5"/>
  <c r="BB328" i="5"/>
  <c r="BB327" i="5"/>
  <c r="BB326" i="5"/>
  <c r="BB325" i="5"/>
  <c r="BB324" i="5"/>
  <c r="BB323" i="5"/>
  <c r="BB322" i="5"/>
  <c r="BB321" i="5"/>
  <c r="BB320" i="5"/>
  <c r="BB319" i="5"/>
  <c r="BB318" i="5"/>
  <c r="BB317" i="5"/>
  <c r="BB316" i="5"/>
  <c r="BB315" i="5"/>
  <c r="BB314" i="5"/>
  <c r="BB313" i="5"/>
  <c r="BB312" i="5"/>
  <c r="BB311" i="5"/>
  <c r="BB310" i="5"/>
  <c r="BB309" i="5"/>
  <c r="BB308" i="5"/>
  <c r="BB307" i="5"/>
  <c r="BB306" i="5"/>
  <c r="BB305" i="5"/>
  <c r="BB304" i="5"/>
  <c r="BB303" i="5"/>
  <c r="BB302" i="5"/>
  <c r="BB301" i="5"/>
  <c r="BB300" i="5"/>
  <c r="BB299" i="5"/>
  <c r="BB298" i="5"/>
  <c r="BB297" i="5"/>
  <c r="BB296" i="5"/>
  <c r="BB295" i="5"/>
  <c r="BB294" i="5"/>
  <c r="BB293" i="5"/>
  <c r="BB292" i="5"/>
  <c r="BB291" i="5"/>
  <c r="BB290" i="5"/>
  <c r="BB289" i="5"/>
  <c r="BB288" i="5"/>
  <c r="BB287" i="5"/>
  <c r="BB286" i="5"/>
  <c r="BB285" i="5"/>
  <c r="BB284" i="5"/>
  <c r="BB283" i="5"/>
  <c r="BB282" i="5"/>
  <c r="BB281" i="5"/>
  <c r="BB280" i="5"/>
  <c r="BB279" i="5"/>
  <c r="BB278" i="5"/>
  <c r="BB277" i="5"/>
  <c r="BB276" i="5"/>
  <c r="BB275" i="5"/>
  <c r="BB274" i="5"/>
  <c r="BB273" i="5"/>
  <c r="BB272" i="5"/>
  <c r="BB271" i="5"/>
  <c r="BB270" i="5"/>
  <c r="BB269" i="5"/>
  <c r="BB268" i="5"/>
  <c r="BB267" i="5"/>
  <c r="BB266" i="5"/>
  <c r="BB265" i="5"/>
  <c r="BB264" i="5"/>
  <c r="BB263" i="5"/>
  <c r="BB262" i="5"/>
  <c r="BB261" i="5"/>
  <c r="BB260" i="5"/>
  <c r="BB259" i="5"/>
  <c r="BB258" i="5"/>
  <c r="BB257" i="5"/>
  <c r="BB256" i="5"/>
  <c r="BB255" i="5"/>
  <c r="BB254" i="5"/>
  <c r="BB253" i="5"/>
  <c r="BB252" i="5"/>
  <c r="BB251" i="5"/>
  <c r="BB250" i="5"/>
  <c r="BB249" i="5"/>
  <c r="BB248" i="5"/>
  <c r="BB247" i="5"/>
  <c r="BB246" i="5"/>
  <c r="BB245" i="5"/>
  <c r="BB244" i="5"/>
  <c r="BB243" i="5"/>
  <c r="BB242" i="5"/>
  <c r="BB241" i="5"/>
  <c r="BB240" i="5"/>
  <c r="BB239" i="5"/>
  <c r="BB238" i="5"/>
  <c r="BB237" i="5"/>
  <c r="BB236" i="5"/>
  <c r="BB235" i="5"/>
  <c r="BB234" i="5"/>
  <c r="BB233" i="5"/>
  <c r="BB232" i="5"/>
  <c r="BB231" i="5"/>
  <c r="BB230" i="5"/>
  <c r="BB229" i="5"/>
  <c r="BB228" i="5"/>
  <c r="BB227" i="5"/>
  <c r="BB226" i="5"/>
  <c r="BB225" i="5"/>
  <c r="BB224" i="5"/>
  <c r="BB223" i="5"/>
  <c r="BB222" i="5"/>
  <c r="BB221" i="5"/>
  <c r="BB220" i="5"/>
  <c r="BB219" i="5"/>
  <c r="BB218" i="5"/>
  <c r="BB217" i="5"/>
  <c r="BB216" i="5"/>
  <c r="BB215" i="5"/>
  <c r="BB214" i="5"/>
  <c r="BB213" i="5"/>
  <c r="BB212" i="5"/>
  <c r="BB211" i="5"/>
  <c r="BB210" i="5"/>
  <c r="BB209" i="5"/>
  <c r="BB208" i="5"/>
  <c r="BB207" i="5"/>
  <c r="BB206" i="5"/>
  <c r="BB205" i="5"/>
  <c r="BB204" i="5"/>
  <c r="BB203" i="5"/>
  <c r="BB202" i="5"/>
  <c r="BC201" i="5"/>
  <c r="BB201" i="5"/>
  <c r="BC200" i="5"/>
  <c r="BB200" i="5"/>
  <c r="BC199" i="5"/>
  <c r="BB199" i="5"/>
  <c r="BC198" i="5"/>
  <c r="BB198" i="5"/>
  <c r="BC197" i="5"/>
  <c r="BB197" i="5"/>
  <c r="BC196" i="5"/>
  <c r="BB196" i="5"/>
  <c r="BC195" i="5"/>
  <c r="BB195" i="5"/>
  <c r="BC194" i="5"/>
  <c r="BB194" i="5"/>
  <c r="BC193" i="5"/>
  <c r="BB193" i="5"/>
  <c r="BC192" i="5"/>
  <c r="BB192" i="5"/>
  <c r="BC191" i="5"/>
  <c r="BB191" i="5"/>
  <c r="BC190" i="5"/>
  <c r="BB190" i="5"/>
  <c r="BC189" i="5"/>
  <c r="BB189" i="5"/>
  <c r="BC188" i="5"/>
  <c r="BB188" i="5"/>
  <c r="BC187" i="5"/>
  <c r="BB187" i="5"/>
  <c r="BC186" i="5"/>
  <c r="BB186" i="5"/>
  <c r="BC185" i="5"/>
  <c r="BB185" i="5"/>
  <c r="BC184" i="5"/>
  <c r="BB184" i="5"/>
  <c r="BC183" i="5"/>
  <c r="BB183" i="5"/>
  <c r="BC182" i="5"/>
  <c r="BB182" i="5"/>
  <c r="BC181" i="5"/>
  <c r="BB181" i="5"/>
  <c r="BC180" i="5"/>
  <c r="BB180" i="5"/>
  <c r="BC179" i="5"/>
  <c r="BB179" i="5"/>
  <c r="BC178" i="5"/>
  <c r="BB178" i="5"/>
  <c r="BC177" i="5"/>
  <c r="BB177" i="5"/>
  <c r="BC176" i="5"/>
  <c r="BB176" i="5"/>
  <c r="BC175" i="5"/>
  <c r="BB175" i="5"/>
  <c r="BC174" i="5"/>
  <c r="BB174" i="5"/>
  <c r="BC173" i="5"/>
  <c r="BB173" i="5"/>
  <c r="BC172" i="5"/>
  <c r="BB172" i="5"/>
  <c r="BC171" i="5"/>
  <c r="BB171" i="5"/>
  <c r="BC170" i="5"/>
  <c r="BB170" i="5"/>
  <c r="BC169" i="5"/>
  <c r="BB169" i="5"/>
  <c r="BC168" i="5"/>
  <c r="BB168" i="5"/>
  <c r="BC167" i="5"/>
  <c r="BB167" i="5"/>
  <c r="BC166" i="5"/>
  <c r="BB166" i="5"/>
  <c r="BC165" i="5"/>
  <c r="BB165" i="5"/>
  <c r="BC164" i="5"/>
  <c r="BB164" i="5"/>
  <c r="BC163" i="5"/>
  <c r="BB163" i="5"/>
  <c r="BC162" i="5"/>
  <c r="BB162" i="5"/>
  <c r="BC161" i="5"/>
  <c r="BB161" i="5"/>
  <c r="BC160" i="5"/>
  <c r="BB160" i="5"/>
  <c r="BC159" i="5"/>
  <c r="BB159" i="5"/>
  <c r="BC158" i="5"/>
  <c r="BB158" i="5"/>
  <c r="BC157" i="5"/>
  <c r="BB157" i="5"/>
  <c r="BC156" i="5"/>
  <c r="BB156" i="5"/>
  <c r="BC155" i="5"/>
  <c r="BB155" i="5"/>
  <c r="BC154" i="5"/>
  <c r="BB154" i="5"/>
  <c r="BC153" i="5"/>
  <c r="BB153" i="5"/>
  <c r="BC152" i="5"/>
  <c r="BB152" i="5"/>
  <c r="BC151" i="5"/>
  <c r="BB151" i="5"/>
  <c r="BC150" i="5"/>
  <c r="BB150" i="5"/>
  <c r="BC149" i="5"/>
  <c r="BB149" i="5"/>
  <c r="BC148" i="5"/>
  <c r="BB148" i="5"/>
  <c r="BC147" i="5"/>
  <c r="BB147" i="5"/>
  <c r="BC146" i="5"/>
  <c r="BB146" i="5"/>
  <c r="BC145" i="5"/>
  <c r="BB145" i="5"/>
  <c r="BC144" i="5"/>
  <c r="BB144" i="5"/>
  <c r="BC143" i="5"/>
  <c r="BB143" i="5"/>
  <c r="BC142" i="5"/>
  <c r="BB142" i="5"/>
  <c r="BC141" i="5"/>
  <c r="BB141" i="5"/>
  <c r="BC140" i="5"/>
  <c r="BB140" i="5"/>
  <c r="BC139" i="5"/>
  <c r="BB139" i="5"/>
  <c r="BC138" i="5"/>
  <c r="BB138" i="5"/>
  <c r="BC137" i="5"/>
  <c r="BB137" i="5"/>
  <c r="BC136" i="5"/>
  <c r="BB136" i="5"/>
  <c r="BC135" i="5"/>
  <c r="BB135" i="5"/>
  <c r="BC134" i="5"/>
  <c r="BB134" i="5"/>
  <c r="BC133" i="5"/>
  <c r="BB133" i="5"/>
  <c r="BC132" i="5"/>
  <c r="BB132" i="5"/>
  <c r="BC131" i="5"/>
  <c r="BB131" i="5"/>
  <c r="BC130" i="5"/>
  <c r="BB130" i="5"/>
  <c r="BC129" i="5"/>
  <c r="BB129" i="5"/>
  <c r="BC128" i="5"/>
  <c r="BB128" i="5"/>
  <c r="BC127" i="5"/>
  <c r="BB127" i="5"/>
  <c r="BC126" i="5"/>
  <c r="BB126" i="5"/>
  <c r="BC125" i="5"/>
  <c r="BB125" i="5"/>
  <c r="BC124" i="5"/>
  <c r="BB124" i="5"/>
  <c r="BC123" i="5"/>
  <c r="BB123" i="5"/>
  <c r="BC122" i="5"/>
  <c r="BB122" i="5"/>
  <c r="BC121" i="5"/>
  <c r="BB121" i="5"/>
  <c r="BC120" i="5"/>
  <c r="BB120" i="5"/>
  <c r="BC119" i="5"/>
  <c r="BB119" i="5"/>
  <c r="BC118" i="5"/>
  <c r="BB118" i="5"/>
  <c r="BC117" i="5"/>
  <c r="BB117" i="5"/>
  <c r="BC116" i="5"/>
  <c r="BB116" i="5"/>
  <c r="BC115" i="5"/>
  <c r="BB115" i="5"/>
  <c r="BC114" i="5"/>
  <c r="BB114" i="5"/>
  <c r="BC113" i="5"/>
  <c r="BB113" i="5"/>
  <c r="BC112" i="5"/>
  <c r="BB112" i="5"/>
  <c r="BC111" i="5"/>
  <c r="BB111" i="5"/>
  <c r="BC110" i="5"/>
  <c r="BB110" i="5"/>
  <c r="BC109" i="5"/>
  <c r="BB109" i="5"/>
  <c r="BC108" i="5"/>
  <c r="BB108" i="5"/>
  <c r="BC107" i="5"/>
  <c r="BB107" i="5"/>
  <c r="BC106" i="5"/>
  <c r="BB106" i="5"/>
  <c r="BC105" i="5"/>
  <c r="BB105" i="5"/>
  <c r="BC104" i="5"/>
  <c r="BB104" i="5"/>
  <c r="BC103" i="5"/>
  <c r="BB103" i="5"/>
  <c r="BC102" i="5"/>
  <c r="BB102" i="5"/>
  <c r="BC101" i="5"/>
  <c r="BB101" i="5"/>
  <c r="BC100" i="5"/>
  <c r="BB100" i="5"/>
  <c r="BC99" i="5"/>
  <c r="BB99" i="5"/>
  <c r="BC98" i="5"/>
  <c r="BB98" i="5"/>
  <c r="BC97" i="5"/>
  <c r="BB97" i="5"/>
  <c r="BC96" i="5"/>
  <c r="BB96" i="5"/>
  <c r="BC95" i="5"/>
  <c r="BB95" i="5"/>
  <c r="BC94" i="5"/>
  <c r="BB94" i="5"/>
  <c r="BC93" i="5"/>
  <c r="BB93" i="5"/>
  <c r="BC92" i="5"/>
  <c r="BB92" i="5"/>
  <c r="BC91" i="5"/>
  <c r="BB91" i="5"/>
  <c r="BC90" i="5"/>
  <c r="BB90" i="5"/>
  <c r="BC89" i="5"/>
  <c r="BB89" i="5"/>
  <c r="BC88" i="5"/>
  <c r="BB88" i="5"/>
  <c r="BC87" i="5"/>
  <c r="BB87" i="5"/>
  <c r="BC86" i="5"/>
  <c r="BB86" i="5"/>
  <c r="BC85" i="5"/>
  <c r="BB85" i="5"/>
  <c r="BC84" i="5"/>
  <c r="BB84" i="5"/>
  <c r="BC83" i="5"/>
  <c r="BB83" i="5"/>
  <c r="BC82" i="5"/>
  <c r="BB82" i="5"/>
  <c r="BC81" i="5"/>
  <c r="BB81" i="5"/>
  <c r="BC80" i="5"/>
  <c r="BB80" i="5"/>
  <c r="BC79" i="5"/>
  <c r="BB79" i="5"/>
  <c r="BC78" i="5"/>
  <c r="BB78" i="5"/>
  <c r="BC77" i="5"/>
  <c r="BB77" i="5"/>
  <c r="BC76" i="5"/>
  <c r="BB76" i="5"/>
  <c r="BC75" i="5"/>
  <c r="BB75" i="5"/>
  <c r="BC74" i="5"/>
  <c r="BB74" i="5"/>
  <c r="BB73" i="5"/>
  <c r="BB72" i="5"/>
  <c r="BB71" i="5"/>
  <c r="BB70" i="5"/>
  <c r="BB69" i="5"/>
  <c r="BB68" i="5"/>
  <c r="BB67" i="5"/>
  <c r="BB66" i="5"/>
  <c r="BB65" i="5"/>
  <c r="BB64" i="5"/>
  <c r="BB63" i="5"/>
  <c r="BB62" i="5"/>
  <c r="BB61" i="5"/>
  <c r="BB60" i="5"/>
  <c r="BB59" i="5"/>
  <c r="BB58" i="5"/>
  <c r="BB57" i="5"/>
  <c r="BB56" i="5"/>
  <c r="BB55" i="5"/>
  <c r="BB54" i="5"/>
  <c r="BB53" i="5"/>
  <c r="BB52" i="5"/>
  <c r="BB51" i="5"/>
  <c r="BB50" i="5"/>
  <c r="BB49" i="5"/>
  <c r="BB48" i="5"/>
  <c r="BB47" i="5"/>
  <c r="BB46" i="5"/>
  <c r="BB45" i="5"/>
  <c r="BB44" i="5"/>
  <c r="BB43" i="5"/>
  <c r="BB42" i="5"/>
  <c r="BB41" i="5"/>
  <c r="BB40" i="5"/>
  <c r="BB39" i="5"/>
  <c r="BB38" i="5"/>
  <c r="BB37" i="5"/>
  <c r="BB36" i="5"/>
  <c r="BB35" i="5"/>
  <c r="BB34" i="5"/>
  <c r="BB33" i="5"/>
  <c r="BB32" i="5"/>
  <c r="BB31" i="5"/>
  <c r="BB30" i="5"/>
  <c r="BB29" i="5"/>
  <c r="BB28" i="5"/>
  <c r="BB27" i="5"/>
  <c r="BB26" i="5"/>
  <c r="BB25" i="5"/>
  <c r="BB24" i="5"/>
  <c r="BB23" i="5"/>
  <c r="BB22" i="5"/>
  <c r="BB21" i="5"/>
  <c r="BB20" i="5"/>
  <c r="BB19" i="5"/>
  <c r="BB18" i="5"/>
  <c r="BB17" i="5"/>
  <c r="BB16" i="5"/>
  <c r="BB15" i="5"/>
  <c r="AX379" i="5"/>
  <c r="AX378" i="5"/>
  <c r="AX377" i="5"/>
  <c r="AX376" i="5"/>
  <c r="AX375" i="5"/>
  <c r="AX374" i="5"/>
  <c r="AX373" i="5"/>
  <c r="AX372" i="5"/>
  <c r="AX371" i="5"/>
  <c r="AX370" i="5"/>
  <c r="AX369" i="5"/>
  <c r="AX368" i="5"/>
  <c r="AX367" i="5"/>
  <c r="AX366" i="5"/>
  <c r="AX365" i="5"/>
  <c r="AX364" i="5"/>
  <c r="AX363" i="5"/>
  <c r="AX362" i="5"/>
  <c r="AX361" i="5"/>
  <c r="AX360" i="5"/>
  <c r="AX359" i="5"/>
  <c r="AX358" i="5"/>
  <c r="AX357" i="5"/>
  <c r="AX356" i="5"/>
  <c r="AX355" i="5"/>
  <c r="AX354" i="5"/>
  <c r="AX353" i="5"/>
  <c r="AX352" i="5"/>
  <c r="AX351" i="5"/>
  <c r="AX350" i="5"/>
  <c r="AX349" i="5"/>
  <c r="AX348" i="5"/>
  <c r="AX347" i="5"/>
  <c r="AX346" i="5"/>
  <c r="AX345" i="5"/>
  <c r="AX344" i="5"/>
  <c r="AX343" i="5"/>
  <c r="AX342" i="5"/>
  <c r="AX341" i="5"/>
  <c r="AX340" i="5"/>
  <c r="AX339" i="5"/>
  <c r="AX338" i="5"/>
  <c r="AX337" i="5"/>
  <c r="AX336" i="5"/>
  <c r="AX335" i="5"/>
  <c r="AX334" i="5"/>
  <c r="AX333" i="5"/>
  <c r="AX332" i="5"/>
  <c r="AX331" i="5"/>
  <c r="AX330" i="5"/>
  <c r="AX329" i="5"/>
  <c r="AX328" i="5"/>
  <c r="AX327" i="5"/>
  <c r="AX326" i="5"/>
  <c r="AX325" i="5"/>
  <c r="AX324" i="5"/>
  <c r="AX323" i="5"/>
  <c r="AX322" i="5"/>
  <c r="AX321" i="5"/>
  <c r="AX320" i="5"/>
  <c r="AX319" i="5"/>
  <c r="AX318" i="5"/>
  <c r="AX317" i="5"/>
  <c r="AX316" i="5"/>
  <c r="AX315" i="5"/>
  <c r="AX314" i="5"/>
  <c r="AX313" i="5"/>
  <c r="AX312" i="5"/>
  <c r="AX311" i="5"/>
  <c r="AX310" i="5"/>
  <c r="AX309" i="5"/>
  <c r="AX308" i="5"/>
  <c r="AX307" i="5"/>
  <c r="AX306" i="5"/>
  <c r="AX305" i="5"/>
  <c r="AX304" i="5"/>
  <c r="AX303" i="5"/>
  <c r="AX302" i="5"/>
  <c r="AX301" i="5"/>
  <c r="AX300" i="5"/>
  <c r="AX299" i="5"/>
  <c r="AX298" i="5"/>
  <c r="AX297" i="5"/>
  <c r="AX296" i="5"/>
  <c r="AX295" i="5"/>
  <c r="AX294" i="5"/>
  <c r="AX293" i="5"/>
  <c r="AX292" i="5"/>
  <c r="AX291" i="5"/>
  <c r="AX290" i="5"/>
  <c r="AX289" i="5"/>
  <c r="AX288" i="5"/>
  <c r="AX287" i="5"/>
  <c r="AX286" i="5"/>
  <c r="AX285" i="5"/>
  <c r="AX284" i="5"/>
  <c r="AX283" i="5"/>
  <c r="AX282" i="5"/>
  <c r="AX281" i="5"/>
  <c r="AX280" i="5"/>
  <c r="AX279" i="5"/>
  <c r="AX278" i="5"/>
  <c r="AX277" i="5"/>
  <c r="AX276" i="5"/>
  <c r="AX275" i="5"/>
  <c r="AX274" i="5"/>
  <c r="AX273" i="5"/>
  <c r="AX272" i="5"/>
  <c r="AX271" i="5"/>
  <c r="AX270" i="5"/>
  <c r="AX269" i="5"/>
  <c r="AX268" i="5"/>
  <c r="AX267" i="5"/>
  <c r="AX266" i="5"/>
  <c r="AX265" i="5"/>
  <c r="AX264" i="5"/>
  <c r="AX263" i="5"/>
  <c r="AX262" i="5"/>
  <c r="AX261" i="5"/>
  <c r="AX260" i="5"/>
  <c r="AX259" i="5"/>
  <c r="AX258" i="5"/>
  <c r="AX257" i="5"/>
  <c r="AX256" i="5"/>
  <c r="AX255" i="5"/>
  <c r="AX254" i="5"/>
  <c r="AX253" i="5"/>
  <c r="AX252" i="5"/>
  <c r="AX251" i="5"/>
  <c r="AX250" i="5"/>
  <c r="AX249" i="5"/>
  <c r="AX248" i="5"/>
  <c r="AX247" i="5"/>
  <c r="AX246" i="5"/>
  <c r="AX245" i="5"/>
  <c r="AX244" i="5"/>
  <c r="AX243" i="5"/>
  <c r="AX242" i="5"/>
  <c r="AX241" i="5"/>
  <c r="AX240" i="5"/>
  <c r="AX239" i="5"/>
  <c r="AX238" i="5"/>
  <c r="AX237" i="5"/>
  <c r="AX236" i="5"/>
  <c r="AX235" i="5"/>
  <c r="AX234" i="5"/>
  <c r="AX233" i="5"/>
  <c r="AX232" i="5"/>
  <c r="AX231" i="5"/>
  <c r="AX230" i="5"/>
  <c r="AX229" i="5"/>
  <c r="AX228" i="5"/>
  <c r="AX227" i="5"/>
  <c r="AX226" i="5"/>
  <c r="AX225" i="5"/>
  <c r="AX224" i="5"/>
  <c r="AX223" i="5"/>
  <c r="AX222" i="5"/>
  <c r="AX221" i="5"/>
  <c r="AX220" i="5"/>
  <c r="AX219" i="5"/>
  <c r="AX218" i="5"/>
  <c r="AX217" i="5"/>
  <c r="AX216" i="5"/>
  <c r="AX215" i="5"/>
  <c r="AX214" i="5"/>
  <c r="AX213" i="5"/>
  <c r="AX212" i="5"/>
  <c r="AX211" i="5"/>
  <c r="AX210" i="5"/>
  <c r="AX209" i="5"/>
  <c r="AX208" i="5"/>
  <c r="AX207" i="5"/>
  <c r="AX206" i="5"/>
  <c r="AX205" i="5"/>
  <c r="AX204" i="5"/>
  <c r="AX203" i="5"/>
  <c r="AX202" i="5"/>
  <c r="AY201" i="5"/>
  <c r="AX201" i="5"/>
  <c r="AY200" i="5"/>
  <c r="AX200" i="5"/>
  <c r="AY199" i="5"/>
  <c r="AX199" i="5"/>
  <c r="AY198" i="5"/>
  <c r="AX198" i="5"/>
  <c r="AY197" i="5"/>
  <c r="AX197" i="5"/>
  <c r="AY196" i="5"/>
  <c r="AX196" i="5"/>
  <c r="AY195" i="5"/>
  <c r="AX195" i="5"/>
  <c r="AY194" i="5"/>
  <c r="AX194" i="5"/>
  <c r="AY193" i="5"/>
  <c r="AX193" i="5"/>
  <c r="AY192" i="5"/>
  <c r="AX192" i="5"/>
  <c r="AY191" i="5"/>
  <c r="AX191" i="5"/>
  <c r="AY190" i="5"/>
  <c r="AX190" i="5"/>
  <c r="AY189" i="5"/>
  <c r="AX189" i="5"/>
  <c r="AY188" i="5"/>
  <c r="AX188" i="5"/>
  <c r="AY187" i="5"/>
  <c r="AX187" i="5"/>
  <c r="AY186" i="5"/>
  <c r="AX186" i="5"/>
  <c r="AY185" i="5"/>
  <c r="AX185" i="5"/>
  <c r="AY184" i="5"/>
  <c r="AX184" i="5"/>
  <c r="AY183" i="5"/>
  <c r="AX183" i="5"/>
  <c r="AY182" i="5"/>
  <c r="AX182" i="5"/>
  <c r="AY181" i="5"/>
  <c r="AX181" i="5"/>
  <c r="AY180" i="5"/>
  <c r="AX180" i="5"/>
  <c r="AY179" i="5"/>
  <c r="AX179" i="5"/>
  <c r="AY178" i="5"/>
  <c r="AX178" i="5"/>
  <c r="AY177" i="5"/>
  <c r="AX177" i="5"/>
  <c r="AY176" i="5"/>
  <c r="AX176" i="5"/>
  <c r="AY175" i="5"/>
  <c r="AX175" i="5"/>
  <c r="AY174" i="5"/>
  <c r="AX174" i="5"/>
  <c r="AY173" i="5"/>
  <c r="AX173" i="5"/>
  <c r="AY172" i="5"/>
  <c r="AX172" i="5"/>
  <c r="AY171" i="5"/>
  <c r="AX171" i="5"/>
  <c r="AY170" i="5"/>
  <c r="AX170" i="5"/>
  <c r="AY169" i="5"/>
  <c r="AX169" i="5"/>
  <c r="AY168" i="5"/>
  <c r="AX168" i="5"/>
  <c r="AY167" i="5"/>
  <c r="AX167" i="5"/>
  <c r="AY166" i="5"/>
  <c r="AX166" i="5"/>
  <c r="AY165" i="5"/>
  <c r="AX165" i="5"/>
  <c r="AY164" i="5"/>
  <c r="AX164" i="5"/>
  <c r="AY163" i="5"/>
  <c r="AX163" i="5"/>
  <c r="AY162" i="5"/>
  <c r="AX162" i="5"/>
  <c r="AY161" i="5"/>
  <c r="AX161" i="5"/>
  <c r="AY160" i="5"/>
  <c r="AX160" i="5"/>
  <c r="AY159" i="5"/>
  <c r="AX159" i="5"/>
  <c r="AY158" i="5"/>
  <c r="AX158" i="5"/>
  <c r="AY157" i="5"/>
  <c r="AX157" i="5"/>
  <c r="AY156" i="5"/>
  <c r="AX156" i="5"/>
  <c r="AY155" i="5"/>
  <c r="AX155" i="5"/>
  <c r="AY154" i="5"/>
  <c r="AX154" i="5"/>
  <c r="AY153" i="5"/>
  <c r="AX153" i="5"/>
  <c r="AY152" i="5"/>
  <c r="AX152" i="5"/>
  <c r="AY151" i="5"/>
  <c r="AX151" i="5"/>
  <c r="AY150" i="5"/>
  <c r="AX150" i="5"/>
  <c r="AY149" i="5"/>
  <c r="AX149" i="5"/>
  <c r="AY148" i="5"/>
  <c r="AX148" i="5"/>
  <c r="AY147" i="5"/>
  <c r="AX147" i="5"/>
  <c r="AY146" i="5"/>
  <c r="AX146" i="5"/>
  <c r="AY145" i="5"/>
  <c r="AX145" i="5"/>
  <c r="AY144" i="5"/>
  <c r="AX144" i="5"/>
  <c r="AY143" i="5"/>
  <c r="AX143" i="5"/>
  <c r="AY142" i="5"/>
  <c r="AX142" i="5"/>
  <c r="AY141" i="5"/>
  <c r="AX141" i="5"/>
  <c r="AY140" i="5"/>
  <c r="AX140" i="5"/>
  <c r="AY139" i="5"/>
  <c r="AX139" i="5"/>
  <c r="AY138" i="5"/>
  <c r="AX138" i="5"/>
  <c r="AY137" i="5"/>
  <c r="AX137" i="5"/>
  <c r="AY136" i="5"/>
  <c r="AX136" i="5"/>
  <c r="AY135" i="5"/>
  <c r="AX135" i="5"/>
  <c r="AY134" i="5"/>
  <c r="AX134" i="5"/>
  <c r="AY133" i="5"/>
  <c r="AX133" i="5"/>
  <c r="AY132" i="5"/>
  <c r="AX132" i="5"/>
  <c r="AY131" i="5"/>
  <c r="AX131" i="5"/>
  <c r="AY130" i="5"/>
  <c r="AX130" i="5"/>
  <c r="AY129" i="5"/>
  <c r="AX129" i="5"/>
  <c r="AY128" i="5"/>
  <c r="AX128" i="5"/>
  <c r="AY127" i="5"/>
  <c r="AX127" i="5"/>
  <c r="AY126" i="5"/>
  <c r="AX126" i="5"/>
  <c r="AY125" i="5"/>
  <c r="AX125" i="5"/>
  <c r="AY124" i="5"/>
  <c r="AX124" i="5"/>
  <c r="AY123" i="5"/>
  <c r="AX123" i="5"/>
  <c r="AY122" i="5"/>
  <c r="AX122" i="5"/>
  <c r="AY121" i="5"/>
  <c r="AX121" i="5"/>
  <c r="AY120" i="5"/>
  <c r="AX120" i="5"/>
  <c r="AY119" i="5"/>
  <c r="AX119" i="5"/>
  <c r="AY118" i="5"/>
  <c r="AX118" i="5"/>
  <c r="AY117" i="5"/>
  <c r="AX117" i="5"/>
  <c r="AY116" i="5"/>
  <c r="AX116" i="5"/>
  <c r="AY115" i="5"/>
  <c r="AX115" i="5"/>
  <c r="AY114" i="5"/>
  <c r="AX114" i="5"/>
  <c r="AY113" i="5"/>
  <c r="AX113" i="5"/>
  <c r="AY112" i="5"/>
  <c r="AX112" i="5"/>
  <c r="AY111" i="5"/>
  <c r="AX111" i="5"/>
  <c r="AY110" i="5"/>
  <c r="AX110" i="5"/>
  <c r="AY109" i="5"/>
  <c r="AX109" i="5"/>
  <c r="AY108" i="5"/>
  <c r="AX108" i="5"/>
  <c r="AY107" i="5"/>
  <c r="AX107" i="5"/>
  <c r="AY106" i="5"/>
  <c r="AX106" i="5"/>
  <c r="AY105" i="5"/>
  <c r="AX105" i="5"/>
  <c r="AY104" i="5"/>
  <c r="AX104" i="5"/>
  <c r="AY103" i="5"/>
  <c r="AX103" i="5"/>
  <c r="AY102" i="5"/>
  <c r="AX102" i="5"/>
  <c r="AY101" i="5"/>
  <c r="AX101" i="5"/>
  <c r="AY100" i="5"/>
  <c r="AX100" i="5"/>
  <c r="AY99" i="5"/>
  <c r="AX99" i="5"/>
  <c r="AY98" i="5"/>
  <c r="AX98" i="5"/>
  <c r="AY97" i="5"/>
  <c r="AX97" i="5"/>
  <c r="AY96" i="5"/>
  <c r="AX96" i="5"/>
  <c r="AY95" i="5"/>
  <c r="AX95" i="5"/>
  <c r="AY94" i="5"/>
  <c r="AX94" i="5"/>
  <c r="AY93" i="5"/>
  <c r="AX93" i="5"/>
  <c r="AY92" i="5"/>
  <c r="AX92" i="5"/>
  <c r="AY91" i="5"/>
  <c r="AX91" i="5"/>
  <c r="AY90" i="5"/>
  <c r="AX90" i="5"/>
  <c r="AY89" i="5"/>
  <c r="AX89" i="5"/>
  <c r="AY88" i="5"/>
  <c r="AX88" i="5"/>
  <c r="AY87" i="5"/>
  <c r="AX87" i="5"/>
  <c r="AY86" i="5"/>
  <c r="AX86" i="5"/>
  <c r="AY85" i="5"/>
  <c r="AX85" i="5"/>
  <c r="AY84" i="5"/>
  <c r="AX84" i="5"/>
  <c r="AY83" i="5"/>
  <c r="AX83" i="5"/>
  <c r="AY82" i="5"/>
  <c r="AX82" i="5"/>
  <c r="AY81" i="5"/>
  <c r="AX81" i="5"/>
  <c r="AY80" i="5"/>
  <c r="AX80" i="5"/>
  <c r="AY79" i="5"/>
  <c r="AX79" i="5"/>
  <c r="AY78" i="5"/>
  <c r="AX78" i="5"/>
  <c r="AY77" i="5"/>
  <c r="AX77" i="5"/>
  <c r="AY76" i="5"/>
  <c r="AX76" i="5"/>
  <c r="AY75" i="5"/>
  <c r="AX75" i="5"/>
  <c r="AY74" i="5"/>
  <c r="AX74" i="5"/>
  <c r="AX73" i="5"/>
  <c r="AX72" i="5"/>
  <c r="AX71" i="5"/>
  <c r="AX70" i="5"/>
  <c r="AX69" i="5"/>
  <c r="AX68" i="5"/>
  <c r="AX67" i="5"/>
  <c r="AX66" i="5"/>
  <c r="AX65" i="5"/>
  <c r="AX64" i="5"/>
  <c r="AX63" i="5"/>
  <c r="AX62" i="5"/>
  <c r="AX61" i="5"/>
  <c r="AX60" i="5"/>
  <c r="AX59" i="5"/>
  <c r="AX58" i="5"/>
  <c r="AX57" i="5"/>
  <c r="AX56" i="5"/>
  <c r="AX55" i="5"/>
  <c r="AX54" i="5"/>
  <c r="AX53" i="5"/>
  <c r="AX52" i="5"/>
  <c r="AX51" i="5"/>
  <c r="AX50" i="5"/>
  <c r="AX49" i="5"/>
  <c r="AX48" i="5"/>
  <c r="AX47" i="5"/>
  <c r="AX46" i="5"/>
  <c r="AX45" i="5"/>
  <c r="AX44" i="5"/>
  <c r="AX43" i="5"/>
  <c r="AX42" i="5"/>
  <c r="AX41" i="5"/>
  <c r="AX40" i="5"/>
  <c r="AX39" i="5"/>
  <c r="AX38" i="5"/>
  <c r="AX37" i="5"/>
  <c r="AX36" i="5"/>
  <c r="AX35" i="5"/>
  <c r="AX34" i="5"/>
  <c r="AX33" i="5"/>
  <c r="AX32" i="5"/>
  <c r="AX31" i="5"/>
  <c r="AX30" i="5"/>
  <c r="AX29" i="5"/>
  <c r="AX28" i="5"/>
  <c r="AX27" i="5"/>
  <c r="AX26" i="5"/>
  <c r="AX25" i="5"/>
  <c r="AX24" i="5"/>
  <c r="AX23" i="5"/>
  <c r="AX22" i="5"/>
  <c r="AX21" i="5"/>
  <c r="AX20" i="5"/>
  <c r="AX19" i="5"/>
  <c r="AX18" i="5"/>
  <c r="AX17" i="5"/>
  <c r="AX16" i="5"/>
  <c r="AX15" i="5"/>
  <c r="AT379" i="5"/>
  <c r="AT378" i="5"/>
  <c r="AT377" i="5"/>
  <c r="AT376" i="5"/>
  <c r="AT375" i="5"/>
  <c r="AT374" i="5"/>
  <c r="AT373" i="5"/>
  <c r="AT372" i="5"/>
  <c r="AT371" i="5"/>
  <c r="AT370" i="5"/>
  <c r="AT369" i="5"/>
  <c r="AT368" i="5"/>
  <c r="AT367" i="5"/>
  <c r="AT366" i="5"/>
  <c r="AT365" i="5"/>
  <c r="AT364" i="5"/>
  <c r="AT363" i="5"/>
  <c r="AT362" i="5"/>
  <c r="AT361" i="5"/>
  <c r="AT360" i="5"/>
  <c r="AT359" i="5"/>
  <c r="AT358" i="5"/>
  <c r="AT357" i="5"/>
  <c r="AT356" i="5"/>
  <c r="AT355" i="5"/>
  <c r="AT354" i="5"/>
  <c r="AT353" i="5"/>
  <c r="AT352" i="5"/>
  <c r="AT351" i="5"/>
  <c r="AT350" i="5"/>
  <c r="AT349" i="5"/>
  <c r="AT348" i="5"/>
  <c r="AT347" i="5"/>
  <c r="AT346" i="5"/>
  <c r="AT345" i="5"/>
  <c r="AT344" i="5"/>
  <c r="AT343" i="5"/>
  <c r="AT342" i="5"/>
  <c r="AT341" i="5"/>
  <c r="AT340" i="5"/>
  <c r="AT339" i="5"/>
  <c r="AT338" i="5"/>
  <c r="AT337" i="5"/>
  <c r="AT336" i="5"/>
  <c r="AT335" i="5"/>
  <c r="AT334" i="5"/>
  <c r="AT333" i="5"/>
  <c r="AT332" i="5"/>
  <c r="AT331" i="5"/>
  <c r="AT330" i="5"/>
  <c r="AT329" i="5"/>
  <c r="AT328" i="5"/>
  <c r="AT327" i="5"/>
  <c r="AT326" i="5"/>
  <c r="AT325" i="5"/>
  <c r="AT324" i="5"/>
  <c r="AT323" i="5"/>
  <c r="AT322" i="5"/>
  <c r="AT321" i="5"/>
  <c r="AT320" i="5"/>
  <c r="AT319" i="5"/>
  <c r="AT318" i="5"/>
  <c r="AT317" i="5"/>
  <c r="AT316" i="5"/>
  <c r="AT315" i="5"/>
  <c r="AT314" i="5"/>
  <c r="AT313" i="5"/>
  <c r="AT312" i="5"/>
  <c r="AT311" i="5"/>
  <c r="AT310" i="5"/>
  <c r="AT309" i="5"/>
  <c r="AT308" i="5"/>
  <c r="AT307" i="5"/>
  <c r="AT306" i="5"/>
  <c r="AT305" i="5"/>
  <c r="AT304" i="5"/>
  <c r="AT303" i="5"/>
  <c r="AT302" i="5"/>
  <c r="AT301" i="5"/>
  <c r="AT300" i="5"/>
  <c r="AT299" i="5"/>
  <c r="AT298" i="5"/>
  <c r="AT297" i="5"/>
  <c r="AT296" i="5"/>
  <c r="AT295" i="5"/>
  <c r="AT294" i="5"/>
  <c r="AT293" i="5"/>
  <c r="AT292" i="5"/>
  <c r="AT291" i="5"/>
  <c r="AT290" i="5"/>
  <c r="AT289" i="5"/>
  <c r="AT288" i="5"/>
  <c r="AT287" i="5"/>
  <c r="AT286" i="5"/>
  <c r="AT285" i="5"/>
  <c r="AT284" i="5"/>
  <c r="AT283" i="5"/>
  <c r="AT282" i="5"/>
  <c r="AT281" i="5"/>
  <c r="AT280" i="5"/>
  <c r="AT279" i="5"/>
  <c r="AT278" i="5"/>
  <c r="AT277" i="5"/>
  <c r="AT276" i="5"/>
  <c r="AT275" i="5"/>
  <c r="AT274" i="5"/>
  <c r="AT273" i="5"/>
  <c r="AT272" i="5"/>
  <c r="AT271" i="5"/>
  <c r="AT270" i="5"/>
  <c r="AT269" i="5"/>
  <c r="AT268" i="5"/>
  <c r="AT267" i="5"/>
  <c r="AT266" i="5"/>
  <c r="AT265" i="5"/>
  <c r="AT264" i="5"/>
  <c r="AT263" i="5"/>
  <c r="AT262" i="5"/>
  <c r="AT261" i="5"/>
  <c r="AT260" i="5"/>
  <c r="AT259" i="5"/>
  <c r="AT258" i="5"/>
  <c r="AT257" i="5"/>
  <c r="AT256" i="5"/>
  <c r="AT255" i="5"/>
  <c r="AT254" i="5"/>
  <c r="AT253" i="5"/>
  <c r="AT252" i="5"/>
  <c r="AT251" i="5"/>
  <c r="AT250" i="5"/>
  <c r="AT249" i="5"/>
  <c r="AT248" i="5"/>
  <c r="AT247" i="5"/>
  <c r="AT246" i="5"/>
  <c r="AT245" i="5"/>
  <c r="AT244" i="5"/>
  <c r="AT243" i="5"/>
  <c r="AT242" i="5"/>
  <c r="AT241" i="5"/>
  <c r="AT240" i="5"/>
  <c r="AT239" i="5"/>
  <c r="AT238" i="5"/>
  <c r="AT237" i="5"/>
  <c r="AT236" i="5"/>
  <c r="AT235" i="5"/>
  <c r="AT234" i="5"/>
  <c r="AT233" i="5"/>
  <c r="AT232" i="5"/>
  <c r="AT231" i="5"/>
  <c r="AT230" i="5"/>
  <c r="AT229" i="5"/>
  <c r="AT228" i="5"/>
  <c r="AT227" i="5"/>
  <c r="AT226" i="5"/>
  <c r="AT225" i="5"/>
  <c r="AT224" i="5"/>
  <c r="AT223" i="5"/>
  <c r="AT222" i="5"/>
  <c r="AT221" i="5"/>
  <c r="AT220" i="5"/>
  <c r="AT219" i="5"/>
  <c r="AT218" i="5"/>
  <c r="AT217" i="5"/>
  <c r="AT216" i="5"/>
  <c r="AT215" i="5"/>
  <c r="AT214" i="5"/>
  <c r="AT213" i="5"/>
  <c r="AT212" i="5"/>
  <c r="AT211" i="5"/>
  <c r="AT210" i="5"/>
  <c r="AT209" i="5"/>
  <c r="AT208" i="5"/>
  <c r="AT207" i="5"/>
  <c r="AT206" i="5"/>
  <c r="AT205" i="5"/>
  <c r="AT204" i="5"/>
  <c r="AT203" i="5"/>
  <c r="AT202" i="5"/>
  <c r="AU201" i="5"/>
  <c r="AT201" i="5"/>
  <c r="AU200" i="5"/>
  <c r="AT200" i="5"/>
  <c r="AU199" i="5"/>
  <c r="AT199" i="5"/>
  <c r="AU198" i="5"/>
  <c r="AT198" i="5"/>
  <c r="AU197" i="5"/>
  <c r="AT197" i="5"/>
  <c r="AU196" i="5"/>
  <c r="AT196" i="5"/>
  <c r="AU195" i="5"/>
  <c r="AT195" i="5"/>
  <c r="AU194" i="5"/>
  <c r="AT194" i="5"/>
  <c r="AU193" i="5"/>
  <c r="AT193" i="5"/>
  <c r="AU192" i="5"/>
  <c r="AT192" i="5"/>
  <c r="AU191" i="5"/>
  <c r="AT191" i="5"/>
  <c r="AU190" i="5"/>
  <c r="AT190" i="5"/>
  <c r="AU189" i="5"/>
  <c r="AT189" i="5"/>
  <c r="AU188" i="5"/>
  <c r="AT188" i="5"/>
  <c r="AU187" i="5"/>
  <c r="AT187" i="5"/>
  <c r="AU186" i="5"/>
  <c r="AT186" i="5"/>
  <c r="AU185" i="5"/>
  <c r="AT185" i="5"/>
  <c r="AU184" i="5"/>
  <c r="AT184" i="5"/>
  <c r="AU183" i="5"/>
  <c r="AT183" i="5"/>
  <c r="AU182" i="5"/>
  <c r="AT182" i="5"/>
  <c r="AU181" i="5"/>
  <c r="AT181" i="5"/>
  <c r="AU180" i="5"/>
  <c r="AT180" i="5"/>
  <c r="AU179" i="5"/>
  <c r="AT179" i="5"/>
  <c r="AU178" i="5"/>
  <c r="AT178" i="5"/>
  <c r="AU177" i="5"/>
  <c r="AT177" i="5"/>
  <c r="AU176" i="5"/>
  <c r="AT176" i="5"/>
  <c r="AU175" i="5"/>
  <c r="AT175" i="5"/>
  <c r="AU174" i="5"/>
  <c r="AT174" i="5"/>
  <c r="AU173" i="5"/>
  <c r="AT173" i="5"/>
  <c r="AU172" i="5"/>
  <c r="AT172" i="5"/>
  <c r="AU171" i="5"/>
  <c r="AT171" i="5"/>
  <c r="AU170" i="5"/>
  <c r="AT170" i="5"/>
  <c r="AU169" i="5"/>
  <c r="AT169" i="5"/>
  <c r="AU168" i="5"/>
  <c r="AT168" i="5"/>
  <c r="AU167" i="5"/>
  <c r="AT167" i="5"/>
  <c r="AU166" i="5"/>
  <c r="AT166" i="5"/>
  <c r="AU165" i="5"/>
  <c r="AT165" i="5"/>
  <c r="AU164" i="5"/>
  <c r="AT164" i="5"/>
  <c r="AU163" i="5"/>
  <c r="AT163" i="5"/>
  <c r="AU162" i="5"/>
  <c r="AT162" i="5"/>
  <c r="AU161" i="5"/>
  <c r="AT161" i="5"/>
  <c r="AU160" i="5"/>
  <c r="AT160" i="5"/>
  <c r="AU159" i="5"/>
  <c r="AT159" i="5"/>
  <c r="AU158" i="5"/>
  <c r="AT158" i="5"/>
  <c r="AU157" i="5"/>
  <c r="AT157" i="5"/>
  <c r="AU156" i="5"/>
  <c r="AT156" i="5"/>
  <c r="AU155" i="5"/>
  <c r="AT155" i="5"/>
  <c r="AU154" i="5"/>
  <c r="AT154" i="5"/>
  <c r="AU153" i="5"/>
  <c r="AT153" i="5"/>
  <c r="AU152" i="5"/>
  <c r="AT152" i="5"/>
  <c r="AU151" i="5"/>
  <c r="AT151" i="5"/>
  <c r="AU150" i="5"/>
  <c r="AT150" i="5"/>
  <c r="AU149" i="5"/>
  <c r="AT149" i="5"/>
  <c r="AU148" i="5"/>
  <c r="AT148" i="5"/>
  <c r="AU147" i="5"/>
  <c r="AT147" i="5"/>
  <c r="AU146" i="5"/>
  <c r="AT146" i="5"/>
  <c r="AU145" i="5"/>
  <c r="AT145" i="5"/>
  <c r="AU144" i="5"/>
  <c r="AT144" i="5"/>
  <c r="AU143" i="5"/>
  <c r="AT143" i="5"/>
  <c r="AU142" i="5"/>
  <c r="AT142" i="5"/>
  <c r="AU141" i="5"/>
  <c r="AT141" i="5"/>
  <c r="AU140" i="5"/>
  <c r="AT140" i="5"/>
  <c r="AU139" i="5"/>
  <c r="AT139" i="5"/>
  <c r="AU138" i="5"/>
  <c r="AT138" i="5"/>
  <c r="AU137" i="5"/>
  <c r="AT137" i="5"/>
  <c r="AU136" i="5"/>
  <c r="AT136" i="5"/>
  <c r="AU135" i="5"/>
  <c r="AT135" i="5"/>
  <c r="AU134" i="5"/>
  <c r="AT134" i="5"/>
  <c r="AU133" i="5"/>
  <c r="AT133" i="5"/>
  <c r="AU132" i="5"/>
  <c r="AT132" i="5"/>
  <c r="AU131" i="5"/>
  <c r="AT131" i="5"/>
  <c r="AU130" i="5"/>
  <c r="AT130" i="5"/>
  <c r="AU129" i="5"/>
  <c r="AT129" i="5"/>
  <c r="AU128" i="5"/>
  <c r="AT128" i="5"/>
  <c r="AU127" i="5"/>
  <c r="AT127" i="5"/>
  <c r="AU126" i="5"/>
  <c r="AT126" i="5"/>
  <c r="AU125" i="5"/>
  <c r="AT125" i="5"/>
  <c r="AU124" i="5"/>
  <c r="AT124" i="5"/>
  <c r="AU123" i="5"/>
  <c r="AT123" i="5"/>
  <c r="AU122" i="5"/>
  <c r="AT122" i="5"/>
  <c r="AU121" i="5"/>
  <c r="AT121" i="5"/>
  <c r="AU120" i="5"/>
  <c r="AT120" i="5"/>
  <c r="AU119" i="5"/>
  <c r="AT119" i="5"/>
  <c r="AU118" i="5"/>
  <c r="AT118" i="5"/>
  <c r="AU117" i="5"/>
  <c r="AT117" i="5"/>
  <c r="AU116" i="5"/>
  <c r="AT116" i="5"/>
  <c r="AU115" i="5"/>
  <c r="AT115" i="5"/>
  <c r="AU114" i="5"/>
  <c r="AT114" i="5"/>
  <c r="AU113" i="5"/>
  <c r="AT113" i="5"/>
  <c r="AU112" i="5"/>
  <c r="AT112" i="5"/>
  <c r="AU111" i="5"/>
  <c r="AT111" i="5"/>
  <c r="AU110" i="5"/>
  <c r="AT110" i="5"/>
  <c r="AU109" i="5"/>
  <c r="AT109" i="5"/>
  <c r="AU108" i="5"/>
  <c r="AT108" i="5"/>
  <c r="AU107" i="5"/>
  <c r="AT107" i="5"/>
  <c r="AU106" i="5"/>
  <c r="AT106" i="5"/>
  <c r="AU105" i="5"/>
  <c r="AT105" i="5"/>
  <c r="AU104" i="5"/>
  <c r="AT104" i="5"/>
  <c r="AU103" i="5"/>
  <c r="AT103" i="5"/>
  <c r="AU102" i="5"/>
  <c r="AT102" i="5"/>
  <c r="AU101" i="5"/>
  <c r="AT101" i="5"/>
  <c r="AU100" i="5"/>
  <c r="AT100" i="5"/>
  <c r="AU99" i="5"/>
  <c r="AT99" i="5"/>
  <c r="AU98" i="5"/>
  <c r="AT98" i="5"/>
  <c r="AU97" i="5"/>
  <c r="AT97" i="5"/>
  <c r="AU96" i="5"/>
  <c r="AT96" i="5"/>
  <c r="AU95" i="5"/>
  <c r="AT95" i="5"/>
  <c r="AU94" i="5"/>
  <c r="AT94" i="5"/>
  <c r="AU93" i="5"/>
  <c r="AT93" i="5"/>
  <c r="AU92" i="5"/>
  <c r="AT92" i="5"/>
  <c r="AU91" i="5"/>
  <c r="AT91" i="5"/>
  <c r="AU90" i="5"/>
  <c r="AT90" i="5"/>
  <c r="AU89" i="5"/>
  <c r="AT89" i="5"/>
  <c r="AU88" i="5"/>
  <c r="AT88" i="5"/>
  <c r="AU87" i="5"/>
  <c r="AT87" i="5"/>
  <c r="AU86" i="5"/>
  <c r="AT86" i="5"/>
  <c r="AU85" i="5"/>
  <c r="AT85" i="5"/>
  <c r="AU84" i="5"/>
  <c r="AT84" i="5"/>
  <c r="AU83" i="5"/>
  <c r="AT83" i="5"/>
  <c r="AU82" i="5"/>
  <c r="AT82" i="5"/>
  <c r="AU81" i="5"/>
  <c r="AT81" i="5"/>
  <c r="AU80" i="5"/>
  <c r="AT80" i="5"/>
  <c r="AU79" i="5"/>
  <c r="AT79" i="5"/>
  <c r="AU78" i="5"/>
  <c r="AT78" i="5"/>
  <c r="AU77" i="5"/>
  <c r="AT77" i="5"/>
  <c r="AU76" i="5"/>
  <c r="AT76" i="5"/>
  <c r="AU75" i="5"/>
  <c r="AT75" i="5"/>
  <c r="AU74" i="5"/>
  <c r="AT74" i="5"/>
  <c r="AT73" i="5"/>
  <c r="AT72" i="5"/>
  <c r="AT71" i="5"/>
  <c r="AT70" i="5"/>
  <c r="AT69" i="5"/>
  <c r="AT68" i="5"/>
  <c r="AT67" i="5"/>
  <c r="AT66" i="5"/>
  <c r="AT65" i="5"/>
  <c r="AT64" i="5"/>
  <c r="AT63" i="5"/>
  <c r="AT62" i="5"/>
  <c r="AT61" i="5"/>
  <c r="AT60" i="5"/>
  <c r="AT59" i="5"/>
  <c r="AT58" i="5"/>
  <c r="AT57" i="5"/>
  <c r="AT56" i="5"/>
  <c r="AT55" i="5"/>
  <c r="AT54" i="5"/>
  <c r="AT53" i="5"/>
  <c r="AT52" i="5"/>
  <c r="AT51" i="5"/>
  <c r="AT50" i="5"/>
  <c r="AT49" i="5"/>
  <c r="AT48" i="5"/>
  <c r="AT47" i="5"/>
  <c r="AT46" i="5"/>
  <c r="AT45" i="5"/>
  <c r="AT44" i="5"/>
  <c r="AT43" i="5"/>
  <c r="AT42" i="5"/>
  <c r="AT41" i="5"/>
  <c r="AT40" i="5"/>
  <c r="AT39" i="5"/>
  <c r="AT38" i="5"/>
  <c r="AT37" i="5"/>
  <c r="AT36" i="5"/>
  <c r="AT35" i="5"/>
  <c r="AT34" i="5"/>
  <c r="AT33" i="5"/>
  <c r="AT32" i="5"/>
  <c r="AT31" i="5"/>
  <c r="AT30" i="5"/>
  <c r="AT29" i="5"/>
  <c r="AT28" i="5"/>
  <c r="AT27" i="5"/>
  <c r="AT26" i="5"/>
  <c r="AT25" i="5"/>
  <c r="AT24" i="5"/>
  <c r="AT23" i="5"/>
  <c r="AT22" i="5"/>
  <c r="AT21" i="5"/>
  <c r="AT20" i="5"/>
  <c r="AT19" i="5"/>
  <c r="AT18" i="5"/>
  <c r="AT17" i="5"/>
  <c r="AT16" i="5"/>
  <c r="AT15" i="5"/>
  <c r="AP379" i="5"/>
  <c r="AP378" i="5"/>
  <c r="AP377" i="5"/>
  <c r="AP376" i="5"/>
  <c r="AP375" i="5"/>
  <c r="AP374" i="5"/>
  <c r="AP373" i="5"/>
  <c r="AP372" i="5"/>
  <c r="AP371" i="5"/>
  <c r="AP370" i="5"/>
  <c r="AP369" i="5"/>
  <c r="AP368" i="5"/>
  <c r="AP367" i="5"/>
  <c r="AP366" i="5"/>
  <c r="AP365" i="5"/>
  <c r="AP364" i="5"/>
  <c r="AP363" i="5"/>
  <c r="AP362" i="5"/>
  <c r="AP361" i="5"/>
  <c r="AP360" i="5"/>
  <c r="AP359" i="5"/>
  <c r="AP358" i="5"/>
  <c r="AP357" i="5"/>
  <c r="AP356" i="5"/>
  <c r="AP355" i="5"/>
  <c r="AP354" i="5"/>
  <c r="AP353" i="5"/>
  <c r="AP352" i="5"/>
  <c r="AP351" i="5"/>
  <c r="AP350" i="5"/>
  <c r="AP349" i="5"/>
  <c r="AP348" i="5"/>
  <c r="AP347" i="5"/>
  <c r="AP346" i="5"/>
  <c r="AP345" i="5"/>
  <c r="AP344" i="5"/>
  <c r="AP343" i="5"/>
  <c r="AP342" i="5"/>
  <c r="AP341" i="5"/>
  <c r="AP340" i="5"/>
  <c r="AP339" i="5"/>
  <c r="AP338" i="5"/>
  <c r="AP337" i="5"/>
  <c r="AP336" i="5"/>
  <c r="AP335" i="5"/>
  <c r="AP334" i="5"/>
  <c r="AP333" i="5"/>
  <c r="AP332" i="5"/>
  <c r="AP331" i="5"/>
  <c r="AP330" i="5"/>
  <c r="AP329" i="5"/>
  <c r="AP328" i="5"/>
  <c r="AP327" i="5"/>
  <c r="AP326" i="5"/>
  <c r="AP325" i="5"/>
  <c r="AP324" i="5"/>
  <c r="AP323" i="5"/>
  <c r="AP322" i="5"/>
  <c r="AP321" i="5"/>
  <c r="AP320" i="5"/>
  <c r="AP319" i="5"/>
  <c r="AP318" i="5"/>
  <c r="AP317" i="5"/>
  <c r="AP316" i="5"/>
  <c r="AP315" i="5"/>
  <c r="AP314" i="5"/>
  <c r="AP313" i="5"/>
  <c r="AP312" i="5"/>
  <c r="AP311" i="5"/>
  <c r="AP310" i="5"/>
  <c r="AP309" i="5"/>
  <c r="AP308" i="5"/>
  <c r="AP307" i="5"/>
  <c r="AP306" i="5"/>
  <c r="AP305" i="5"/>
  <c r="AP304" i="5"/>
  <c r="AP303" i="5"/>
  <c r="AP302" i="5"/>
  <c r="AP301" i="5"/>
  <c r="AP300" i="5"/>
  <c r="AP299" i="5"/>
  <c r="AP298" i="5"/>
  <c r="AP297" i="5"/>
  <c r="AP296" i="5"/>
  <c r="AP295" i="5"/>
  <c r="AP294" i="5"/>
  <c r="AP293" i="5"/>
  <c r="AP292" i="5"/>
  <c r="AP291" i="5"/>
  <c r="AP290" i="5"/>
  <c r="AP289" i="5"/>
  <c r="AP288" i="5"/>
  <c r="AP287" i="5"/>
  <c r="AP286" i="5"/>
  <c r="AP285" i="5"/>
  <c r="AP284" i="5"/>
  <c r="AP283" i="5"/>
  <c r="AP282" i="5"/>
  <c r="AP281" i="5"/>
  <c r="AP280" i="5"/>
  <c r="AP279" i="5"/>
  <c r="AP278" i="5"/>
  <c r="AP277" i="5"/>
  <c r="AP276" i="5"/>
  <c r="AP275" i="5"/>
  <c r="AP274" i="5"/>
  <c r="AP273" i="5"/>
  <c r="AP272" i="5"/>
  <c r="AP271" i="5"/>
  <c r="AP270" i="5"/>
  <c r="AP269" i="5"/>
  <c r="AP268" i="5"/>
  <c r="AP267" i="5"/>
  <c r="AP266" i="5"/>
  <c r="AP265" i="5"/>
  <c r="AP264" i="5"/>
  <c r="AP263" i="5"/>
  <c r="AP262" i="5"/>
  <c r="AP261" i="5"/>
  <c r="AP260" i="5"/>
  <c r="AP259" i="5"/>
  <c r="AP258" i="5"/>
  <c r="AP257" i="5"/>
  <c r="AP256" i="5"/>
  <c r="AP255" i="5"/>
  <c r="AP254" i="5"/>
  <c r="AP253" i="5"/>
  <c r="AP252" i="5"/>
  <c r="AP251" i="5"/>
  <c r="AP250" i="5"/>
  <c r="AP249" i="5"/>
  <c r="AP248" i="5"/>
  <c r="AP247" i="5"/>
  <c r="AP246" i="5"/>
  <c r="AP245" i="5"/>
  <c r="AP244" i="5"/>
  <c r="AP243" i="5"/>
  <c r="AP242" i="5"/>
  <c r="AP241" i="5"/>
  <c r="AP240" i="5"/>
  <c r="AP239" i="5"/>
  <c r="AP238" i="5"/>
  <c r="AP237" i="5"/>
  <c r="AP236" i="5"/>
  <c r="AP235" i="5"/>
  <c r="AP234" i="5"/>
  <c r="AP233" i="5"/>
  <c r="AP232" i="5"/>
  <c r="AP231" i="5"/>
  <c r="AP230" i="5"/>
  <c r="AP229" i="5"/>
  <c r="AP228" i="5"/>
  <c r="AP227" i="5"/>
  <c r="AP226" i="5"/>
  <c r="AP225" i="5"/>
  <c r="AP224" i="5"/>
  <c r="AP223" i="5"/>
  <c r="AP222" i="5"/>
  <c r="AP221" i="5"/>
  <c r="AP220" i="5"/>
  <c r="AP219" i="5"/>
  <c r="AP218" i="5"/>
  <c r="AP217" i="5"/>
  <c r="AP216" i="5"/>
  <c r="AP215" i="5"/>
  <c r="AP214" i="5"/>
  <c r="AP213" i="5"/>
  <c r="AP212" i="5"/>
  <c r="AP211" i="5"/>
  <c r="AP210" i="5"/>
  <c r="AP209" i="5"/>
  <c r="AP208" i="5"/>
  <c r="AP207" i="5"/>
  <c r="AP206" i="5"/>
  <c r="AP205" i="5"/>
  <c r="AP204" i="5"/>
  <c r="AP203" i="5"/>
  <c r="AP202" i="5"/>
  <c r="AQ201" i="5"/>
  <c r="AP201" i="5"/>
  <c r="AQ200" i="5"/>
  <c r="AP200" i="5"/>
  <c r="AQ199" i="5"/>
  <c r="AP199" i="5"/>
  <c r="AQ198" i="5"/>
  <c r="AP198" i="5"/>
  <c r="AQ197" i="5"/>
  <c r="AP197" i="5"/>
  <c r="AQ196" i="5"/>
  <c r="AP196" i="5"/>
  <c r="AQ195" i="5"/>
  <c r="AP195" i="5"/>
  <c r="AQ194" i="5"/>
  <c r="AP194" i="5"/>
  <c r="AQ193" i="5"/>
  <c r="AP193" i="5"/>
  <c r="AQ192" i="5"/>
  <c r="AP192" i="5"/>
  <c r="AQ191" i="5"/>
  <c r="AP191" i="5"/>
  <c r="AQ190" i="5"/>
  <c r="AP190" i="5"/>
  <c r="AQ189" i="5"/>
  <c r="AP189" i="5"/>
  <c r="AQ188" i="5"/>
  <c r="AP188" i="5"/>
  <c r="AQ187" i="5"/>
  <c r="AP187" i="5"/>
  <c r="AQ186" i="5"/>
  <c r="AP186" i="5"/>
  <c r="AQ185" i="5"/>
  <c r="AP185" i="5"/>
  <c r="AQ184" i="5"/>
  <c r="AP184" i="5"/>
  <c r="AQ183" i="5"/>
  <c r="AP183" i="5"/>
  <c r="AQ182" i="5"/>
  <c r="AP182" i="5"/>
  <c r="AQ181" i="5"/>
  <c r="AP181" i="5"/>
  <c r="AQ180" i="5"/>
  <c r="AP180" i="5"/>
  <c r="AQ179" i="5"/>
  <c r="AP179" i="5"/>
  <c r="AQ178" i="5"/>
  <c r="AP178" i="5"/>
  <c r="AQ177" i="5"/>
  <c r="AP177" i="5"/>
  <c r="AQ176" i="5"/>
  <c r="AP176" i="5"/>
  <c r="AQ175" i="5"/>
  <c r="AP175" i="5"/>
  <c r="AQ174" i="5"/>
  <c r="AP174" i="5"/>
  <c r="AQ173" i="5"/>
  <c r="AP173" i="5"/>
  <c r="AQ172" i="5"/>
  <c r="AP172" i="5"/>
  <c r="AQ171" i="5"/>
  <c r="AP171" i="5"/>
  <c r="AQ170" i="5"/>
  <c r="AP170" i="5"/>
  <c r="AQ169" i="5"/>
  <c r="AP169" i="5"/>
  <c r="AQ168" i="5"/>
  <c r="AP168" i="5"/>
  <c r="AQ167" i="5"/>
  <c r="AP167" i="5"/>
  <c r="AQ166" i="5"/>
  <c r="AP166" i="5"/>
  <c r="AQ165" i="5"/>
  <c r="AP165" i="5"/>
  <c r="AQ164" i="5"/>
  <c r="AP164" i="5"/>
  <c r="AQ163" i="5"/>
  <c r="AP163" i="5"/>
  <c r="AQ162" i="5"/>
  <c r="AP162" i="5"/>
  <c r="AQ161" i="5"/>
  <c r="AP161" i="5"/>
  <c r="AQ160" i="5"/>
  <c r="AP160" i="5"/>
  <c r="AQ159" i="5"/>
  <c r="AP159" i="5"/>
  <c r="AQ158" i="5"/>
  <c r="AP158" i="5"/>
  <c r="AQ157" i="5"/>
  <c r="AP157" i="5"/>
  <c r="AQ156" i="5"/>
  <c r="AP156" i="5"/>
  <c r="AQ155" i="5"/>
  <c r="AP155" i="5"/>
  <c r="AQ154" i="5"/>
  <c r="AP154" i="5"/>
  <c r="AQ153" i="5"/>
  <c r="AP153" i="5"/>
  <c r="AQ152" i="5"/>
  <c r="AP152" i="5"/>
  <c r="AQ151" i="5"/>
  <c r="AP151" i="5"/>
  <c r="AQ150" i="5"/>
  <c r="AP150" i="5"/>
  <c r="AQ149" i="5"/>
  <c r="AP149" i="5"/>
  <c r="AQ148" i="5"/>
  <c r="AP148" i="5"/>
  <c r="AQ147" i="5"/>
  <c r="AP147" i="5"/>
  <c r="AQ146" i="5"/>
  <c r="AP146" i="5"/>
  <c r="AQ145" i="5"/>
  <c r="AP145" i="5"/>
  <c r="AQ144" i="5"/>
  <c r="AP144" i="5"/>
  <c r="AQ143" i="5"/>
  <c r="AP143" i="5"/>
  <c r="AQ142" i="5"/>
  <c r="AP142" i="5"/>
  <c r="AQ141" i="5"/>
  <c r="AP141" i="5"/>
  <c r="AQ140" i="5"/>
  <c r="AP140" i="5"/>
  <c r="AQ139" i="5"/>
  <c r="AP139" i="5"/>
  <c r="AQ138" i="5"/>
  <c r="AP138" i="5"/>
  <c r="AQ137" i="5"/>
  <c r="AP137" i="5"/>
  <c r="AQ136" i="5"/>
  <c r="AP136" i="5"/>
  <c r="AQ135" i="5"/>
  <c r="AP135" i="5"/>
  <c r="AQ134" i="5"/>
  <c r="AP134" i="5"/>
  <c r="AQ133" i="5"/>
  <c r="AP133" i="5"/>
  <c r="AQ132" i="5"/>
  <c r="AP132" i="5"/>
  <c r="AQ131" i="5"/>
  <c r="AP131" i="5"/>
  <c r="AQ130" i="5"/>
  <c r="AP130" i="5"/>
  <c r="AQ129" i="5"/>
  <c r="AP129" i="5"/>
  <c r="AQ128" i="5"/>
  <c r="AP128" i="5"/>
  <c r="AQ127" i="5"/>
  <c r="AP127" i="5"/>
  <c r="AQ126" i="5"/>
  <c r="AP126" i="5"/>
  <c r="AQ125" i="5"/>
  <c r="AP125" i="5"/>
  <c r="AQ124" i="5"/>
  <c r="AP124" i="5"/>
  <c r="AQ123" i="5"/>
  <c r="AP123" i="5"/>
  <c r="AQ122" i="5"/>
  <c r="AP122" i="5"/>
  <c r="AQ121" i="5"/>
  <c r="AP121" i="5"/>
  <c r="AQ120" i="5"/>
  <c r="AP120" i="5"/>
  <c r="AQ119" i="5"/>
  <c r="AP119" i="5"/>
  <c r="AQ118" i="5"/>
  <c r="AP118" i="5"/>
  <c r="AQ117" i="5"/>
  <c r="AP117" i="5"/>
  <c r="AQ116" i="5"/>
  <c r="AP116" i="5"/>
  <c r="AQ115" i="5"/>
  <c r="AP115" i="5"/>
  <c r="AQ114" i="5"/>
  <c r="AP114" i="5"/>
  <c r="AQ113" i="5"/>
  <c r="AP113" i="5"/>
  <c r="AQ112" i="5"/>
  <c r="AP112" i="5"/>
  <c r="AQ111" i="5"/>
  <c r="AP111" i="5"/>
  <c r="AQ110" i="5"/>
  <c r="AP110" i="5"/>
  <c r="AQ109" i="5"/>
  <c r="AP109" i="5"/>
  <c r="AQ108" i="5"/>
  <c r="AP108" i="5"/>
  <c r="AQ107" i="5"/>
  <c r="AP107" i="5"/>
  <c r="AQ106" i="5"/>
  <c r="AP106" i="5"/>
  <c r="AQ105" i="5"/>
  <c r="AP105" i="5"/>
  <c r="AQ104" i="5"/>
  <c r="AP104" i="5"/>
  <c r="AQ103" i="5"/>
  <c r="AP103" i="5"/>
  <c r="AQ102" i="5"/>
  <c r="AP102" i="5"/>
  <c r="AQ101" i="5"/>
  <c r="AP101" i="5"/>
  <c r="AQ100" i="5"/>
  <c r="AP100" i="5"/>
  <c r="AQ99" i="5"/>
  <c r="AP99" i="5"/>
  <c r="AQ98" i="5"/>
  <c r="AP98" i="5"/>
  <c r="AQ97" i="5"/>
  <c r="AP97" i="5"/>
  <c r="AQ96" i="5"/>
  <c r="AP96" i="5"/>
  <c r="AQ95" i="5"/>
  <c r="AP95" i="5"/>
  <c r="AQ94" i="5"/>
  <c r="AP94" i="5"/>
  <c r="AQ93" i="5"/>
  <c r="AP93" i="5"/>
  <c r="AQ92" i="5"/>
  <c r="AP92" i="5"/>
  <c r="AQ91" i="5"/>
  <c r="AP91" i="5"/>
  <c r="AQ90" i="5"/>
  <c r="AP90" i="5"/>
  <c r="AQ89" i="5"/>
  <c r="AP89" i="5"/>
  <c r="AQ88" i="5"/>
  <c r="AP88" i="5"/>
  <c r="AQ87" i="5"/>
  <c r="AP87" i="5"/>
  <c r="AQ86" i="5"/>
  <c r="AP86" i="5"/>
  <c r="AQ85" i="5"/>
  <c r="AP85" i="5"/>
  <c r="AQ84" i="5"/>
  <c r="AP84" i="5"/>
  <c r="AQ83" i="5"/>
  <c r="AP83" i="5"/>
  <c r="AQ82" i="5"/>
  <c r="AP82" i="5"/>
  <c r="AQ81" i="5"/>
  <c r="AP81" i="5"/>
  <c r="AQ80" i="5"/>
  <c r="AP80" i="5"/>
  <c r="AQ79" i="5"/>
  <c r="AP79" i="5"/>
  <c r="AQ78" i="5"/>
  <c r="AP78" i="5"/>
  <c r="AQ77" i="5"/>
  <c r="AP77" i="5"/>
  <c r="AQ76" i="5"/>
  <c r="AP76" i="5"/>
  <c r="AQ75" i="5"/>
  <c r="AP75" i="5"/>
  <c r="AQ74" i="5"/>
  <c r="AP74" i="5"/>
  <c r="AP73" i="5"/>
  <c r="AP72" i="5"/>
  <c r="AP71" i="5"/>
  <c r="AP70" i="5"/>
  <c r="AP69" i="5"/>
  <c r="AP68" i="5"/>
  <c r="AP67" i="5"/>
  <c r="AP66" i="5"/>
  <c r="AP65" i="5"/>
  <c r="AP64" i="5"/>
  <c r="AP63" i="5"/>
  <c r="AP62" i="5"/>
  <c r="AP61" i="5"/>
  <c r="AP60" i="5"/>
  <c r="AP59" i="5"/>
  <c r="AP58" i="5"/>
  <c r="AP57" i="5"/>
  <c r="AP56" i="5"/>
  <c r="AP55" i="5"/>
  <c r="AP54" i="5"/>
  <c r="AP53" i="5"/>
  <c r="AP52" i="5"/>
  <c r="AP51" i="5"/>
  <c r="AP50" i="5"/>
  <c r="AP49" i="5"/>
  <c r="AP48" i="5"/>
  <c r="AP47" i="5"/>
  <c r="AP46" i="5"/>
  <c r="AP45" i="5"/>
  <c r="AP44" i="5"/>
  <c r="AP43" i="5"/>
  <c r="AP42" i="5"/>
  <c r="AP41" i="5"/>
  <c r="AP40" i="5"/>
  <c r="AP39" i="5"/>
  <c r="AP38" i="5"/>
  <c r="AP37" i="5"/>
  <c r="AP36" i="5"/>
  <c r="AP35" i="5"/>
  <c r="AP34" i="5"/>
  <c r="AP33" i="5"/>
  <c r="AP32" i="5"/>
  <c r="AP31" i="5"/>
  <c r="AP30" i="5"/>
  <c r="AP29" i="5"/>
  <c r="AP28" i="5"/>
  <c r="AP27" i="5"/>
  <c r="AP26" i="5"/>
  <c r="AP25" i="5"/>
  <c r="AP24" i="5"/>
  <c r="AP23" i="5"/>
  <c r="AP22" i="5"/>
  <c r="AP21" i="5"/>
  <c r="AP20" i="5"/>
  <c r="AP19" i="5"/>
  <c r="AP18" i="5"/>
  <c r="AP17" i="5"/>
  <c r="AP16" i="5"/>
  <c r="AP15" i="5"/>
  <c r="AL379" i="5"/>
  <c r="AL378" i="5"/>
  <c r="AL377" i="5"/>
  <c r="AL376" i="5"/>
  <c r="AL375" i="5"/>
  <c r="AL374" i="5"/>
  <c r="AL373" i="5"/>
  <c r="AL372" i="5"/>
  <c r="AL371" i="5"/>
  <c r="AL370" i="5"/>
  <c r="AL369" i="5"/>
  <c r="AL368" i="5"/>
  <c r="AL367" i="5"/>
  <c r="AL366" i="5"/>
  <c r="AL365" i="5"/>
  <c r="AL364" i="5"/>
  <c r="AL363" i="5"/>
  <c r="AL362" i="5"/>
  <c r="AL361" i="5"/>
  <c r="AL360" i="5"/>
  <c r="AL359" i="5"/>
  <c r="AL358" i="5"/>
  <c r="AL357" i="5"/>
  <c r="AL356" i="5"/>
  <c r="AL355" i="5"/>
  <c r="AL354" i="5"/>
  <c r="AL353" i="5"/>
  <c r="AL352" i="5"/>
  <c r="AL351" i="5"/>
  <c r="AL350" i="5"/>
  <c r="AL349" i="5"/>
  <c r="AL348" i="5"/>
  <c r="AL347" i="5"/>
  <c r="AL346" i="5"/>
  <c r="AL345" i="5"/>
  <c r="AL344" i="5"/>
  <c r="AL343" i="5"/>
  <c r="AL342" i="5"/>
  <c r="AL341" i="5"/>
  <c r="AL340" i="5"/>
  <c r="AL339" i="5"/>
  <c r="AL338" i="5"/>
  <c r="AL337" i="5"/>
  <c r="AL336" i="5"/>
  <c r="AL335" i="5"/>
  <c r="AL334" i="5"/>
  <c r="AL333" i="5"/>
  <c r="AL332" i="5"/>
  <c r="AL331" i="5"/>
  <c r="AL330" i="5"/>
  <c r="AL329" i="5"/>
  <c r="AL328" i="5"/>
  <c r="AL327" i="5"/>
  <c r="AL326" i="5"/>
  <c r="AL325" i="5"/>
  <c r="AL324" i="5"/>
  <c r="AL323" i="5"/>
  <c r="AL322" i="5"/>
  <c r="AL321" i="5"/>
  <c r="AL320" i="5"/>
  <c r="AL319" i="5"/>
  <c r="AL318" i="5"/>
  <c r="AL317" i="5"/>
  <c r="AL316" i="5"/>
  <c r="AL315" i="5"/>
  <c r="AL314" i="5"/>
  <c r="AL313" i="5"/>
  <c r="AL312" i="5"/>
  <c r="AL311" i="5"/>
  <c r="AL310" i="5"/>
  <c r="AL309" i="5"/>
  <c r="AL308" i="5"/>
  <c r="AL307" i="5"/>
  <c r="AL306" i="5"/>
  <c r="AL305" i="5"/>
  <c r="AL304" i="5"/>
  <c r="AL303" i="5"/>
  <c r="AL302" i="5"/>
  <c r="AL301" i="5"/>
  <c r="AL300" i="5"/>
  <c r="AL299" i="5"/>
  <c r="AL298" i="5"/>
  <c r="AL297" i="5"/>
  <c r="AL296" i="5"/>
  <c r="AL295" i="5"/>
  <c r="AL294" i="5"/>
  <c r="AL293" i="5"/>
  <c r="AL292" i="5"/>
  <c r="AL291" i="5"/>
  <c r="AL290" i="5"/>
  <c r="AL289" i="5"/>
  <c r="AL288" i="5"/>
  <c r="AL287" i="5"/>
  <c r="AL286" i="5"/>
  <c r="AL285" i="5"/>
  <c r="AL284" i="5"/>
  <c r="AL283" i="5"/>
  <c r="AL282" i="5"/>
  <c r="AL281" i="5"/>
  <c r="AL280" i="5"/>
  <c r="AL279" i="5"/>
  <c r="AL278" i="5"/>
  <c r="AL277" i="5"/>
  <c r="AL276" i="5"/>
  <c r="AL275" i="5"/>
  <c r="AL274" i="5"/>
  <c r="AL273" i="5"/>
  <c r="AL272" i="5"/>
  <c r="AL271" i="5"/>
  <c r="AL270" i="5"/>
  <c r="AL269" i="5"/>
  <c r="AL268" i="5"/>
  <c r="AL267" i="5"/>
  <c r="AL266" i="5"/>
  <c r="AL265" i="5"/>
  <c r="AL264" i="5"/>
  <c r="AL263" i="5"/>
  <c r="AL262" i="5"/>
  <c r="AL261" i="5"/>
  <c r="AL260" i="5"/>
  <c r="AL259" i="5"/>
  <c r="AL258" i="5"/>
  <c r="AL257" i="5"/>
  <c r="AL256" i="5"/>
  <c r="AL255" i="5"/>
  <c r="AL254" i="5"/>
  <c r="AL253" i="5"/>
  <c r="AL252" i="5"/>
  <c r="AL251" i="5"/>
  <c r="AL250" i="5"/>
  <c r="AL249" i="5"/>
  <c r="AL248" i="5"/>
  <c r="AL247" i="5"/>
  <c r="AL246" i="5"/>
  <c r="AL245" i="5"/>
  <c r="AL244" i="5"/>
  <c r="AL243" i="5"/>
  <c r="AL242" i="5"/>
  <c r="AL241" i="5"/>
  <c r="AL240" i="5"/>
  <c r="AL239" i="5"/>
  <c r="AL238" i="5"/>
  <c r="AL237" i="5"/>
  <c r="AL236" i="5"/>
  <c r="AL235" i="5"/>
  <c r="AL234" i="5"/>
  <c r="AL233" i="5"/>
  <c r="AL232" i="5"/>
  <c r="AL231" i="5"/>
  <c r="AL230" i="5"/>
  <c r="AL229" i="5"/>
  <c r="AL228" i="5"/>
  <c r="AL227" i="5"/>
  <c r="AL226" i="5"/>
  <c r="AL225" i="5"/>
  <c r="AL224" i="5"/>
  <c r="AL223" i="5"/>
  <c r="AL222" i="5"/>
  <c r="AL221" i="5"/>
  <c r="AL220" i="5"/>
  <c r="AL219" i="5"/>
  <c r="AL218" i="5"/>
  <c r="AL217" i="5"/>
  <c r="AL216" i="5"/>
  <c r="AL215" i="5"/>
  <c r="AL214" i="5"/>
  <c r="AL213" i="5"/>
  <c r="AL212" i="5"/>
  <c r="AL211" i="5"/>
  <c r="AL210" i="5"/>
  <c r="AL209" i="5"/>
  <c r="AL208" i="5"/>
  <c r="AL207" i="5"/>
  <c r="AL206" i="5"/>
  <c r="AL205" i="5"/>
  <c r="AL204" i="5"/>
  <c r="AL203" i="5"/>
  <c r="AL202" i="5"/>
  <c r="AM201" i="5"/>
  <c r="AL201" i="5"/>
  <c r="AM200" i="5"/>
  <c r="AL200" i="5"/>
  <c r="AM199" i="5"/>
  <c r="AL199" i="5"/>
  <c r="AM198" i="5"/>
  <c r="AL198" i="5"/>
  <c r="AM197" i="5"/>
  <c r="AL197" i="5"/>
  <c r="AM196" i="5"/>
  <c r="AL196" i="5"/>
  <c r="AM195" i="5"/>
  <c r="AL195" i="5"/>
  <c r="AM194" i="5"/>
  <c r="AL194" i="5"/>
  <c r="AM193" i="5"/>
  <c r="AL193" i="5"/>
  <c r="AM192" i="5"/>
  <c r="AL192" i="5"/>
  <c r="AM191" i="5"/>
  <c r="AL191" i="5"/>
  <c r="AM190" i="5"/>
  <c r="AL190" i="5"/>
  <c r="AM189" i="5"/>
  <c r="AL189" i="5"/>
  <c r="AM188" i="5"/>
  <c r="AL188" i="5"/>
  <c r="AM187" i="5"/>
  <c r="AL187" i="5"/>
  <c r="AM186" i="5"/>
  <c r="AL186" i="5"/>
  <c r="AM185" i="5"/>
  <c r="AL185" i="5"/>
  <c r="AM184" i="5"/>
  <c r="AL184" i="5"/>
  <c r="AM183" i="5"/>
  <c r="AL183" i="5"/>
  <c r="AM182" i="5"/>
  <c r="AL182" i="5"/>
  <c r="AM181" i="5"/>
  <c r="AL181" i="5"/>
  <c r="AM180" i="5"/>
  <c r="AL180" i="5"/>
  <c r="AM179" i="5"/>
  <c r="AL179" i="5"/>
  <c r="AM178" i="5"/>
  <c r="AL178" i="5"/>
  <c r="AM177" i="5"/>
  <c r="AL177" i="5"/>
  <c r="AM176" i="5"/>
  <c r="AL176" i="5"/>
  <c r="AM175" i="5"/>
  <c r="AL175" i="5"/>
  <c r="AM174" i="5"/>
  <c r="AL174" i="5"/>
  <c r="AM173" i="5"/>
  <c r="AL173" i="5"/>
  <c r="AM172" i="5"/>
  <c r="AL172" i="5"/>
  <c r="AM171" i="5"/>
  <c r="AL171" i="5"/>
  <c r="AM170" i="5"/>
  <c r="AL170" i="5"/>
  <c r="AM169" i="5"/>
  <c r="AL169" i="5"/>
  <c r="AM168" i="5"/>
  <c r="AL168" i="5"/>
  <c r="AM167" i="5"/>
  <c r="AL167" i="5"/>
  <c r="AM166" i="5"/>
  <c r="AL166" i="5"/>
  <c r="AM165" i="5"/>
  <c r="AL165" i="5"/>
  <c r="AM164" i="5"/>
  <c r="AL164" i="5"/>
  <c r="AM163" i="5"/>
  <c r="AL163" i="5"/>
  <c r="AM162" i="5"/>
  <c r="AL162" i="5"/>
  <c r="AM161" i="5"/>
  <c r="AL161" i="5"/>
  <c r="AM160" i="5"/>
  <c r="AL160" i="5"/>
  <c r="AM159" i="5"/>
  <c r="AL159" i="5"/>
  <c r="AM158" i="5"/>
  <c r="AL158" i="5"/>
  <c r="AM157" i="5"/>
  <c r="AL157" i="5"/>
  <c r="AM156" i="5"/>
  <c r="AL156" i="5"/>
  <c r="AM155" i="5"/>
  <c r="AL155" i="5"/>
  <c r="AM154" i="5"/>
  <c r="AL154" i="5"/>
  <c r="AM153" i="5"/>
  <c r="AL153" i="5"/>
  <c r="AM152" i="5"/>
  <c r="AL152" i="5"/>
  <c r="AM151" i="5"/>
  <c r="AL151" i="5"/>
  <c r="AM150" i="5"/>
  <c r="AL150" i="5"/>
  <c r="AM149" i="5"/>
  <c r="AL149" i="5"/>
  <c r="AM148" i="5"/>
  <c r="AL148" i="5"/>
  <c r="AM147" i="5"/>
  <c r="AL147" i="5"/>
  <c r="AM146" i="5"/>
  <c r="AL146" i="5"/>
  <c r="AM145" i="5"/>
  <c r="AL145" i="5"/>
  <c r="AM144" i="5"/>
  <c r="AL144" i="5"/>
  <c r="AM143" i="5"/>
  <c r="AL143" i="5"/>
  <c r="AM142" i="5"/>
  <c r="AL142" i="5"/>
  <c r="AM141" i="5"/>
  <c r="AL141" i="5"/>
  <c r="AM140" i="5"/>
  <c r="AL140" i="5"/>
  <c r="AM139" i="5"/>
  <c r="AL139" i="5"/>
  <c r="AM138" i="5"/>
  <c r="AL138" i="5"/>
  <c r="AM137" i="5"/>
  <c r="AL137" i="5"/>
  <c r="AM136" i="5"/>
  <c r="AL136" i="5"/>
  <c r="AM135" i="5"/>
  <c r="AL135" i="5"/>
  <c r="AM134" i="5"/>
  <c r="AL134" i="5"/>
  <c r="AM133" i="5"/>
  <c r="AL133" i="5"/>
  <c r="AM132" i="5"/>
  <c r="AL132" i="5"/>
  <c r="AM131" i="5"/>
  <c r="AL131" i="5"/>
  <c r="AM130" i="5"/>
  <c r="AL130" i="5"/>
  <c r="AM129" i="5"/>
  <c r="AL129" i="5"/>
  <c r="AM128" i="5"/>
  <c r="AL128" i="5"/>
  <c r="AM127" i="5"/>
  <c r="AL127" i="5"/>
  <c r="AM126" i="5"/>
  <c r="AL126" i="5"/>
  <c r="AM125" i="5"/>
  <c r="AL125" i="5"/>
  <c r="AM124" i="5"/>
  <c r="AL124" i="5"/>
  <c r="AM123" i="5"/>
  <c r="AL123" i="5"/>
  <c r="AM122" i="5"/>
  <c r="AL122" i="5"/>
  <c r="AM121" i="5"/>
  <c r="AL121" i="5"/>
  <c r="AM120" i="5"/>
  <c r="AL120" i="5"/>
  <c r="AM119" i="5"/>
  <c r="AL119" i="5"/>
  <c r="AM118" i="5"/>
  <c r="AL118" i="5"/>
  <c r="AM117" i="5"/>
  <c r="AL117" i="5"/>
  <c r="AM116" i="5"/>
  <c r="AL116" i="5"/>
  <c r="AM115" i="5"/>
  <c r="AL115" i="5"/>
  <c r="AM114" i="5"/>
  <c r="AL114" i="5"/>
  <c r="AM113" i="5"/>
  <c r="AL113" i="5"/>
  <c r="AM112" i="5"/>
  <c r="AL112" i="5"/>
  <c r="AM111" i="5"/>
  <c r="AL111" i="5"/>
  <c r="AM110" i="5"/>
  <c r="AL110" i="5"/>
  <c r="AM109" i="5"/>
  <c r="AL109" i="5"/>
  <c r="AM108" i="5"/>
  <c r="AL108" i="5"/>
  <c r="AM107" i="5"/>
  <c r="AL107" i="5"/>
  <c r="AM106" i="5"/>
  <c r="AL106" i="5"/>
  <c r="AM105" i="5"/>
  <c r="AL105" i="5"/>
  <c r="AM104" i="5"/>
  <c r="AL104" i="5"/>
  <c r="AM103" i="5"/>
  <c r="AL103" i="5"/>
  <c r="AM102" i="5"/>
  <c r="AL102" i="5"/>
  <c r="AM101" i="5"/>
  <c r="AL101" i="5"/>
  <c r="AM100" i="5"/>
  <c r="AL100" i="5"/>
  <c r="AM99" i="5"/>
  <c r="AL99" i="5"/>
  <c r="AM98" i="5"/>
  <c r="AL98" i="5"/>
  <c r="AM97" i="5"/>
  <c r="AL97" i="5"/>
  <c r="AM96" i="5"/>
  <c r="AL96" i="5"/>
  <c r="AM95" i="5"/>
  <c r="AL95" i="5"/>
  <c r="AM94" i="5"/>
  <c r="AL94" i="5"/>
  <c r="AM93" i="5"/>
  <c r="AL93" i="5"/>
  <c r="AM92" i="5"/>
  <c r="AL92" i="5"/>
  <c r="AM91" i="5"/>
  <c r="AL91" i="5"/>
  <c r="AM90" i="5"/>
  <c r="AL90" i="5"/>
  <c r="AM89" i="5"/>
  <c r="AL89" i="5"/>
  <c r="AM88" i="5"/>
  <c r="AL88" i="5"/>
  <c r="AM87" i="5"/>
  <c r="AL87" i="5"/>
  <c r="AM86" i="5"/>
  <c r="AL86" i="5"/>
  <c r="AM85" i="5"/>
  <c r="AL85" i="5"/>
  <c r="AM84" i="5"/>
  <c r="AL84" i="5"/>
  <c r="AM83" i="5"/>
  <c r="AL83" i="5"/>
  <c r="AM82" i="5"/>
  <c r="AL82" i="5"/>
  <c r="AM81" i="5"/>
  <c r="AL81" i="5"/>
  <c r="AM80" i="5"/>
  <c r="AL80" i="5"/>
  <c r="AM79" i="5"/>
  <c r="AL79" i="5"/>
  <c r="AM78" i="5"/>
  <c r="AL78" i="5"/>
  <c r="AM77" i="5"/>
  <c r="AL77" i="5"/>
  <c r="AM76" i="5"/>
  <c r="AL76" i="5"/>
  <c r="AM75" i="5"/>
  <c r="AL75" i="5"/>
  <c r="AM74" i="5"/>
  <c r="AL74" i="5"/>
  <c r="AL73" i="5"/>
  <c r="AL72" i="5"/>
  <c r="AL71" i="5"/>
  <c r="AL70" i="5"/>
  <c r="AL69" i="5"/>
  <c r="AL68" i="5"/>
  <c r="AL67" i="5"/>
  <c r="AL66" i="5"/>
  <c r="AL65" i="5"/>
  <c r="AL64" i="5"/>
  <c r="AL63" i="5"/>
  <c r="AL62" i="5"/>
  <c r="AL61" i="5"/>
  <c r="AL60" i="5"/>
  <c r="AL59" i="5"/>
  <c r="AL58" i="5"/>
  <c r="AL57" i="5"/>
  <c r="AL56" i="5"/>
  <c r="AL55" i="5"/>
  <c r="AL54" i="5"/>
  <c r="AL53" i="5"/>
  <c r="AL52" i="5"/>
  <c r="AL51" i="5"/>
  <c r="AL50" i="5"/>
  <c r="AL49" i="5"/>
  <c r="AL48" i="5"/>
  <c r="AL47" i="5"/>
  <c r="AL46" i="5"/>
  <c r="AL45" i="5"/>
  <c r="AL44" i="5"/>
  <c r="AL43" i="5"/>
  <c r="AL42" i="5"/>
  <c r="AL41" i="5"/>
  <c r="AL40" i="5"/>
  <c r="AL39" i="5"/>
  <c r="AL38" i="5"/>
  <c r="AL37" i="5"/>
  <c r="AL36" i="5"/>
  <c r="AL35" i="5"/>
  <c r="AL34" i="5"/>
  <c r="AL33" i="5"/>
  <c r="AL32" i="5"/>
  <c r="AL31" i="5"/>
  <c r="AL30" i="5"/>
  <c r="AL29" i="5"/>
  <c r="AL28" i="5"/>
  <c r="AL27" i="5"/>
  <c r="AL26" i="5"/>
  <c r="AL25" i="5"/>
  <c r="AL24" i="5"/>
  <c r="AL23" i="5"/>
  <c r="AL22" i="5"/>
  <c r="AL21" i="5"/>
  <c r="AL20" i="5"/>
  <c r="AL19" i="5"/>
  <c r="AL18" i="5"/>
  <c r="AL17" i="5"/>
  <c r="AL16" i="5"/>
  <c r="AL15" i="5"/>
  <c r="AH379" i="5"/>
  <c r="AH378" i="5"/>
  <c r="AH377" i="5"/>
  <c r="AH376" i="5"/>
  <c r="AH375" i="5"/>
  <c r="AH374" i="5"/>
  <c r="AH373" i="5"/>
  <c r="AH372" i="5"/>
  <c r="AH371" i="5"/>
  <c r="AH370" i="5"/>
  <c r="AH369" i="5"/>
  <c r="AH368" i="5"/>
  <c r="AH367" i="5"/>
  <c r="AH366" i="5"/>
  <c r="AH365" i="5"/>
  <c r="AH364" i="5"/>
  <c r="AH363" i="5"/>
  <c r="AH362" i="5"/>
  <c r="AH361" i="5"/>
  <c r="AH360" i="5"/>
  <c r="AH359" i="5"/>
  <c r="AH358" i="5"/>
  <c r="AH357" i="5"/>
  <c r="AH356" i="5"/>
  <c r="AH355" i="5"/>
  <c r="AH354" i="5"/>
  <c r="AH353" i="5"/>
  <c r="AH352" i="5"/>
  <c r="AH351" i="5"/>
  <c r="AH350" i="5"/>
  <c r="AH349" i="5"/>
  <c r="AH348" i="5"/>
  <c r="AH347" i="5"/>
  <c r="AH346" i="5"/>
  <c r="AH345" i="5"/>
  <c r="AH344" i="5"/>
  <c r="AH343" i="5"/>
  <c r="AH342" i="5"/>
  <c r="AH341" i="5"/>
  <c r="AH340" i="5"/>
  <c r="AH339" i="5"/>
  <c r="AH338" i="5"/>
  <c r="AH337" i="5"/>
  <c r="AH336" i="5"/>
  <c r="AH335" i="5"/>
  <c r="AH334" i="5"/>
  <c r="AH333" i="5"/>
  <c r="AH332" i="5"/>
  <c r="AH331" i="5"/>
  <c r="AH330" i="5"/>
  <c r="AH329" i="5"/>
  <c r="AH328" i="5"/>
  <c r="AH327" i="5"/>
  <c r="AH326" i="5"/>
  <c r="AH325" i="5"/>
  <c r="AH324" i="5"/>
  <c r="AH323" i="5"/>
  <c r="AH322" i="5"/>
  <c r="AH321" i="5"/>
  <c r="AH320" i="5"/>
  <c r="AH319" i="5"/>
  <c r="AH318" i="5"/>
  <c r="AH317" i="5"/>
  <c r="AH316" i="5"/>
  <c r="AH315" i="5"/>
  <c r="AH314" i="5"/>
  <c r="AH313" i="5"/>
  <c r="AH312" i="5"/>
  <c r="AH311" i="5"/>
  <c r="AH310" i="5"/>
  <c r="AH309" i="5"/>
  <c r="AH308" i="5"/>
  <c r="AH307" i="5"/>
  <c r="AH306" i="5"/>
  <c r="AH305" i="5"/>
  <c r="AH304" i="5"/>
  <c r="AH303" i="5"/>
  <c r="AH302" i="5"/>
  <c r="AH301" i="5"/>
  <c r="AH300" i="5"/>
  <c r="AH299" i="5"/>
  <c r="AH298" i="5"/>
  <c r="AH297" i="5"/>
  <c r="AH296" i="5"/>
  <c r="AH295" i="5"/>
  <c r="AH294" i="5"/>
  <c r="AH293" i="5"/>
  <c r="AH292" i="5"/>
  <c r="AH291" i="5"/>
  <c r="AH290" i="5"/>
  <c r="AH289" i="5"/>
  <c r="AH288" i="5"/>
  <c r="AH287" i="5"/>
  <c r="AH286" i="5"/>
  <c r="AH285" i="5"/>
  <c r="AH284" i="5"/>
  <c r="AH283" i="5"/>
  <c r="AH282" i="5"/>
  <c r="AH281" i="5"/>
  <c r="AH280" i="5"/>
  <c r="AH279" i="5"/>
  <c r="AH278" i="5"/>
  <c r="AH277" i="5"/>
  <c r="AH276" i="5"/>
  <c r="AH275" i="5"/>
  <c r="AH274" i="5"/>
  <c r="AH273" i="5"/>
  <c r="AH272" i="5"/>
  <c r="AH271" i="5"/>
  <c r="AH270" i="5"/>
  <c r="AH269" i="5"/>
  <c r="AH268" i="5"/>
  <c r="AH267" i="5"/>
  <c r="AH266" i="5"/>
  <c r="AH265" i="5"/>
  <c r="AH264" i="5"/>
  <c r="AH263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205" i="5"/>
  <c r="AH204" i="5"/>
  <c r="AH203" i="5"/>
  <c r="AH202" i="5"/>
  <c r="AI201" i="5"/>
  <c r="AH201" i="5"/>
  <c r="AI200" i="5"/>
  <c r="AH200" i="5"/>
  <c r="AI199" i="5"/>
  <c r="AH199" i="5"/>
  <c r="AI198" i="5"/>
  <c r="AH198" i="5"/>
  <c r="AI197" i="5"/>
  <c r="AH197" i="5"/>
  <c r="AI196" i="5"/>
  <c r="AH196" i="5"/>
  <c r="AI195" i="5"/>
  <c r="AH195" i="5"/>
  <c r="AI194" i="5"/>
  <c r="AH194" i="5"/>
  <c r="AI193" i="5"/>
  <c r="AH193" i="5"/>
  <c r="AI192" i="5"/>
  <c r="AH192" i="5"/>
  <c r="AI191" i="5"/>
  <c r="AH191" i="5"/>
  <c r="AI190" i="5"/>
  <c r="AH190" i="5"/>
  <c r="AI189" i="5"/>
  <c r="AH189" i="5"/>
  <c r="AI188" i="5"/>
  <c r="AH188" i="5"/>
  <c r="AI187" i="5"/>
  <c r="AH187" i="5"/>
  <c r="AI186" i="5"/>
  <c r="AH186" i="5"/>
  <c r="AI185" i="5"/>
  <c r="AH185" i="5"/>
  <c r="AI184" i="5"/>
  <c r="AH184" i="5"/>
  <c r="AI183" i="5"/>
  <c r="AH183" i="5"/>
  <c r="AI182" i="5"/>
  <c r="AH182" i="5"/>
  <c r="AI181" i="5"/>
  <c r="AH181" i="5"/>
  <c r="AI180" i="5"/>
  <c r="AH180" i="5"/>
  <c r="AI179" i="5"/>
  <c r="AH179" i="5"/>
  <c r="AI178" i="5"/>
  <c r="AH178" i="5"/>
  <c r="AI177" i="5"/>
  <c r="AH177" i="5"/>
  <c r="AI176" i="5"/>
  <c r="AH176" i="5"/>
  <c r="AI175" i="5"/>
  <c r="AH175" i="5"/>
  <c r="AI174" i="5"/>
  <c r="AH174" i="5"/>
  <c r="AI173" i="5"/>
  <c r="AH173" i="5"/>
  <c r="AI172" i="5"/>
  <c r="AH172" i="5"/>
  <c r="AI171" i="5"/>
  <c r="AH171" i="5"/>
  <c r="AI170" i="5"/>
  <c r="AH170" i="5"/>
  <c r="AI169" i="5"/>
  <c r="AH169" i="5"/>
  <c r="AI168" i="5"/>
  <c r="AH168" i="5"/>
  <c r="AI167" i="5"/>
  <c r="AH167" i="5"/>
  <c r="AI166" i="5"/>
  <c r="AH166" i="5"/>
  <c r="AI165" i="5"/>
  <c r="AH165" i="5"/>
  <c r="AI164" i="5"/>
  <c r="AH164" i="5"/>
  <c r="AI163" i="5"/>
  <c r="AH163" i="5"/>
  <c r="AI162" i="5"/>
  <c r="AH162" i="5"/>
  <c r="AI161" i="5"/>
  <c r="AH161" i="5"/>
  <c r="AI160" i="5"/>
  <c r="AH160" i="5"/>
  <c r="AI159" i="5"/>
  <c r="AH159" i="5"/>
  <c r="AI158" i="5"/>
  <c r="AH158" i="5"/>
  <c r="AI157" i="5"/>
  <c r="AH157" i="5"/>
  <c r="AI156" i="5"/>
  <c r="AH156" i="5"/>
  <c r="AI155" i="5"/>
  <c r="AH155" i="5"/>
  <c r="AI154" i="5"/>
  <c r="AH154" i="5"/>
  <c r="AI153" i="5"/>
  <c r="AH153" i="5"/>
  <c r="AI152" i="5"/>
  <c r="AH152" i="5"/>
  <c r="AI151" i="5"/>
  <c r="AH151" i="5"/>
  <c r="AI150" i="5"/>
  <c r="AH150" i="5"/>
  <c r="AI149" i="5"/>
  <c r="AH149" i="5"/>
  <c r="AI148" i="5"/>
  <c r="AH148" i="5"/>
  <c r="AI147" i="5"/>
  <c r="AH147" i="5"/>
  <c r="AI146" i="5"/>
  <c r="AH146" i="5"/>
  <c r="AI145" i="5"/>
  <c r="AH145" i="5"/>
  <c r="AI144" i="5"/>
  <c r="AH144" i="5"/>
  <c r="AI143" i="5"/>
  <c r="AH143" i="5"/>
  <c r="AI142" i="5"/>
  <c r="AH142" i="5"/>
  <c r="AI141" i="5"/>
  <c r="AH141" i="5"/>
  <c r="AI140" i="5"/>
  <c r="AH140" i="5"/>
  <c r="AI139" i="5"/>
  <c r="AH139" i="5"/>
  <c r="AI138" i="5"/>
  <c r="AH138" i="5"/>
  <c r="AI137" i="5"/>
  <c r="AH137" i="5"/>
  <c r="AI136" i="5"/>
  <c r="AH136" i="5"/>
  <c r="AI135" i="5"/>
  <c r="AH135" i="5"/>
  <c r="AI134" i="5"/>
  <c r="AH134" i="5"/>
  <c r="AI133" i="5"/>
  <c r="AH133" i="5"/>
  <c r="AI132" i="5"/>
  <c r="AH132" i="5"/>
  <c r="AI131" i="5"/>
  <c r="AH131" i="5"/>
  <c r="AI130" i="5"/>
  <c r="AH130" i="5"/>
  <c r="AI129" i="5"/>
  <c r="AH129" i="5"/>
  <c r="AI128" i="5"/>
  <c r="AH128" i="5"/>
  <c r="AI127" i="5"/>
  <c r="AH127" i="5"/>
  <c r="AI126" i="5"/>
  <c r="AH126" i="5"/>
  <c r="AI125" i="5"/>
  <c r="AH125" i="5"/>
  <c r="AI124" i="5"/>
  <c r="AH124" i="5"/>
  <c r="AI123" i="5"/>
  <c r="AH123" i="5"/>
  <c r="AI122" i="5"/>
  <c r="AH122" i="5"/>
  <c r="AI121" i="5"/>
  <c r="AH121" i="5"/>
  <c r="AI120" i="5"/>
  <c r="AH120" i="5"/>
  <c r="AI119" i="5"/>
  <c r="AH119" i="5"/>
  <c r="AI118" i="5"/>
  <c r="AH118" i="5"/>
  <c r="AI117" i="5"/>
  <c r="AH117" i="5"/>
  <c r="AI116" i="5"/>
  <c r="AH116" i="5"/>
  <c r="AI115" i="5"/>
  <c r="AH115" i="5"/>
  <c r="AI114" i="5"/>
  <c r="AH114" i="5"/>
  <c r="AI113" i="5"/>
  <c r="AH113" i="5"/>
  <c r="AI112" i="5"/>
  <c r="AH112" i="5"/>
  <c r="AI111" i="5"/>
  <c r="AH111" i="5"/>
  <c r="AI110" i="5"/>
  <c r="AH110" i="5"/>
  <c r="AI109" i="5"/>
  <c r="AH109" i="5"/>
  <c r="AI108" i="5"/>
  <c r="AH108" i="5"/>
  <c r="AI107" i="5"/>
  <c r="AH107" i="5"/>
  <c r="AI106" i="5"/>
  <c r="AH106" i="5"/>
  <c r="AI105" i="5"/>
  <c r="AH105" i="5"/>
  <c r="AI104" i="5"/>
  <c r="AH104" i="5"/>
  <c r="AI103" i="5"/>
  <c r="AH103" i="5"/>
  <c r="AI102" i="5"/>
  <c r="AH102" i="5"/>
  <c r="AI101" i="5"/>
  <c r="AH101" i="5"/>
  <c r="AI100" i="5"/>
  <c r="AH100" i="5"/>
  <c r="AI99" i="5"/>
  <c r="AH99" i="5"/>
  <c r="AI98" i="5"/>
  <c r="AH98" i="5"/>
  <c r="AI97" i="5"/>
  <c r="AH97" i="5"/>
  <c r="AI96" i="5"/>
  <c r="AH96" i="5"/>
  <c r="AI95" i="5"/>
  <c r="AH95" i="5"/>
  <c r="AI94" i="5"/>
  <c r="AH94" i="5"/>
  <c r="AI93" i="5"/>
  <c r="AH93" i="5"/>
  <c r="AI92" i="5"/>
  <c r="AH92" i="5"/>
  <c r="AI91" i="5"/>
  <c r="AH91" i="5"/>
  <c r="AI90" i="5"/>
  <c r="AH90" i="5"/>
  <c r="AI89" i="5"/>
  <c r="AH89" i="5"/>
  <c r="AI88" i="5"/>
  <c r="AH88" i="5"/>
  <c r="AI87" i="5"/>
  <c r="AH87" i="5"/>
  <c r="AI86" i="5"/>
  <c r="AH86" i="5"/>
  <c r="AI85" i="5"/>
  <c r="AH85" i="5"/>
  <c r="AI84" i="5"/>
  <c r="AH84" i="5"/>
  <c r="AI83" i="5"/>
  <c r="AH83" i="5"/>
  <c r="AI82" i="5"/>
  <c r="AH82" i="5"/>
  <c r="AI81" i="5"/>
  <c r="AH81" i="5"/>
  <c r="AI80" i="5"/>
  <c r="AH80" i="5"/>
  <c r="AI79" i="5"/>
  <c r="AH79" i="5"/>
  <c r="AI78" i="5"/>
  <c r="AH78" i="5"/>
  <c r="AI77" i="5"/>
  <c r="AH77" i="5"/>
  <c r="AI76" i="5"/>
  <c r="AH76" i="5"/>
  <c r="AI75" i="5"/>
  <c r="AH75" i="5"/>
  <c r="AI74" i="5"/>
  <c r="AH74" i="5"/>
  <c r="AH73" i="5"/>
  <c r="AH72" i="5"/>
  <c r="AH71" i="5"/>
  <c r="AH70" i="5"/>
  <c r="AH69" i="5"/>
  <c r="AH68" i="5"/>
  <c r="AH67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3" i="5"/>
  <c r="AH52" i="5"/>
  <c r="AH51" i="5"/>
  <c r="AH50" i="5"/>
  <c r="AH49" i="5"/>
  <c r="AH48" i="5"/>
  <c r="AH47" i="5"/>
  <c r="AH46" i="5"/>
  <c r="AH45" i="5"/>
  <c r="AH44" i="5"/>
  <c r="AH43" i="5"/>
  <c r="AH42" i="5"/>
  <c r="AH41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D379" i="5"/>
  <c r="AD378" i="5"/>
  <c r="AD377" i="5"/>
  <c r="AD376" i="5"/>
  <c r="AD375" i="5"/>
  <c r="AD374" i="5"/>
  <c r="AD373" i="5"/>
  <c r="AD372" i="5"/>
  <c r="AD371" i="5"/>
  <c r="AD370" i="5"/>
  <c r="AD369" i="5"/>
  <c r="AD368" i="5"/>
  <c r="AD367" i="5"/>
  <c r="AD366" i="5"/>
  <c r="AD365" i="5"/>
  <c r="AD364" i="5"/>
  <c r="AD363" i="5"/>
  <c r="AD362" i="5"/>
  <c r="AD361" i="5"/>
  <c r="AD360" i="5"/>
  <c r="AD359" i="5"/>
  <c r="AD358" i="5"/>
  <c r="AD357" i="5"/>
  <c r="AD356" i="5"/>
  <c r="AD355" i="5"/>
  <c r="AD354" i="5"/>
  <c r="AD353" i="5"/>
  <c r="AD352" i="5"/>
  <c r="AD351" i="5"/>
  <c r="AD350" i="5"/>
  <c r="AD349" i="5"/>
  <c r="AD348" i="5"/>
  <c r="AD347" i="5"/>
  <c r="AD346" i="5"/>
  <c r="AD345" i="5"/>
  <c r="AD344" i="5"/>
  <c r="AD343" i="5"/>
  <c r="AD342" i="5"/>
  <c r="AD341" i="5"/>
  <c r="AD340" i="5"/>
  <c r="AD339" i="5"/>
  <c r="AD338" i="5"/>
  <c r="AD337" i="5"/>
  <c r="AD336" i="5"/>
  <c r="AD335" i="5"/>
  <c r="AD334" i="5"/>
  <c r="AD333" i="5"/>
  <c r="AD332" i="5"/>
  <c r="AD331" i="5"/>
  <c r="AD330" i="5"/>
  <c r="AD329" i="5"/>
  <c r="AD328" i="5"/>
  <c r="AD327" i="5"/>
  <c r="AD326" i="5"/>
  <c r="AD325" i="5"/>
  <c r="AD324" i="5"/>
  <c r="AD323" i="5"/>
  <c r="AD322" i="5"/>
  <c r="AD321" i="5"/>
  <c r="AD320" i="5"/>
  <c r="AD319" i="5"/>
  <c r="AD318" i="5"/>
  <c r="AD317" i="5"/>
  <c r="AD316" i="5"/>
  <c r="AD315" i="5"/>
  <c r="AD314" i="5"/>
  <c r="AD313" i="5"/>
  <c r="AD312" i="5"/>
  <c r="AD311" i="5"/>
  <c r="AD310" i="5"/>
  <c r="AD309" i="5"/>
  <c r="AD308" i="5"/>
  <c r="AD307" i="5"/>
  <c r="AD306" i="5"/>
  <c r="AD305" i="5"/>
  <c r="AD304" i="5"/>
  <c r="AD303" i="5"/>
  <c r="AD302" i="5"/>
  <c r="AD301" i="5"/>
  <c r="AD300" i="5"/>
  <c r="AD299" i="5"/>
  <c r="AD298" i="5"/>
  <c r="AD297" i="5"/>
  <c r="AD296" i="5"/>
  <c r="AD295" i="5"/>
  <c r="AD294" i="5"/>
  <c r="AD293" i="5"/>
  <c r="AD292" i="5"/>
  <c r="AD291" i="5"/>
  <c r="AD290" i="5"/>
  <c r="AD289" i="5"/>
  <c r="AD288" i="5"/>
  <c r="AD287" i="5"/>
  <c r="AD286" i="5"/>
  <c r="AD285" i="5"/>
  <c r="AD284" i="5"/>
  <c r="AD283" i="5"/>
  <c r="AD282" i="5"/>
  <c r="AD281" i="5"/>
  <c r="AD280" i="5"/>
  <c r="AD279" i="5"/>
  <c r="AD278" i="5"/>
  <c r="AD277" i="5"/>
  <c r="AD276" i="5"/>
  <c r="AD275" i="5"/>
  <c r="AD274" i="5"/>
  <c r="AD273" i="5"/>
  <c r="AD272" i="5"/>
  <c r="AD271" i="5"/>
  <c r="AD270" i="5"/>
  <c r="AD269" i="5"/>
  <c r="AD268" i="5"/>
  <c r="AD267" i="5"/>
  <c r="AD266" i="5"/>
  <c r="AD265" i="5"/>
  <c r="AD264" i="5"/>
  <c r="AD263" i="5"/>
  <c r="AD262" i="5"/>
  <c r="AD261" i="5"/>
  <c r="AD260" i="5"/>
  <c r="AD259" i="5"/>
  <c r="AD258" i="5"/>
  <c r="AD257" i="5"/>
  <c r="AD256" i="5"/>
  <c r="AD255" i="5"/>
  <c r="AD254" i="5"/>
  <c r="AD253" i="5"/>
  <c r="AD252" i="5"/>
  <c r="AD251" i="5"/>
  <c r="AD250" i="5"/>
  <c r="AD249" i="5"/>
  <c r="AD248" i="5"/>
  <c r="AD247" i="5"/>
  <c r="AD246" i="5"/>
  <c r="AD245" i="5"/>
  <c r="AD244" i="5"/>
  <c r="AD243" i="5"/>
  <c r="AD242" i="5"/>
  <c r="AD241" i="5"/>
  <c r="AD240" i="5"/>
  <c r="AD239" i="5"/>
  <c r="AD238" i="5"/>
  <c r="AD237" i="5"/>
  <c r="AD236" i="5"/>
  <c r="AD235" i="5"/>
  <c r="AD234" i="5"/>
  <c r="AD233" i="5"/>
  <c r="AD232" i="5"/>
  <c r="AD231" i="5"/>
  <c r="AD230" i="5"/>
  <c r="AD229" i="5"/>
  <c r="AD228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205" i="5"/>
  <c r="AD204" i="5"/>
  <c r="AD203" i="5"/>
  <c r="AD202" i="5"/>
  <c r="AE201" i="5"/>
  <c r="AD201" i="5"/>
  <c r="AE200" i="5"/>
  <c r="AD200" i="5"/>
  <c r="AE199" i="5"/>
  <c r="AD199" i="5"/>
  <c r="AE198" i="5"/>
  <c r="AD198" i="5"/>
  <c r="AE197" i="5"/>
  <c r="AD197" i="5"/>
  <c r="AE196" i="5"/>
  <c r="AD196" i="5"/>
  <c r="AE195" i="5"/>
  <c r="AD195" i="5"/>
  <c r="AE194" i="5"/>
  <c r="AD194" i="5"/>
  <c r="AE193" i="5"/>
  <c r="AD193" i="5"/>
  <c r="AE192" i="5"/>
  <c r="AD192" i="5"/>
  <c r="AE191" i="5"/>
  <c r="AD191" i="5"/>
  <c r="AE190" i="5"/>
  <c r="AD190" i="5"/>
  <c r="AE189" i="5"/>
  <c r="AD189" i="5"/>
  <c r="AE188" i="5"/>
  <c r="AD188" i="5"/>
  <c r="AE187" i="5"/>
  <c r="AD187" i="5"/>
  <c r="AE186" i="5"/>
  <c r="AD186" i="5"/>
  <c r="AE185" i="5"/>
  <c r="AD185" i="5"/>
  <c r="AE184" i="5"/>
  <c r="AD184" i="5"/>
  <c r="AE183" i="5"/>
  <c r="AD183" i="5"/>
  <c r="AE182" i="5"/>
  <c r="AD182" i="5"/>
  <c r="AE181" i="5"/>
  <c r="AD181" i="5"/>
  <c r="AE180" i="5"/>
  <c r="AD180" i="5"/>
  <c r="AE179" i="5"/>
  <c r="AD179" i="5"/>
  <c r="AE178" i="5"/>
  <c r="AD178" i="5"/>
  <c r="AE177" i="5"/>
  <c r="AD177" i="5"/>
  <c r="AE176" i="5"/>
  <c r="AD176" i="5"/>
  <c r="AE175" i="5"/>
  <c r="AD175" i="5"/>
  <c r="AE174" i="5"/>
  <c r="AD174" i="5"/>
  <c r="AE173" i="5"/>
  <c r="AD173" i="5"/>
  <c r="AE172" i="5"/>
  <c r="AD172" i="5"/>
  <c r="AE171" i="5"/>
  <c r="AD171" i="5"/>
  <c r="AE170" i="5"/>
  <c r="AD170" i="5"/>
  <c r="AE169" i="5"/>
  <c r="AD169" i="5"/>
  <c r="AE168" i="5"/>
  <c r="AD168" i="5"/>
  <c r="AE167" i="5"/>
  <c r="AD167" i="5"/>
  <c r="AE166" i="5"/>
  <c r="AD166" i="5"/>
  <c r="AE165" i="5"/>
  <c r="AD165" i="5"/>
  <c r="AE164" i="5"/>
  <c r="AD164" i="5"/>
  <c r="AE163" i="5"/>
  <c r="AD163" i="5"/>
  <c r="AE162" i="5"/>
  <c r="AD162" i="5"/>
  <c r="AE161" i="5"/>
  <c r="AD161" i="5"/>
  <c r="AE160" i="5"/>
  <c r="AD160" i="5"/>
  <c r="AE159" i="5"/>
  <c r="AD159" i="5"/>
  <c r="AE158" i="5"/>
  <c r="AD158" i="5"/>
  <c r="AE157" i="5"/>
  <c r="AD157" i="5"/>
  <c r="AE156" i="5"/>
  <c r="AD156" i="5"/>
  <c r="AE155" i="5"/>
  <c r="AD155" i="5"/>
  <c r="AE154" i="5"/>
  <c r="AD154" i="5"/>
  <c r="AE153" i="5"/>
  <c r="AD153" i="5"/>
  <c r="AE152" i="5"/>
  <c r="AD152" i="5"/>
  <c r="AE151" i="5"/>
  <c r="AD151" i="5"/>
  <c r="AE150" i="5"/>
  <c r="AD150" i="5"/>
  <c r="AE149" i="5"/>
  <c r="AD149" i="5"/>
  <c r="AE148" i="5"/>
  <c r="AD148" i="5"/>
  <c r="AE147" i="5"/>
  <c r="AD147" i="5"/>
  <c r="AE146" i="5"/>
  <c r="AD146" i="5"/>
  <c r="AE145" i="5"/>
  <c r="AD145" i="5"/>
  <c r="AE144" i="5"/>
  <c r="AD144" i="5"/>
  <c r="AE143" i="5"/>
  <c r="AD143" i="5"/>
  <c r="AE142" i="5"/>
  <c r="AD142" i="5"/>
  <c r="AE141" i="5"/>
  <c r="AD141" i="5"/>
  <c r="AE140" i="5"/>
  <c r="AD140" i="5"/>
  <c r="AE139" i="5"/>
  <c r="AD139" i="5"/>
  <c r="AE138" i="5"/>
  <c r="AD138" i="5"/>
  <c r="AE137" i="5"/>
  <c r="AD137" i="5"/>
  <c r="AE136" i="5"/>
  <c r="AD136" i="5"/>
  <c r="AE135" i="5"/>
  <c r="AD135" i="5"/>
  <c r="AE134" i="5"/>
  <c r="AD134" i="5"/>
  <c r="AE133" i="5"/>
  <c r="AD133" i="5"/>
  <c r="AE132" i="5"/>
  <c r="AD132" i="5"/>
  <c r="AE131" i="5"/>
  <c r="AD131" i="5"/>
  <c r="AE130" i="5"/>
  <c r="AD130" i="5"/>
  <c r="AE129" i="5"/>
  <c r="AD129" i="5"/>
  <c r="AE128" i="5"/>
  <c r="AD128" i="5"/>
  <c r="AE127" i="5"/>
  <c r="AD127" i="5"/>
  <c r="AE126" i="5"/>
  <c r="AD126" i="5"/>
  <c r="AE125" i="5"/>
  <c r="AD125" i="5"/>
  <c r="AE124" i="5"/>
  <c r="AD124" i="5"/>
  <c r="AE123" i="5"/>
  <c r="AD123" i="5"/>
  <c r="AE122" i="5"/>
  <c r="AD122" i="5"/>
  <c r="AE121" i="5"/>
  <c r="AD121" i="5"/>
  <c r="AE120" i="5"/>
  <c r="AD120" i="5"/>
  <c r="AE119" i="5"/>
  <c r="AD119" i="5"/>
  <c r="AE118" i="5"/>
  <c r="AD118" i="5"/>
  <c r="AE117" i="5"/>
  <c r="AD117" i="5"/>
  <c r="AE116" i="5"/>
  <c r="AD116" i="5"/>
  <c r="AE115" i="5"/>
  <c r="AD115" i="5"/>
  <c r="AE114" i="5"/>
  <c r="AD114" i="5"/>
  <c r="AE113" i="5"/>
  <c r="AD113" i="5"/>
  <c r="AE112" i="5"/>
  <c r="AD112" i="5"/>
  <c r="AE111" i="5"/>
  <c r="AD111" i="5"/>
  <c r="AE110" i="5"/>
  <c r="AD110" i="5"/>
  <c r="AE109" i="5"/>
  <c r="AD109" i="5"/>
  <c r="AE108" i="5"/>
  <c r="AD108" i="5"/>
  <c r="AE107" i="5"/>
  <c r="AD107" i="5"/>
  <c r="AE106" i="5"/>
  <c r="AD106" i="5"/>
  <c r="AE105" i="5"/>
  <c r="AD105" i="5"/>
  <c r="AE104" i="5"/>
  <c r="AD104" i="5"/>
  <c r="AE103" i="5"/>
  <c r="AD103" i="5"/>
  <c r="AE102" i="5"/>
  <c r="AD102" i="5"/>
  <c r="AE101" i="5"/>
  <c r="AD101" i="5"/>
  <c r="AE100" i="5"/>
  <c r="AD100" i="5"/>
  <c r="AE99" i="5"/>
  <c r="AD99" i="5"/>
  <c r="AE98" i="5"/>
  <c r="AD98" i="5"/>
  <c r="AE97" i="5"/>
  <c r="AD97" i="5"/>
  <c r="AE96" i="5"/>
  <c r="AD96" i="5"/>
  <c r="AE95" i="5"/>
  <c r="AD95" i="5"/>
  <c r="AE94" i="5"/>
  <c r="AD94" i="5"/>
  <c r="AE93" i="5"/>
  <c r="AD93" i="5"/>
  <c r="AE92" i="5"/>
  <c r="AD92" i="5"/>
  <c r="AE91" i="5"/>
  <c r="AD91" i="5"/>
  <c r="AE90" i="5"/>
  <c r="AD90" i="5"/>
  <c r="AE89" i="5"/>
  <c r="AD89" i="5"/>
  <c r="AE88" i="5"/>
  <c r="AD88" i="5"/>
  <c r="AE87" i="5"/>
  <c r="AD87" i="5"/>
  <c r="AE86" i="5"/>
  <c r="AD86" i="5"/>
  <c r="AE85" i="5"/>
  <c r="AD85" i="5"/>
  <c r="AE84" i="5"/>
  <c r="AD84" i="5"/>
  <c r="AE83" i="5"/>
  <c r="AD83" i="5"/>
  <c r="AE82" i="5"/>
  <c r="AD82" i="5"/>
  <c r="AE81" i="5"/>
  <c r="AD81" i="5"/>
  <c r="AE80" i="5"/>
  <c r="AD80" i="5"/>
  <c r="AE79" i="5"/>
  <c r="AD79" i="5"/>
  <c r="AE78" i="5"/>
  <c r="AD78" i="5"/>
  <c r="AE77" i="5"/>
  <c r="AD77" i="5"/>
  <c r="AE76" i="5"/>
  <c r="AD76" i="5"/>
  <c r="AE75" i="5"/>
  <c r="AD75" i="5"/>
  <c r="AE74" i="5"/>
  <c r="AD74" i="5"/>
  <c r="AD73" i="5"/>
  <c r="AD72" i="5"/>
  <c r="AD71" i="5"/>
  <c r="AD70" i="5"/>
  <c r="AD69" i="5"/>
  <c r="AD68" i="5"/>
  <c r="AD67" i="5"/>
  <c r="AD66" i="5"/>
  <c r="AD65" i="5"/>
  <c r="AD64" i="5"/>
  <c r="AD63" i="5"/>
  <c r="AD62" i="5"/>
  <c r="AD61" i="5"/>
  <c r="AD60" i="5"/>
  <c r="AD59" i="5"/>
  <c r="AD58" i="5"/>
  <c r="AD57" i="5"/>
  <c r="AD56" i="5"/>
  <c r="AD55" i="5"/>
  <c r="AD54" i="5"/>
  <c r="AD53" i="5"/>
  <c r="AD52" i="5"/>
  <c r="AD51" i="5"/>
  <c r="AD50" i="5"/>
  <c r="AD49" i="5"/>
  <c r="AD48" i="5"/>
  <c r="AD47" i="5"/>
  <c r="AD46" i="5"/>
  <c r="AD45" i="5"/>
  <c r="AD44" i="5"/>
  <c r="AD43" i="5"/>
  <c r="AD42" i="5"/>
  <c r="AD41" i="5"/>
  <c r="AD40" i="5"/>
  <c r="AD39" i="5"/>
  <c r="AD38" i="5"/>
  <c r="AD37" i="5"/>
  <c r="AD36" i="5"/>
  <c r="AD35" i="5"/>
  <c r="AD34" i="5"/>
  <c r="AD33" i="5"/>
  <c r="AD32" i="5"/>
  <c r="AD31" i="5"/>
  <c r="AD30" i="5"/>
  <c r="AD29" i="5"/>
  <c r="AD28" i="5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Z379" i="5"/>
  <c r="Z378" i="5"/>
  <c r="Z377" i="5"/>
  <c r="Z376" i="5"/>
  <c r="Z375" i="5"/>
  <c r="Z374" i="5"/>
  <c r="Z373" i="5"/>
  <c r="Z372" i="5"/>
  <c r="Z371" i="5"/>
  <c r="Z370" i="5"/>
  <c r="Z369" i="5"/>
  <c r="Z368" i="5"/>
  <c r="Z367" i="5"/>
  <c r="Z366" i="5"/>
  <c r="Z365" i="5"/>
  <c r="Z364" i="5"/>
  <c r="Z363" i="5"/>
  <c r="Z362" i="5"/>
  <c r="Z361" i="5"/>
  <c r="Z360" i="5"/>
  <c r="Z359" i="5"/>
  <c r="Z358" i="5"/>
  <c r="Z357" i="5"/>
  <c r="Z356" i="5"/>
  <c r="Z355" i="5"/>
  <c r="Z354" i="5"/>
  <c r="Z353" i="5"/>
  <c r="Z352" i="5"/>
  <c r="Z351" i="5"/>
  <c r="Z350" i="5"/>
  <c r="Z349" i="5"/>
  <c r="Z348" i="5"/>
  <c r="Z347" i="5"/>
  <c r="Z346" i="5"/>
  <c r="Z345" i="5"/>
  <c r="Z344" i="5"/>
  <c r="Z343" i="5"/>
  <c r="Z342" i="5"/>
  <c r="Z341" i="5"/>
  <c r="Z340" i="5"/>
  <c r="Z339" i="5"/>
  <c r="Z338" i="5"/>
  <c r="Z337" i="5"/>
  <c r="Z336" i="5"/>
  <c r="Z335" i="5"/>
  <c r="Z334" i="5"/>
  <c r="Z333" i="5"/>
  <c r="Z332" i="5"/>
  <c r="Z331" i="5"/>
  <c r="Z330" i="5"/>
  <c r="Z329" i="5"/>
  <c r="Z328" i="5"/>
  <c r="Z327" i="5"/>
  <c r="Z326" i="5"/>
  <c r="Z325" i="5"/>
  <c r="Z324" i="5"/>
  <c r="Z323" i="5"/>
  <c r="Z322" i="5"/>
  <c r="Z321" i="5"/>
  <c r="Z320" i="5"/>
  <c r="Z319" i="5"/>
  <c r="Z318" i="5"/>
  <c r="Z317" i="5"/>
  <c r="Z316" i="5"/>
  <c r="Z315" i="5"/>
  <c r="Z314" i="5"/>
  <c r="Z313" i="5"/>
  <c r="Z312" i="5"/>
  <c r="Z311" i="5"/>
  <c r="Z310" i="5"/>
  <c r="Z309" i="5"/>
  <c r="Z308" i="5"/>
  <c r="Z307" i="5"/>
  <c r="Z306" i="5"/>
  <c r="Z305" i="5"/>
  <c r="Z304" i="5"/>
  <c r="Z303" i="5"/>
  <c r="Z302" i="5"/>
  <c r="Z301" i="5"/>
  <c r="Z300" i="5"/>
  <c r="Z299" i="5"/>
  <c r="Z298" i="5"/>
  <c r="Z297" i="5"/>
  <c r="Z296" i="5"/>
  <c r="Z295" i="5"/>
  <c r="Z294" i="5"/>
  <c r="Z293" i="5"/>
  <c r="Z292" i="5"/>
  <c r="Z291" i="5"/>
  <c r="Z290" i="5"/>
  <c r="Z289" i="5"/>
  <c r="Z288" i="5"/>
  <c r="Z287" i="5"/>
  <c r="Z286" i="5"/>
  <c r="Z285" i="5"/>
  <c r="Z284" i="5"/>
  <c r="Z283" i="5"/>
  <c r="Z282" i="5"/>
  <c r="Z281" i="5"/>
  <c r="Z280" i="5"/>
  <c r="Z279" i="5"/>
  <c r="Z278" i="5"/>
  <c r="Z277" i="5"/>
  <c r="Z276" i="5"/>
  <c r="Z275" i="5"/>
  <c r="Z274" i="5"/>
  <c r="Z273" i="5"/>
  <c r="Z272" i="5"/>
  <c r="Z271" i="5"/>
  <c r="Z270" i="5"/>
  <c r="Z269" i="5"/>
  <c r="Z268" i="5"/>
  <c r="Z267" i="5"/>
  <c r="Z266" i="5"/>
  <c r="Z265" i="5"/>
  <c r="Z264" i="5"/>
  <c r="Z263" i="5"/>
  <c r="Z262" i="5"/>
  <c r="Z261" i="5"/>
  <c r="Z260" i="5"/>
  <c r="Z259" i="5"/>
  <c r="Z258" i="5"/>
  <c r="Z257" i="5"/>
  <c r="Z256" i="5"/>
  <c r="Z255" i="5"/>
  <c r="Z254" i="5"/>
  <c r="Z253" i="5"/>
  <c r="Z252" i="5"/>
  <c r="Z251" i="5"/>
  <c r="Z250" i="5"/>
  <c r="Z249" i="5"/>
  <c r="Z248" i="5"/>
  <c r="Z247" i="5"/>
  <c r="Z246" i="5"/>
  <c r="Z245" i="5"/>
  <c r="Z244" i="5"/>
  <c r="Z243" i="5"/>
  <c r="Z242" i="5"/>
  <c r="Z241" i="5"/>
  <c r="Z240" i="5"/>
  <c r="Z239" i="5"/>
  <c r="Z238" i="5"/>
  <c r="Z237" i="5"/>
  <c r="Z236" i="5"/>
  <c r="Z235" i="5"/>
  <c r="Z234" i="5"/>
  <c r="Z233" i="5"/>
  <c r="Z232" i="5"/>
  <c r="Z231" i="5"/>
  <c r="Z230" i="5"/>
  <c r="Z229" i="5"/>
  <c r="Z228" i="5"/>
  <c r="Z227" i="5"/>
  <c r="Z226" i="5"/>
  <c r="Z225" i="5"/>
  <c r="Z224" i="5"/>
  <c r="Z223" i="5"/>
  <c r="Z222" i="5"/>
  <c r="Z221" i="5"/>
  <c r="Z220" i="5"/>
  <c r="Z219" i="5"/>
  <c r="Z218" i="5"/>
  <c r="Z217" i="5"/>
  <c r="Z216" i="5"/>
  <c r="Z215" i="5"/>
  <c r="Z214" i="5"/>
  <c r="Z213" i="5"/>
  <c r="Z212" i="5"/>
  <c r="Z211" i="5"/>
  <c r="Z210" i="5"/>
  <c r="Z209" i="5"/>
  <c r="Z208" i="5"/>
  <c r="Z207" i="5"/>
  <c r="Z206" i="5"/>
  <c r="Z205" i="5"/>
  <c r="Z204" i="5"/>
  <c r="Z203" i="5"/>
  <c r="Z202" i="5"/>
  <c r="AA201" i="5"/>
  <c r="Z201" i="5"/>
  <c r="AA200" i="5"/>
  <c r="Z200" i="5"/>
  <c r="AA199" i="5"/>
  <c r="Z199" i="5"/>
  <c r="AA198" i="5"/>
  <c r="Z198" i="5"/>
  <c r="AA197" i="5"/>
  <c r="Z197" i="5"/>
  <c r="AA196" i="5"/>
  <c r="Z196" i="5"/>
  <c r="AA195" i="5"/>
  <c r="Z195" i="5"/>
  <c r="AA194" i="5"/>
  <c r="Z194" i="5"/>
  <c r="AA193" i="5"/>
  <c r="Z193" i="5"/>
  <c r="AA192" i="5"/>
  <c r="Z192" i="5"/>
  <c r="AA191" i="5"/>
  <c r="Z191" i="5"/>
  <c r="AA190" i="5"/>
  <c r="Z190" i="5"/>
  <c r="AA189" i="5"/>
  <c r="Z189" i="5"/>
  <c r="AA188" i="5"/>
  <c r="Z188" i="5"/>
  <c r="AA187" i="5"/>
  <c r="Z187" i="5"/>
  <c r="AA186" i="5"/>
  <c r="Z186" i="5"/>
  <c r="AA185" i="5"/>
  <c r="Z185" i="5"/>
  <c r="AA184" i="5"/>
  <c r="Z184" i="5"/>
  <c r="AA183" i="5"/>
  <c r="Z183" i="5"/>
  <c r="AA182" i="5"/>
  <c r="Z182" i="5"/>
  <c r="AA181" i="5"/>
  <c r="Z181" i="5"/>
  <c r="AA180" i="5"/>
  <c r="Z180" i="5"/>
  <c r="AA179" i="5"/>
  <c r="Z179" i="5"/>
  <c r="AA178" i="5"/>
  <c r="Z178" i="5"/>
  <c r="AA177" i="5"/>
  <c r="Z177" i="5"/>
  <c r="AA176" i="5"/>
  <c r="Z176" i="5"/>
  <c r="AA175" i="5"/>
  <c r="Z175" i="5"/>
  <c r="AA174" i="5"/>
  <c r="Z174" i="5"/>
  <c r="AA173" i="5"/>
  <c r="Z173" i="5"/>
  <c r="AA172" i="5"/>
  <c r="Z172" i="5"/>
  <c r="AA171" i="5"/>
  <c r="Z171" i="5"/>
  <c r="AA170" i="5"/>
  <c r="Z170" i="5"/>
  <c r="AA169" i="5"/>
  <c r="Z169" i="5"/>
  <c r="AA168" i="5"/>
  <c r="Z168" i="5"/>
  <c r="AA167" i="5"/>
  <c r="Z167" i="5"/>
  <c r="AA166" i="5"/>
  <c r="Z166" i="5"/>
  <c r="AA165" i="5"/>
  <c r="Z165" i="5"/>
  <c r="AA164" i="5"/>
  <c r="Z164" i="5"/>
  <c r="AA163" i="5"/>
  <c r="Z163" i="5"/>
  <c r="AA162" i="5"/>
  <c r="Z162" i="5"/>
  <c r="AA161" i="5"/>
  <c r="Z161" i="5"/>
  <c r="AA160" i="5"/>
  <c r="Z160" i="5"/>
  <c r="AA159" i="5"/>
  <c r="Z159" i="5"/>
  <c r="AA158" i="5"/>
  <c r="Z158" i="5"/>
  <c r="AA157" i="5"/>
  <c r="Z157" i="5"/>
  <c r="AA156" i="5"/>
  <c r="Z156" i="5"/>
  <c r="AA155" i="5"/>
  <c r="Z155" i="5"/>
  <c r="AA154" i="5"/>
  <c r="Z154" i="5"/>
  <c r="AA153" i="5"/>
  <c r="Z153" i="5"/>
  <c r="AA152" i="5"/>
  <c r="Z152" i="5"/>
  <c r="AA151" i="5"/>
  <c r="Z151" i="5"/>
  <c r="AA150" i="5"/>
  <c r="Z150" i="5"/>
  <c r="AA149" i="5"/>
  <c r="Z149" i="5"/>
  <c r="AA148" i="5"/>
  <c r="Z148" i="5"/>
  <c r="AA147" i="5"/>
  <c r="Z147" i="5"/>
  <c r="AA146" i="5"/>
  <c r="Z146" i="5"/>
  <c r="AA145" i="5"/>
  <c r="Z145" i="5"/>
  <c r="AA144" i="5"/>
  <c r="Z144" i="5"/>
  <c r="AA143" i="5"/>
  <c r="Z143" i="5"/>
  <c r="AA142" i="5"/>
  <c r="Z142" i="5"/>
  <c r="AA141" i="5"/>
  <c r="Z141" i="5"/>
  <c r="AA140" i="5"/>
  <c r="Z140" i="5"/>
  <c r="AA139" i="5"/>
  <c r="Z139" i="5"/>
  <c r="AA138" i="5"/>
  <c r="Z138" i="5"/>
  <c r="AA137" i="5"/>
  <c r="Z137" i="5"/>
  <c r="AA136" i="5"/>
  <c r="Z136" i="5"/>
  <c r="AA135" i="5"/>
  <c r="Z135" i="5"/>
  <c r="AA134" i="5"/>
  <c r="Z134" i="5"/>
  <c r="AA133" i="5"/>
  <c r="Z133" i="5"/>
  <c r="AA132" i="5"/>
  <c r="Z132" i="5"/>
  <c r="AA131" i="5"/>
  <c r="Z131" i="5"/>
  <c r="AA130" i="5"/>
  <c r="Z130" i="5"/>
  <c r="AA129" i="5"/>
  <c r="Z129" i="5"/>
  <c r="AA128" i="5"/>
  <c r="Z128" i="5"/>
  <c r="AA127" i="5"/>
  <c r="Z127" i="5"/>
  <c r="AA126" i="5"/>
  <c r="Z126" i="5"/>
  <c r="AA125" i="5"/>
  <c r="Z125" i="5"/>
  <c r="AA124" i="5"/>
  <c r="Z124" i="5"/>
  <c r="AA123" i="5"/>
  <c r="Z123" i="5"/>
  <c r="AA122" i="5"/>
  <c r="Z122" i="5"/>
  <c r="AA121" i="5"/>
  <c r="Z121" i="5"/>
  <c r="AA120" i="5"/>
  <c r="Z120" i="5"/>
  <c r="AA119" i="5"/>
  <c r="Z119" i="5"/>
  <c r="AA118" i="5"/>
  <c r="Z118" i="5"/>
  <c r="AA117" i="5"/>
  <c r="Z117" i="5"/>
  <c r="AA116" i="5"/>
  <c r="Z116" i="5"/>
  <c r="AA115" i="5"/>
  <c r="Z115" i="5"/>
  <c r="AA114" i="5"/>
  <c r="Z114" i="5"/>
  <c r="AA113" i="5"/>
  <c r="Z113" i="5"/>
  <c r="AA112" i="5"/>
  <c r="Z112" i="5"/>
  <c r="AA111" i="5"/>
  <c r="Z111" i="5"/>
  <c r="AA110" i="5"/>
  <c r="Z110" i="5"/>
  <c r="AA109" i="5"/>
  <c r="Z109" i="5"/>
  <c r="AA108" i="5"/>
  <c r="Z108" i="5"/>
  <c r="AA107" i="5"/>
  <c r="Z107" i="5"/>
  <c r="AA106" i="5"/>
  <c r="Z106" i="5"/>
  <c r="AA105" i="5"/>
  <c r="Z105" i="5"/>
  <c r="AA104" i="5"/>
  <c r="Z104" i="5"/>
  <c r="AA103" i="5"/>
  <c r="Z103" i="5"/>
  <c r="AA102" i="5"/>
  <c r="Z102" i="5"/>
  <c r="AA101" i="5"/>
  <c r="Z101" i="5"/>
  <c r="AA100" i="5"/>
  <c r="Z100" i="5"/>
  <c r="AA99" i="5"/>
  <c r="Z99" i="5"/>
  <c r="AA98" i="5"/>
  <c r="Z98" i="5"/>
  <c r="AA97" i="5"/>
  <c r="Z97" i="5"/>
  <c r="AA96" i="5"/>
  <c r="Z96" i="5"/>
  <c r="AA95" i="5"/>
  <c r="Z95" i="5"/>
  <c r="AA94" i="5"/>
  <c r="Z94" i="5"/>
  <c r="AA93" i="5"/>
  <c r="Z93" i="5"/>
  <c r="AA92" i="5"/>
  <c r="Z92" i="5"/>
  <c r="AA91" i="5"/>
  <c r="Z91" i="5"/>
  <c r="AA90" i="5"/>
  <c r="Z90" i="5"/>
  <c r="AA89" i="5"/>
  <c r="Z89" i="5"/>
  <c r="AA88" i="5"/>
  <c r="Z88" i="5"/>
  <c r="AA87" i="5"/>
  <c r="Z87" i="5"/>
  <c r="AA86" i="5"/>
  <c r="Z86" i="5"/>
  <c r="AA85" i="5"/>
  <c r="Z85" i="5"/>
  <c r="AA84" i="5"/>
  <c r="Z84" i="5"/>
  <c r="AA83" i="5"/>
  <c r="Z83" i="5"/>
  <c r="AA82" i="5"/>
  <c r="Z82" i="5"/>
  <c r="AA81" i="5"/>
  <c r="Z81" i="5"/>
  <c r="AA80" i="5"/>
  <c r="Z80" i="5"/>
  <c r="AA79" i="5"/>
  <c r="Z79" i="5"/>
  <c r="AA78" i="5"/>
  <c r="Z78" i="5"/>
  <c r="AA77" i="5"/>
  <c r="Z77" i="5"/>
  <c r="AA76" i="5"/>
  <c r="Z76" i="5"/>
  <c r="AA75" i="5"/>
  <c r="Z75" i="5"/>
  <c r="AA74" i="5"/>
  <c r="Z74" i="5"/>
  <c r="Z73" i="5"/>
  <c r="Z72" i="5"/>
  <c r="Z71" i="5"/>
  <c r="Z70" i="5"/>
  <c r="Z69" i="5"/>
  <c r="Z68" i="5"/>
  <c r="Z67" i="5"/>
  <c r="Z66" i="5"/>
  <c r="Z65" i="5"/>
  <c r="Z64" i="5"/>
  <c r="Z63" i="5"/>
  <c r="Z62" i="5"/>
  <c r="Z61" i="5"/>
  <c r="Z60" i="5"/>
  <c r="Z59" i="5"/>
  <c r="Z58" i="5"/>
  <c r="Z57" i="5"/>
  <c r="Z56" i="5"/>
  <c r="Z55" i="5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Z25" i="5"/>
  <c r="Z24" i="5"/>
  <c r="Z23" i="5"/>
  <c r="Z22" i="5"/>
  <c r="Z21" i="5"/>
  <c r="Z20" i="5"/>
  <c r="Z19" i="5"/>
  <c r="Z18" i="5"/>
  <c r="Z17" i="5"/>
  <c r="Z16" i="5"/>
  <c r="Z15" i="5"/>
  <c r="V379" i="5"/>
  <c r="V378" i="5"/>
  <c r="V377" i="5"/>
  <c r="V376" i="5"/>
  <c r="V375" i="5"/>
  <c r="V374" i="5"/>
  <c r="V373" i="5"/>
  <c r="V372" i="5"/>
  <c r="V371" i="5"/>
  <c r="V370" i="5"/>
  <c r="V369" i="5"/>
  <c r="V368" i="5"/>
  <c r="V367" i="5"/>
  <c r="V366" i="5"/>
  <c r="V365" i="5"/>
  <c r="V364" i="5"/>
  <c r="V363" i="5"/>
  <c r="V362" i="5"/>
  <c r="V361" i="5"/>
  <c r="V360" i="5"/>
  <c r="V359" i="5"/>
  <c r="V358" i="5"/>
  <c r="V357" i="5"/>
  <c r="V356" i="5"/>
  <c r="V355" i="5"/>
  <c r="V354" i="5"/>
  <c r="V353" i="5"/>
  <c r="V352" i="5"/>
  <c r="V351" i="5"/>
  <c r="V350" i="5"/>
  <c r="V349" i="5"/>
  <c r="V348" i="5"/>
  <c r="V347" i="5"/>
  <c r="V346" i="5"/>
  <c r="V345" i="5"/>
  <c r="V344" i="5"/>
  <c r="V343" i="5"/>
  <c r="V342" i="5"/>
  <c r="V341" i="5"/>
  <c r="V340" i="5"/>
  <c r="V339" i="5"/>
  <c r="V338" i="5"/>
  <c r="V337" i="5"/>
  <c r="V336" i="5"/>
  <c r="V335" i="5"/>
  <c r="V334" i="5"/>
  <c r="V333" i="5"/>
  <c r="V332" i="5"/>
  <c r="V331" i="5"/>
  <c r="V330" i="5"/>
  <c r="V329" i="5"/>
  <c r="V328" i="5"/>
  <c r="V327" i="5"/>
  <c r="V326" i="5"/>
  <c r="V325" i="5"/>
  <c r="V324" i="5"/>
  <c r="V323" i="5"/>
  <c r="V322" i="5"/>
  <c r="V321" i="5"/>
  <c r="V320" i="5"/>
  <c r="V319" i="5"/>
  <c r="V318" i="5"/>
  <c r="V317" i="5"/>
  <c r="V316" i="5"/>
  <c r="V315" i="5"/>
  <c r="V314" i="5"/>
  <c r="V313" i="5"/>
  <c r="V312" i="5"/>
  <c r="V311" i="5"/>
  <c r="V310" i="5"/>
  <c r="V309" i="5"/>
  <c r="V308" i="5"/>
  <c r="V307" i="5"/>
  <c r="V306" i="5"/>
  <c r="V305" i="5"/>
  <c r="V304" i="5"/>
  <c r="V303" i="5"/>
  <c r="V302" i="5"/>
  <c r="V301" i="5"/>
  <c r="V300" i="5"/>
  <c r="V299" i="5"/>
  <c r="V298" i="5"/>
  <c r="V297" i="5"/>
  <c r="V296" i="5"/>
  <c r="V295" i="5"/>
  <c r="V294" i="5"/>
  <c r="V293" i="5"/>
  <c r="V292" i="5"/>
  <c r="V291" i="5"/>
  <c r="V290" i="5"/>
  <c r="V289" i="5"/>
  <c r="V288" i="5"/>
  <c r="V287" i="5"/>
  <c r="V286" i="5"/>
  <c r="V285" i="5"/>
  <c r="V284" i="5"/>
  <c r="V283" i="5"/>
  <c r="V282" i="5"/>
  <c r="V281" i="5"/>
  <c r="V280" i="5"/>
  <c r="V279" i="5"/>
  <c r="V278" i="5"/>
  <c r="V277" i="5"/>
  <c r="V276" i="5"/>
  <c r="V275" i="5"/>
  <c r="V274" i="5"/>
  <c r="V273" i="5"/>
  <c r="V272" i="5"/>
  <c r="V271" i="5"/>
  <c r="V270" i="5"/>
  <c r="V269" i="5"/>
  <c r="V268" i="5"/>
  <c r="V267" i="5"/>
  <c r="V266" i="5"/>
  <c r="V265" i="5"/>
  <c r="V264" i="5"/>
  <c r="V263" i="5"/>
  <c r="V262" i="5"/>
  <c r="V261" i="5"/>
  <c r="V260" i="5"/>
  <c r="V259" i="5"/>
  <c r="V258" i="5"/>
  <c r="V257" i="5"/>
  <c r="V256" i="5"/>
  <c r="V255" i="5"/>
  <c r="V254" i="5"/>
  <c r="V253" i="5"/>
  <c r="V252" i="5"/>
  <c r="V251" i="5"/>
  <c r="V250" i="5"/>
  <c r="V249" i="5"/>
  <c r="V248" i="5"/>
  <c r="V247" i="5"/>
  <c r="V246" i="5"/>
  <c r="V245" i="5"/>
  <c r="V244" i="5"/>
  <c r="V243" i="5"/>
  <c r="V242" i="5"/>
  <c r="V241" i="5"/>
  <c r="V240" i="5"/>
  <c r="V239" i="5"/>
  <c r="V238" i="5"/>
  <c r="V237" i="5"/>
  <c r="V236" i="5"/>
  <c r="V235" i="5"/>
  <c r="V234" i="5"/>
  <c r="V233" i="5"/>
  <c r="V232" i="5"/>
  <c r="V231" i="5"/>
  <c r="V230" i="5"/>
  <c r="V229" i="5"/>
  <c r="V228" i="5"/>
  <c r="V227" i="5"/>
  <c r="V226" i="5"/>
  <c r="V225" i="5"/>
  <c r="V224" i="5"/>
  <c r="V223" i="5"/>
  <c r="V222" i="5"/>
  <c r="V221" i="5"/>
  <c r="V220" i="5"/>
  <c r="V219" i="5"/>
  <c r="V218" i="5"/>
  <c r="V217" i="5"/>
  <c r="V216" i="5"/>
  <c r="V215" i="5"/>
  <c r="V214" i="5"/>
  <c r="V213" i="5"/>
  <c r="V212" i="5"/>
  <c r="V211" i="5"/>
  <c r="V210" i="5"/>
  <c r="V209" i="5"/>
  <c r="V208" i="5"/>
  <c r="V207" i="5"/>
  <c r="V206" i="5"/>
  <c r="V205" i="5"/>
  <c r="V204" i="5"/>
  <c r="V203" i="5"/>
  <c r="V202" i="5"/>
  <c r="W201" i="5"/>
  <c r="V201" i="5"/>
  <c r="W200" i="5"/>
  <c r="V200" i="5"/>
  <c r="W199" i="5"/>
  <c r="V199" i="5"/>
  <c r="W198" i="5"/>
  <c r="V198" i="5"/>
  <c r="W197" i="5"/>
  <c r="V197" i="5"/>
  <c r="W196" i="5"/>
  <c r="V196" i="5"/>
  <c r="W195" i="5"/>
  <c r="V195" i="5"/>
  <c r="W194" i="5"/>
  <c r="V194" i="5"/>
  <c r="W193" i="5"/>
  <c r="V193" i="5"/>
  <c r="W192" i="5"/>
  <c r="V192" i="5"/>
  <c r="W191" i="5"/>
  <c r="V191" i="5"/>
  <c r="W190" i="5"/>
  <c r="V190" i="5"/>
  <c r="W189" i="5"/>
  <c r="V189" i="5"/>
  <c r="W188" i="5"/>
  <c r="V188" i="5"/>
  <c r="W187" i="5"/>
  <c r="V187" i="5"/>
  <c r="W186" i="5"/>
  <c r="V186" i="5"/>
  <c r="W185" i="5"/>
  <c r="V185" i="5"/>
  <c r="W184" i="5"/>
  <c r="V184" i="5"/>
  <c r="W183" i="5"/>
  <c r="V183" i="5"/>
  <c r="W182" i="5"/>
  <c r="V182" i="5"/>
  <c r="W181" i="5"/>
  <c r="V181" i="5"/>
  <c r="W180" i="5"/>
  <c r="V180" i="5"/>
  <c r="W179" i="5"/>
  <c r="V179" i="5"/>
  <c r="W178" i="5"/>
  <c r="V178" i="5"/>
  <c r="W177" i="5"/>
  <c r="V177" i="5"/>
  <c r="W176" i="5"/>
  <c r="V176" i="5"/>
  <c r="W175" i="5"/>
  <c r="V175" i="5"/>
  <c r="W174" i="5"/>
  <c r="V174" i="5"/>
  <c r="W173" i="5"/>
  <c r="V173" i="5"/>
  <c r="W172" i="5"/>
  <c r="V172" i="5"/>
  <c r="W171" i="5"/>
  <c r="V171" i="5"/>
  <c r="W170" i="5"/>
  <c r="V170" i="5"/>
  <c r="W169" i="5"/>
  <c r="V169" i="5"/>
  <c r="W168" i="5"/>
  <c r="V168" i="5"/>
  <c r="W167" i="5"/>
  <c r="V167" i="5"/>
  <c r="W166" i="5"/>
  <c r="V166" i="5"/>
  <c r="W165" i="5"/>
  <c r="V165" i="5"/>
  <c r="W164" i="5"/>
  <c r="V164" i="5"/>
  <c r="W163" i="5"/>
  <c r="V163" i="5"/>
  <c r="W162" i="5"/>
  <c r="V162" i="5"/>
  <c r="W161" i="5"/>
  <c r="V161" i="5"/>
  <c r="W160" i="5"/>
  <c r="V160" i="5"/>
  <c r="W159" i="5"/>
  <c r="V159" i="5"/>
  <c r="W158" i="5"/>
  <c r="V158" i="5"/>
  <c r="W157" i="5"/>
  <c r="V157" i="5"/>
  <c r="W156" i="5"/>
  <c r="V156" i="5"/>
  <c r="W155" i="5"/>
  <c r="V155" i="5"/>
  <c r="W154" i="5"/>
  <c r="V154" i="5"/>
  <c r="W153" i="5"/>
  <c r="V153" i="5"/>
  <c r="W152" i="5"/>
  <c r="V152" i="5"/>
  <c r="W151" i="5"/>
  <c r="V151" i="5"/>
  <c r="W150" i="5"/>
  <c r="V150" i="5"/>
  <c r="W149" i="5"/>
  <c r="V149" i="5"/>
  <c r="W148" i="5"/>
  <c r="V148" i="5"/>
  <c r="W147" i="5"/>
  <c r="V147" i="5"/>
  <c r="W146" i="5"/>
  <c r="V146" i="5"/>
  <c r="W145" i="5"/>
  <c r="V145" i="5"/>
  <c r="W144" i="5"/>
  <c r="V144" i="5"/>
  <c r="W143" i="5"/>
  <c r="V143" i="5"/>
  <c r="W142" i="5"/>
  <c r="V142" i="5"/>
  <c r="W141" i="5"/>
  <c r="V141" i="5"/>
  <c r="W140" i="5"/>
  <c r="V140" i="5"/>
  <c r="W139" i="5"/>
  <c r="V139" i="5"/>
  <c r="W138" i="5"/>
  <c r="V138" i="5"/>
  <c r="W137" i="5"/>
  <c r="V137" i="5"/>
  <c r="W136" i="5"/>
  <c r="V136" i="5"/>
  <c r="W135" i="5"/>
  <c r="V135" i="5"/>
  <c r="W134" i="5"/>
  <c r="V134" i="5"/>
  <c r="W133" i="5"/>
  <c r="V133" i="5"/>
  <c r="W132" i="5"/>
  <c r="V132" i="5"/>
  <c r="W131" i="5"/>
  <c r="V131" i="5"/>
  <c r="W130" i="5"/>
  <c r="V130" i="5"/>
  <c r="W129" i="5"/>
  <c r="V129" i="5"/>
  <c r="W128" i="5"/>
  <c r="V128" i="5"/>
  <c r="W127" i="5"/>
  <c r="V127" i="5"/>
  <c r="W126" i="5"/>
  <c r="V126" i="5"/>
  <c r="W125" i="5"/>
  <c r="V125" i="5"/>
  <c r="W124" i="5"/>
  <c r="V124" i="5"/>
  <c r="W123" i="5"/>
  <c r="V123" i="5"/>
  <c r="W122" i="5"/>
  <c r="V122" i="5"/>
  <c r="W121" i="5"/>
  <c r="V121" i="5"/>
  <c r="W120" i="5"/>
  <c r="V120" i="5"/>
  <c r="W119" i="5"/>
  <c r="V119" i="5"/>
  <c r="W118" i="5"/>
  <c r="V118" i="5"/>
  <c r="W117" i="5"/>
  <c r="V117" i="5"/>
  <c r="W116" i="5"/>
  <c r="V116" i="5"/>
  <c r="W115" i="5"/>
  <c r="V115" i="5"/>
  <c r="W114" i="5"/>
  <c r="V114" i="5"/>
  <c r="W113" i="5"/>
  <c r="V113" i="5"/>
  <c r="W112" i="5"/>
  <c r="V112" i="5"/>
  <c r="W111" i="5"/>
  <c r="V111" i="5"/>
  <c r="W110" i="5"/>
  <c r="V110" i="5"/>
  <c r="W109" i="5"/>
  <c r="V109" i="5"/>
  <c r="W108" i="5"/>
  <c r="V108" i="5"/>
  <c r="W107" i="5"/>
  <c r="V107" i="5"/>
  <c r="W106" i="5"/>
  <c r="V106" i="5"/>
  <c r="W105" i="5"/>
  <c r="V105" i="5"/>
  <c r="W104" i="5"/>
  <c r="V104" i="5"/>
  <c r="W103" i="5"/>
  <c r="V103" i="5"/>
  <c r="W102" i="5"/>
  <c r="V102" i="5"/>
  <c r="W101" i="5"/>
  <c r="V101" i="5"/>
  <c r="W100" i="5"/>
  <c r="V100" i="5"/>
  <c r="W99" i="5"/>
  <c r="V99" i="5"/>
  <c r="W98" i="5"/>
  <c r="V98" i="5"/>
  <c r="W97" i="5"/>
  <c r="V97" i="5"/>
  <c r="W96" i="5"/>
  <c r="V96" i="5"/>
  <c r="W95" i="5"/>
  <c r="V95" i="5"/>
  <c r="W94" i="5"/>
  <c r="V94" i="5"/>
  <c r="W93" i="5"/>
  <c r="V93" i="5"/>
  <c r="W92" i="5"/>
  <c r="V92" i="5"/>
  <c r="W91" i="5"/>
  <c r="V91" i="5"/>
  <c r="W90" i="5"/>
  <c r="V90" i="5"/>
  <c r="W89" i="5"/>
  <c r="V89" i="5"/>
  <c r="W88" i="5"/>
  <c r="V88" i="5"/>
  <c r="W87" i="5"/>
  <c r="V87" i="5"/>
  <c r="W86" i="5"/>
  <c r="V86" i="5"/>
  <c r="W85" i="5"/>
  <c r="V85" i="5"/>
  <c r="W84" i="5"/>
  <c r="V84" i="5"/>
  <c r="W83" i="5"/>
  <c r="V83" i="5"/>
  <c r="W82" i="5"/>
  <c r="V82" i="5"/>
  <c r="W81" i="5"/>
  <c r="V81" i="5"/>
  <c r="W80" i="5"/>
  <c r="V80" i="5"/>
  <c r="W79" i="5"/>
  <c r="V79" i="5"/>
  <c r="W78" i="5"/>
  <c r="V78" i="5"/>
  <c r="W77" i="5"/>
  <c r="V77" i="5"/>
  <c r="W76" i="5"/>
  <c r="V76" i="5"/>
  <c r="W75" i="5"/>
  <c r="V75" i="5"/>
  <c r="W74" i="5"/>
  <c r="V74" i="5"/>
  <c r="V73" i="5"/>
  <c r="V72" i="5"/>
  <c r="V71" i="5"/>
  <c r="V70" i="5"/>
  <c r="V69" i="5"/>
  <c r="V68" i="5"/>
  <c r="V67" i="5"/>
  <c r="V66" i="5"/>
  <c r="V65" i="5"/>
  <c r="V64" i="5"/>
  <c r="V63" i="5"/>
  <c r="V62" i="5"/>
  <c r="V61" i="5"/>
  <c r="V60" i="5"/>
  <c r="V59" i="5"/>
  <c r="V58" i="5"/>
  <c r="V57" i="5"/>
  <c r="V56" i="5"/>
  <c r="V55" i="5"/>
  <c r="V54" i="5"/>
  <c r="V53" i="5"/>
  <c r="V52" i="5"/>
  <c r="V51" i="5"/>
  <c r="V50" i="5"/>
  <c r="V49" i="5"/>
  <c r="V48" i="5"/>
  <c r="V47" i="5"/>
  <c r="V46" i="5"/>
  <c r="V45" i="5"/>
  <c r="V44" i="5"/>
  <c r="V43" i="5"/>
  <c r="V42" i="5"/>
  <c r="V41" i="5"/>
  <c r="V40" i="5"/>
  <c r="V39" i="5"/>
  <c r="V38" i="5"/>
  <c r="V37" i="5"/>
  <c r="V36" i="5"/>
  <c r="V35" i="5"/>
  <c r="V34" i="5"/>
  <c r="V33" i="5"/>
  <c r="V32" i="5"/>
  <c r="V31" i="5"/>
  <c r="V30" i="5"/>
  <c r="V29" i="5"/>
  <c r="V28" i="5"/>
  <c r="V27" i="5"/>
  <c r="V26" i="5"/>
  <c r="V25" i="5"/>
  <c r="V24" i="5"/>
  <c r="V23" i="5"/>
  <c r="V22" i="5"/>
  <c r="V21" i="5"/>
  <c r="V20" i="5"/>
  <c r="V19" i="5"/>
  <c r="V18" i="5"/>
  <c r="V17" i="5"/>
  <c r="V16" i="5"/>
  <c r="V15" i="5"/>
  <c r="R379" i="5"/>
  <c r="R378" i="5"/>
  <c r="R377" i="5"/>
  <c r="R376" i="5"/>
  <c r="R375" i="5"/>
  <c r="R374" i="5"/>
  <c r="R373" i="5"/>
  <c r="R372" i="5"/>
  <c r="R371" i="5"/>
  <c r="R370" i="5"/>
  <c r="R369" i="5"/>
  <c r="R368" i="5"/>
  <c r="R367" i="5"/>
  <c r="R366" i="5"/>
  <c r="R365" i="5"/>
  <c r="R364" i="5"/>
  <c r="R363" i="5"/>
  <c r="R362" i="5"/>
  <c r="R361" i="5"/>
  <c r="R360" i="5"/>
  <c r="R359" i="5"/>
  <c r="R358" i="5"/>
  <c r="R357" i="5"/>
  <c r="R356" i="5"/>
  <c r="R355" i="5"/>
  <c r="R354" i="5"/>
  <c r="R353" i="5"/>
  <c r="R352" i="5"/>
  <c r="R351" i="5"/>
  <c r="R350" i="5"/>
  <c r="R349" i="5"/>
  <c r="R348" i="5"/>
  <c r="R347" i="5"/>
  <c r="R346" i="5"/>
  <c r="R345" i="5"/>
  <c r="R344" i="5"/>
  <c r="R343" i="5"/>
  <c r="R342" i="5"/>
  <c r="R341" i="5"/>
  <c r="R340" i="5"/>
  <c r="R339" i="5"/>
  <c r="R338" i="5"/>
  <c r="R337" i="5"/>
  <c r="R336" i="5"/>
  <c r="R335" i="5"/>
  <c r="R334" i="5"/>
  <c r="R333" i="5"/>
  <c r="R332" i="5"/>
  <c r="R331" i="5"/>
  <c r="R330" i="5"/>
  <c r="R329" i="5"/>
  <c r="R328" i="5"/>
  <c r="R327" i="5"/>
  <c r="R326" i="5"/>
  <c r="R325" i="5"/>
  <c r="R324" i="5"/>
  <c r="R323" i="5"/>
  <c r="R322" i="5"/>
  <c r="R321" i="5"/>
  <c r="R320" i="5"/>
  <c r="R319" i="5"/>
  <c r="R318" i="5"/>
  <c r="R317" i="5"/>
  <c r="R316" i="5"/>
  <c r="R315" i="5"/>
  <c r="R314" i="5"/>
  <c r="R313" i="5"/>
  <c r="R312" i="5"/>
  <c r="R311" i="5"/>
  <c r="R310" i="5"/>
  <c r="R309" i="5"/>
  <c r="R308" i="5"/>
  <c r="R307" i="5"/>
  <c r="R306" i="5"/>
  <c r="R305" i="5"/>
  <c r="R304" i="5"/>
  <c r="R303" i="5"/>
  <c r="R302" i="5"/>
  <c r="R301" i="5"/>
  <c r="R300" i="5"/>
  <c r="R299" i="5"/>
  <c r="R298" i="5"/>
  <c r="R297" i="5"/>
  <c r="R296" i="5"/>
  <c r="R295" i="5"/>
  <c r="R294" i="5"/>
  <c r="R293" i="5"/>
  <c r="R292" i="5"/>
  <c r="R291" i="5"/>
  <c r="R290" i="5"/>
  <c r="R289" i="5"/>
  <c r="R288" i="5"/>
  <c r="R287" i="5"/>
  <c r="R286" i="5"/>
  <c r="R285" i="5"/>
  <c r="R284" i="5"/>
  <c r="R283" i="5"/>
  <c r="R282" i="5"/>
  <c r="R281" i="5"/>
  <c r="R280" i="5"/>
  <c r="R279" i="5"/>
  <c r="R278" i="5"/>
  <c r="R277" i="5"/>
  <c r="R276" i="5"/>
  <c r="R275" i="5"/>
  <c r="R274" i="5"/>
  <c r="R273" i="5"/>
  <c r="R272" i="5"/>
  <c r="R271" i="5"/>
  <c r="R270" i="5"/>
  <c r="R269" i="5"/>
  <c r="R268" i="5"/>
  <c r="R267" i="5"/>
  <c r="R266" i="5"/>
  <c r="R265" i="5"/>
  <c r="R264" i="5"/>
  <c r="R263" i="5"/>
  <c r="R262" i="5"/>
  <c r="R261" i="5"/>
  <c r="R260" i="5"/>
  <c r="R259" i="5"/>
  <c r="R258" i="5"/>
  <c r="R257" i="5"/>
  <c r="R256" i="5"/>
  <c r="R255" i="5"/>
  <c r="R254" i="5"/>
  <c r="R253" i="5"/>
  <c r="R252" i="5"/>
  <c r="R251" i="5"/>
  <c r="R250" i="5"/>
  <c r="R249" i="5"/>
  <c r="R248" i="5"/>
  <c r="R247" i="5"/>
  <c r="R246" i="5"/>
  <c r="R245" i="5"/>
  <c r="R244" i="5"/>
  <c r="R243" i="5"/>
  <c r="R242" i="5"/>
  <c r="R241" i="5"/>
  <c r="R240" i="5"/>
  <c r="R239" i="5"/>
  <c r="R238" i="5"/>
  <c r="R237" i="5"/>
  <c r="R236" i="5"/>
  <c r="R235" i="5"/>
  <c r="R234" i="5"/>
  <c r="R233" i="5"/>
  <c r="R232" i="5"/>
  <c r="R231" i="5"/>
  <c r="R230" i="5"/>
  <c r="R229" i="5"/>
  <c r="R228" i="5"/>
  <c r="R227" i="5"/>
  <c r="R226" i="5"/>
  <c r="R225" i="5"/>
  <c r="R224" i="5"/>
  <c r="R223" i="5"/>
  <c r="R222" i="5"/>
  <c r="R221" i="5"/>
  <c r="R220" i="5"/>
  <c r="R219" i="5"/>
  <c r="R218" i="5"/>
  <c r="R217" i="5"/>
  <c r="R216" i="5"/>
  <c r="R215" i="5"/>
  <c r="R214" i="5"/>
  <c r="R213" i="5"/>
  <c r="R212" i="5"/>
  <c r="R211" i="5"/>
  <c r="R210" i="5"/>
  <c r="R209" i="5"/>
  <c r="R208" i="5"/>
  <c r="R207" i="5"/>
  <c r="R206" i="5"/>
  <c r="R205" i="5"/>
  <c r="R204" i="5"/>
  <c r="R203" i="5"/>
  <c r="R202" i="5"/>
  <c r="S201" i="5"/>
  <c r="R201" i="5"/>
  <c r="S200" i="5"/>
  <c r="R200" i="5"/>
  <c r="S199" i="5"/>
  <c r="R199" i="5"/>
  <c r="S198" i="5"/>
  <c r="R198" i="5"/>
  <c r="S197" i="5"/>
  <c r="R197" i="5"/>
  <c r="S196" i="5"/>
  <c r="R196" i="5"/>
  <c r="S195" i="5"/>
  <c r="R195" i="5"/>
  <c r="S194" i="5"/>
  <c r="R194" i="5"/>
  <c r="S193" i="5"/>
  <c r="R193" i="5"/>
  <c r="S192" i="5"/>
  <c r="R192" i="5"/>
  <c r="S191" i="5"/>
  <c r="R191" i="5"/>
  <c r="S190" i="5"/>
  <c r="R190" i="5"/>
  <c r="S189" i="5"/>
  <c r="R189" i="5"/>
  <c r="S188" i="5"/>
  <c r="R188" i="5"/>
  <c r="S187" i="5"/>
  <c r="R187" i="5"/>
  <c r="S186" i="5"/>
  <c r="R186" i="5"/>
  <c r="S185" i="5"/>
  <c r="R185" i="5"/>
  <c r="S184" i="5"/>
  <c r="R184" i="5"/>
  <c r="S183" i="5"/>
  <c r="R183" i="5"/>
  <c r="S182" i="5"/>
  <c r="R182" i="5"/>
  <c r="S181" i="5"/>
  <c r="R181" i="5"/>
  <c r="S180" i="5"/>
  <c r="R180" i="5"/>
  <c r="S179" i="5"/>
  <c r="R179" i="5"/>
  <c r="S178" i="5"/>
  <c r="R178" i="5"/>
  <c r="S177" i="5"/>
  <c r="R177" i="5"/>
  <c r="S176" i="5"/>
  <c r="R176" i="5"/>
  <c r="S175" i="5"/>
  <c r="R175" i="5"/>
  <c r="S174" i="5"/>
  <c r="R174" i="5"/>
  <c r="S173" i="5"/>
  <c r="R173" i="5"/>
  <c r="S172" i="5"/>
  <c r="R172" i="5"/>
  <c r="S171" i="5"/>
  <c r="R171" i="5"/>
  <c r="S170" i="5"/>
  <c r="R170" i="5"/>
  <c r="S169" i="5"/>
  <c r="R169" i="5"/>
  <c r="S168" i="5"/>
  <c r="R168" i="5"/>
  <c r="S167" i="5"/>
  <c r="R167" i="5"/>
  <c r="S166" i="5"/>
  <c r="R166" i="5"/>
  <c r="S165" i="5"/>
  <c r="R165" i="5"/>
  <c r="S164" i="5"/>
  <c r="R164" i="5"/>
  <c r="S163" i="5"/>
  <c r="R163" i="5"/>
  <c r="S162" i="5"/>
  <c r="R162" i="5"/>
  <c r="S161" i="5"/>
  <c r="R161" i="5"/>
  <c r="S160" i="5"/>
  <c r="R160" i="5"/>
  <c r="S159" i="5"/>
  <c r="R159" i="5"/>
  <c r="S158" i="5"/>
  <c r="R158" i="5"/>
  <c r="S157" i="5"/>
  <c r="R157" i="5"/>
  <c r="S156" i="5"/>
  <c r="R156" i="5"/>
  <c r="S155" i="5"/>
  <c r="R155" i="5"/>
  <c r="S154" i="5"/>
  <c r="R154" i="5"/>
  <c r="S153" i="5"/>
  <c r="R153" i="5"/>
  <c r="S152" i="5"/>
  <c r="R152" i="5"/>
  <c r="S151" i="5"/>
  <c r="R151" i="5"/>
  <c r="S150" i="5"/>
  <c r="R150" i="5"/>
  <c r="S149" i="5"/>
  <c r="R149" i="5"/>
  <c r="S148" i="5"/>
  <c r="R148" i="5"/>
  <c r="S147" i="5"/>
  <c r="R147" i="5"/>
  <c r="S146" i="5"/>
  <c r="R146" i="5"/>
  <c r="S145" i="5"/>
  <c r="R145" i="5"/>
  <c r="S144" i="5"/>
  <c r="R144" i="5"/>
  <c r="S143" i="5"/>
  <c r="R143" i="5"/>
  <c r="S142" i="5"/>
  <c r="R142" i="5"/>
  <c r="S141" i="5"/>
  <c r="R141" i="5"/>
  <c r="S140" i="5"/>
  <c r="R140" i="5"/>
  <c r="S139" i="5"/>
  <c r="R139" i="5"/>
  <c r="S138" i="5"/>
  <c r="R138" i="5"/>
  <c r="S137" i="5"/>
  <c r="R137" i="5"/>
  <c r="S136" i="5"/>
  <c r="R136" i="5"/>
  <c r="S135" i="5"/>
  <c r="R135" i="5"/>
  <c r="S134" i="5"/>
  <c r="R134" i="5"/>
  <c r="S133" i="5"/>
  <c r="R133" i="5"/>
  <c r="S132" i="5"/>
  <c r="R132" i="5"/>
  <c r="S131" i="5"/>
  <c r="R131" i="5"/>
  <c r="S130" i="5"/>
  <c r="R130" i="5"/>
  <c r="S129" i="5"/>
  <c r="R129" i="5"/>
  <c r="S128" i="5"/>
  <c r="R128" i="5"/>
  <c r="S127" i="5"/>
  <c r="R127" i="5"/>
  <c r="S126" i="5"/>
  <c r="R126" i="5"/>
  <c r="S125" i="5"/>
  <c r="R125" i="5"/>
  <c r="S124" i="5"/>
  <c r="R124" i="5"/>
  <c r="S123" i="5"/>
  <c r="R123" i="5"/>
  <c r="S122" i="5"/>
  <c r="R122" i="5"/>
  <c r="S121" i="5"/>
  <c r="R121" i="5"/>
  <c r="S120" i="5"/>
  <c r="R120" i="5"/>
  <c r="S119" i="5"/>
  <c r="R119" i="5"/>
  <c r="S118" i="5"/>
  <c r="R118" i="5"/>
  <c r="S117" i="5"/>
  <c r="R117" i="5"/>
  <c r="S116" i="5"/>
  <c r="R116" i="5"/>
  <c r="S115" i="5"/>
  <c r="R115" i="5"/>
  <c r="S114" i="5"/>
  <c r="R114" i="5"/>
  <c r="S113" i="5"/>
  <c r="R113" i="5"/>
  <c r="S112" i="5"/>
  <c r="R112" i="5"/>
  <c r="S111" i="5"/>
  <c r="R111" i="5"/>
  <c r="S110" i="5"/>
  <c r="R110" i="5"/>
  <c r="S109" i="5"/>
  <c r="R109" i="5"/>
  <c r="S108" i="5"/>
  <c r="R108" i="5"/>
  <c r="S107" i="5"/>
  <c r="R107" i="5"/>
  <c r="S106" i="5"/>
  <c r="R106" i="5"/>
  <c r="S105" i="5"/>
  <c r="R105" i="5"/>
  <c r="S104" i="5"/>
  <c r="R104" i="5"/>
  <c r="S103" i="5"/>
  <c r="R103" i="5"/>
  <c r="S102" i="5"/>
  <c r="R102" i="5"/>
  <c r="S101" i="5"/>
  <c r="R101" i="5"/>
  <c r="S100" i="5"/>
  <c r="R100" i="5"/>
  <c r="S99" i="5"/>
  <c r="R99" i="5"/>
  <c r="S98" i="5"/>
  <c r="R98" i="5"/>
  <c r="S97" i="5"/>
  <c r="R97" i="5"/>
  <c r="S96" i="5"/>
  <c r="R96" i="5"/>
  <c r="S95" i="5"/>
  <c r="R95" i="5"/>
  <c r="S94" i="5"/>
  <c r="R94" i="5"/>
  <c r="S93" i="5"/>
  <c r="R93" i="5"/>
  <c r="S92" i="5"/>
  <c r="R92" i="5"/>
  <c r="S91" i="5"/>
  <c r="R91" i="5"/>
  <c r="S90" i="5"/>
  <c r="R90" i="5"/>
  <c r="S89" i="5"/>
  <c r="R89" i="5"/>
  <c r="S88" i="5"/>
  <c r="R88" i="5"/>
  <c r="S87" i="5"/>
  <c r="R87" i="5"/>
  <c r="S86" i="5"/>
  <c r="R86" i="5"/>
  <c r="S85" i="5"/>
  <c r="R85" i="5"/>
  <c r="S84" i="5"/>
  <c r="R84" i="5"/>
  <c r="S83" i="5"/>
  <c r="R83" i="5"/>
  <c r="S82" i="5"/>
  <c r="R82" i="5"/>
  <c r="S81" i="5"/>
  <c r="R81" i="5"/>
  <c r="S80" i="5"/>
  <c r="R80" i="5"/>
  <c r="S79" i="5"/>
  <c r="R79" i="5"/>
  <c r="S78" i="5"/>
  <c r="R78" i="5"/>
  <c r="S77" i="5"/>
  <c r="R77" i="5"/>
  <c r="S76" i="5"/>
  <c r="R76" i="5"/>
  <c r="S75" i="5"/>
  <c r="R75" i="5"/>
  <c r="S74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N379" i="5"/>
  <c r="N378" i="5"/>
  <c r="N377" i="5"/>
  <c r="N376" i="5"/>
  <c r="N375" i="5"/>
  <c r="N374" i="5"/>
  <c r="N373" i="5"/>
  <c r="N372" i="5"/>
  <c r="N371" i="5"/>
  <c r="N370" i="5"/>
  <c r="N369" i="5"/>
  <c r="N368" i="5"/>
  <c r="N367" i="5"/>
  <c r="N366" i="5"/>
  <c r="N365" i="5"/>
  <c r="N364" i="5"/>
  <c r="N363" i="5"/>
  <c r="N362" i="5"/>
  <c r="N361" i="5"/>
  <c r="N360" i="5"/>
  <c r="N359" i="5"/>
  <c r="N358" i="5"/>
  <c r="N357" i="5"/>
  <c r="N356" i="5"/>
  <c r="N355" i="5"/>
  <c r="N354" i="5"/>
  <c r="N353" i="5"/>
  <c r="N352" i="5"/>
  <c r="N351" i="5"/>
  <c r="N350" i="5"/>
  <c r="N349" i="5"/>
  <c r="N348" i="5"/>
  <c r="N347" i="5"/>
  <c r="N346" i="5"/>
  <c r="N345" i="5"/>
  <c r="N344" i="5"/>
  <c r="N343" i="5"/>
  <c r="N342" i="5"/>
  <c r="N341" i="5"/>
  <c r="N340" i="5"/>
  <c r="N339" i="5"/>
  <c r="N338" i="5"/>
  <c r="N337" i="5"/>
  <c r="N336" i="5"/>
  <c r="N335" i="5"/>
  <c r="N334" i="5"/>
  <c r="N333" i="5"/>
  <c r="N332" i="5"/>
  <c r="N331" i="5"/>
  <c r="N330" i="5"/>
  <c r="N329" i="5"/>
  <c r="N328" i="5"/>
  <c r="N327" i="5"/>
  <c r="N326" i="5"/>
  <c r="N325" i="5"/>
  <c r="N324" i="5"/>
  <c r="N323" i="5"/>
  <c r="N322" i="5"/>
  <c r="N321" i="5"/>
  <c r="N320" i="5"/>
  <c r="N319" i="5"/>
  <c r="N318" i="5"/>
  <c r="N317" i="5"/>
  <c r="N316" i="5"/>
  <c r="N315" i="5"/>
  <c r="N314" i="5"/>
  <c r="N313" i="5"/>
  <c r="N312" i="5"/>
  <c r="N311" i="5"/>
  <c r="N310" i="5"/>
  <c r="N309" i="5"/>
  <c r="N308" i="5"/>
  <c r="N307" i="5"/>
  <c r="N306" i="5"/>
  <c r="N305" i="5"/>
  <c r="N304" i="5"/>
  <c r="N303" i="5"/>
  <c r="N302" i="5"/>
  <c r="N301" i="5"/>
  <c r="N300" i="5"/>
  <c r="N299" i="5"/>
  <c r="N298" i="5"/>
  <c r="N297" i="5"/>
  <c r="N296" i="5"/>
  <c r="N295" i="5"/>
  <c r="N294" i="5"/>
  <c r="N293" i="5"/>
  <c r="N292" i="5"/>
  <c r="N291" i="5"/>
  <c r="N290" i="5"/>
  <c r="N289" i="5"/>
  <c r="N288" i="5"/>
  <c r="N287" i="5"/>
  <c r="N286" i="5"/>
  <c r="N285" i="5"/>
  <c r="N284" i="5"/>
  <c r="N283" i="5"/>
  <c r="N282" i="5"/>
  <c r="N281" i="5"/>
  <c r="N280" i="5"/>
  <c r="N279" i="5"/>
  <c r="N278" i="5"/>
  <c r="N277" i="5"/>
  <c r="N276" i="5"/>
  <c r="N275" i="5"/>
  <c r="N274" i="5"/>
  <c r="N273" i="5"/>
  <c r="N272" i="5"/>
  <c r="N271" i="5"/>
  <c r="N270" i="5"/>
  <c r="N269" i="5"/>
  <c r="N268" i="5"/>
  <c r="N267" i="5"/>
  <c r="N266" i="5"/>
  <c r="N265" i="5"/>
  <c r="N264" i="5"/>
  <c r="N263" i="5"/>
  <c r="N262" i="5"/>
  <c r="N261" i="5"/>
  <c r="N260" i="5"/>
  <c r="N259" i="5"/>
  <c r="N258" i="5"/>
  <c r="N257" i="5"/>
  <c r="N256" i="5"/>
  <c r="N255" i="5"/>
  <c r="N254" i="5"/>
  <c r="N253" i="5"/>
  <c r="N252" i="5"/>
  <c r="N251" i="5"/>
  <c r="N250" i="5"/>
  <c r="N249" i="5"/>
  <c r="N248" i="5"/>
  <c r="N247" i="5"/>
  <c r="N246" i="5"/>
  <c r="N245" i="5"/>
  <c r="N244" i="5"/>
  <c r="N243" i="5"/>
  <c r="N242" i="5"/>
  <c r="N241" i="5"/>
  <c r="N240" i="5"/>
  <c r="N239" i="5"/>
  <c r="N238" i="5"/>
  <c r="N237" i="5"/>
  <c r="N236" i="5"/>
  <c r="N235" i="5"/>
  <c r="N234" i="5"/>
  <c r="N233" i="5"/>
  <c r="N232" i="5"/>
  <c r="N231" i="5"/>
  <c r="N230" i="5"/>
  <c r="N229" i="5"/>
  <c r="N228" i="5"/>
  <c r="N227" i="5"/>
  <c r="N226" i="5"/>
  <c r="N225" i="5"/>
  <c r="N224" i="5"/>
  <c r="N223" i="5"/>
  <c r="N222" i="5"/>
  <c r="N221" i="5"/>
  <c r="N220" i="5"/>
  <c r="N219" i="5"/>
  <c r="N218" i="5"/>
  <c r="N217" i="5"/>
  <c r="N216" i="5"/>
  <c r="N215" i="5"/>
  <c r="N214" i="5"/>
  <c r="N213" i="5"/>
  <c r="N212" i="5"/>
  <c r="N211" i="5"/>
  <c r="N210" i="5"/>
  <c r="N209" i="5"/>
  <c r="N208" i="5"/>
  <c r="N207" i="5"/>
  <c r="N206" i="5"/>
  <c r="N205" i="5"/>
  <c r="N204" i="5"/>
  <c r="N203" i="5"/>
  <c r="N202" i="5"/>
  <c r="O201" i="5"/>
  <c r="N201" i="5"/>
  <c r="O200" i="5"/>
  <c r="N200" i="5"/>
  <c r="O199" i="5"/>
  <c r="N199" i="5"/>
  <c r="O198" i="5"/>
  <c r="N198" i="5"/>
  <c r="O197" i="5"/>
  <c r="N197" i="5"/>
  <c r="O196" i="5"/>
  <c r="N196" i="5"/>
  <c r="O195" i="5"/>
  <c r="N195" i="5"/>
  <c r="O194" i="5"/>
  <c r="N194" i="5"/>
  <c r="O193" i="5"/>
  <c r="N193" i="5"/>
  <c r="O192" i="5"/>
  <c r="N192" i="5"/>
  <c r="O191" i="5"/>
  <c r="N191" i="5"/>
  <c r="O190" i="5"/>
  <c r="N190" i="5"/>
  <c r="O189" i="5"/>
  <c r="N189" i="5"/>
  <c r="O188" i="5"/>
  <c r="N188" i="5"/>
  <c r="O187" i="5"/>
  <c r="N187" i="5"/>
  <c r="O186" i="5"/>
  <c r="N186" i="5"/>
  <c r="O185" i="5"/>
  <c r="N185" i="5"/>
  <c r="O184" i="5"/>
  <c r="N184" i="5"/>
  <c r="O183" i="5"/>
  <c r="N183" i="5"/>
  <c r="O182" i="5"/>
  <c r="N182" i="5"/>
  <c r="O181" i="5"/>
  <c r="N181" i="5"/>
  <c r="O180" i="5"/>
  <c r="N180" i="5"/>
  <c r="O179" i="5"/>
  <c r="N179" i="5"/>
  <c r="O178" i="5"/>
  <c r="N178" i="5"/>
  <c r="O177" i="5"/>
  <c r="N177" i="5"/>
  <c r="O176" i="5"/>
  <c r="N176" i="5"/>
  <c r="O175" i="5"/>
  <c r="N175" i="5"/>
  <c r="O174" i="5"/>
  <c r="N174" i="5"/>
  <c r="O173" i="5"/>
  <c r="N173" i="5"/>
  <c r="O172" i="5"/>
  <c r="N172" i="5"/>
  <c r="O171" i="5"/>
  <c r="N171" i="5"/>
  <c r="O170" i="5"/>
  <c r="N170" i="5"/>
  <c r="O169" i="5"/>
  <c r="N169" i="5"/>
  <c r="O168" i="5"/>
  <c r="N168" i="5"/>
  <c r="O167" i="5"/>
  <c r="N167" i="5"/>
  <c r="O166" i="5"/>
  <c r="N166" i="5"/>
  <c r="O165" i="5"/>
  <c r="N165" i="5"/>
  <c r="O164" i="5"/>
  <c r="N164" i="5"/>
  <c r="O163" i="5"/>
  <c r="N163" i="5"/>
  <c r="O162" i="5"/>
  <c r="N162" i="5"/>
  <c r="O161" i="5"/>
  <c r="N161" i="5"/>
  <c r="O160" i="5"/>
  <c r="N160" i="5"/>
  <c r="O159" i="5"/>
  <c r="N159" i="5"/>
  <c r="O158" i="5"/>
  <c r="N158" i="5"/>
  <c r="O157" i="5"/>
  <c r="N157" i="5"/>
  <c r="O156" i="5"/>
  <c r="N156" i="5"/>
  <c r="O155" i="5"/>
  <c r="N155" i="5"/>
  <c r="O154" i="5"/>
  <c r="N154" i="5"/>
  <c r="O153" i="5"/>
  <c r="N153" i="5"/>
  <c r="O152" i="5"/>
  <c r="N152" i="5"/>
  <c r="O151" i="5"/>
  <c r="N151" i="5"/>
  <c r="O150" i="5"/>
  <c r="N150" i="5"/>
  <c r="O149" i="5"/>
  <c r="N149" i="5"/>
  <c r="O148" i="5"/>
  <c r="N148" i="5"/>
  <c r="O147" i="5"/>
  <c r="N147" i="5"/>
  <c r="O146" i="5"/>
  <c r="N146" i="5"/>
  <c r="O145" i="5"/>
  <c r="N145" i="5"/>
  <c r="O144" i="5"/>
  <c r="N144" i="5"/>
  <c r="O143" i="5"/>
  <c r="N143" i="5"/>
  <c r="O142" i="5"/>
  <c r="N142" i="5"/>
  <c r="O141" i="5"/>
  <c r="N141" i="5"/>
  <c r="O140" i="5"/>
  <c r="N140" i="5"/>
  <c r="O139" i="5"/>
  <c r="N139" i="5"/>
  <c r="O138" i="5"/>
  <c r="N138" i="5"/>
  <c r="O137" i="5"/>
  <c r="N137" i="5"/>
  <c r="O136" i="5"/>
  <c r="N136" i="5"/>
  <c r="O135" i="5"/>
  <c r="N135" i="5"/>
  <c r="O134" i="5"/>
  <c r="N134" i="5"/>
  <c r="O133" i="5"/>
  <c r="N133" i="5"/>
  <c r="O132" i="5"/>
  <c r="N132" i="5"/>
  <c r="O131" i="5"/>
  <c r="N131" i="5"/>
  <c r="O130" i="5"/>
  <c r="N130" i="5"/>
  <c r="O129" i="5"/>
  <c r="N129" i="5"/>
  <c r="O128" i="5"/>
  <c r="N128" i="5"/>
  <c r="O127" i="5"/>
  <c r="N127" i="5"/>
  <c r="O126" i="5"/>
  <c r="N126" i="5"/>
  <c r="O125" i="5"/>
  <c r="N125" i="5"/>
  <c r="O124" i="5"/>
  <c r="N124" i="5"/>
  <c r="O123" i="5"/>
  <c r="N123" i="5"/>
  <c r="O122" i="5"/>
  <c r="N122" i="5"/>
  <c r="O121" i="5"/>
  <c r="N121" i="5"/>
  <c r="O120" i="5"/>
  <c r="N120" i="5"/>
  <c r="O119" i="5"/>
  <c r="N119" i="5"/>
  <c r="O118" i="5"/>
  <c r="N118" i="5"/>
  <c r="O117" i="5"/>
  <c r="N117" i="5"/>
  <c r="O116" i="5"/>
  <c r="N116" i="5"/>
  <c r="O115" i="5"/>
  <c r="N115" i="5"/>
  <c r="O114" i="5"/>
  <c r="N114" i="5"/>
  <c r="O113" i="5"/>
  <c r="N113" i="5"/>
  <c r="O112" i="5"/>
  <c r="N112" i="5"/>
  <c r="O111" i="5"/>
  <c r="N111" i="5"/>
  <c r="O110" i="5"/>
  <c r="N110" i="5"/>
  <c r="O109" i="5"/>
  <c r="N109" i="5"/>
  <c r="O108" i="5"/>
  <c r="N108" i="5"/>
  <c r="O107" i="5"/>
  <c r="N107" i="5"/>
  <c r="O106" i="5"/>
  <c r="N106" i="5"/>
  <c r="O105" i="5"/>
  <c r="N105" i="5"/>
  <c r="O104" i="5"/>
  <c r="N104" i="5"/>
  <c r="O103" i="5"/>
  <c r="N103" i="5"/>
  <c r="O102" i="5"/>
  <c r="N102" i="5"/>
  <c r="O101" i="5"/>
  <c r="N101" i="5"/>
  <c r="O100" i="5"/>
  <c r="N100" i="5"/>
  <c r="O99" i="5"/>
  <c r="N99" i="5"/>
  <c r="O98" i="5"/>
  <c r="N98" i="5"/>
  <c r="O97" i="5"/>
  <c r="N97" i="5"/>
  <c r="O96" i="5"/>
  <c r="N96" i="5"/>
  <c r="O95" i="5"/>
  <c r="N95" i="5"/>
  <c r="O94" i="5"/>
  <c r="N94" i="5"/>
  <c r="O93" i="5"/>
  <c r="N93" i="5"/>
  <c r="O92" i="5"/>
  <c r="N92" i="5"/>
  <c r="O91" i="5"/>
  <c r="N91" i="5"/>
  <c r="O90" i="5"/>
  <c r="N90" i="5"/>
  <c r="O89" i="5"/>
  <c r="N89" i="5"/>
  <c r="O88" i="5"/>
  <c r="N88" i="5"/>
  <c r="O87" i="5"/>
  <c r="N87" i="5"/>
  <c r="O86" i="5"/>
  <c r="N86" i="5"/>
  <c r="O85" i="5"/>
  <c r="N85" i="5"/>
  <c r="O84" i="5"/>
  <c r="N84" i="5"/>
  <c r="O83" i="5"/>
  <c r="N83" i="5"/>
  <c r="O82" i="5"/>
  <c r="N82" i="5"/>
  <c r="O81" i="5"/>
  <c r="N81" i="5"/>
  <c r="O80" i="5"/>
  <c r="N80" i="5"/>
  <c r="O79" i="5"/>
  <c r="N79" i="5"/>
  <c r="O78" i="5"/>
  <c r="N78" i="5"/>
  <c r="O77" i="5"/>
  <c r="N77" i="5"/>
  <c r="O76" i="5"/>
  <c r="N76" i="5"/>
  <c r="O75" i="5"/>
  <c r="N75" i="5"/>
  <c r="O74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J379" i="5"/>
  <c r="J378" i="5"/>
  <c r="J377" i="5"/>
  <c r="J376" i="5"/>
  <c r="J375" i="5"/>
  <c r="J374" i="5"/>
  <c r="J373" i="5"/>
  <c r="J372" i="5"/>
  <c r="J371" i="5"/>
  <c r="J370" i="5"/>
  <c r="J369" i="5"/>
  <c r="J368" i="5"/>
  <c r="J367" i="5"/>
  <c r="J366" i="5"/>
  <c r="J365" i="5"/>
  <c r="J364" i="5"/>
  <c r="J363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J320" i="5"/>
  <c r="J319" i="5"/>
  <c r="J318" i="5"/>
  <c r="J317" i="5"/>
  <c r="J316" i="5"/>
  <c r="J315" i="5"/>
  <c r="J314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J293" i="5"/>
  <c r="J292" i="5"/>
  <c r="J291" i="5"/>
  <c r="J290" i="5"/>
  <c r="J289" i="5"/>
  <c r="J288" i="5"/>
  <c r="J287" i="5"/>
  <c r="J286" i="5"/>
  <c r="J285" i="5"/>
  <c r="J284" i="5"/>
  <c r="J283" i="5"/>
  <c r="J282" i="5"/>
  <c r="J281" i="5"/>
  <c r="J280" i="5"/>
  <c r="J279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9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K201" i="5"/>
  <c r="J201" i="5"/>
  <c r="K200" i="5"/>
  <c r="J200" i="5"/>
  <c r="K199" i="5"/>
  <c r="J199" i="5"/>
  <c r="K198" i="5"/>
  <c r="J198" i="5"/>
  <c r="K197" i="5"/>
  <c r="J197" i="5"/>
  <c r="K196" i="5"/>
  <c r="J196" i="5"/>
  <c r="K195" i="5"/>
  <c r="J195" i="5"/>
  <c r="K194" i="5"/>
  <c r="J194" i="5"/>
  <c r="K193" i="5"/>
  <c r="J193" i="5"/>
  <c r="K192" i="5"/>
  <c r="J192" i="5"/>
  <c r="K191" i="5"/>
  <c r="J191" i="5"/>
  <c r="K190" i="5"/>
  <c r="J190" i="5"/>
  <c r="K189" i="5"/>
  <c r="J189" i="5"/>
  <c r="K188" i="5"/>
  <c r="J188" i="5"/>
  <c r="K187" i="5"/>
  <c r="J187" i="5"/>
  <c r="K186" i="5"/>
  <c r="J186" i="5"/>
  <c r="K185" i="5"/>
  <c r="J185" i="5"/>
  <c r="K184" i="5"/>
  <c r="J184" i="5"/>
  <c r="K183" i="5"/>
  <c r="J183" i="5"/>
  <c r="K182" i="5"/>
  <c r="J182" i="5"/>
  <c r="K181" i="5"/>
  <c r="J181" i="5"/>
  <c r="K180" i="5"/>
  <c r="J180" i="5"/>
  <c r="K179" i="5"/>
  <c r="J179" i="5"/>
  <c r="K178" i="5"/>
  <c r="J178" i="5"/>
  <c r="K177" i="5"/>
  <c r="J177" i="5"/>
  <c r="K176" i="5"/>
  <c r="J176" i="5"/>
  <c r="K175" i="5"/>
  <c r="J175" i="5"/>
  <c r="K174" i="5"/>
  <c r="J174" i="5"/>
  <c r="K173" i="5"/>
  <c r="J173" i="5"/>
  <c r="K172" i="5"/>
  <c r="J172" i="5"/>
  <c r="K171" i="5"/>
  <c r="J171" i="5"/>
  <c r="K170" i="5"/>
  <c r="J170" i="5"/>
  <c r="K169" i="5"/>
  <c r="J169" i="5"/>
  <c r="K168" i="5"/>
  <c r="J168" i="5"/>
  <c r="K167" i="5"/>
  <c r="J167" i="5"/>
  <c r="K166" i="5"/>
  <c r="J166" i="5"/>
  <c r="K165" i="5"/>
  <c r="J165" i="5"/>
  <c r="K164" i="5"/>
  <c r="J164" i="5"/>
  <c r="K163" i="5"/>
  <c r="J163" i="5"/>
  <c r="K162" i="5"/>
  <c r="J162" i="5"/>
  <c r="K161" i="5"/>
  <c r="J161" i="5"/>
  <c r="K160" i="5"/>
  <c r="J160" i="5"/>
  <c r="K159" i="5"/>
  <c r="J159" i="5"/>
  <c r="K158" i="5"/>
  <c r="J158" i="5"/>
  <c r="K157" i="5"/>
  <c r="J157" i="5"/>
  <c r="K156" i="5"/>
  <c r="J156" i="5"/>
  <c r="K155" i="5"/>
  <c r="J155" i="5"/>
  <c r="K154" i="5"/>
  <c r="J154" i="5"/>
  <c r="K153" i="5"/>
  <c r="J153" i="5"/>
  <c r="K152" i="5"/>
  <c r="J152" i="5"/>
  <c r="K151" i="5"/>
  <c r="J151" i="5"/>
  <c r="K150" i="5"/>
  <c r="J150" i="5"/>
  <c r="K149" i="5"/>
  <c r="J149" i="5"/>
  <c r="K148" i="5"/>
  <c r="J148" i="5"/>
  <c r="K147" i="5"/>
  <c r="J147" i="5"/>
  <c r="K146" i="5"/>
  <c r="J146" i="5"/>
  <c r="K145" i="5"/>
  <c r="J145" i="5"/>
  <c r="K144" i="5"/>
  <c r="J144" i="5"/>
  <c r="K143" i="5"/>
  <c r="J143" i="5"/>
  <c r="K142" i="5"/>
  <c r="J142" i="5"/>
  <c r="K141" i="5"/>
  <c r="J141" i="5"/>
  <c r="K140" i="5"/>
  <c r="J140" i="5"/>
  <c r="K139" i="5"/>
  <c r="J139" i="5"/>
  <c r="K138" i="5"/>
  <c r="J138" i="5"/>
  <c r="K137" i="5"/>
  <c r="J137" i="5"/>
  <c r="K136" i="5"/>
  <c r="J136" i="5"/>
  <c r="K135" i="5"/>
  <c r="J135" i="5"/>
  <c r="K134" i="5"/>
  <c r="J134" i="5"/>
  <c r="K133" i="5"/>
  <c r="J133" i="5"/>
  <c r="K132" i="5"/>
  <c r="J132" i="5"/>
  <c r="K131" i="5"/>
  <c r="J131" i="5"/>
  <c r="K130" i="5"/>
  <c r="J130" i="5"/>
  <c r="K129" i="5"/>
  <c r="J129" i="5"/>
  <c r="K128" i="5"/>
  <c r="J128" i="5"/>
  <c r="K127" i="5"/>
  <c r="J127" i="5"/>
  <c r="K126" i="5"/>
  <c r="J126" i="5"/>
  <c r="K125" i="5"/>
  <c r="J125" i="5"/>
  <c r="K124" i="5"/>
  <c r="J124" i="5"/>
  <c r="K123" i="5"/>
  <c r="J123" i="5"/>
  <c r="K122" i="5"/>
  <c r="J122" i="5"/>
  <c r="K121" i="5"/>
  <c r="J121" i="5"/>
  <c r="K120" i="5"/>
  <c r="J120" i="5"/>
  <c r="K119" i="5"/>
  <c r="J119" i="5"/>
  <c r="K118" i="5"/>
  <c r="J118" i="5"/>
  <c r="K117" i="5"/>
  <c r="J117" i="5"/>
  <c r="K116" i="5"/>
  <c r="J116" i="5"/>
  <c r="K115" i="5"/>
  <c r="J115" i="5"/>
  <c r="K114" i="5"/>
  <c r="J114" i="5"/>
  <c r="K113" i="5"/>
  <c r="J113" i="5"/>
  <c r="K112" i="5"/>
  <c r="J112" i="5"/>
  <c r="K111" i="5"/>
  <c r="J111" i="5"/>
  <c r="K110" i="5"/>
  <c r="J110" i="5"/>
  <c r="K109" i="5"/>
  <c r="J109" i="5"/>
  <c r="K108" i="5"/>
  <c r="J108" i="5"/>
  <c r="K107" i="5"/>
  <c r="J107" i="5"/>
  <c r="K106" i="5"/>
  <c r="J106" i="5"/>
  <c r="K105" i="5"/>
  <c r="J105" i="5"/>
  <c r="K104" i="5"/>
  <c r="J104" i="5"/>
  <c r="K103" i="5"/>
  <c r="J103" i="5"/>
  <c r="K102" i="5"/>
  <c r="J102" i="5"/>
  <c r="K101" i="5"/>
  <c r="J101" i="5"/>
  <c r="K100" i="5"/>
  <c r="J100" i="5"/>
  <c r="K99" i="5"/>
  <c r="J99" i="5"/>
  <c r="K98" i="5"/>
  <c r="J98" i="5"/>
  <c r="K97" i="5"/>
  <c r="J97" i="5"/>
  <c r="K96" i="5"/>
  <c r="J96" i="5"/>
  <c r="K95" i="5"/>
  <c r="J95" i="5"/>
  <c r="K94" i="5"/>
  <c r="J94" i="5"/>
  <c r="K93" i="5"/>
  <c r="J93" i="5"/>
  <c r="K92" i="5"/>
  <c r="J92" i="5"/>
  <c r="K91" i="5"/>
  <c r="J91" i="5"/>
  <c r="K90" i="5"/>
  <c r="J90" i="5"/>
  <c r="K89" i="5"/>
  <c r="J89" i="5"/>
  <c r="K88" i="5"/>
  <c r="J88" i="5"/>
  <c r="K87" i="5"/>
  <c r="J87" i="5"/>
  <c r="K86" i="5"/>
  <c r="J86" i="5"/>
  <c r="K85" i="5"/>
  <c r="J85" i="5"/>
  <c r="K84" i="5"/>
  <c r="J84" i="5"/>
  <c r="K83" i="5"/>
  <c r="J83" i="5"/>
  <c r="K82" i="5"/>
  <c r="J82" i="5"/>
  <c r="K81" i="5"/>
  <c r="J81" i="5"/>
  <c r="K80" i="5"/>
  <c r="J80" i="5"/>
  <c r="K79" i="5"/>
  <c r="J79" i="5"/>
  <c r="K78" i="5"/>
  <c r="J78" i="5"/>
  <c r="K77" i="5"/>
  <c r="J77" i="5"/>
  <c r="K76" i="5"/>
  <c r="J76" i="5"/>
  <c r="K75" i="5"/>
  <c r="J75" i="5"/>
  <c r="K74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5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6" i="5"/>
  <c r="F295" i="5"/>
  <c r="F294" i="5"/>
  <c r="F293" i="5"/>
  <c r="F292" i="5"/>
  <c r="F291" i="5"/>
  <c r="F290" i="5"/>
  <c r="F289" i="5"/>
  <c r="F288" i="5"/>
  <c r="F287" i="5"/>
  <c r="F286" i="5"/>
  <c r="F285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G201" i="5"/>
  <c r="F201" i="5"/>
  <c r="G200" i="5"/>
  <c r="F200" i="5"/>
  <c r="G199" i="5"/>
  <c r="F199" i="5"/>
  <c r="G198" i="5"/>
  <c r="F198" i="5"/>
  <c r="G197" i="5"/>
  <c r="F197" i="5"/>
  <c r="G196" i="5"/>
  <c r="F196" i="5"/>
  <c r="G195" i="5"/>
  <c r="F195" i="5"/>
  <c r="G194" i="5"/>
  <c r="F194" i="5"/>
  <c r="G193" i="5"/>
  <c r="F193" i="5"/>
  <c r="G192" i="5"/>
  <c r="F192" i="5"/>
  <c r="G191" i="5"/>
  <c r="F191" i="5"/>
  <c r="G190" i="5"/>
  <c r="F190" i="5"/>
  <c r="G189" i="5"/>
  <c r="F189" i="5"/>
  <c r="G188" i="5"/>
  <c r="F188" i="5"/>
  <c r="G187" i="5"/>
  <c r="F187" i="5"/>
  <c r="G186" i="5"/>
  <c r="F186" i="5"/>
  <c r="G185" i="5"/>
  <c r="F185" i="5"/>
  <c r="G184" i="5"/>
  <c r="F184" i="5"/>
  <c r="G183" i="5"/>
  <c r="F183" i="5"/>
  <c r="G182" i="5"/>
  <c r="F182" i="5"/>
  <c r="G181" i="5"/>
  <c r="F181" i="5"/>
  <c r="G180" i="5"/>
  <c r="F180" i="5"/>
  <c r="G179" i="5"/>
  <c r="F179" i="5"/>
  <c r="G178" i="5"/>
  <c r="F178" i="5"/>
  <c r="G177" i="5"/>
  <c r="F177" i="5"/>
  <c r="G176" i="5"/>
  <c r="F176" i="5"/>
  <c r="G175" i="5"/>
  <c r="F175" i="5"/>
  <c r="G174" i="5"/>
  <c r="F174" i="5"/>
  <c r="G173" i="5"/>
  <c r="F173" i="5"/>
  <c r="G172" i="5"/>
  <c r="F172" i="5"/>
  <c r="G171" i="5"/>
  <c r="F171" i="5"/>
  <c r="G170" i="5"/>
  <c r="F170" i="5"/>
  <c r="G169" i="5"/>
  <c r="F169" i="5"/>
  <c r="G168" i="5"/>
  <c r="F168" i="5"/>
  <c r="G167" i="5"/>
  <c r="F167" i="5"/>
  <c r="G166" i="5"/>
  <c r="F166" i="5"/>
  <c r="G165" i="5"/>
  <c r="F165" i="5"/>
  <c r="G164" i="5"/>
  <c r="F164" i="5"/>
  <c r="G163" i="5"/>
  <c r="F163" i="5"/>
  <c r="G162" i="5"/>
  <c r="F162" i="5"/>
  <c r="G161" i="5"/>
  <c r="F161" i="5"/>
  <c r="G160" i="5"/>
  <c r="F160" i="5"/>
  <c r="G159" i="5"/>
  <c r="F159" i="5"/>
  <c r="G158" i="5"/>
  <c r="F158" i="5"/>
  <c r="G157" i="5"/>
  <c r="F157" i="5"/>
  <c r="G156" i="5"/>
  <c r="F156" i="5"/>
  <c r="G155" i="5"/>
  <c r="F155" i="5"/>
  <c r="G154" i="5"/>
  <c r="F154" i="5"/>
  <c r="G153" i="5"/>
  <c r="F153" i="5"/>
  <c r="G152" i="5"/>
  <c r="F152" i="5"/>
  <c r="G151" i="5"/>
  <c r="F151" i="5"/>
  <c r="G150" i="5"/>
  <c r="F150" i="5"/>
  <c r="G149" i="5"/>
  <c r="F149" i="5"/>
  <c r="G148" i="5"/>
  <c r="F148" i="5"/>
  <c r="G147" i="5"/>
  <c r="F147" i="5"/>
  <c r="G146" i="5"/>
  <c r="F146" i="5"/>
  <c r="G145" i="5"/>
  <c r="F145" i="5"/>
  <c r="G144" i="5"/>
  <c r="F144" i="5"/>
  <c r="G143" i="5"/>
  <c r="F143" i="5"/>
  <c r="G142" i="5"/>
  <c r="F142" i="5"/>
  <c r="G141" i="5"/>
  <c r="F141" i="5"/>
  <c r="G140" i="5"/>
  <c r="F140" i="5"/>
  <c r="G139" i="5"/>
  <c r="F139" i="5"/>
  <c r="G138" i="5"/>
  <c r="F138" i="5"/>
  <c r="G137" i="5"/>
  <c r="F137" i="5"/>
  <c r="G136" i="5"/>
  <c r="F136" i="5"/>
  <c r="G135" i="5"/>
  <c r="F135" i="5"/>
  <c r="G134" i="5"/>
  <c r="F134" i="5"/>
  <c r="G133" i="5"/>
  <c r="F133" i="5"/>
  <c r="G132" i="5"/>
  <c r="F132" i="5"/>
  <c r="G131" i="5"/>
  <c r="F131" i="5"/>
  <c r="G130" i="5"/>
  <c r="F130" i="5"/>
  <c r="G129" i="5"/>
  <c r="F129" i="5"/>
  <c r="G128" i="5"/>
  <c r="F128" i="5"/>
  <c r="G127" i="5"/>
  <c r="F127" i="5"/>
  <c r="G126" i="5"/>
  <c r="F126" i="5"/>
  <c r="G125" i="5"/>
  <c r="F125" i="5"/>
  <c r="G124" i="5"/>
  <c r="F124" i="5"/>
  <c r="G123" i="5"/>
  <c r="F123" i="5"/>
  <c r="G122" i="5"/>
  <c r="F122" i="5"/>
  <c r="G121" i="5"/>
  <c r="F121" i="5"/>
  <c r="G120" i="5"/>
  <c r="F120" i="5"/>
  <c r="G119" i="5"/>
  <c r="F119" i="5"/>
  <c r="G118" i="5"/>
  <c r="F118" i="5"/>
  <c r="G117" i="5"/>
  <c r="F117" i="5"/>
  <c r="G116" i="5"/>
  <c r="F116" i="5"/>
  <c r="G115" i="5"/>
  <c r="F115" i="5"/>
  <c r="G114" i="5"/>
  <c r="F114" i="5"/>
  <c r="G113" i="5"/>
  <c r="F113" i="5"/>
  <c r="G112" i="5"/>
  <c r="F112" i="5"/>
  <c r="G111" i="5"/>
  <c r="F111" i="5"/>
  <c r="G110" i="5"/>
  <c r="F110" i="5"/>
  <c r="G109" i="5"/>
  <c r="F109" i="5"/>
  <c r="G108" i="5"/>
  <c r="F108" i="5"/>
  <c r="G107" i="5"/>
  <c r="F107" i="5"/>
  <c r="G106" i="5"/>
  <c r="F106" i="5"/>
  <c r="G105" i="5"/>
  <c r="F105" i="5"/>
  <c r="G104" i="5"/>
  <c r="F104" i="5"/>
  <c r="G103" i="5"/>
  <c r="F103" i="5"/>
  <c r="G102" i="5"/>
  <c r="F102" i="5"/>
  <c r="G101" i="5"/>
  <c r="F101" i="5"/>
  <c r="G100" i="5"/>
  <c r="F100" i="5"/>
  <c r="G99" i="5"/>
  <c r="F99" i="5"/>
  <c r="G98" i="5"/>
  <c r="F98" i="5"/>
  <c r="G97" i="5"/>
  <c r="F97" i="5"/>
  <c r="G96" i="5"/>
  <c r="F96" i="5"/>
  <c r="G95" i="5"/>
  <c r="F95" i="5"/>
  <c r="G94" i="5"/>
  <c r="F94" i="5"/>
  <c r="G93" i="5"/>
  <c r="F93" i="5"/>
  <c r="G92" i="5"/>
  <c r="F92" i="5"/>
  <c r="G91" i="5"/>
  <c r="F91" i="5"/>
  <c r="G90" i="5"/>
  <c r="F90" i="5"/>
  <c r="G89" i="5"/>
  <c r="F89" i="5"/>
  <c r="G88" i="5"/>
  <c r="F88" i="5"/>
  <c r="G87" i="5"/>
  <c r="F87" i="5"/>
  <c r="G86" i="5"/>
  <c r="F86" i="5"/>
  <c r="G85" i="5"/>
  <c r="F85" i="5"/>
  <c r="G84" i="5"/>
  <c r="F84" i="5"/>
  <c r="G83" i="5"/>
  <c r="F83" i="5"/>
  <c r="G82" i="5"/>
  <c r="F82" i="5"/>
  <c r="G81" i="5"/>
  <c r="F81" i="5"/>
  <c r="G80" i="5"/>
  <c r="F80" i="5"/>
  <c r="G79" i="5"/>
  <c r="F79" i="5"/>
  <c r="G78" i="5"/>
  <c r="F78" i="5"/>
  <c r="G77" i="5"/>
  <c r="F77" i="5"/>
  <c r="G76" i="5"/>
  <c r="F76" i="5"/>
  <c r="G75" i="5"/>
  <c r="F75" i="5"/>
  <c r="G74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C106" i="5" l="1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105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74" i="5"/>
  <c r="BS3" i="5"/>
  <c r="BO3" i="5"/>
  <c r="BK3" i="5"/>
  <c r="BG3" i="5"/>
  <c r="BC3" i="5"/>
  <c r="AY3" i="5"/>
  <c r="AU3" i="5"/>
  <c r="AQ3" i="5"/>
  <c r="AM3" i="5"/>
  <c r="AI3" i="5"/>
  <c r="AE3" i="5"/>
  <c r="AA3" i="5"/>
  <c r="W3" i="5"/>
  <c r="S3" i="5"/>
  <c r="O3" i="5"/>
  <c r="K3" i="5"/>
  <c r="B13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B321" i="5"/>
  <c r="B320" i="5"/>
  <c r="B319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R13" i="5" l="1"/>
  <c r="BN13" i="5"/>
  <c r="BJ13" i="5"/>
  <c r="BF13" i="5"/>
  <c r="BB13" i="5"/>
  <c r="AX13" i="5"/>
  <c r="AT13" i="5"/>
  <c r="AP13" i="5"/>
  <c r="AL13" i="5"/>
  <c r="AH13" i="5"/>
  <c r="AD13" i="5"/>
  <c r="Z13" i="5"/>
  <c r="V13" i="5"/>
  <c r="R13" i="5"/>
  <c r="N13" i="5"/>
  <c r="J13" i="5"/>
  <c r="F13" i="5"/>
  <c r="CA17" i="1" l="1"/>
  <c r="CA18" i="1" s="1"/>
  <c r="CA19" i="1" s="1"/>
  <c r="CA20" i="1" s="1"/>
  <c r="CA21" i="1" s="1"/>
  <c r="CA22" i="1" s="1"/>
  <c r="CA23" i="1" s="1"/>
  <c r="CA24" i="1" s="1"/>
  <c r="CA25" i="1" s="1"/>
  <c r="CA26" i="1" s="1"/>
  <c r="CA27" i="1" s="1"/>
  <c r="CA28" i="1" s="1"/>
  <c r="CA29" i="1" s="1"/>
  <c r="CA30" i="1" s="1"/>
  <c r="CA31" i="1" s="1"/>
  <c r="CA32" i="1" s="1"/>
  <c r="CA33" i="1" s="1"/>
  <c r="CA34" i="1" s="1"/>
  <c r="CA35" i="1" s="1"/>
  <c r="CA36" i="1" s="1"/>
  <c r="CA37" i="1" s="1"/>
  <c r="CA38" i="1" s="1"/>
  <c r="CA39" i="1" s="1"/>
  <c r="CA40" i="1" s="1"/>
  <c r="CA41" i="1" s="1"/>
  <c r="CA42" i="1" s="1"/>
  <c r="CA43" i="1" s="1"/>
  <c r="CA44" i="1" s="1"/>
  <c r="CA45" i="1" s="1"/>
  <c r="CA46" i="1" s="1"/>
  <c r="CA47" i="1" s="1"/>
  <c r="CA48" i="1" s="1"/>
  <c r="CA49" i="1" s="1"/>
  <c r="CA50" i="1" s="1"/>
  <c r="CA51" i="1" s="1"/>
  <c r="CA52" i="1" s="1"/>
  <c r="E15" i="3" l="1"/>
  <c r="E16" i="3" s="1"/>
  <c r="E17" i="3" s="1"/>
  <c r="E18" i="3" s="1"/>
  <c r="E19" i="3" s="1"/>
  <c r="BW9" i="1"/>
  <c r="BS9" i="1"/>
  <c r="BO9" i="1"/>
  <c r="BK9" i="1"/>
  <c r="BG9" i="1"/>
  <c r="BA9" i="1"/>
  <c r="AW9" i="1"/>
  <c r="AS9" i="1"/>
  <c r="AO9" i="1"/>
  <c r="AK9" i="1"/>
  <c r="AG9" i="1"/>
  <c r="AA9" i="1"/>
  <c r="W9" i="1"/>
  <c r="S9" i="1"/>
  <c r="O9" i="1"/>
  <c r="K9" i="1"/>
  <c r="E20" i="3" l="1"/>
  <c r="E21" i="3" s="1"/>
  <c r="E22" i="3" s="1"/>
  <c r="BV7" i="1" l="1"/>
  <c r="BR7" i="1"/>
  <c r="BN7" i="1"/>
  <c r="BJ7" i="1"/>
  <c r="BF7" i="1"/>
  <c r="AZ7" i="1"/>
  <c r="AV7" i="1"/>
  <c r="AR7" i="1"/>
  <c r="AN7" i="1"/>
  <c r="AJ7" i="1"/>
  <c r="AF7" i="1"/>
  <c r="Z7" i="1"/>
  <c r="V7" i="1"/>
  <c r="R7" i="1"/>
  <c r="N7" i="1"/>
  <c r="BW1112" i="1"/>
  <c r="BW1111" i="1"/>
  <c r="BW1110" i="1"/>
  <c r="BW1109" i="1"/>
  <c r="BW1108" i="1"/>
  <c r="BW1107" i="1"/>
  <c r="BW1106" i="1"/>
  <c r="BW1105" i="1"/>
  <c r="BW1104" i="1"/>
  <c r="BW1103" i="1"/>
  <c r="BW1102" i="1"/>
  <c r="BW1101" i="1"/>
  <c r="BW1100" i="1"/>
  <c r="BW1099" i="1"/>
  <c r="BW1098" i="1"/>
  <c r="BW1097" i="1"/>
  <c r="BW1096" i="1"/>
  <c r="BW1095" i="1"/>
  <c r="BW1094" i="1"/>
  <c r="BW1093" i="1"/>
  <c r="BW1092" i="1"/>
  <c r="BW1091" i="1"/>
  <c r="BW1090" i="1"/>
  <c r="BW1089" i="1"/>
  <c r="BW1088" i="1"/>
  <c r="BW1087" i="1"/>
  <c r="BW1086" i="1"/>
  <c r="BW1085" i="1"/>
  <c r="BW1084" i="1"/>
  <c r="BW1083" i="1"/>
  <c r="BW1082" i="1"/>
  <c r="BW1081" i="1"/>
  <c r="BW1080" i="1"/>
  <c r="BW1079" i="1"/>
  <c r="BW1078" i="1"/>
  <c r="BW1077" i="1"/>
  <c r="BW1076" i="1"/>
  <c r="BW1075" i="1"/>
  <c r="BW1074" i="1"/>
  <c r="BW1073" i="1"/>
  <c r="BW1072" i="1"/>
  <c r="BW1071" i="1"/>
  <c r="BW1070" i="1"/>
  <c r="BW1069" i="1"/>
  <c r="BW1068" i="1"/>
  <c r="BW1067" i="1"/>
  <c r="BW1066" i="1"/>
  <c r="BW1065" i="1"/>
  <c r="BW1064" i="1"/>
  <c r="BW1063" i="1"/>
  <c r="BW1062" i="1"/>
  <c r="BW1061" i="1"/>
  <c r="BW1060" i="1"/>
  <c r="BW1059" i="1"/>
  <c r="BW1058" i="1"/>
  <c r="BW1057" i="1"/>
  <c r="BW1056" i="1"/>
  <c r="BW1055" i="1"/>
  <c r="BW1054" i="1"/>
  <c r="BW1053" i="1"/>
  <c r="BW1052" i="1"/>
  <c r="BW1051" i="1"/>
  <c r="BW1050" i="1"/>
  <c r="BW1049" i="1"/>
  <c r="BW1048" i="1"/>
  <c r="BW1047" i="1"/>
  <c r="BW1046" i="1"/>
  <c r="BW1045" i="1"/>
  <c r="BW1044" i="1"/>
  <c r="BW1043" i="1"/>
  <c r="BW1042" i="1"/>
  <c r="BW1041" i="1"/>
  <c r="BW1040" i="1"/>
  <c r="BW1039" i="1"/>
  <c r="BW1038" i="1"/>
  <c r="BW1037" i="1"/>
  <c r="BW1036" i="1"/>
  <c r="BW1035" i="1"/>
  <c r="BW1034" i="1"/>
  <c r="BW1033" i="1"/>
  <c r="BW1032" i="1"/>
  <c r="BW1031" i="1"/>
  <c r="BW1030" i="1"/>
  <c r="BW1029" i="1"/>
  <c r="BW1028" i="1"/>
  <c r="BW1027" i="1"/>
  <c r="BW1026" i="1"/>
  <c r="BW1025" i="1"/>
  <c r="BW1024" i="1"/>
  <c r="BW1023" i="1"/>
  <c r="BW1022" i="1"/>
  <c r="BW1021" i="1"/>
  <c r="BW1020" i="1"/>
  <c r="BW1019" i="1"/>
  <c r="BW1018" i="1"/>
  <c r="BW1017" i="1"/>
  <c r="BW1016" i="1"/>
  <c r="BW1015" i="1"/>
  <c r="BW1014" i="1"/>
  <c r="BW1013" i="1"/>
  <c r="BW1012" i="1"/>
  <c r="BW1011" i="1"/>
  <c r="BW1010" i="1"/>
  <c r="BW1009" i="1"/>
  <c r="BW1008" i="1"/>
  <c r="BW1007" i="1"/>
  <c r="BW1006" i="1"/>
  <c r="BW1005" i="1"/>
  <c r="BW1004" i="1"/>
  <c r="BW1003" i="1"/>
  <c r="BW1002" i="1"/>
  <c r="BW1001" i="1"/>
  <c r="BW1000" i="1"/>
  <c r="BW999" i="1"/>
  <c r="BW998" i="1"/>
  <c r="BW997" i="1"/>
  <c r="BW996" i="1"/>
  <c r="BW995" i="1"/>
  <c r="BW994" i="1"/>
  <c r="BW993" i="1"/>
  <c r="BW992" i="1"/>
  <c r="BW991" i="1"/>
  <c r="BW990" i="1"/>
  <c r="BW989" i="1"/>
  <c r="BW988" i="1"/>
  <c r="BW987" i="1"/>
  <c r="BW986" i="1"/>
  <c r="BW985" i="1"/>
  <c r="BW984" i="1"/>
  <c r="BW983" i="1"/>
  <c r="BW982" i="1"/>
  <c r="BW981" i="1"/>
  <c r="BW980" i="1"/>
  <c r="BW979" i="1"/>
  <c r="BW978" i="1"/>
  <c r="BW977" i="1"/>
  <c r="BW976" i="1"/>
  <c r="BW975" i="1"/>
  <c r="BW974" i="1"/>
  <c r="BW973" i="1"/>
  <c r="BW972" i="1"/>
  <c r="BW971" i="1"/>
  <c r="BW970" i="1"/>
  <c r="BW969" i="1"/>
  <c r="BW968" i="1"/>
  <c r="BW967" i="1"/>
  <c r="BW966" i="1"/>
  <c r="BW965" i="1"/>
  <c r="BW964" i="1"/>
  <c r="BW963" i="1"/>
  <c r="BW962" i="1"/>
  <c r="BW961" i="1"/>
  <c r="BW960" i="1"/>
  <c r="BW959" i="1"/>
  <c r="BW958" i="1"/>
  <c r="BW957" i="1"/>
  <c r="BW956" i="1"/>
  <c r="BW955" i="1"/>
  <c r="BW954" i="1"/>
  <c r="BW953" i="1"/>
  <c r="BW952" i="1"/>
  <c r="BW951" i="1"/>
  <c r="BW950" i="1"/>
  <c r="BW949" i="1"/>
  <c r="BW948" i="1"/>
  <c r="BW947" i="1"/>
  <c r="BW946" i="1"/>
  <c r="BW945" i="1"/>
  <c r="BW944" i="1"/>
  <c r="BW943" i="1"/>
  <c r="BW942" i="1"/>
  <c r="BW941" i="1"/>
  <c r="BW940" i="1"/>
  <c r="BW939" i="1"/>
  <c r="BW938" i="1"/>
  <c r="BW937" i="1"/>
  <c r="BW936" i="1"/>
  <c r="BW935" i="1"/>
  <c r="BW934" i="1"/>
  <c r="BW933" i="1"/>
  <c r="BW932" i="1"/>
  <c r="BW931" i="1"/>
  <c r="BW930" i="1"/>
  <c r="BW929" i="1"/>
  <c r="BW928" i="1"/>
  <c r="BW927" i="1"/>
  <c r="BW926" i="1"/>
  <c r="BW925" i="1"/>
  <c r="BW924" i="1"/>
  <c r="BW923" i="1"/>
  <c r="BW922" i="1"/>
  <c r="BW921" i="1"/>
  <c r="BW920" i="1"/>
  <c r="BW919" i="1"/>
  <c r="BW918" i="1"/>
  <c r="BW917" i="1"/>
  <c r="BW916" i="1"/>
  <c r="BW915" i="1"/>
  <c r="BW914" i="1"/>
  <c r="BW913" i="1"/>
  <c r="BW912" i="1"/>
  <c r="BW911" i="1"/>
  <c r="BW910" i="1"/>
  <c r="BW909" i="1"/>
  <c r="BW908" i="1"/>
  <c r="BW907" i="1"/>
  <c r="BW906" i="1"/>
  <c r="BW905" i="1"/>
  <c r="BW904" i="1"/>
  <c r="BW903" i="1"/>
  <c r="BW902" i="1"/>
  <c r="BW901" i="1"/>
  <c r="BW900" i="1"/>
  <c r="BW899" i="1"/>
  <c r="BW898" i="1"/>
  <c r="BW897" i="1"/>
  <c r="BW896" i="1"/>
  <c r="BW895" i="1"/>
  <c r="BW894" i="1"/>
  <c r="BW893" i="1"/>
  <c r="BW892" i="1"/>
  <c r="BW891" i="1"/>
  <c r="BW890" i="1"/>
  <c r="BW889" i="1"/>
  <c r="BW888" i="1"/>
  <c r="BW887" i="1"/>
  <c r="BW886" i="1"/>
  <c r="BW885" i="1"/>
  <c r="BW884" i="1"/>
  <c r="BW883" i="1"/>
  <c r="BW882" i="1"/>
  <c r="BW881" i="1"/>
  <c r="BW880" i="1"/>
  <c r="BW879" i="1"/>
  <c r="BW878" i="1"/>
  <c r="BW877" i="1"/>
  <c r="BW876" i="1"/>
  <c r="BW875" i="1"/>
  <c r="BW874" i="1"/>
  <c r="BW873" i="1"/>
  <c r="BW872" i="1"/>
  <c r="BW871" i="1"/>
  <c r="BW870" i="1"/>
  <c r="BW869" i="1"/>
  <c r="BW868" i="1"/>
  <c r="BW867" i="1"/>
  <c r="BW866" i="1"/>
  <c r="BW865" i="1"/>
  <c r="BW864" i="1"/>
  <c r="BW863" i="1"/>
  <c r="BW862" i="1"/>
  <c r="BW861" i="1"/>
  <c r="BW860" i="1"/>
  <c r="BW859" i="1"/>
  <c r="BW858" i="1"/>
  <c r="BW857" i="1"/>
  <c r="BW856" i="1"/>
  <c r="BW855" i="1"/>
  <c r="BW854" i="1"/>
  <c r="BW853" i="1"/>
  <c r="BW852" i="1"/>
  <c r="BW851" i="1"/>
  <c r="BW850" i="1"/>
  <c r="BW849" i="1"/>
  <c r="BW848" i="1"/>
  <c r="BW847" i="1"/>
  <c r="BW846" i="1"/>
  <c r="BW845" i="1"/>
  <c r="BW844" i="1"/>
  <c r="BW843" i="1"/>
  <c r="BW842" i="1"/>
  <c r="BW841" i="1"/>
  <c r="BW840" i="1"/>
  <c r="BW839" i="1"/>
  <c r="BW838" i="1"/>
  <c r="BW837" i="1"/>
  <c r="BW836" i="1"/>
  <c r="BW835" i="1"/>
  <c r="BW834" i="1"/>
  <c r="BW833" i="1"/>
  <c r="BW832" i="1"/>
  <c r="BW831" i="1"/>
  <c r="BW830" i="1"/>
  <c r="BW829" i="1"/>
  <c r="BW828" i="1"/>
  <c r="BW827" i="1"/>
  <c r="BW826" i="1"/>
  <c r="BW825" i="1"/>
  <c r="BW824" i="1"/>
  <c r="BW823" i="1"/>
  <c r="BW822" i="1"/>
  <c r="BW821" i="1"/>
  <c r="BW820" i="1"/>
  <c r="BW819" i="1"/>
  <c r="BW818" i="1"/>
  <c r="BW817" i="1"/>
  <c r="BW816" i="1"/>
  <c r="BW815" i="1"/>
  <c r="BW814" i="1"/>
  <c r="BW813" i="1"/>
  <c r="BW812" i="1"/>
  <c r="BW811" i="1"/>
  <c r="BW810" i="1"/>
  <c r="BW809" i="1"/>
  <c r="BW808" i="1"/>
  <c r="BW807" i="1"/>
  <c r="BW806" i="1"/>
  <c r="BW805" i="1"/>
  <c r="BW804" i="1"/>
  <c r="BW803" i="1"/>
  <c r="BW802" i="1"/>
  <c r="BW801" i="1"/>
  <c r="BW800" i="1"/>
  <c r="BW799" i="1"/>
  <c r="BW798" i="1"/>
  <c r="BW797" i="1"/>
  <c r="BW796" i="1"/>
  <c r="BW795" i="1"/>
  <c r="BW794" i="1"/>
  <c r="BW793" i="1"/>
  <c r="BW792" i="1"/>
  <c r="BW791" i="1"/>
  <c r="BW790" i="1"/>
  <c r="BW789" i="1"/>
  <c r="BW788" i="1"/>
  <c r="BW787" i="1"/>
  <c r="BW786" i="1"/>
  <c r="BW785" i="1"/>
  <c r="BW784" i="1"/>
  <c r="BW783" i="1"/>
  <c r="BW782" i="1"/>
  <c r="BW781" i="1"/>
  <c r="BW780" i="1"/>
  <c r="BW779" i="1"/>
  <c r="BW778" i="1"/>
  <c r="BW777" i="1"/>
  <c r="BW776" i="1"/>
  <c r="BW775" i="1"/>
  <c r="BW774" i="1"/>
  <c r="BW773" i="1"/>
  <c r="BW772" i="1"/>
  <c r="BW771" i="1"/>
  <c r="BW770" i="1"/>
  <c r="BW769" i="1"/>
  <c r="BW768" i="1"/>
  <c r="BW767" i="1"/>
  <c r="BW766" i="1"/>
  <c r="BW765" i="1"/>
  <c r="BW764" i="1"/>
  <c r="BW763" i="1"/>
  <c r="BW762" i="1"/>
  <c r="BW761" i="1"/>
  <c r="BW760" i="1"/>
  <c r="BW759" i="1"/>
  <c r="BW758" i="1"/>
  <c r="BW757" i="1"/>
  <c r="BW756" i="1"/>
  <c r="BW755" i="1"/>
  <c r="BW754" i="1"/>
  <c r="BW753" i="1"/>
  <c r="BW752" i="1"/>
  <c r="BW751" i="1"/>
  <c r="BW750" i="1"/>
  <c r="BW749" i="1"/>
  <c r="BW748" i="1"/>
  <c r="BW747" i="1"/>
  <c r="BW746" i="1"/>
  <c r="BW745" i="1"/>
  <c r="BW744" i="1"/>
  <c r="BW743" i="1"/>
  <c r="BW742" i="1"/>
  <c r="BW741" i="1"/>
  <c r="BW740" i="1"/>
  <c r="BW739" i="1"/>
  <c r="BW738" i="1"/>
  <c r="BW737" i="1"/>
  <c r="BW736" i="1"/>
  <c r="BW735" i="1"/>
  <c r="BW734" i="1"/>
  <c r="BW733" i="1"/>
  <c r="BW732" i="1"/>
  <c r="BW731" i="1"/>
  <c r="BW730" i="1"/>
  <c r="BW729" i="1"/>
  <c r="BW728" i="1"/>
  <c r="BW727" i="1"/>
  <c r="BW726" i="1"/>
  <c r="BW725" i="1"/>
  <c r="BW724" i="1"/>
  <c r="BW723" i="1"/>
  <c r="BW722" i="1"/>
  <c r="BW721" i="1"/>
  <c r="BW720" i="1"/>
  <c r="BW719" i="1"/>
  <c r="BW718" i="1"/>
  <c r="BW717" i="1"/>
  <c r="BW716" i="1"/>
  <c r="BW715" i="1"/>
  <c r="BW714" i="1"/>
  <c r="BW713" i="1"/>
  <c r="BW712" i="1"/>
  <c r="BW711" i="1"/>
  <c r="BW710" i="1"/>
  <c r="BW709" i="1"/>
  <c r="BW708" i="1"/>
  <c r="BW707" i="1"/>
  <c r="BW706" i="1"/>
  <c r="BW705" i="1"/>
  <c r="BW704" i="1"/>
  <c r="BW703" i="1"/>
  <c r="BW702" i="1"/>
  <c r="BW701" i="1"/>
  <c r="BW700" i="1"/>
  <c r="BW699" i="1"/>
  <c r="BW698" i="1"/>
  <c r="BW697" i="1"/>
  <c r="BW696" i="1"/>
  <c r="BW695" i="1"/>
  <c r="BW694" i="1"/>
  <c r="BW693" i="1"/>
  <c r="BW692" i="1"/>
  <c r="BW691" i="1"/>
  <c r="BW690" i="1"/>
  <c r="BW689" i="1"/>
  <c r="BW688" i="1"/>
  <c r="BW687" i="1"/>
  <c r="BW686" i="1"/>
  <c r="BW685" i="1"/>
  <c r="BW684" i="1"/>
  <c r="BW683" i="1"/>
  <c r="BW682" i="1"/>
  <c r="BW681" i="1"/>
  <c r="BW680" i="1"/>
  <c r="BW679" i="1"/>
  <c r="BW678" i="1"/>
  <c r="BW677" i="1"/>
  <c r="BW676" i="1"/>
  <c r="BW675" i="1"/>
  <c r="BW674" i="1"/>
  <c r="BW673" i="1"/>
  <c r="BW672" i="1"/>
  <c r="BW671" i="1"/>
  <c r="BW670" i="1"/>
  <c r="BW669" i="1"/>
  <c r="BW668" i="1"/>
  <c r="BW667" i="1"/>
  <c r="BW666" i="1"/>
  <c r="BW665" i="1"/>
  <c r="BW664" i="1"/>
  <c r="BW663" i="1"/>
  <c r="BW662" i="1"/>
  <c r="BW661" i="1"/>
  <c r="BW660" i="1"/>
  <c r="BW659" i="1"/>
  <c r="BW658" i="1"/>
  <c r="BW657" i="1"/>
  <c r="BW656" i="1"/>
  <c r="BW655" i="1"/>
  <c r="BW654" i="1"/>
  <c r="BW653" i="1"/>
  <c r="BW652" i="1"/>
  <c r="BW651" i="1"/>
  <c r="BW650" i="1"/>
  <c r="BW649" i="1"/>
  <c r="BW648" i="1"/>
  <c r="BW647" i="1"/>
  <c r="BW646" i="1"/>
  <c r="BW645" i="1"/>
  <c r="BW644" i="1"/>
  <c r="BW643" i="1"/>
  <c r="BW642" i="1"/>
  <c r="BW641" i="1"/>
  <c r="BW640" i="1"/>
  <c r="BW639" i="1"/>
  <c r="BW638" i="1"/>
  <c r="BW637" i="1"/>
  <c r="BW636" i="1"/>
  <c r="BW635" i="1"/>
  <c r="BW634" i="1"/>
  <c r="BW633" i="1"/>
  <c r="BW632" i="1"/>
  <c r="BW631" i="1"/>
  <c r="BW630" i="1"/>
  <c r="BW629" i="1"/>
  <c r="BW628" i="1"/>
  <c r="BW627" i="1"/>
  <c r="BW626" i="1"/>
  <c r="BW625" i="1"/>
  <c r="BW624" i="1"/>
  <c r="BW623" i="1"/>
  <c r="BW622" i="1"/>
  <c r="BW621" i="1"/>
  <c r="BW620" i="1"/>
  <c r="BW619" i="1"/>
  <c r="BW618" i="1"/>
  <c r="BW617" i="1"/>
  <c r="BW616" i="1"/>
  <c r="BW615" i="1"/>
  <c r="BW614" i="1"/>
  <c r="BW613" i="1"/>
  <c r="BW612" i="1"/>
  <c r="BW611" i="1"/>
  <c r="BW610" i="1"/>
  <c r="BW609" i="1"/>
  <c r="BW608" i="1"/>
  <c r="BW607" i="1"/>
  <c r="BW606" i="1"/>
  <c r="BW605" i="1"/>
  <c r="BW604" i="1"/>
  <c r="BW603" i="1"/>
  <c r="BW602" i="1"/>
  <c r="BW601" i="1"/>
  <c r="BW600" i="1"/>
  <c r="BW599" i="1"/>
  <c r="BW598" i="1"/>
  <c r="BW597" i="1"/>
  <c r="BW596" i="1"/>
  <c r="BW595" i="1"/>
  <c r="BW594" i="1"/>
  <c r="BW593" i="1"/>
  <c r="BW592" i="1"/>
  <c r="BW591" i="1"/>
  <c r="BW590" i="1"/>
  <c r="BW589" i="1"/>
  <c r="BW588" i="1"/>
  <c r="BW587" i="1"/>
  <c r="BW586" i="1"/>
  <c r="BW585" i="1"/>
  <c r="BW584" i="1"/>
  <c r="BW583" i="1"/>
  <c r="BW582" i="1"/>
  <c r="BW581" i="1"/>
  <c r="BW580" i="1"/>
  <c r="BW579" i="1"/>
  <c r="BW578" i="1"/>
  <c r="BW577" i="1"/>
  <c r="BW576" i="1"/>
  <c r="BW575" i="1"/>
  <c r="BW574" i="1"/>
  <c r="BW573" i="1"/>
  <c r="BW572" i="1"/>
  <c r="BW571" i="1"/>
  <c r="BW570" i="1"/>
  <c r="BW569" i="1"/>
  <c r="BW568" i="1"/>
  <c r="BW567" i="1"/>
  <c r="BW566" i="1"/>
  <c r="BW565" i="1"/>
  <c r="BW564" i="1"/>
  <c r="BW563" i="1"/>
  <c r="BW562" i="1"/>
  <c r="BW561" i="1"/>
  <c r="BW560" i="1"/>
  <c r="BW559" i="1"/>
  <c r="BW558" i="1"/>
  <c r="BW557" i="1"/>
  <c r="BW556" i="1"/>
  <c r="BW555" i="1"/>
  <c r="BW554" i="1"/>
  <c r="BW553" i="1"/>
  <c r="BW552" i="1"/>
  <c r="BW551" i="1"/>
  <c r="BW550" i="1"/>
  <c r="BW549" i="1"/>
  <c r="BW548" i="1"/>
  <c r="BW547" i="1"/>
  <c r="BW546" i="1"/>
  <c r="BW545" i="1"/>
  <c r="BW544" i="1"/>
  <c r="BW543" i="1"/>
  <c r="BW542" i="1"/>
  <c r="BW541" i="1"/>
  <c r="BW540" i="1"/>
  <c r="BW539" i="1"/>
  <c r="BW538" i="1"/>
  <c r="BW537" i="1"/>
  <c r="BW536" i="1"/>
  <c r="BW535" i="1"/>
  <c r="BW534" i="1"/>
  <c r="BW533" i="1"/>
  <c r="BW532" i="1"/>
  <c r="BW531" i="1"/>
  <c r="BW530" i="1"/>
  <c r="BW529" i="1"/>
  <c r="BW528" i="1"/>
  <c r="BW527" i="1"/>
  <c r="BW526" i="1"/>
  <c r="BW525" i="1"/>
  <c r="BW524" i="1"/>
  <c r="BW523" i="1"/>
  <c r="BW522" i="1"/>
  <c r="BW521" i="1"/>
  <c r="BW520" i="1"/>
  <c r="BW519" i="1"/>
  <c r="BW518" i="1"/>
  <c r="BW517" i="1"/>
  <c r="BW516" i="1"/>
  <c r="BW515" i="1"/>
  <c r="BW514" i="1"/>
  <c r="BW513" i="1"/>
  <c r="BW512" i="1"/>
  <c r="BW511" i="1"/>
  <c r="BW510" i="1"/>
  <c r="BW509" i="1"/>
  <c r="BW508" i="1"/>
  <c r="BW507" i="1"/>
  <c r="BW506" i="1"/>
  <c r="BW505" i="1"/>
  <c r="BW504" i="1"/>
  <c r="BW503" i="1"/>
  <c r="BW502" i="1"/>
  <c r="BW501" i="1"/>
  <c r="BW500" i="1"/>
  <c r="BW499" i="1"/>
  <c r="BW498" i="1"/>
  <c r="BW497" i="1"/>
  <c r="BW496" i="1"/>
  <c r="BW495" i="1"/>
  <c r="BW494" i="1"/>
  <c r="BW493" i="1"/>
  <c r="BW492" i="1"/>
  <c r="BW491" i="1"/>
  <c r="BW490" i="1"/>
  <c r="BW489" i="1"/>
  <c r="BW488" i="1"/>
  <c r="BW487" i="1"/>
  <c r="BW486" i="1"/>
  <c r="BW485" i="1"/>
  <c r="BW484" i="1"/>
  <c r="BW483" i="1"/>
  <c r="BW482" i="1"/>
  <c r="BW481" i="1"/>
  <c r="BW480" i="1"/>
  <c r="BW479" i="1"/>
  <c r="BW478" i="1"/>
  <c r="BW477" i="1"/>
  <c r="BW476" i="1"/>
  <c r="BW475" i="1"/>
  <c r="BW474" i="1"/>
  <c r="BW473" i="1"/>
  <c r="BW472" i="1"/>
  <c r="BW471" i="1"/>
  <c r="BW470" i="1"/>
  <c r="BW469" i="1"/>
  <c r="BW468" i="1"/>
  <c r="BW467" i="1"/>
  <c r="BW466" i="1"/>
  <c r="BW465" i="1"/>
  <c r="BW464" i="1"/>
  <c r="BW463" i="1"/>
  <c r="BW462" i="1"/>
  <c r="BW461" i="1"/>
  <c r="BW460" i="1"/>
  <c r="BW459" i="1"/>
  <c r="BW458" i="1"/>
  <c r="BW457" i="1"/>
  <c r="BW456" i="1"/>
  <c r="BW455" i="1"/>
  <c r="BW454" i="1"/>
  <c r="BW453" i="1"/>
  <c r="BW452" i="1"/>
  <c r="BW451" i="1"/>
  <c r="BW450" i="1"/>
  <c r="BW449" i="1"/>
  <c r="BW448" i="1"/>
  <c r="BW447" i="1"/>
  <c r="BW446" i="1"/>
  <c r="BW445" i="1"/>
  <c r="BW444" i="1"/>
  <c r="BW443" i="1"/>
  <c r="BW442" i="1"/>
  <c r="BW441" i="1"/>
  <c r="BW440" i="1"/>
  <c r="BW439" i="1"/>
  <c r="BW438" i="1"/>
  <c r="BW437" i="1"/>
  <c r="BW436" i="1"/>
  <c r="BW435" i="1"/>
  <c r="BW434" i="1"/>
  <c r="BW433" i="1"/>
  <c r="BW432" i="1"/>
  <c r="BW431" i="1"/>
  <c r="BW430" i="1"/>
  <c r="BW429" i="1"/>
  <c r="BW428" i="1"/>
  <c r="BW427" i="1"/>
  <c r="BW426" i="1"/>
  <c r="BW425" i="1"/>
  <c r="BW424" i="1"/>
  <c r="BW423" i="1"/>
  <c r="BW422" i="1"/>
  <c r="BW421" i="1"/>
  <c r="BW420" i="1"/>
  <c r="BW419" i="1"/>
  <c r="BW418" i="1"/>
  <c r="BW417" i="1"/>
  <c r="BW416" i="1"/>
  <c r="BW415" i="1"/>
  <c r="BW414" i="1"/>
  <c r="BW413" i="1"/>
  <c r="BW412" i="1"/>
  <c r="BW411" i="1"/>
  <c r="BW410" i="1"/>
  <c r="BW409" i="1"/>
  <c r="BW408" i="1"/>
  <c r="BW407" i="1"/>
  <c r="BW406" i="1"/>
  <c r="BW405" i="1"/>
  <c r="BW404" i="1"/>
  <c r="BW403" i="1"/>
  <c r="BW402" i="1"/>
  <c r="BW401" i="1"/>
  <c r="BW400" i="1"/>
  <c r="BW399" i="1"/>
  <c r="BW398" i="1"/>
  <c r="BW397" i="1"/>
  <c r="BW396" i="1"/>
  <c r="BW395" i="1"/>
  <c r="BW394" i="1"/>
  <c r="BW393" i="1"/>
  <c r="BW392" i="1"/>
  <c r="BW391" i="1"/>
  <c r="BW390" i="1"/>
  <c r="BW389" i="1"/>
  <c r="BW388" i="1"/>
  <c r="BW387" i="1"/>
  <c r="BW386" i="1"/>
  <c r="BW385" i="1"/>
  <c r="BW384" i="1"/>
  <c r="BW383" i="1"/>
  <c r="BW382" i="1"/>
  <c r="BW381" i="1"/>
  <c r="BW380" i="1"/>
  <c r="BW379" i="1"/>
  <c r="BW378" i="1"/>
  <c r="BW377" i="1"/>
  <c r="BW376" i="1"/>
  <c r="BW375" i="1"/>
  <c r="BW374" i="1"/>
  <c r="BW373" i="1"/>
  <c r="BW372" i="1"/>
  <c r="BW371" i="1"/>
  <c r="BW370" i="1"/>
  <c r="BW369" i="1"/>
  <c r="BW368" i="1"/>
  <c r="BW367" i="1"/>
  <c r="BW366" i="1"/>
  <c r="BW365" i="1"/>
  <c r="BW364" i="1"/>
  <c r="BW363" i="1"/>
  <c r="BW362" i="1"/>
  <c r="BW361" i="1"/>
  <c r="BW360" i="1"/>
  <c r="BW359" i="1"/>
  <c r="BW358" i="1"/>
  <c r="BW357" i="1"/>
  <c r="BW356" i="1"/>
  <c r="BW355" i="1"/>
  <c r="BW354" i="1"/>
  <c r="BW353" i="1"/>
  <c r="BW352" i="1"/>
  <c r="BW351" i="1"/>
  <c r="BW350" i="1"/>
  <c r="BW349" i="1"/>
  <c r="BW348" i="1"/>
  <c r="BW347" i="1"/>
  <c r="BW346" i="1"/>
  <c r="BW345" i="1"/>
  <c r="BW344" i="1"/>
  <c r="BW343" i="1"/>
  <c r="BW342" i="1"/>
  <c r="BW341" i="1"/>
  <c r="BW340" i="1"/>
  <c r="BW339" i="1"/>
  <c r="BW338" i="1"/>
  <c r="BW337" i="1"/>
  <c r="BW336" i="1"/>
  <c r="BW335" i="1"/>
  <c r="BW334" i="1"/>
  <c r="BW333" i="1"/>
  <c r="BW332" i="1"/>
  <c r="BW331" i="1"/>
  <c r="BW330" i="1"/>
  <c r="BW329" i="1"/>
  <c r="BW328" i="1"/>
  <c r="BW327" i="1"/>
  <c r="BW326" i="1"/>
  <c r="BW325" i="1"/>
  <c r="BW324" i="1"/>
  <c r="BW323" i="1"/>
  <c r="BW322" i="1"/>
  <c r="BW321" i="1"/>
  <c r="BW320" i="1"/>
  <c r="BW319" i="1"/>
  <c r="BW318" i="1"/>
  <c r="BW317" i="1"/>
  <c r="BW316" i="1"/>
  <c r="BW315" i="1"/>
  <c r="BW314" i="1"/>
  <c r="BW313" i="1"/>
  <c r="BW312" i="1"/>
  <c r="BW311" i="1"/>
  <c r="BW310" i="1"/>
  <c r="BW309" i="1"/>
  <c r="BW308" i="1"/>
  <c r="BW307" i="1"/>
  <c r="BW306" i="1"/>
  <c r="BW305" i="1"/>
  <c r="BW304" i="1"/>
  <c r="BW303" i="1"/>
  <c r="BW302" i="1"/>
  <c r="BW301" i="1"/>
  <c r="BW300" i="1"/>
  <c r="BW299" i="1"/>
  <c r="BW298" i="1"/>
  <c r="BW297" i="1"/>
  <c r="BW296" i="1"/>
  <c r="BW295" i="1"/>
  <c r="BW294" i="1"/>
  <c r="BW293" i="1"/>
  <c r="BW292" i="1"/>
  <c r="BW291" i="1"/>
  <c r="BW290" i="1"/>
  <c r="BW289" i="1"/>
  <c r="BW288" i="1"/>
  <c r="BW287" i="1"/>
  <c r="BW286" i="1"/>
  <c r="BW285" i="1"/>
  <c r="BW284" i="1"/>
  <c r="BW283" i="1"/>
  <c r="BW282" i="1"/>
  <c r="BW281" i="1"/>
  <c r="BW280" i="1"/>
  <c r="BW279" i="1"/>
  <c r="BW278" i="1"/>
  <c r="BW277" i="1"/>
  <c r="BW276" i="1"/>
  <c r="BW275" i="1"/>
  <c r="BW274" i="1"/>
  <c r="BW273" i="1"/>
  <c r="BW272" i="1"/>
  <c r="BW271" i="1"/>
  <c r="BW270" i="1"/>
  <c r="BW269" i="1"/>
  <c r="BW268" i="1"/>
  <c r="BW267" i="1"/>
  <c r="BW266" i="1"/>
  <c r="BW265" i="1"/>
  <c r="BW264" i="1"/>
  <c r="BW263" i="1"/>
  <c r="BW262" i="1"/>
  <c r="BW261" i="1"/>
  <c r="BW260" i="1"/>
  <c r="BW259" i="1"/>
  <c r="BW258" i="1"/>
  <c r="BW257" i="1"/>
  <c r="BW256" i="1"/>
  <c r="BW255" i="1"/>
  <c r="BW254" i="1"/>
  <c r="BW253" i="1"/>
  <c r="BW252" i="1"/>
  <c r="BW251" i="1"/>
  <c r="BW250" i="1"/>
  <c r="BW249" i="1"/>
  <c r="BW248" i="1"/>
  <c r="BW247" i="1"/>
  <c r="BW246" i="1"/>
  <c r="BW245" i="1"/>
  <c r="BW244" i="1"/>
  <c r="BW243" i="1"/>
  <c r="BW242" i="1"/>
  <c r="BW241" i="1"/>
  <c r="BW240" i="1"/>
  <c r="BW239" i="1"/>
  <c r="BW238" i="1"/>
  <c r="BW237" i="1"/>
  <c r="BW236" i="1"/>
  <c r="BW235" i="1"/>
  <c r="BW234" i="1"/>
  <c r="BW233" i="1"/>
  <c r="BW232" i="1"/>
  <c r="BW231" i="1"/>
  <c r="BW230" i="1"/>
  <c r="BW229" i="1"/>
  <c r="BW228" i="1"/>
  <c r="BW227" i="1"/>
  <c r="BW226" i="1"/>
  <c r="BW225" i="1"/>
  <c r="BW224" i="1"/>
  <c r="BW223" i="1"/>
  <c r="BW222" i="1"/>
  <c r="BW221" i="1"/>
  <c r="BW220" i="1"/>
  <c r="BW219" i="1"/>
  <c r="BW218" i="1"/>
  <c r="BW217" i="1"/>
  <c r="BW216" i="1"/>
  <c r="BW215" i="1"/>
  <c r="BW214" i="1"/>
  <c r="BW213" i="1"/>
  <c r="BW212" i="1"/>
  <c r="BW211" i="1"/>
  <c r="BW210" i="1"/>
  <c r="BW209" i="1"/>
  <c r="BW208" i="1"/>
  <c r="BW207" i="1"/>
  <c r="BW206" i="1"/>
  <c r="BW205" i="1"/>
  <c r="BW204" i="1"/>
  <c r="BW203" i="1"/>
  <c r="BW202" i="1"/>
  <c r="BW201" i="1"/>
  <c r="BW200" i="1"/>
  <c r="BW199" i="1"/>
  <c r="BW198" i="1"/>
  <c r="BW197" i="1"/>
  <c r="BW196" i="1"/>
  <c r="BW195" i="1"/>
  <c r="BW194" i="1"/>
  <c r="BW193" i="1"/>
  <c r="BW192" i="1"/>
  <c r="BW191" i="1"/>
  <c r="BW190" i="1"/>
  <c r="BW189" i="1"/>
  <c r="BW188" i="1"/>
  <c r="BW187" i="1"/>
  <c r="BW186" i="1"/>
  <c r="BW185" i="1"/>
  <c r="BW184" i="1"/>
  <c r="BW183" i="1"/>
  <c r="BW182" i="1"/>
  <c r="BW181" i="1"/>
  <c r="BW180" i="1"/>
  <c r="BW179" i="1"/>
  <c r="BW178" i="1"/>
  <c r="BW177" i="1"/>
  <c r="BW176" i="1"/>
  <c r="BW175" i="1"/>
  <c r="BW174" i="1"/>
  <c r="BW173" i="1"/>
  <c r="BW172" i="1"/>
  <c r="BW171" i="1"/>
  <c r="BW170" i="1"/>
  <c r="BW169" i="1"/>
  <c r="BW168" i="1"/>
  <c r="BW167" i="1"/>
  <c r="BW166" i="1"/>
  <c r="BW165" i="1"/>
  <c r="BW164" i="1"/>
  <c r="BW163" i="1"/>
  <c r="BW162" i="1"/>
  <c r="BW161" i="1"/>
  <c r="BW160" i="1"/>
  <c r="BW159" i="1"/>
  <c r="BW158" i="1"/>
  <c r="BW157" i="1"/>
  <c r="BW156" i="1"/>
  <c r="BW155" i="1"/>
  <c r="BW154" i="1"/>
  <c r="BW153" i="1"/>
  <c r="BW152" i="1"/>
  <c r="BW151" i="1"/>
  <c r="BW150" i="1"/>
  <c r="BW149" i="1"/>
  <c r="BW148" i="1"/>
  <c r="BW147" i="1"/>
  <c r="BW146" i="1"/>
  <c r="BW145" i="1"/>
  <c r="BW144" i="1"/>
  <c r="BW143" i="1"/>
  <c r="BW142" i="1"/>
  <c r="BW141" i="1"/>
  <c r="BW140" i="1"/>
  <c r="BW139" i="1"/>
  <c r="BW138" i="1"/>
  <c r="BW137" i="1"/>
  <c r="BW136" i="1"/>
  <c r="BW135" i="1"/>
  <c r="BW134" i="1"/>
  <c r="BW133" i="1"/>
  <c r="BW132" i="1"/>
  <c r="BW131" i="1"/>
  <c r="BW130" i="1"/>
  <c r="BW129" i="1"/>
  <c r="BW128" i="1"/>
  <c r="BW127" i="1"/>
  <c r="BW126" i="1"/>
  <c r="BW125" i="1"/>
  <c r="BW124" i="1"/>
  <c r="BW123" i="1"/>
  <c r="BW122" i="1"/>
  <c r="BW121" i="1"/>
  <c r="BW120" i="1"/>
  <c r="BW119" i="1"/>
  <c r="BW118" i="1"/>
  <c r="BW117" i="1"/>
  <c r="BW116" i="1"/>
  <c r="BW115" i="1"/>
  <c r="BW114" i="1"/>
  <c r="BW113" i="1"/>
  <c r="BW112" i="1"/>
  <c r="BW111" i="1"/>
  <c r="BW110" i="1"/>
  <c r="BW109" i="1"/>
  <c r="BW108" i="1"/>
  <c r="BW107" i="1"/>
  <c r="BW106" i="1"/>
  <c r="BW105" i="1"/>
  <c r="BW104" i="1"/>
  <c r="BW103" i="1"/>
  <c r="BW102" i="1"/>
  <c r="BW101" i="1"/>
  <c r="BW100" i="1"/>
  <c r="BW99" i="1"/>
  <c r="BW98" i="1"/>
  <c r="BW97" i="1"/>
  <c r="BW96" i="1"/>
  <c r="BW95" i="1"/>
  <c r="BW94" i="1"/>
  <c r="BW93" i="1"/>
  <c r="BW92" i="1"/>
  <c r="BW91" i="1"/>
  <c r="BW90" i="1"/>
  <c r="BW89" i="1"/>
  <c r="BW88" i="1"/>
  <c r="BW87" i="1"/>
  <c r="BW86" i="1"/>
  <c r="BW85" i="1"/>
  <c r="BW84" i="1"/>
  <c r="BW83" i="1"/>
  <c r="BW82" i="1"/>
  <c r="BW81" i="1"/>
  <c r="BW80" i="1"/>
  <c r="BW79" i="1"/>
  <c r="BW78" i="1"/>
  <c r="BW77" i="1"/>
  <c r="BW76" i="1"/>
  <c r="BW75" i="1"/>
  <c r="BW74" i="1"/>
  <c r="BW73" i="1"/>
  <c r="BW72" i="1"/>
  <c r="BW71" i="1"/>
  <c r="BW70" i="1"/>
  <c r="BW69" i="1"/>
  <c r="BW68" i="1"/>
  <c r="BW67" i="1"/>
  <c r="BW66" i="1"/>
  <c r="BW65" i="1"/>
  <c r="BW64" i="1"/>
  <c r="BW63" i="1"/>
  <c r="BW62" i="1"/>
  <c r="BW61" i="1"/>
  <c r="BW60" i="1"/>
  <c r="BW59" i="1"/>
  <c r="BW58" i="1"/>
  <c r="BW57" i="1"/>
  <c r="BW56" i="1"/>
  <c r="BW55" i="1"/>
  <c r="BW54" i="1"/>
  <c r="BW53" i="1"/>
  <c r="BW52" i="1"/>
  <c r="BW51" i="1"/>
  <c r="BW50" i="1"/>
  <c r="BW49" i="1"/>
  <c r="BW48" i="1"/>
  <c r="BW47" i="1"/>
  <c r="BW46" i="1"/>
  <c r="BW45" i="1"/>
  <c r="BW44" i="1"/>
  <c r="BW43" i="1"/>
  <c r="BW42" i="1"/>
  <c r="BW41" i="1"/>
  <c r="BW40" i="1"/>
  <c r="BW39" i="1"/>
  <c r="BW38" i="1"/>
  <c r="BW37" i="1"/>
  <c r="BW36" i="1"/>
  <c r="BW35" i="1"/>
  <c r="BW34" i="1"/>
  <c r="BW33" i="1"/>
  <c r="BW32" i="1"/>
  <c r="BW31" i="1"/>
  <c r="BW30" i="1"/>
  <c r="BW29" i="1"/>
  <c r="BW28" i="1"/>
  <c r="BW27" i="1"/>
  <c r="BW26" i="1"/>
  <c r="BW25" i="1"/>
  <c r="BW24" i="1"/>
  <c r="BW23" i="1"/>
  <c r="BW22" i="1"/>
  <c r="BW21" i="1"/>
  <c r="BW20" i="1"/>
  <c r="BW19" i="1"/>
  <c r="BW18" i="1"/>
  <c r="BW17" i="1"/>
  <c r="BS1112" i="1"/>
  <c r="BS1111" i="1"/>
  <c r="BS1110" i="1"/>
  <c r="BS1109" i="1"/>
  <c r="BS1108" i="1"/>
  <c r="BS1107" i="1"/>
  <c r="BS1106" i="1"/>
  <c r="BS1105" i="1"/>
  <c r="BS1104" i="1"/>
  <c r="BS1103" i="1"/>
  <c r="BS1102" i="1"/>
  <c r="BS1101" i="1"/>
  <c r="BS1100" i="1"/>
  <c r="BS1099" i="1"/>
  <c r="BS1098" i="1"/>
  <c r="BS1097" i="1"/>
  <c r="BS1096" i="1"/>
  <c r="BS1095" i="1"/>
  <c r="BS1094" i="1"/>
  <c r="BS1093" i="1"/>
  <c r="BS1092" i="1"/>
  <c r="BS1091" i="1"/>
  <c r="BS1090" i="1"/>
  <c r="BS1089" i="1"/>
  <c r="BS1088" i="1"/>
  <c r="BS1087" i="1"/>
  <c r="BS1086" i="1"/>
  <c r="BS1085" i="1"/>
  <c r="BS1084" i="1"/>
  <c r="BS1083" i="1"/>
  <c r="BS1082" i="1"/>
  <c r="BS1081" i="1"/>
  <c r="BS1080" i="1"/>
  <c r="BS1079" i="1"/>
  <c r="BS1078" i="1"/>
  <c r="BS1077" i="1"/>
  <c r="BS1076" i="1"/>
  <c r="BS1075" i="1"/>
  <c r="BS1074" i="1"/>
  <c r="BS1073" i="1"/>
  <c r="BS1072" i="1"/>
  <c r="BS1071" i="1"/>
  <c r="BS1070" i="1"/>
  <c r="BS1069" i="1"/>
  <c r="BS1068" i="1"/>
  <c r="BS1067" i="1"/>
  <c r="BS1066" i="1"/>
  <c r="BS1065" i="1"/>
  <c r="BS1064" i="1"/>
  <c r="BS1063" i="1"/>
  <c r="BS1062" i="1"/>
  <c r="BS1061" i="1"/>
  <c r="BS1060" i="1"/>
  <c r="BS1059" i="1"/>
  <c r="BS1058" i="1"/>
  <c r="BS1057" i="1"/>
  <c r="BS1056" i="1"/>
  <c r="BS1055" i="1"/>
  <c r="BS1054" i="1"/>
  <c r="BS1053" i="1"/>
  <c r="BS1052" i="1"/>
  <c r="BS1051" i="1"/>
  <c r="BS1050" i="1"/>
  <c r="BS1049" i="1"/>
  <c r="BS1048" i="1"/>
  <c r="BS1047" i="1"/>
  <c r="BS1046" i="1"/>
  <c r="BS1045" i="1"/>
  <c r="BS1044" i="1"/>
  <c r="BS1043" i="1"/>
  <c r="BS1042" i="1"/>
  <c r="BS1041" i="1"/>
  <c r="BS1040" i="1"/>
  <c r="BS1039" i="1"/>
  <c r="BS1038" i="1"/>
  <c r="BS1037" i="1"/>
  <c r="BS1036" i="1"/>
  <c r="BS1035" i="1"/>
  <c r="BS1034" i="1"/>
  <c r="BS1033" i="1"/>
  <c r="BS1032" i="1"/>
  <c r="BS1031" i="1"/>
  <c r="BS1030" i="1"/>
  <c r="BS1029" i="1"/>
  <c r="BS1028" i="1"/>
  <c r="BS1027" i="1"/>
  <c r="BS1026" i="1"/>
  <c r="BS1025" i="1"/>
  <c r="BS1024" i="1"/>
  <c r="BS1023" i="1"/>
  <c r="BS1022" i="1"/>
  <c r="BS1021" i="1"/>
  <c r="BS1020" i="1"/>
  <c r="BS1019" i="1"/>
  <c r="BS1018" i="1"/>
  <c r="BS1017" i="1"/>
  <c r="BS1016" i="1"/>
  <c r="BS1015" i="1"/>
  <c r="BS1014" i="1"/>
  <c r="BS1013" i="1"/>
  <c r="BS1012" i="1"/>
  <c r="BS1011" i="1"/>
  <c r="BS1010" i="1"/>
  <c r="BS1009" i="1"/>
  <c r="BS1008" i="1"/>
  <c r="BS1007" i="1"/>
  <c r="BS1006" i="1"/>
  <c r="BS1005" i="1"/>
  <c r="BS1004" i="1"/>
  <c r="BS1003" i="1"/>
  <c r="BS1002" i="1"/>
  <c r="BS1001" i="1"/>
  <c r="BS1000" i="1"/>
  <c r="BS999" i="1"/>
  <c r="BS998" i="1"/>
  <c r="BS997" i="1"/>
  <c r="BS996" i="1"/>
  <c r="BS995" i="1"/>
  <c r="BS994" i="1"/>
  <c r="BS993" i="1"/>
  <c r="BS992" i="1"/>
  <c r="BS991" i="1"/>
  <c r="BS990" i="1"/>
  <c r="BS989" i="1"/>
  <c r="BS988" i="1"/>
  <c r="BS987" i="1"/>
  <c r="BS986" i="1"/>
  <c r="BS985" i="1"/>
  <c r="BS984" i="1"/>
  <c r="BS983" i="1"/>
  <c r="BS982" i="1"/>
  <c r="BS981" i="1"/>
  <c r="BS980" i="1"/>
  <c r="BS979" i="1"/>
  <c r="BS978" i="1"/>
  <c r="BS977" i="1"/>
  <c r="BS976" i="1"/>
  <c r="BS975" i="1"/>
  <c r="BS974" i="1"/>
  <c r="BS973" i="1"/>
  <c r="BS972" i="1"/>
  <c r="BS971" i="1"/>
  <c r="BS970" i="1"/>
  <c r="BS969" i="1"/>
  <c r="BS968" i="1"/>
  <c r="BS967" i="1"/>
  <c r="BS966" i="1"/>
  <c r="BS965" i="1"/>
  <c r="BS964" i="1"/>
  <c r="BS963" i="1"/>
  <c r="BS962" i="1"/>
  <c r="BS961" i="1"/>
  <c r="BS960" i="1"/>
  <c r="BS959" i="1"/>
  <c r="BS958" i="1"/>
  <c r="BS957" i="1"/>
  <c r="BS956" i="1"/>
  <c r="BS955" i="1"/>
  <c r="BS954" i="1"/>
  <c r="BS953" i="1"/>
  <c r="BS952" i="1"/>
  <c r="BS951" i="1"/>
  <c r="BS950" i="1"/>
  <c r="BS949" i="1"/>
  <c r="BS948" i="1"/>
  <c r="BS947" i="1"/>
  <c r="BS946" i="1"/>
  <c r="BS945" i="1"/>
  <c r="BS944" i="1"/>
  <c r="BS943" i="1"/>
  <c r="BS942" i="1"/>
  <c r="BS941" i="1"/>
  <c r="BS940" i="1"/>
  <c r="BS939" i="1"/>
  <c r="BS938" i="1"/>
  <c r="BS937" i="1"/>
  <c r="BS936" i="1"/>
  <c r="BS935" i="1"/>
  <c r="BS934" i="1"/>
  <c r="BS933" i="1"/>
  <c r="BS932" i="1"/>
  <c r="BS931" i="1"/>
  <c r="BS930" i="1"/>
  <c r="BS929" i="1"/>
  <c r="BS928" i="1"/>
  <c r="BS927" i="1"/>
  <c r="BS926" i="1"/>
  <c r="BS925" i="1"/>
  <c r="BS924" i="1"/>
  <c r="BS923" i="1"/>
  <c r="BS922" i="1"/>
  <c r="BS921" i="1"/>
  <c r="BS920" i="1"/>
  <c r="BS919" i="1"/>
  <c r="BS918" i="1"/>
  <c r="BS917" i="1"/>
  <c r="BS916" i="1"/>
  <c r="BS915" i="1"/>
  <c r="BS914" i="1"/>
  <c r="BS913" i="1"/>
  <c r="BS912" i="1"/>
  <c r="BS911" i="1"/>
  <c r="BS910" i="1"/>
  <c r="BS909" i="1"/>
  <c r="BS908" i="1"/>
  <c r="BS907" i="1"/>
  <c r="BS906" i="1"/>
  <c r="BS905" i="1"/>
  <c r="BS904" i="1"/>
  <c r="BS903" i="1"/>
  <c r="BS902" i="1"/>
  <c r="BS901" i="1"/>
  <c r="BS900" i="1"/>
  <c r="BS899" i="1"/>
  <c r="BS898" i="1"/>
  <c r="BS897" i="1"/>
  <c r="BS896" i="1"/>
  <c r="BS895" i="1"/>
  <c r="BS894" i="1"/>
  <c r="BS893" i="1"/>
  <c r="BS892" i="1"/>
  <c r="BS891" i="1"/>
  <c r="BS890" i="1"/>
  <c r="BS889" i="1"/>
  <c r="BS888" i="1"/>
  <c r="BS887" i="1"/>
  <c r="BS886" i="1"/>
  <c r="BS885" i="1"/>
  <c r="BS884" i="1"/>
  <c r="BS883" i="1"/>
  <c r="BS882" i="1"/>
  <c r="BS881" i="1"/>
  <c r="BS880" i="1"/>
  <c r="BS879" i="1"/>
  <c r="BS878" i="1"/>
  <c r="BS877" i="1"/>
  <c r="BS876" i="1"/>
  <c r="BS875" i="1"/>
  <c r="BS874" i="1"/>
  <c r="BS873" i="1"/>
  <c r="BS872" i="1"/>
  <c r="BS871" i="1"/>
  <c r="BS870" i="1"/>
  <c r="BS869" i="1"/>
  <c r="BS868" i="1"/>
  <c r="BS867" i="1"/>
  <c r="BS866" i="1"/>
  <c r="BS865" i="1"/>
  <c r="BS864" i="1"/>
  <c r="BS863" i="1"/>
  <c r="BS862" i="1"/>
  <c r="BS861" i="1"/>
  <c r="BS860" i="1"/>
  <c r="BS859" i="1"/>
  <c r="BS858" i="1"/>
  <c r="BS857" i="1"/>
  <c r="BS856" i="1"/>
  <c r="BS855" i="1"/>
  <c r="BS854" i="1"/>
  <c r="BS853" i="1"/>
  <c r="BS852" i="1"/>
  <c r="BS851" i="1"/>
  <c r="BS850" i="1"/>
  <c r="BS849" i="1"/>
  <c r="BS848" i="1"/>
  <c r="BS847" i="1"/>
  <c r="BS846" i="1"/>
  <c r="BS845" i="1"/>
  <c r="BS844" i="1"/>
  <c r="BS843" i="1"/>
  <c r="BS842" i="1"/>
  <c r="BS841" i="1"/>
  <c r="BS840" i="1"/>
  <c r="BS839" i="1"/>
  <c r="BS838" i="1"/>
  <c r="BS837" i="1"/>
  <c r="BS836" i="1"/>
  <c r="BS835" i="1"/>
  <c r="BS834" i="1"/>
  <c r="BS833" i="1"/>
  <c r="BS832" i="1"/>
  <c r="BS831" i="1"/>
  <c r="BS830" i="1"/>
  <c r="BS829" i="1"/>
  <c r="BS828" i="1"/>
  <c r="BS827" i="1"/>
  <c r="BS826" i="1"/>
  <c r="BS825" i="1"/>
  <c r="BS824" i="1"/>
  <c r="BS823" i="1"/>
  <c r="BS822" i="1"/>
  <c r="BS821" i="1"/>
  <c r="BS820" i="1"/>
  <c r="BS819" i="1"/>
  <c r="BS818" i="1"/>
  <c r="BS817" i="1"/>
  <c r="BS816" i="1"/>
  <c r="BS815" i="1"/>
  <c r="BS814" i="1"/>
  <c r="BS813" i="1"/>
  <c r="BS812" i="1"/>
  <c r="BS811" i="1"/>
  <c r="BS810" i="1"/>
  <c r="BS809" i="1"/>
  <c r="BS808" i="1"/>
  <c r="BS807" i="1"/>
  <c r="BS806" i="1"/>
  <c r="BS805" i="1"/>
  <c r="BS804" i="1"/>
  <c r="BS803" i="1"/>
  <c r="BS802" i="1"/>
  <c r="BS801" i="1"/>
  <c r="BS800" i="1"/>
  <c r="BS799" i="1"/>
  <c r="BS798" i="1"/>
  <c r="BS797" i="1"/>
  <c r="BS796" i="1"/>
  <c r="BS795" i="1"/>
  <c r="BS794" i="1"/>
  <c r="BS793" i="1"/>
  <c r="BS792" i="1"/>
  <c r="BS791" i="1"/>
  <c r="BS790" i="1"/>
  <c r="BS789" i="1"/>
  <c r="BS788" i="1"/>
  <c r="BS787" i="1"/>
  <c r="BS786" i="1"/>
  <c r="BS785" i="1"/>
  <c r="BS784" i="1"/>
  <c r="BS783" i="1"/>
  <c r="BS782" i="1"/>
  <c r="BS781" i="1"/>
  <c r="BS780" i="1"/>
  <c r="BS779" i="1"/>
  <c r="BS778" i="1"/>
  <c r="BS777" i="1"/>
  <c r="BS776" i="1"/>
  <c r="BS775" i="1"/>
  <c r="BS774" i="1"/>
  <c r="BS773" i="1"/>
  <c r="BS772" i="1"/>
  <c r="BS771" i="1"/>
  <c r="BS770" i="1"/>
  <c r="BS769" i="1"/>
  <c r="BS768" i="1"/>
  <c r="BS767" i="1"/>
  <c r="BS766" i="1"/>
  <c r="BS765" i="1"/>
  <c r="BS764" i="1"/>
  <c r="BS763" i="1"/>
  <c r="BS762" i="1"/>
  <c r="BS761" i="1"/>
  <c r="BS760" i="1"/>
  <c r="BS759" i="1"/>
  <c r="BS758" i="1"/>
  <c r="BS757" i="1"/>
  <c r="BS756" i="1"/>
  <c r="BS755" i="1"/>
  <c r="BS754" i="1"/>
  <c r="BS753" i="1"/>
  <c r="BS752" i="1"/>
  <c r="BS751" i="1"/>
  <c r="BS750" i="1"/>
  <c r="BS749" i="1"/>
  <c r="BS748" i="1"/>
  <c r="BS747" i="1"/>
  <c r="BS746" i="1"/>
  <c r="BS745" i="1"/>
  <c r="BS744" i="1"/>
  <c r="BS743" i="1"/>
  <c r="BS742" i="1"/>
  <c r="BS741" i="1"/>
  <c r="BS740" i="1"/>
  <c r="BS739" i="1"/>
  <c r="BS738" i="1"/>
  <c r="BS737" i="1"/>
  <c r="BS736" i="1"/>
  <c r="BS735" i="1"/>
  <c r="BS734" i="1"/>
  <c r="BS733" i="1"/>
  <c r="BS732" i="1"/>
  <c r="BS731" i="1"/>
  <c r="BS730" i="1"/>
  <c r="BS729" i="1"/>
  <c r="BS728" i="1"/>
  <c r="BS727" i="1"/>
  <c r="BS726" i="1"/>
  <c r="BS725" i="1"/>
  <c r="BS724" i="1"/>
  <c r="BS723" i="1"/>
  <c r="BS722" i="1"/>
  <c r="BS721" i="1"/>
  <c r="BS720" i="1"/>
  <c r="BS719" i="1"/>
  <c r="BS718" i="1"/>
  <c r="BS717" i="1"/>
  <c r="BS716" i="1"/>
  <c r="BS715" i="1"/>
  <c r="BS714" i="1"/>
  <c r="BS713" i="1"/>
  <c r="BS712" i="1"/>
  <c r="BS711" i="1"/>
  <c r="BS710" i="1"/>
  <c r="BS709" i="1"/>
  <c r="BS708" i="1"/>
  <c r="BS707" i="1"/>
  <c r="BS706" i="1"/>
  <c r="BS705" i="1"/>
  <c r="BS704" i="1"/>
  <c r="BS703" i="1"/>
  <c r="BS702" i="1"/>
  <c r="BS701" i="1"/>
  <c r="BS700" i="1"/>
  <c r="BS699" i="1"/>
  <c r="BS698" i="1"/>
  <c r="BS697" i="1"/>
  <c r="BS696" i="1"/>
  <c r="BS695" i="1"/>
  <c r="BS694" i="1"/>
  <c r="BS693" i="1"/>
  <c r="BS692" i="1"/>
  <c r="BS691" i="1"/>
  <c r="BS690" i="1"/>
  <c r="BS689" i="1"/>
  <c r="BS688" i="1"/>
  <c r="BS687" i="1"/>
  <c r="BS686" i="1"/>
  <c r="BS685" i="1"/>
  <c r="BS684" i="1"/>
  <c r="BS683" i="1"/>
  <c r="BS682" i="1"/>
  <c r="BS681" i="1"/>
  <c r="BS680" i="1"/>
  <c r="BS679" i="1"/>
  <c r="BS678" i="1"/>
  <c r="BS677" i="1"/>
  <c r="BS676" i="1"/>
  <c r="BS675" i="1"/>
  <c r="BS674" i="1"/>
  <c r="BS673" i="1"/>
  <c r="BS672" i="1"/>
  <c r="BS671" i="1"/>
  <c r="BS670" i="1"/>
  <c r="BS669" i="1"/>
  <c r="BS668" i="1"/>
  <c r="BS667" i="1"/>
  <c r="BS666" i="1"/>
  <c r="BS665" i="1"/>
  <c r="BS664" i="1"/>
  <c r="BS663" i="1"/>
  <c r="BS662" i="1"/>
  <c r="BS661" i="1"/>
  <c r="BS660" i="1"/>
  <c r="BS659" i="1"/>
  <c r="BS658" i="1"/>
  <c r="BS657" i="1"/>
  <c r="BS656" i="1"/>
  <c r="BS655" i="1"/>
  <c r="BS654" i="1"/>
  <c r="BS653" i="1"/>
  <c r="BS652" i="1"/>
  <c r="BS651" i="1"/>
  <c r="BS650" i="1"/>
  <c r="BS649" i="1"/>
  <c r="BS648" i="1"/>
  <c r="BS647" i="1"/>
  <c r="BS646" i="1"/>
  <c r="BS645" i="1"/>
  <c r="BS644" i="1"/>
  <c r="BS643" i="1"/>
  <c r="BS642" i="1"/>
  <c r="BS641" i="1"/>
  <c r="BS640" i="1"/>
  <c r="BS639" i="1"/>
  <c r="BS638" i="1"/>
  <c r="BS637" i="1"/>
  <c r="BS636" i="1"/>
  <c r="BS635" i="1"/>
  <c r="BS634" i="1"/>
  <c r="BS633" i="1"/>
  <c r="BS632" i="1"/>
  <c r="BS631" i="1"/>
  <c r="BS630" i="1"/>
  <c r="BS629" i="1"/>
  <c r="BS628" i="1"/>
  <c r="BS627" i="1"/>
  <c r="BS626" i="1"/>
  <c r="BS625" i="1"/>
  <c r="BS624" i="1"/>
  <c r="BS623" i="1"/>
  <c r="BS622" i="1"/>
  <c r="BS621" i="1"/>
  <c r="BS620" i="1"/>
  <c r="BS619" i="1"/>
  <c r="BS618" i="1"/>
  <c r="BS617" i="1"/>
  <c r="BS616" i="1"/>
  <c r="BS615" i="1"/>
  <c r="BS614" i="1"/>
  <c r="BS613" i="1"/>
  <c r="BS612" i="1"/>
  <c r="BS611" i="1"/>
  <c r="BS610" i="1"/>
  <c r="BS609" i="1"/>
  <c r="BS608" i="1"/>
  <c r="BS607" i="1"/>
  <c r="BS606" i="1"/>
  <c r="BS605" i="1"/>
  <c r="BS604" i="1"/>
  <c r="BS603" i="1"/>
  <c r="BS602" i="1"/>
  <c r="BS601" i="1"/>
  <c r="BS600" i="1"/>
  <c r="BS599" i="1"/>
  <c r="BS598" i="1"/>
  <c r="BS597" i="1"/>
  <c r="BS596" i="1"/>
  <c r="BS595" i="1"/>
  <c r="BS594" i="1"/>
  <c r="BS593" i="1"/>
  <c r="BS592" i="1"/>
  <c r="BS591" i="1"/>
  <c r="BS590" i="1"/>
  <c r="BS589" i="1"/>
  <c r="BS588" i="1"/>
  <c r="BS587" i="1"/>
  <c r="BS586" i="1"/>
  <c r="BS585" i="1"/>
  <c r="BS584" i="1"/>
  <c r="BS583" i="1"/>
  <c r="BS582" i="1"/>
  <c r="BS581" i="1"/>
  <c r="BS580" i="1"/>
  <c r="BS579" i="1"/>
  <c r="BS578" i="1"/>
  <c r="BS577" i="1"/>
  <c r="BS576" i="1"/>
  <c r="BS575" i="1"/>
  <c r="BS574" i="1"/>
  <c r="BS573" i="1"/>
  <c r="BS572" i="1"/>
  <c r="BS571" i="1"/>
  <c r="BS570" i="1"/>
  <c r="BS569" i="1"/>
  <c r="BS568" i="1"/>
  <c r="BS567" i="1"/>
  <c r="BS566" i="1"/>
  <c r="BS565" i="1"/>
  <c r="BS564" i="1"/>
  <c r="BS563" i="1"/>
  <c r="BS562" i="1"/>
  <c r="BS561" i="1"/>
  <c r="BS560" i="1"/>
  <c r="BS559" i="1"/>
  <c r="BS558" i="1"/>
  <c r="BS557" i="1"/>
  <c r="BS556" i="1"/>
  <c r="BS555" i="1"/>
  <c r="BS554" i="1"/>
  <c r="BS553" i="1"/>
  <c r="BS552" i="1"/>
  <c r="BS551" i="1"/>
  <c r="BS550" i="1"/>
  <c r="BS549" i="1"/>
  <c r="BS548" i="1"/>
  <c r="BS547" i="1"/>
  <c r="BS546" i="1"/>
  <c r="BS545" i="1"/>
  <c r="BS544" i="1"/>
  <c r="BS543" i="1"/>
  <c r="BS542" i="1"/>
  <c r="BS541" i="1"/>
  <c r="BS540" i="1"/>
  <c r="BS539" i="1"/>
  <c r="BS538" i="1"/>
  <c r="BS537" i="1"/>
  <c r="BS536" i="1"/>
  <c r="BS535" i="1"/>
  <c r="BS534" i="1"/>
  <c r="BS533" i="1"/>
  <c r="BS532" i="1"/>
  <c r="BS531" i="1"/>
  <c r="BS530" i="1"/>
  <c r="BS529" i="1"/>
  <c r="BS528" i="1"/>
  <c r="BS527" i="1"/>
  <c r="BS526" i="1"/>
  <c r="BS525" i="1"/>
  <c r="BS524" i="1"/>
  <c r="BS523" i="1"/>
  <c r="BS522" i="1"/>
  <c r="BS521" i="1"/>
  <c r="BS520" i="1"/>
  <c r="BS519" i="1"/>
  <c r="BS518" i="1"/>
  <c r="BS517" i="1"/>
  <c r="BS516" i="1"/>
  <c r="BS515" i="1"/>
  <c r="BS514" i="1"/>
  <c r="BS513" i="1"/>
  <c r="BS512" i="1"/>
  <c r="BS511" i="1"/>
  <c r="BS510" i="1"/>
  <c r="BS509" i="1"/>
  <c r="BS508" i="1"/>
  <c r="BS507" i="1"/>
  <c r="BS506" i="1"/>
  <c r="BS505" i="1"/>
  <c r="BS504" i="1"/>
  <c r="BS503" i="1"/>
  <c r="BS502" i="1"/>
  <c r="BS501" i="1"/>
  <c r="BS500" i="1"/>
  <c r="BS499" i="1"/>
  <c r="BS498" i="1"/>
  <c r="BS497" i="1"/>
  <c r="BS496" i="1"/>
  <c r="BS495" i="1"/>
  <c r="BS494" i="1"/>
  <c r="BS493" i="1"/>
  <c r="BS492" i="1"/>
  <c r="BS491" i="1"/>
  <c r="BS490" i="1"/>
  <c r="BS489" i="1"/>
  <c r="BS488" i="1"/>
  <c r="BS487" i="1"/>
  <c r="BS486" i="1"/>
  <c r="BS485" i="1"/>
  <c r="BS484" i="1"/>
  <c r="BS483" i="1"/>
  <c r="BS482" i="1"/>
  <c r="BS481" i="1"/>
  <c r="BS480" i="1"/>
  <c r="BS479" i="1"/>
  <c r="BS478" i="1"/>
  <c r="BS477" i="1"/>
  <c r="BS476" i="1"/>
  <c r="BS475" i="1"/>
  <c r="BS474" i="1"/>
  <c r="BS473" i="1"/>
  <c r="BS472" i="1"/>
  <c r="BS471" i="1"/>
  <c r="BS470" i="1"/>
  <c r="BS469" i="1"/>
  <c r="BS468" i="1"/>
  <c r="BS467" i="1"/>
  <c r="BS466" i="1"/>
  <c r="BS465" i="1"/>
  <c r="BS464" i="1"/>
  <c r="BS463" i="1"/>
  <c r="BS462" i="1"/>
  <c r="BS461" i="1"/>
  <c r="BS460" i="1"/>
  <c r="BS459" i="1"/>
  <c r="BS458" i="1"/>
  <c r="BS457" i="1"/>
  <c r="BS456" i="1"/>
  <c r="BS455" i="1"/>
  <c r="BS454" i="1"/>
  <c r="BS453" i="1"/>
  <c r="BS452" i="1"/>
  <c r="BS451" i="1"/>
  <c r="BS450" i="1"/>
  <c r="BS449" i="1"/>
  <c r="BS448" i="1"/>
  <c r="BS447" i="1"/>
  <c r="BS446" i="1"/>
  <c r="BS445" i="1"/>
  <c r="BS444" i="1"/>
  <c r="BS443" i="1"/>
  <c r="BS442" i="1"/>
  <c r="BS441" i="1"/>
  <c r="BS440" i="1"/>
  <c r="BS439" i="1"/>
  <c r="BS438" i="1"/>
  <c r="BS437" i="1"/>
  <c r="BS436" i="1"/>
  <c r="BS435" i="1"/>
  <c r="BS434" i="1"/>
  <c r="BS433" i="1"/>
  <c r="BS432" i="1"/>
  <c r="BS431" i="1"/>
  <c r="BS430" i="1"/>
  <c r="BS429" i="1"/>
  <c r="BS428" i="1"/>
  <c r="BS427" i="1"/>
  <c r="BS426" i="1"/>
  <c r="BS425" i="1"/>
  <c r="BS424" i="1"/>
  <c r="BS423" i="1"/>
  <c r="BS422" i="1"/>
  <c r="BS421" i="1"/>
  <c r="BS420" i="1"/>
  <c r="BS419" i="1"/>
  <c r="BS418" i="1"/>
  <c r="BS417" i="1"/>
  <c r="BS416" i="1"/>
  <c r="BS415" i="1"/>
  <c r="BS414" i="1"/>
  <c r="BS413" i="1"/>
  <c r="BS412" i="1"/>
  <c r="BS411" i="1"/>
  <c r="BS410" i="1"/>
  <c r="BS409" i="1"/>
  <c r="BS408" i="1"/>
  <c r="BS407" i="1"/>
  <c r="BS406" i="1"/>
  <c r="BS405" i="1"/>
  <c r="BS404" i="1"/>
  <c r="BS403" i="1"/>
  <c r="BS402" i="1"/>
  <c r="BS401" i="1"/>
  <c r="BS400" i="1"/>
  <c r="BS399" i="1"/>
  <c r="BS398" i="1"/>
  <c r="BS397" i="1"/>
  <c r="BS396" i="1"/>
  <c r="BS395" i="1"/>
  <c r="BS394" i="1"/>
  <c r="BS393" i="1"/>
  <c r="BS392" i="1"/>
  <c r="BS391" i="1"/>
  <c r="BS390" i="1"/>
  <c r="BS389" i="1"/>
  <c r="BS388" i="1"/>
  <c r="BS387" i="1"/>
  <c r="BS386" i="1"/>
  <c r="BS385" i="1"/>
  <c r="BS384" i="1"/>
  <c r="BS383" i="1"/>
  <c r="BS382" i="1"/>
  <c r="BS381" i="1"/>
  <c r="BS380" i="1"/>
  <c r="BS379" i="1"/>
  <c r="BS378" i="1"/>
  <c r="BS377" i="1"/>
  <c r="BS376" i="1"/>
  <c r="BS375" i="1"/>
  <c r="BS374" i="1"/>
  <c r="BS373" i="1"/>
  <c r="BS372" i="1"/>
  <c r="BS371" i="1"/>
  <c r="BS370" i="1"/>
  <c r="BS369" i="1"/>
  <c r="BS368" i="1"/>
  <c r="BS367" i="1"/>
  <c r="BS366" i="1"/>
  <c r="BS365" i="1"/>
  <c r="BS364" i="1"/>
  <c r="BS363" i="1"/>
  <c r="BS362" i="1"/>
  <c r="BS361" i="1"/>
  <c r="BS360" i="1"/>
  <c r="BS359" i="1"/>
  <c r="BS358" i="1"/>
  <c r="BS357" i="1"/>
  <c r="BS356" i="1"/>
  <c r="BS355" i="1"/>
  <c r="BS354" i="1"/>
  <c r="BS353" i="1"/>
  <c r="BS352" i="1"/>
  <c r="BS351" i="1"/>
  <c r="BS350" i="1"/>
  <c r="BS349" i="1"/>
  <c r="BS348" i="1"/>
  <c r="BS347" i="1"/>
  <c r="BS346" i="1"/>
  <c r="BS345" i="1"/>
  <c r="BS344" i="1"/>
  <c r="BS343" i="1"/>
  <c r="BS342" i="1"/>
  <c r="BS341" i="1"/>
  <c r="BS340" i="1"/>
  <c r="BS339" i="1"/>
  <c r="BS338" i="1"/>
  <c r="BS337" i="1"/>
  <c r="BS336" i="1"/>
  <c r="BS335" i="1"/>
  <c r="BS334" i="1"/>
  <c r="BS333" i="1"/>
  <c r="BS332" i="1"/>
  <c r="BS331" i="1"/>
  <c r="BS330" i="1"/>
  <c r="BS329" i="1"/>
  <c r="BS328" i="1"/>
  <c r="BS327" i="1"/>
  <c r="BS326" i="1"/>
  <c r="BS325" i="1"/>
  <c r="BS324" i="1"/>
  <c r="BS323" i="1"/>
  <c r="BS322" i="1"/>
  <c r="BS321" i="1"/>
  <c r="BS320" i="1"/>
  <c r="BS319" i="1"/>
  <c r="BS318" i="1"/>
  <c r="BS317" i="1"/>
  <c r="BS316" i="1"/>
  <c r="BS315" i="1"/>
  <c r="BS314" i="1"/>
  <c r="BS313" i="1"/>
  <c r="BS312" i="1"/>
  <c r="BS311" i="1"/>
  <c r="BS310" i="1"/>
  <c r="BS309" i="1"/>
  <c r="BS308" i="1"/>
  <c r="BS307" i="1"/>
  <c r="BS306" i="1"/>
  <c r="BS305" i="1"/>
  <c r="BS304" i="1"/>
  <c r="BS303" i="1"/>
  <c r="BS302" i="1"/>
  <c r="BS301" i="1"/>
  <c r="BS300" i="1"/>
  <c r="BS299" i="1"/>
  <c r="BS298" i="1"/>
  <c r="BS297" i="1"/>
  <c r="BS296" i="1"/>
  <c r="BS295" i="1"/>
  <c r="BS294" i="1"/>
  <c r="BS293" i="1"/>
  <c r="BS292" i="1"/>
  <c r="BS291" i="1"/>
  <c r="BS290" i="1"/>
  <c r="BS289" i="1"/>
  <c r="BS288" i="1"/>
  <c r="BS287" i="1"/>
  <c r="BS286" i="1"/>
  <c r="BS285" i="1"/>
  <c r="BS284" i="1"/>
  <c r="BS283" i="1"/>
  <c r="BS282" i="1"/>
  <c r="BS281" i="1"/>
  <c r="BS280" i="1"/>
  <c r="BS279" i="1"/>
  <c r="BS278" i="1"/>
  <c r="BS277" i="1"/>
  <c r="BS276" i="1"/>
  <c r="BS275" i="1"/>
  <c r="BS274" i="1"/>
  <c r="BS273" i="1"/>
  <c r="BS272" i="1"/>
  <c r="BS271" i="1"/>
  <c r="BS270" i="1"/>
  <c r="BS269" i="1"/>
  <c r="BS268" i="1"/>
  <c r="BS267" i="1"/>
  <c r="BS266" i="1"/>
  <c r="BS265" i="1"/>
  <c r="BS264" i="1"/>
  <c r="BS263" i="1"/>
  <c r="BS262" i="1"/>
  <c r="BS261" i="1"/>
  <c r="BS260" i="1"/>
  <c r="BS259" i="1"/>
  <c r="BS258" i="1"/>
  <c r="BS257" i="1"/>
  <c r="BS256" i="1"/>
  <c r="BS255" i="1"/>
  <c r="BS254" i="1"/>
  <c r="BS253" i="1"/>
  <c r="BS252" i="1"/>
  <c r="BS251" i="1"/>
  <c r="BS250" i="1"/>
  <c r="BS249" i="1"/>
  <c r="BS248" i="1"/>
  <c r="BS247" i="1"/>
  <c r="BS246" i="1"/>
  <c r="BS245" i="1"/>
  <c r="BS244" i="1"/>
  <c r="BS243" i="1"/>
  <c r="BS242" i="1"/>
  <c r="BS241" i="1"/>
  <c r="BS240" i="1"/>
  <c r="BS239" i="1"/>
  <c r="BS238" i="1"/>
  <c r="BS237" i="1"/>
  <c r="BS236" i="1"/>
  <c r="BS235" i="1"/>
  <c r="BS234" i="1"/>
  <c r="BS233" i="1"/>
  <c r="BS232" i="1"/>
  <c r="BS231" i="1"/>
  <c r="BS230" i="1"/>
  <c r="BS229" i="1"/>
  <c r="BS228" i="1"/>
  <c r="BS227" i="1"/>
  <c r="BS226" i="1"/>
  <c r="BS225" i="1"/>
  <c r="BS224" i="1"/>
  <c r="BS223" i="1"/>
  <c r="BS222" i="1"/>
  <c r="BS221" i="1"/>
  <c r="BS220" i="1"/>
  <c r="BS219" i="1"/>
  <c r="BS218" i="1"/>
  <c r="BS217" i="1"/>
  <c r="BS216" i="1"/>
  <c r="BS215" i="1"/>
  <c r="BS214" i="1"/>
  <c r="BS213" i="1"/>
  <c r="BS212" i="1"/>
  <c r="BS211" i="1"/>
  <c r="BS210" i="1"/>
  <c r="BS209" i="1"/>
  <c r="BS208" i="1"/>
  <c r="BS207" i="1"/>
  <c r="BS206" i="1"/>
  <c r="BS205" i="1"/>
  <c r="BS204" i="1"/>
  <c r="BS203" i="1"/>
  <c r="BS202" i="1"/>
  <c r="BS201" i="1"/>
  <c r="BS200" i="1"/>
  <c r="BS199" i="1"/>
  <c r="BS198" i="1"/>
  <c r="BS197" i="1"/>
  <c r="BS196" i="1"/>
  <c r="BS195" i="1"/>
  <c r="BS194" i="1"/>
  <c r="BS193" i="1"/>
  <c r="BS192" i="1"/>
  <c r="BS191" i="1"/>
  <c r="BS190" i="1"/>
  <c r="BS189" i="1"/>
  <c r="BS188" i="1"/>
  <c r="BS187" i="1"/>
  <c r="BS186" i="1"/>
  <c r="BS185" i="1"/>
  <c r="BS184" i="1"/>
  <c r="BS183" i="1"/>
  <c r="BS182" i="1"/>
  <c r="BS181" i="1"/>
  <c r="BS180" i="1"/>
  <c r="BS179" i="1"/>
  <c r="BS178" i="1"/>
  <c r="BS177" i="1"/>
  <c r="BS176" i="1"/>
  <c r="BS175" i="1"/>
  <c r="BS174" i="1"/>
  <c r="BS173" i="1"/>
  <c r="BS172" i="1"/>
  <c r="BS171" i="1"/>
  <c r="BS170" i="1"/>
  <c r="BS169" i="1"/>
  <c r="BS168" i="1"/>
  <c r="BS167" i="1"/>
  <c r="BS166" i="1"/>
  <c r="BS165" i="1"/>
  <c r="BS164" i="1"/>
  <c r="BS163" i="1"/>
  <c r="BS162" i="1"/>
  <c r="BS161" i="1"/>
  <c r="BS160" i="1"/>
  <c r="BS159" i="1"/>
  <c r="BS158" i="1"/>
  <c r="BS157" i="1"/>
  <c r="BS156" i="1"/>
  <c r="BS155" i="1"/>
  <c r="BS154" i="1"/>
  <c r="BS153" i="1"/>
  <c r="BS152" i="1"/>
  <c r="BS151" i="1"/>
  <c r="BS150" i="1"/>
  <c r="BS149" i="1"/>
  <c r="BS148" i="1"/>
  <c r="BS147" i="1"/>
  <c r="BS146" i="1"/>
  <c r="BS145" i="1"/>
  <c r="BS144" i="1"/>
  <c r="BS143" i="1"/>
  <c r="BS142" i="1"/>
  <c r="BS141" i="1"/>
  <c r="BS140" i="1"/>
  <c r="BS139" i="1"/>
  <c r="BS138" i="1"/>
  <c r="BS137" i="1"/>
  <c r="BS136" i="1"/>
  <c r="BS135" i="1"/>
  <c r="BS134" i="1"/>
  <c r="BS133" i="1"/>
  <c r="BS132" i="1"/>
  <c r="BS131" i="1"/>
  <c r="BS130" i="1"/>
  <c r="BS129" i="1"/>
  <c r="BS128" i="1"/>
  <c r="BS127" i="1"/>
  <c r="BS126" i="1"/>
  <c r="BS125" i="1"/>
  <c r="BS124" i="1"/>
  <c r="BS123" i="1"/>
  <c r="BS122" i="1"/>
  <c r="BS121" i="1"/>
  <c r="BS120" i="1"/>
  <c r="BS119" i="1"/>
  <c r="BS118" i="1"/>
  <c r="BS117" i="1"/>
  <c r="BS116" i="1"/>
  <c r="BS115" i="1"/>
  <c r="BS114" i="1"/>
  <c r="BS113" i="1"/>
  <c r="BS112" i="1"/>
  <c r="BS111" i="1"/>
  <c r="BS110" i="1"/>
  <c r="BS109" i="1"/>
  <c r="BS108" i="1"/>
  <c r="BS107" i="1"/>
  <c r="BS106" i="1"/>
  <c r="BS105" i="1"/>
  <c r="BS104" i="1"/>
  <c r="BS103" i="1"/>
  <c r="BS102" i="1"/>
  <c r="BS101" i="1"/>
  <c r="BS100" i="1"/>
  <c r="BS99" i="1"/>
  <c r="BS98" i="1"/>
  <c r="BS97" i="1"/>
  <c r="BS96" i="1"/>
  <c r="BS95" i="1"/>
  <c r="BS94" i="1"/>
  <c r="BS93" i="1"/>
  <c r="BS92" i="1"/>
  <c r="BS91" i="1"/>
  <c r="BS90" i="1"/>
  <c r="BS89" i="1"/>
  <c r="BS88" i="1"/>
  <c r="BS87" i="1"/>
  <c r="BS86" i="1"/>
  <c r="BS85" i="1"/>
  <c r="BS84" i="1"/>
  <c r="BS83" i="1"/>
  <c r="BS82" i="1"/>
  <c r="BS81" i="1"/>
  <c r="BS80" i="1"/>
  <c r="BS79" i="1"/>
  <c r="BS78" i="1"/>
  <c r="BS77" i="1"/>
  <c r="BS76" i="1"/>
  <c r="BS75" i="1"/>
  <c r="BS74" i="1"/>
  <c r="BS73" i="1"/>
  <c r="BS72" i="1"/>
  <c r="BS71" i="1"/>
  <c r="BS70" i="1"/>
  <c r="BS69" i="1"/>
  <c r="BS68" i="1"/>
  <c r="BS67" i="1"/>
  <c r="BS66" i="1"/>
  <c r="BS65" i="1"/>
  <c r="BS64" i="1"/>
  <c r="BS63" i="1"/>
  <c r="BS62" i="1"/>
  <c r="BS61" i="1"/>
  <c r="BS60" i="1"/>
  <c r="BS59" i="1"/>
  <c r="BS58" i="1"/>
  <c r="BS57" i="1"/>
  <c r="BS56" i="1"/>
  <c r="BS55" i="1"/>
  <c r="BS54" i="1"/>
  <c r="BS53" i="1"/>
  <c r="BS52" i="1"/>
  <c r="BS51" i="1"/>
  <c r="BS50" i="1"/>
  <c r="BS49" i="1"/>
  <c r="BS48" i="1"/>
  <c r="BS47" i="1"/>
  <c r="BS46" i="1"/>
  <c r="BS45" i="1"/>
  <c r="BS44" i="1"/>
  <c r="BS43" i="1"/>
  <c r="BS42" i="1"/>
  <c r="BS41" i="1"/>
  <c r="BS40" i="1"/>
  <c r="BS39" i="1"/>
  <c r="BS38" i="1"/>
  <c r="BS37" i="1"/>
  <c r="BS36" i="1"/>
  <c r="BS35" i="1"/>
  <c r="BS34" i="1"/>
  <c r="BS33" i="1"/>
  <c r="BS32" i="1"/>
  <c r="BS31" i="1"/>
  <c r="BS30" i="1"/>
  <c r="BS29" i="1"/>
  <c r="BS28" i="1"/>
  <c r="BS27" i="1"/>
  <c r="BS26" i="1"/>
  <c r="BS25" i="1"/>
  <c r="BS24" i="1"/>
  <c r="BS23" i="1"/>
  <c r="BS22" i="1"/>
  <c r="BS21" i="1"/>
  <c r="BS20" i="1"/>
  <c r="BS19" i="1"/>
  <c r="BS18" i="1"/>
  <c r="BS17" i="1"/>
  <c r="BO1112" i="1"/>
  <c r="BO1111" i="1"/>
  <c r="BO1110" i="1"/>
  <c r="BO1109" i="1"/>
  <c r="BO1108" i="1"/>
  <c r="BO1107" i="1"/>
  <c r="BO1106" i="1"/>
  <c r="BO1105" i="1"/>
  <c r="BO1104" i="1"/>
  <c r="BO1103" i="1"/>
  <c r="BO1102" i="1"/>
  <c r="BO1101" i="1"/>
  <c r="BO1100" i="1"/>
  <c r="BO1099" i="1"/>
  <c r="BO1098" i="1"/>
  <c r="BO1097" i="1"/>
  <c r="BO1096" i="1"/>
  <c r="BO1095" i="1"/>
  <c r="BO1094" i="1"/>
  <c r="BO1093" i="1"/>
  <c r="BO1092" i="1"/>
  <c r="BO1091" i="1"/>
  <c r="BO1090" i="1"/>
  <c r="BO1089" i="1"/>
  <c r="BO1088" i="1"/>
  <c r="BO1087" i="1"/>
  <c r="BO1086" i="1"/>
  <c r="BO1085" i="1"/>
  <c r="BO1084" i="1"/>
  <c r="BO1083" i="1"/>
  <c r="BO1082" i="1"/>
  <c r="BO1081" i="1"/>
  <c r="BO1080" i="1"/>
  <c r="BO1079" i="1"/>
  <c r="BO1078" i="1"/>
  <c r="BO1077" i="1"/>
  <c r="BO1076" i="1"/>
  <c r="BO1075" i="1"/>
  <c r="BO1074" i="1"/>
  <c r="BO1073" i="1"/>
  <c r="BO1072" i="1"/>
  <c r="BO1071" i="1"/>
  <c r="BO1070" i="1"/>
  <c r="BO1069" i="1"/>
  <c r="BO1068" i="1"/>
  <c r="BO1067" i="1"/>
  <c r="BO1066" i="1"/>
  <c r="BO1065" i="1"/>
  <c r="BO1064" i="1"/>
  <c r="BO1063" i="1"/>
  <c r="BO1062" i="1"/>
  <c r="BO1061" i="1"/>
  <c r="BO1060" i="1"/>
  <c r="BO1059" i="1"/>
  <c r="BO1058" i="1"/>
  <c r="BO1057" i="1"/>
  <c r="BO1056" i="1"/>
  <c r="BO1055" i="1"/>
  <c r="BO1054" i="1"/>
  <c r="BO1053" i="1"/>
  <c r="BO1052" i="1"/>
  <c r="BO1051" i="1"/>
  <c r="BO1050" i="1"/>
  <c r="BO1049" i="1"/>
  <c r="BO1048" i="1"/>
  <c r="BO1047" i="1"/>
  <c r="BO1046" i="1"/>
  <c r="BO1045" i="1"/>
  <c r="BO1044" i="1"/>
  <c r="BO1043" i="1"/>
  <c r="BO1042" i="1"/>
  <c r="BO1041" i="1"/>
  <c r="BO1040" i="1"/>
  <c r="BO1039" i="1"/>
  <c r="BO1038" i="1"/>
  <c r="BO1037" i="1"/>
  <c r="BO1036" i="1"/>
  <c r="BO1035" i="1"/>
  <c r="BO1034" i="1"/>
  <c r="BO1033" i="1"/>
  <c r="BO1032" i="1"/>
  <c r="BO1031" i="1"/>
  <c r="BO1030" i="1"/>
  <c r="BO1029" i="1"/>
  <c r="BO1028" i="1"/>
  <c r="BO1027" i="1"/>
  <c r="BO1026" i="1"/>
  <c r="BO1025" i="1"/>
  <c r="BO1024" i="1"/>
  <c r="BO1023" i="1"/>
  <c r="BO1022" i="1"/>
  <c r="BO1021" i="1"/>
  <c r="BO1020" i="1"/>
  <c r="BO1019" i="1"/>
  <c r="BO1018" i="1"/>
  <c r="BO1017" i="1"/>
  <c r="BO1016" i="1"/>
  <c r="BO1015" i="1"/>
  <c r="BO1014" i="1"/>
  <c r="BO1013" i="1"/>
  <c r="BO1012" i="1"/>
  <c r="BO1011" i="1"/>
  <c r="BO1010" i="1"/>
  <c r="BO1009" i="1"/>
  <c r="BO1008" i="1"/>
  <c r="BO1007" i="1"/>
  <c r="BO1006" i="1"/>
  <c r="BO1005" i="1"/>
  <c r="BO1004" i="1"/>
  <c r="BO1003" i="1"/>
  <c r="BO1002" i="1"/>
  <c r="BO1001" i="1"/>
  <c r="BO1000" i="1"/>
  <c r="BO999" i="1"/>
  <c r="BO998" i="1"/>
  <c r="BO997" i="1"/>
  <c r="BO996" i="1"/>
  <c r="BO995" i="1"/>
  <c r="BO994" i="1"/>
  <c r="BO993" i="1"/>
  <c r="BO992" i="1"/>
  <c r="BO991" i="1"/>
  <c r="BO990" i="1"/>
  <c r="BO989" i="1"/>
  <c r="BO988" i="1"/>
  <c r="BO987" i="1"/>
  <c r="BO986" i="1"/>
  <c r="BO985" i="1"/>
  <c r="BO984" i="1"/>
  <c r="BO983" i="1"/>
  <c r="BO982" i="1"/>
  <c r="BO981" i="1"/>
  <c r="BO980" i="1"/>
  <c r="BO979" i="1"/>
  <c r="BO978" i="1"/>
  <c r="BO977" i="1"/>
  <c r="BO976" i="1"/>
  <c r="BO975" i="1"/>
  <c r="BO974" i="1"/>
  <c r="BO973" i="1"/>
  <c r="BO972" i="1"/>
  <c r="BO971" i="1"/>
  <c r="BO970" i="1"/>
  <c r="BO969" i="1"/>
  <c r="BO968" i="1"/>
  <c r="BO967" i="1"/>
  <c r="BO966" i="1"/>
  <c r="BO965" i="1"/>
  <c r="BO964" i="1"/>
  <c r="BO963" i="1"/>
  <c r="BO962" i="1"/>
  <c r="BO961" i="1"/>
  <c r="BO960" i="1"/>
  <c r="BO959" i="1"/>
  <c r="BO958" i="1"/>
  <c r="BO957" i="1"/>
  <c r="BO956" i="1"/>
  <c r="BO955" i="1"/>
  <c r="BO954" i="1"/>
  <c r="BO953" i="1"/>
  <c r="BO952" i="1"/>
  <c r="BO951" i="1"/>
  <c r="BO950" i="1"/>
  <c r="BO949" i="1"/>
  <c r="BO948" i="1"/>
  <c r="BO947" i="1"/>
  <c r="BO946" i="1"/>
  <c r="BO945" i="1"/>
  <c r="BO944" i="1"/>
  <c r="BO943" i="1"/>
  <c r="BO942" i="1"/>
  <c r="BO941" i="1"/>
  <c r="BO940" i="1"/>
  <c r="BO939" i="1"/>
  <c r="BO938" i="1"/>
  <c r="BO937" i="1"/>
  <c r="BO936" i="1"/>
  <c r="BO935" i="1"/>
  <c r="BO934" i="1"/>
  <c r="BO933" i="1"/>
  <c r="BO932" i="1"/>
  <c r="BO931" i="1"/>
  <c r="BO930" i="1"/>
  <c r="BO929" i="1"/>
  <c r="BO928" i="1"/>
  <c r="BO927" i="1"/>
  <c r="BO926" i="1"/>
  <c r="BO925" i="1"/>
  <c r="BO924" i="1"/>
  <c r="BO923" i="1"/>
  <c r="BO922" i="1"/>
  <c r="BO921" i="1"/>
  <c r="BO920" i="1"/>
  <c r="BO919" i="1"/>
  <c r="BO918" i="1"/>
  <c r="BO917" i="1"/>
  <c r="BO916" i="1"/>
  <c r="BO915" i="1"/>
  <c r="BO914" i="1"/>
  <c r="BO913" i="1"/>
  <c r="BO912" i="1"/>
  <c r="BO911" i="1"/>
  <c r="BO910" i="1"/>
  <c r="BO909" i="1"/>
  <c r="BO908" i="1"/>
  <c r="BO907" i="1"/>
  <c r="BO906" i="1"/>
  <c r="BO905" i="1"/>
  <c r="BO904" i="1"/>
  <c r="BO903" i="1"/>
  <c r="BO902" i="1"/>
  <c r="BO901" i="1"/>
  <c r="BO900" i="1"/>
  <c r="BO899" i="1"/>
  <c r="BO898" i="1"/>
  <c r="BO897" i="1"/>
  <c r="BO896" i="1"/>
  <c r="BO895" i="1"/>
  <c r="BO894" i="1"/>
  <c r="BO893" i="1"/>
  <c r="BO892" i="1"/>
  <c r="BO891" i="1"/>
  <c r="BO890" i="1"/>
  <c r="BO889" i="1"/>
  <c r="BO888" i="1"/>
  <c r="BO887" i="1"/>
  <c r="BO886" i="1"/>
  <c r="BO885" i="1"/>
  <c r="BO884" i="1"/>
  <c r="BO883" i="1"/>
  <c r="BO882" i="1"/>
  <c r="BO881" i="1"/>
  <c r="BO880" i="1"/>
  <c r="BO879" i="1"/>
  <c r="BO878" i="1"/>
  <c r="BO877" i="1"/>
  <c r="BO876" i="1"/>
  <c r="BO875" i="1"/>
  <c r="BO874" i="1"/>
  <c r="BO873" i="1"/>
  <c r="BO872" i="1"/>
  <c r="BO871" i="1"/>
  <c r="BO870" i="1"/>
  <c r="BO869" i="1"/>
  <c r="BO868" i="1"/>
  <c r="BO867" i="1"/>
  <c r="BO866" i="1"/>
  <c r="BO865" i="1"/>
  <c r="BO864" i="1"/>
  <c r="BO863" i="1"/>
  <c r="BO862" i="1"/>
  <c r="BO861" i="1"/>
  <c r="BO860" i="1"/>
  <c r="BO859" i="1"/>
  <c r="BO858" i="1"/>
  <c r="BO857" i="1"/>
  <c r="BO856" i="1"/>
  <c r="BO855" i="1"/>
  <c r="BO854" i="1"/>
  <c r="BO853" i="1"/>
  <c r="BO852" i="1"/>
  <c r="BO851" i="1"/>
  <c r="BO850" i="1"/>
  <c r="BO849" i="1"/>
  <c r="BO848" i="1"/>
  <c r="BO847" i="1"/>
  <c r="BO846" i="1"/>
  <c r="BO845" i="1"/>
  <c r="BO844" i="1"/>
  <c r="BO843" i="1"/>
  <c r="BO842" i="1"/>
  <c r="BO841" i="1"/>
  <c r="BO840" i="1"/>
  <c r="BO839" i="1"/>
  <c r="BO838" i="1"/>
  <c r="BO837" i="1"/>
  <c r="BO836" i="1"/>
  <c r="BO835" i="1"/>
  <c r="BO834" i="1"/>
  <c r="BO833" i="1"/>
  <c r="BO832" i="1"/>
  <c r="BO831" i="1"/>
  <c r="BO830" i="1"/>
  <c r="BO829" i="1"/>
  <c r="BO828" i="1"/>
  <c r="BO827" i="1"/>
  <c r="BO826" i="1"/>
  <c r="BO825" i="1"/>
  <c r="BO824" i="1"/>
  <c r="BO823" i="1"/>
  <c r="BO822" i="1"/>
  <c r="BO821" i="1"/>
  <c r="BO820" i="1"/>
  <c r="BO819" i="1"/>
  <c r="BO818" i="1"/>
  <c r="BO817" i="1"/>
  <c r="BO816" i="1"/>
  <c r="BO815" i="1"/>
  <c r="BO814" i="1"/>
  <c r="BO813" i="1"/>
  <c r="BO812" i="1"/>
  <c r="BO811" i="1"/>
  <c r="BO810" i="1"/>
  <c r="BO809" i="1"/>
  <c r="BO808" i="1"/>
  <c r="BO807" i="1"/>
  <c r="BO806" i="1"/>
  <c r="BO805" i="1"/>
  <c r="BO804" i="1"/>
  <c r="BO803" i="1"/>
  <c r="BO802" i="1"/>
  <c r="BO801" i="1"/>
  <c r="BO800" i="1"/>
  <c r="BO799" i="1"/>
  <c r="BO798" i="1"/>
  <c r="BO797" i="1"/>
  <c r="BO796" i="1"/>
  <c r="BO795" i="1"/>
  <c r="BO794" i="1"/>
  <c r="BO793" i="1"/>
  <c r="BO792" i="1"/>
  <c r="BO791" i="1"/>
  <c r="BO790" i="1"/>
  <c r="BO789" i="1"/>
  <c r="BO788" i="1"/>
  <c r="BO787" i="1"/>
  <c r="BO786" i="1"/>
  <c r="BO785" i="1"/>
  <c r="BO784" i="1"/>
  <c r="BO783" i="1"/>
  <c r="BO782" i="1"/>
  <c r="BO781" i="1"/>
  <c r="BO780" i="1"/>
  <c r="BO779" i="1"/>
  <c r="BO778" i="1"/>
  <c r="BO777" i="1"/>
  <c r="BO776" i="1"/>
  <c r="BO775" i="1"/>
  <c r="BO774" i="1"/>
  <c r="BO773" i="1"/>
  <c r="BO772" i="1"/>
  <c r="BO771" i="1"/>
  <c r="BO770" i="1"/>
  <c r="BO769" i="1"/>
  <c r="BO768" i="1"/>
  <c r="BO767" i="1"/>
  <c r="BO766" i="1"/>
  <c r="BO765" i="1"/>
  <c r="BO764" i="1"/>
  <c r="BO763" i="1"/>
  <c r="BO762" i="1"/>
  <c r="BO761" i="1"/>
  <c r="BO760" i="1"/>
  <c r="BO759" i="1"/>
  <c r="BO758" i="1"/>
  <c r="BO757" i="1"/>
  <c r="BO756" i="1"/>
  <c r="BO755" i="1"/>
  <c r="BO754" i="1"/>
  <c r="BO753" i="1"/>
  <c r="BO752" i="1"/>
  <c r="BO751" i="1"/>
  <c r="BO750" i="1"/>
  <c r="BO749" i="1"/>
  <c r="BO748" i="1"/>
  <c r="BO747" i="1"/>
  <c r="BO746" i="1"/>
  <c r="BO745" i="1"/>
  <c r="BO744" i="1"/>
  <c r="BO743" i="1"/>
  <c r="BO742" i="1"/>
  <c r="BO741" i="1"/>
  <c r="BO740" i="1"/>
  <c r="BO739" i="1"/>
  <c r="BO738" i="1"/>
  <c r="BO737" i="1"/>
  <c r="BO736" i="1"/>
  <c r="BO735" i="1"/>
  <c r="BO734" i="1"/>
  <c r="BO733" i="1"/>
  <c r="BO732" i="1"/>
  <c r="BO731" i="1"/>
  <c r="BO730" i="1"/>
  <c r="BO729" i="1"/>
  <c r="BO728" i="1"/>
  <c r="BO727" i="1"/>
  <c r="BO726" i="1"/>
  <c r="BO725" i="1"/>
  <c r="BO724" i="1"/>
  <c r="BO723" i="1"/>
  <c r="BO722" i="1"/>
  <c r="BO721" i="1"/>
  <c r="BO720" i="1"/>
  <c r="BO719" i="1"/>
  <c r="BO718" i="1"/>
  <c r="BO717" i="1"/>
  <c r="BO716" i="1"/>
  <c r="BO715" i="1"/>
  <c r="BO714" i="1"/>
  <c r="BO713" i="1"/>
  <c r="BO712" i="1"/>
  <c r="BO711" i="1"/>
  <c r="BO710" i="1"/>
  <c r="BO709" i="1"/>
  <c r="BO708" i="1"/>
  <c r="BO707" i="1"/>
  <c r="BO706" i="1"/>
  <c r="BO705" i="1"/>
  <c r="BO704" i="1"/>
  <c r="BO703" i="1"/>
  <c r="BO702" i="1"/>
  <c r="BO701" i="1"/>
  <c r="BO700" i="1"/>
  <c r="BO699" i="1"/>
  <c r="BO698" i="1"/>
  <c r="BO697" i="1"/>
  <c r="BO696" i="1"/>
  <c r="BO695" i="1"/>
  <c r="BO694" i="1"/>
  <c r="BO693" i="1"/>
  <c r="BO692" i="1"/>
  <c r="BO691" i="1"/>
  <c r="BO690" i="1"/>
  <c r="BO689" i="1"/>
  <c r="BO688" i="1"/>
  <c r="BO687" i="1"/>
  <c r="BO686" i="1"/>
  <c r="BO685" i="1"/>
  <c r="BO684" i="1"/>
  <c r="BO683" i="1"/>
  <c r="BO682" i="1"/>
  <c r="BO681" i="1"/>
  <c r="BO680" i="1"/>
  <c r="BO679" i="1"/>
  <c r="BO678" i="1"/>
  <c r="BO677" i="1"/>
  <c r="BO676" i="1"/>
  <c r="BO675" i="1"/>
  <c r="BO674" i="1"/>
  <c r="BO673" i="1"/>
  <c r="BO672" i="1"/>
  <c r="BO671" i="1"/>
  <c r="BO670" i="1"/>
  <c r="BO669" i="1"/>
  <c r="BO668" i="1"/>
  <c r="BO667" i="1"/>
  <c r="BO666" i="1"/>
  <c r="BO665" i="1"/>
  <c r="BO664" i="1"/>
  <c r="BO663" i="1"/>
  <c r="BO662" i="1"/>
  <c r="BO661" i="1"/>
  <c r="BO660" i="1"/>
  <c r="BO659" i="1"/>
  <c r="BO658" i="1"/>
  <c r="BO657" i="1"/>
  <c r="BO656" i="1"/>
  <c r="BO655" i="1"/>
  <c r="BO654" i="1"/>
  <c r="BO653" i="1"/>
  <c r="BO652" i="1"/>
  <c r="BO651" i="1"/>
  <c r="BO650" i="1"/>
  <c r="BO649" i="1"/>
  <c r="BO648" i="1"/>
  <c r="BO647" i="1"/>
  <c r="BO646" i="1"/>
  <c r="BO645" i="1"/>
  <c r="BO644" i="1"/>
  <c r="BO643" i="1"/>
  <c r="BO642" i="1"/>
  <c r="BO641" i="1"/>
  <c r="BO640" i="1"/>
  <c r="BO639" i="1"/>
  <c r="BO638" i="1"/>
  <c r="BO637" i="1"/>
  <c r="BO636" i="1"/>
  <c r="BO635" i="1"/>
  <c r="BO634" i="1"/>
  <c r="BO633" i="1"/>
  <c r="BO632" i="1"/>
  <c r="BO631" i="1"/>
  <c r="BO630" i="1"/>
  <c r="BO629" i="1"/>
  <c r="BO628" i="1"/>
  <c r="BO627" i="1"/>
  <c r="BO626" i="1"/>
  <c r="BO625" i="1"/>
  <c r="BO624" i="1"/>
  <c r="BO623" i="1"/>
  <c r="BO622" i="1"/>
  <c r="BO621" i="1"/>
  <c r="BO620" i="1"/>
  <c r="BO619" i="1"/>
  <c r="BO618" i="1"/>
  <c r="BO617" i="1"/>
  <c r="BO616" i="1"/>
  <c r="BO615" i="1"/>
  <c r="BO614" i="1"/>
  <c r="BO613" i="1"/>
  <c r="BO612" i="1"/>
  <c r="BO611" i="1"/>
  <c r="BO610" i="1"/>
  <c r="BO609" i="1"/>
  <c r="BO608" i="1"/>
  <c r="BO607" i="1"/>
  <c r="BO606" i="1"/>
  <c r="BO605" i="1"/>
  <c r="BO604" i="1"/>
  <c r="BO603" i="1"/>
  <c r="BO602" i="1"/>
  <c r="BO601" i="1"/>
  <c r="BO600" i="1"/>
  <c r="BO599" i="1"/>
  <c r="BO598" i="1"/>
  <c r="BO597" i="1"/>
  <c r="BO596" i="1"/>
  <c r="BO595" i="1"/>
  <c r="BO594" i="1"/>
  <c r="BO593" i="1"/>
  <c r="BO592" i="1"/>
  <c r="BO591" i="1"/>
  <c r="BO590" i="1"/>
  <c r="BO589" i="1"/>
  <c r="BO588" i="1"/>
  <c r="BO587" i="1"/>
  <c r="BO586" i="1"/>
  <c r="BO585" i="1"/>
  <c r="BO584" i="1"/>
  <c r="BO583" i="1"/>
  <c r="BO582" i="1"/>
  <c r="BO581" i="1"/>
  <c r="BO580" i="1"/>
  <c r="BO579" i="1"/>
  <c r="BO578" i="1"/>
  <c r="BO577" i="1"/>
  <c r="BO576" i="1"/>
  <c r="BO575" i="1"/>
  <c r="BO574" i="1"/>
  <c r="BO573" i="1"/>
  <c r="BO572" i="1"/>
  <c r="BO571" i="1"/>
  <c r="BO570" i="1"/>
  <c r="BO569" i="1"/>
  <c r="BO568" i="1"/>
  <c r="BO567" i="1"/>
  <c r="BO566" i="1"/>
  <c r="BO565" i="1"/>
  <c r="BO564" i="1"/>
  <c r="BO563" i="1"/>
  <c r="BO562" i="1"/>
  <c r="BO561" i="1"/>
  <c r="BO560" i="1"/>
  <c r="BO559" i="1"/>
  <c r="BO558" i="1"/>
  <c r="BO557" i="1"/>
  <c r="BO556" i="1"/>
  <c r="BO555" i="1"/>
  <c r="BO554" i="1"/>
  <c r="BO553" i="1"/>
  <c r="BO552" i="1"/>
  <c r="BO551" i="1"/>
  <c r="BO550" i="1"/>
  <c r="BO549" i="1"/>
  <c r="BO548" i="1"/>
  <c r="BO547" i="1"/>
  <c r="BO546" i="1"/>
  <c r="BO545" i="1"/>
  <c r="BO544" i="1"/>
  <c r="BO543" i="1"/>
  <c r="BO542" i="1"/>
  <c r="BO541" i="1"/>
  <c r="BO540" i="1"/>
  <c r="BO539" i="1"/>
  <c r="BO538" i="1"/>
  <c r="BO537" i="1"/>
  <c r="BO536" i="1"/>
  <c r="BO535" i="1"/>
  <c r="BO534" i="1"/>
  <c r="BO533" i="1"/>
  <c r="BO532" i="1"/>
  <c r="BO531" i="1"/>
  <c r="BO530" i="1"/>
  <c r="BO529" i="1"/>
  <c r="BO528" i="1"/>
  <c r="BO527" i="1"/>
  <c r="BO526" i="1"/>
  <c r="BO525" i="1"/>
  <c r="BO524" i="1"/>
  <c r="BO523" i="1"/>
  <c r="BO522" i="1"/>
  <c r="BO521" i="1"/>
  <c r="BO520" i="1"/>
  <c r="BO519" i="1"/>
  <c r="BO518" i="1"/>
  <c r="BO517" i="1"/>
  <c r="BO516" i="1"/>
  <c r="BO515" i="1"/>
  <c r="BO514" i="1"/>
  <c r="BO513" i="1"/>
  <c r="BO512" i="1"/>
  <c r="BO511" i="1"/>
  <c r="BO510" i="1"/>
  <c r="BO509" i="1"/>
  <c r="BO508" i="1"/>
  <c r="BO507" i="1"/>
  <c r="BO506" i="1"/>
  <c r="BO505" i="1"/>
  <c r="BO504" i="1"/>
  <c r="BO503" i="1"/>
  <c r="BO502" i="1"/>
  <c r="BO501" i="1"/>
  <c r="BO500" i="1"/>
  <c r="BO499" i="1"/>
  <c r="BO498" i="1"/>
  <c r="BO497" i="1"/>
  <c r="BO496" i="1"/>
  <c r="BO495" i="1"/>
  <c r="BO494" i="1"/>
  <c r="BO493" i="1"/>
  <c r="BO492" i="1"/>
  <c r="BO491" i="1"/>
  <c r="BO490" i="1"/>
  <c r="BO489" i="1"/>
  <c r="BO488" i="1"/>
  <c r="BO487" i="1"/>
  <c r="BO486" i="1"/>
  <c r="BO485" i="1"/>
  <c r="BO484" i="1"/>
  <c r="BO483" i="1"/>
  <c r="BO482" i="1"/>
  <c r="BO481" i="1"/>
  <c r="BO480" i="1"/>
  <c r="BO479" i="1"/>
  <c r="BO478" i="1"/>
  <c r="BO477" i="1"/>
  <c r="BO476" i="1"/>
  <c r="BO475" i="1"/>
  <c r="BO474" i="1"/>
  <c r="BO473" i="1"/>
  <c r="BO472" i="1"/>
  <c r="BO471" i="1"/>
  <c r="BO470" i="1"/>
  <c r="BO469" i="1"/>
  <c r="BO468" i="1"/>
  <c r="BO467" i="1"/>
  <c r="BO466" i="1"/>
  <c r="BO465" i="1"/>
  <c r="BO464" i="1"/>
  <c r="BO463" i="1"/>
  <c r="BO462" i="1"/>
  <c r="BO461" i="1"/>
  <c r="BO460" i="1"/>
  <c r="BO459" i="1"/>
  <c r="BO458" i="1"/>
  <c r="BO457" i="1"/>
  <c r="BO456" i="1"/>
  <c r="BO455" i="1"/>
  <c r="BO454" i="1"/>
  <c r="BO453" i="1"/>
  <c r="BO452" i="1"/>
  <c r="BO451" i="1"/>
  <c r="BO450" i="1"/>
  <c r="BO449" i="1"/>
  <c r="BO448" i="1"/>
  <c r="BO447" i="1"/>
  <c r="BO446" i="1"/>
  <c r="BO445" i="1"/>
  <c r="BO444" i="1"/>
  <c r="BO443" i="1"/>
  <c r="BO442" i="1"/>
  <c r="BO441" i="1"/>
  <c r="BO440" i="1"/>
  <c r="BO439" i="1"/>
  <c r="BO438" i="1"/>
  <c r="BO437" i="1"/>
  <c r="BO436" i="1"/>
  <c r="BO435" i="1"/>
  <c r="BO434" i="1"/>
  <c r="BO433" i="1"/>
  <c r="BO432" i="1"/>
  <c r="BO431" i="1"/>
  <c r="BO430" i="1"/>
  <c r="BO429" i="1"/>
  <c r="BO428" i="1"/>
  <c r="BO427" i="1"/>
  <c r="BO426" i="1"/>
  <c r="BO425" i="1"/>
  <c r="BO424" i="1"/>
  <c r="BO423" i="1"/>
  <c r="BO422" i="1"/>
  <c r="BO421" i="1"/>
  <c r="BO420" i="1"/>
  <c r="BO419" i="1"/>
  <c r="BO418" i="1"/>
  <c r="BO417" i="1"/>
  <c r="BO416" i="1"/>
  <c r="BO415" i="1"/>
  <c r="BO414" i="1"/>
  <c r="BO413" i="1"/>
  <c r="BO412" i="1"/>
  <c r="BO411" i="1"/>
  <c r="BO410" i="1"/>
  <c r="BO409" i="1"/>
  <c r="BO408" i="1"/>
  <c r="BO407" i="1"/>
  <c r="BO406" i="1"/>
  <c r="BO405" i="1"/>
  <c r="BO404" i="1"/>
  <c r="BO403" i="1"/>
  <c r="BO402" i="1"/>
  <c r="BO401" i="1"/>
  <c r="BO400" i="1"/>
  <c r="BO399" i="1"/>
  <c r="BO398" i="1"/>
  <c r="BO397" i="1"/>
  <c r="BO396" i="1"/>
  <c r="BO395" i="1"/>
  <c r="BO394" i="1"/>
  <c r="BO393" i="1"/>
  <c r="BO392" i="1"/>
  <c r="BO391" i="1"/>
  <c r="BO390" i="1"/>
  <c r="BO389" i="1"/>
  <c r="BO388" i="1"/>
  <c r="BO387" i="1"/>
  <c r="BO386" i="1"/>
  <c r="BO385" i="1"/>
  <c r="BO384" i="1"/>
  <c r="BO383" i="1"/>
  <c r="BO382" i="1"/>
  <c r="BO381" i="1"/>
  <c r="BO380" i="1"/>
  <c r="BO379" i="1"/>
  <c r="BO378" i="1"/>
  <c r="BO377" i="1"/>
  <c r="BO376" i="1"/>
  <c r="BO375" i="1"/>
  <c r="BO374" i="1"/>
  <c r="BO373" i="1"/>
  <c r="BO372" i="1"/>
  <c r="BO371" i="1"/>
  <c r="BO370" i="1"/>
  <c r="BO369" i="1"/>
  <c r="BO368" i="1"/>
  <c r="BO367" i="1"/>
  <c r="BO366" i="1"/>
  <c r="BO365" i="1"/>
  <c r="BO364" i="1"/>
  <c r="BO363" i="1"/>
  <c r="BO362" i="1"/>
  <c r="BO361" i="1"/>
  <c r="BO360" i="1"/>
  <c r="BO359" i="1"/>
  <c r="BO358" i="1"/>
  <c r="BO357" i="1"/>
  <c r="BO356" i="1"/>
  <c r="BO355" i="1"/>
  <c r="BO354" i="1"/>
  <c r="BO353" i="1"/>
  <c r="BO352" i="1"/>
  <c r="BO351" i="1"/>
  <c r="BO350" i="1"/>
  <c r="BO349" i="1"/>
  <c r="BO348" i="1"/>
  <c r="BO347" i="1"/>
  <c r="BO346" i="1"/>
  <c r="BO345" i="1"/>
  <c r="BO344" i="1"/>
  <c r="BO343" i="1"/>
  <c r="BO342" i="1"/>
  <c r="BO341" i="1"/>
  <c r="BO340" i="1"/>
  <c r="BO339" i="1"/>
  <c r="BO338" i="1"/>
  <c r="BO337" i="1"/>
  <c r="BO336" i="1"/>
  <c r="BO335" i="1"/>
  <c r="BO334" i="1"/>
  <c r="BO333" i="1"/>
  <c r="BO332" i="1"/>
  <c r="BO331" i="1"/>
  <c r="BO330" i="1"/>
  <c r="BO329" i="1"/>
  <c r="BO328" i="1"/>
  <c r="BO327" i="1"/>
  <c r="BO326" i="1"/>
  <c r="BO325" i="1"/>
  <c r="BO324" i="1"/>
  <c r="BO323" i="1"/>
  <c r="BO322" i="1"/>
  <c r="BO321" i="1"/>
  <c r="BO320" i="1"/>
  <c r="BO319" i="1"/>
  <c r="BO318" i="1"/>
  <c r="BO317" i="1"/>
  <c r="BO316" i="1"/>
  <c r="BO315" i="1"/>
  <c r="BO314" i="1"/>
  <c r="BO313" i="1"/>
  <c r="BO312" i="1"/>
  <c r="BO311" i="1"/>
  <c r="BO310" i="1"/>
  <c r="BO309" i="1"/>
  <c r="BO308" i="1"/>
  <c r="BO307" i="1"/>
  <c r="BO306" i="1"/>
  <c r="BO305" i="1"/>
  <c r="BO304" i="1"/>
  <c r="BO303" i="1"/>
  <c r="BO302" i="1"/>
  <c r="BO301" i="1"/>
  <c r="BO300" i="1"/>
  <c r="BO299" i="1"/>
  <c r="BO298" i="1"/>
  <c r="BO297" i="1"/>
  <c r="BO296" i="1"/>
  <c r="BO295" i="1"/>
  <c r="BO294" i="1"/>
  <c r="BO293" i="1"/>
  <c r="BO292" i="1"/>
  <c r="BO291" i="1"/>
  <c r="BO290" i="1"/>
  <c r="BO289" i="1"/>
  <c r="BO288" i="1"/>
  <c r="BO287" i="1"/>
  <c r="BO286" i="1"/>
  <c r="BO285" i="1"/>
  <c r="BO284" i="1"/>
  <c r="BO283" i="1"/>
  <c r="BO282" i="1"/>
  <c r="BO281" i="1"/>
  <c r="BO280" i="1"/>
  <c r="BO279" i="1"/>
  <c r="BO278" i="1"/>
  <c r="BO277" i="1"/>
  <c r="BO276" i="1"/>
  <c r="BO275" i="1"/>
  <c r="BO274" i="1"/>
  <c r="BO273" i="1"/>
  <c r="BO272" i="1"/>
  <c r="BO271" i="1"/>
  <c r="BO270" i="1"/>
  <c r="BO269" i="1"/>
  <c r="BO268" i="1"/>
  <c r="BO267" i="1"/>
  <c r="BO266" i="1"/>
  <c r="BO265" i="1"/>
  <c r="BO264" i="1"/>
  <c r="BO263" i="1"/>
  <c r="BO262" i="1"/>
  <c r="BO261" i="1"/>
  <c r="BO260" i="1"/>
  <c r="BO259" i="1"/>
  <c r="BO258" i="1"/>
  <c r="BO257" i="1"/>
  <c r="BO256" i="1"/>
  <c r="BO255" i="1"/>
  <c r="BO254" i="1"/>
  <c r="BO253" i="1"/>
  <c r="BO252" i="1"/>
  <c r="BO251" i="1"/>
  <c r="BO250" i="1"/>
  <c r="BO249" i="1"/>
  <c r="BO248" i="1"/>
  <c r="BO247" i="1"/>
  <c r="BO246" i="1"/>
  <c r="BO245" i="1"/>
  <c r="BO244" i="1"/>
  <c r="BO243" i="1"/>
  <c r="BO242" i="1"/>
  <c r="BO241" i="1"/>
  <c r="BO240" i="1"/>
  <c r="BO239" i="1"/>
  <c r="BO238" i="1"/>
  <c r="BO237" i="1"/>
  <c r="BO236" i="1"/>
  <c r="BO235" i="1"/>
  <c r="BO234" i="1"/>
  <c r="BO233" i="1"/>
  <c r="BO232" i="1"/>
  <c r="BO231" i="1"/>
  <c r="BO230" i="1"/>
  <c r="BO229" i="1"/>
  <c r="BO228" i="1"/>
  <c r="BO227" i="1"/>
  <c r="BO226" i="1"/>
  <c r="BO225" i="1"/>
  <c r="BO224" i="1"/>
  <c r="BO223" i="1"/>
  <c r="BO222" i="1"/>
  <c r="BO221" i="1"/>
  <c r="BO220" i="1"/>
  <c r="BO219" i="1"/>
  <c r="BO218" i="1"/>
  <c r="BO217" i="1"/>
  <c r="BO216" i="1"/>
  <c r="BO215" i="1"/>
  <c r="BO214" i="1"/>
  <c r="BO213" i="1"/>
  <c r="BO212" i="1"/>
  <c r="BO211" i="1"/>
  <c r="BO210" i="1"/>
  <c r="BO209" i="1"/>
  <c r="BO208" i="1"/>
  <c r="BO207" i="1"/>
  <c r="BO206" i="1"/>
  <c r="BO205" i="1"/>
  <c r="BO204" i="1"/>
  <c r="BO203" i="1"/>
  <c r="BO202" i="1"/>
  <c r="BO201" i="1"/>
  <c r="BO200" i="1"/>
  <c r="BO199" i="1"/>
  <c r="BO198" i="1"/>
  <c r="BO197" i="1"/>
  <c r="BO196" i="1"/>
  <c r="BO195" i="1"/>
  <c r="BO194" i="1"/>
  <c r="BO193" i="1"/>
  <c r="BO192" i="1"/>
  <c r="BO191" i="1"/>
  <c r="BO190" i="1"/>
  <c r="BO189" i="1"/>
  <c r="BO188" i="1"/>
  <c r="BO187" i="1"/>
  <c r="BO186" i="1"/>
  <c r="BO185" i="1"/>
  <c r="BO184" i="1"/>
  <c r="BO183" i="1"/>
  <c r="BO182" i="1"/>
  <c r="BO181" i="1"/>
  <c r="BO180" i="1"/>
  <c r="BO179" i="1"/>
  <c r="BO178" i="1"/>
  <c r="BO177" i="1"/>
  <c r="BO176" i="1"/>
  <c r="BO175" i="1"/>
  <c r="BO174" i="1"/>
  <c r="BO173" i="1"/>
  <c r="BO172" i="1"/>
  <c r="BO171" i="1"/>
  <c r="BO170" i="1"/>
  <c r="BO169" i="1"/>
  <c r="BO168" i="1"/>
  <c r="BO167" i="1"/>
  <c r="BO166" i="1"/>
  <c r="BO165" i="1"/>
  <c r="BO164" i="1"/>
  <c r="BO163" i="1"/>
  <c r="BO162" i="1"/>
  <c r="BO161" i="1"/>
  <c r="BO160" i="1"/>
  <c r="BO159" i="1"/>
  <c r="BO158" i="1"/>
  <c r="BO157" i="1"/>
  <c r="BO156" i="1"/>
  <c r="BO155" i="1"/>
  <c r="BO154" i="1"/>
  <c r="BO153" i="1"/>
  <c r="BO152" i="1"/>
  <c r="BO151" i="1"/>
  <c r="BO150" i="1"/>
  <c r="BO149" i="1"/>
  <c r="BO148" i="1"/>
  <c r="BO147" i="1"/>
  <c r="BO146" i="1"/>
  <c r="BO145" i="1"/>
  <c r="BO144" i="1"/>
  <c r="BO143" i="1"/>
  <c r="BO142" i="1"/>
  <c r="BO141" i="1"/>
  <c r="BO140" i="1"/>
  <c r="BO139" i="1"/>
  <c r="BO138" i="1"/>
  <c r="BO137" i="1"/>
  <c r="BO136" i="1"/>
  <c r="BO135" i="1"/>
  <c r="BO134" i="1"/>
  <c r="BO133" i="1"/>
  <c r="BO132" i="1"/>
  <c r="BO131" i="1"/>
  <c r="BO130" i="1"/>
  <c r="BO129" i="1"/>
  <c r="BO128" i="1"/>
  <c r="BO127" i="1"/>
  <c r="BO126" i="1"/>
  <c r="BO125" i="1"/>
  <c r="BO124" i="1"/>
  <c r="BO123" i="1"/>
  <c r="BO122" i="1"/>
  <c r="BO121" i="1"/>
  <c r="BO120" i="1"/>
  <c r="BO119" i="1"/>
  <c r="BO118" i="1"/>
  <c r="BO117" i="1"/>
  <c r="BO116" i="1"/>
  <c r="BO115" i="1"/>
  <c r="BO114" i="1"/>
  <c r="BO113" i="1"/>
  <c r="BO112" i="1"/>
  <c r="BO111" i="1"/>
  <c r="BO110" i="1"/>
  <c r="BO109" i="1"/>
  <c r="BO108" i="1"/>
  <c r="BO107" i="1"/>
  <c r="BO106" i="1"/>
  <c r="BO105" i="1"/>
  <c r="BO104" i="1"/>
  <c r="BO103" i="1"/>
  <c r="BO102" i="1"/>
  <c r="BO101" i="1"/>
  <c r="BO100" i="1"/>
  <c r="BO99" i="1"/>
  <c r="BO98" i="1"/>
  <c r="BO97" i="1"/>
  <c r="BO96" i="1"/>
  <c r="BO95" i="1"/>
  <c r="BO94" i="1"/>
  <c r="BO93" i="1"/>
  <c r="BO92" i="1"/>
  <c r="BO91" i="1"/>
  <c r="BO90" i="1"/>
  <c r="BO89" i="1"/>
  <c r="BO88" i="1"/>
  <c r="BO87" i="1"/>
  <c r="BO86" i="1"/>
  <c r="BO85" i="1"/>
  <c r="BO84" i="1"/>
  <c r="BO83" i="1"/>
  <c r="BO82" i="1"/>
  <c r="BO81" i="1"/>
  <c r="BO80" i="1"/>
  <c r="BO79" i="1"/>
  <c r="BO78" i="1"/>
  <c r="BO77" i="1"/>
  <c r="BO76" i="1"/>
  <c r="BO75" i="1"/>
  <c r="BO74" i="1"/>
  <c r="BO73" i="1"/>
  <c r="BO72" i="1"/>
  <c r="BO71" i="1"/>
  <c r="BO70" i="1"/>
  <c r="BO69" i="1"/>
  <c r="BO68" i="1"/>
  <c r="BO67" i="1"/>
  <c r="BO66" i="1"/>
  <c r="BO65" i="1"/>
  <c r="BO64" i="1"/>
  <c r="BO63" i="1"/>
  <c r="BO62" i="1"/>
  <c r="BO61" i="1"/>
  <c r="BO60" i="1"/>
  <c r="BO59" i="1"/>
  <c r="BO58" i="1"/>
  <c r="BO57" i="1"/>
  <c r="BO56" i="1"/>
  <c r="BO55" i="1"/>
  <c r="BO54" i="1"/>
  <c r="BO53" i="1"/>
  <c r="BO52" i="1"/>
  <c r="BO51" i="1"/>
  <c r="BO50" i="1"/>
  <c r="BO49" i="1"/>
  <c r="BO48" i="1"/>
  <c r="BO47" i="1"/>
  <c r="BO46" i="1"/>
  <c r="BO45" i="1"/>
  <c r="BO44" i="1"/>
  <c r="BO43" i="1"/>
  <c r="BO42" i="1"/>
  <c r="BO41" i="1"/>
  <c r="BO40" i="1"/>
  <c r="BO39" i="1"/>
  <c r="BO38" i="1"/>
  <c r="BO37" i="1"/>
  <c r="BO36" i="1"/>
  <c r="BO35" i="1"/>
  <c r="BO34" i="1"/>
  <c r="BO33" i="1"/>
  <c r="BO32" i="1"/>
  <c r="BO31" i="1"/>
  <c r="BO30" i="1"/>
  <c r="BO29" i="1"/>
  <c r="BO28" i="1"/>
  <c r="BO27" i="1"/>
  <c r="BO26" i="1"/>
  <c r="BO25" i="1"/>
  <c r="BO24" i="1"/>
  <c r="BO23" i="1"/>
  <c r="BO22" i="1"/>
  <c r="BO21" i="1"/>
  <c r="BO20" i="1"/>
  <c r="BO19" i="1"/>
  <c r="BO18" i="1"/>
  <c r="BO17" i="1"/>
  <c r="BK1112" i="1"/>
  <c r="BK1111" i="1"/>
  <c r="BK1110" i="1"/>
  <c r="BK1109" i="1"/>
  <c r="BK1108" i="1"/>
  <c r="BK1107" i="1"/>
  <c r="BK1106" i="1"/>
  <c r="BK1105" i="1"/>
  <c r="BK1104" i="1"/>
  <c r="BK1103" i="1"/>
  <c r="BK1102" i="1"/>
  <c r="BK1101" i="1"/>
  <c r="BK1100" i="1"/>
  <c r="BK1099" i="1"/>
  <c r="BK1098" i="1"/>
  <c r="BK1097" i="1"/>
  <c r="BK1096" i="1"/>
  <c r="BK1095" i="1"/>
  <c r="BK1094" i="1"/>
  <c r="BK1093" i="1"/>
  <c r="BK1092" i="1"/>
  <c r="BK1091" i="1"/>
  <c r="BK1090" i="1"/>
  <c r="BK1089" i="1"/>
  <c r="BK1088" i="1"/>
  <c r="BK1087" i="1"/>
  <c r="BK1086" i="1"/>
  <c r="BK1085" i="1"/>
  <c r="BK1084" i="1"/>
  <c r="BK1083" i="1"/>
  <c r="BK1082" i="1"/>
  <c r="BK1081" i="1"/>
  <c r="BK1080" i="1"/>
  <c r="BK1079" i="1"/>
  <c r="BK1078" i="1"/>
  <c r="BK1077" i="1"/>
  <c r="BK1076" i="1"/>
  <c r="BK1075" i="1"/>
  <c r="BK1074" i="1"/>
  <c r="BK1073" i="1"/>
  <c r="BK1072" i="1"/>
  <c r="BK1071" i="1"/>
  <c r="BK1070" i="1"/>
  <c r="BK1069" i="1"/>
  <c r="BK1068" i="1"/>
  <c r="BK1067" i="1"/>
  <c r="BK1066" i="1"/>
  <c r="BK1065" i="1"/>
  <c r="BK1064" i="1"/>
  <c r="BK1063" i="1"/>
  <c r="BK1062" i="1"/>
  <c r="BK1061" i="1"/>
  <c r="BK1060" i="1"/>
  <c r="BK1059" i="1"/>
  <c r="BK1058" i="1"/>
  <c r="BK1057" i="1"/>
  <c r="BK1056" i="1"/>
  <c r="BK1055" i="1"/>
  <c r="BK1054" i="1"/>
  <c r="BK1053" i="1"/>
  <c r="BK1052" i="1"/>
  <c r="BK1051" i="1"/>
  <c r="BK1050" i="1"/>
  <c r="BK1049" i="1"/>
  <c r="BK1048" i="1"/>
  <c r="BK1047" i="1"/>
  <c r="BK1046" i="1"/>
  <c r="BK1045" i="1"/>
  <c r="BK1044" i="1"/>
  <c r="BK1043" i="1"/>
  <c r="BK1042" i="1"/>
  <c r="BK1041" i="1"/>
  <c r="BK1040" i="1"/>
  <c r="BK1039" i="1"/>
  <c r="BK1038" i="1"/>
  <c r="BK1037" i="1"/>
  <c r="BK1036" i="1"/>
  <c r="BK1035" i="1"/>
  <c r="BK1034" i="1"/>
  <c r="BK1033" i="1"/>
  <c r="BK1032" i="1"/>
  <c r="BK1031" i="1"/>
  <c r="BK1030" i="1"/>
  <c r="BK1029" i="1"/>
  <c r="BK1028" i="1"/>
  <c r="BK1027" i="1"/>
  <c r="BK1026" i="1"/>
  <c r="BK1025" i="1"/>
  <c r="BK1024" i="1"/>
  <c r="BK1023" i="1"/>
  <c r="BK1022" i="1"/>
  <c r="BK1021" i="1"/>
  <c r="BK1020" i="1"/>
  <c r="BK1019" i="1"/>
  <c r="BK1018" i="1"/>
  <c r="BK1017" i="1"/>
  <c r="BK1016" i="1"/>
  <c r="BK1015" i="1"/>
  <c r="BK1014" i="1"/>
  <c r="BK1013" i="1"/>
  <c r="BK1012" i="1"/>
  <c r="BK1011" i="1"/>
  <c r="BK1010" i="1"/>
  <c r="BK1009" i="1"/>
  <c r="BK1008" i="1"/>
  <c r="BK1007" i="1"/>
  <c r="BK1006" i="1"/>
  <c r="BK1005" i="1"/>
  <c r="BK1004" i="1"/>
  <c r="BK1003" i="1"/>
  <c r="BK1002" i="1"/>
  <c r="BK1001" i="1"/>
  <c r="BK1000" i="1"/>
  <c r="BK999" i="1"/>
  <c r="BK998" i="1"/>
  <c r="BK997" i="1"/>
  <c r="BK996" i="1"/>
  <c r="BK995" i="1"/>
  <c r="BK994" i="1"/>
  <c r="BK993" i="1"/>
  <c r="BK992" i="1"/>
  <c r="BK991" i="1"/>
  <c r="BK990" i="1"/>
  <c r="BK989" i="1"/>
  <c r="BK988" i="1"/>
  <c r="BK987" i="1"/>
  <c r="BK986" i="1"/>
  <c r="BK985" i="1"/>
  <c r="BK984" i="1"/>
  <c r="BK983" i="1"/>
  <c r="BK982" i="1"/>
  <c r="BK981" i="1"/>
  <c r="BK980" i="1"/>
  <c r="BK979" i="1"/>
  <c r="BK978" i="1"/>
  <c r="BK977" i="1"/>
  <c r="BK976" i="1"/>
  <c r="BK975" i="1"/>
  <c r="BK974" i="1"/>
  <c r="BK973" i="1"/>
  <c r="BK972" i="1"/>
  <c r="BK971" i="1"/>
  <c r="BK970" i="1"/>
  <c r="BK969" i="1"/>
  <c r="BK968" i="1"/>
  <c r="BK967" i="1"/>
  <c r="BK966" i="1"/>
  <c r="BK965" i="1"/>
  <c r="BK964" i="1"/>
  <c r="BK963" i="1"/>
  <c r="BK962" i="1"/>
  <c r="BK961" i="1"/>
  <c r="BK960" i="1"/>
  <c r="BK959" i="1"/>
  <c r="BK958" i="1"/>
  <c r="BK957" i="1"/>
  <c r="BK956" i="1"/>
  <c r="BK955" i="1"/>
  <c r="BK954" i="1"/>
  <c r="BK953" i="1"/>
  <c r="BK952" i="1"/>
  <c r="BK951" i="1"/>
  <c r="BK950" i="1"/>
  <c r="BK949" i="1"/>
  <c r="BK948" i="1"/>
  <c r="BK947" i="1"/>
  <c r="BK946" i="1"/>
  <c r="BK945" i="1"/>
  <c r="BK944" i="1"/>
  <c r="BK943" i="1"/>
  <c r="BK942" i="1"/>
  <c r="BK941" i="1"/>
  <c r="BK940" i="1"/>
  <c r="BK939" i="1"/>
  <c r="BK938" i="1"/>
  <c r="BK937" i="1"/>
  <c r="BK936" i="1"/>
  <c r="BK935" i="1"/>
  <c r="BK934" i="1"/>
  <c r="BK933" i="1"/>
  <c r="BK932" i="1"/>
  <c r="BK931" i="1"/>
  <c r="BK930" i="1"/>
  <c r="BK929" i="1"/>
  <c r="BK928" i="1"/>
  <c r="BK927" i="1"/>
  <c r="BK926" i="1"/>
  <c r="BK925" i="1"/>
  <c r="BK924" i="1"/>
  <c r="BK923" i="1"/>
  <c r="BK922" i="1"/>
  <c r="BK921" i="1"/>
  <c r="BK920" i="1"/>
  <c r="BK919" i="1"/>
  <c r="BK918" i="1"/>
  <c r="BK917" i="1"/>
  <c r="BK916" i="1"/>
  <c r="BK915" i="1"/>
  <c r="BK914" i="1"/>
  <c r="BK913" i="1"/>
  <c r="BK912" i="1"/>
  <c r="BK911" i="1"/>
  <c r="BK910" i="1"/>
  <c r="BK909" i="1"/>
  <c r="BK908" i="1"/>
  <c r="BK907" i="1"/>
  <c r="BK906" i="1"/>
  <c r="BK905" i="1"/>
  <c r="BK904" i="1"/>
  <c r="BK903" i="1"/>
  <c r="BK902" i="1"/>
  <c r="BK901" i="1"/>
  <c r="BK900" i="1"/>
  <c r="BK899" i="1"/>
  <c r="BK898" i="1"/>
  <c r="BK897" i="1"/>
  <c r="BK896" i="1"/>
  <c r="BK895" i="1"/>
  <c r="BK894" i="1"/>
  <c r="BK893" i="1"/>
  <c r="BK892" i="1"/>
  <c r="BK891" i="1"/>
  <c r="BK890" i="1"/>
  <c r="BK889" i="1"/>
  <c r="BK888" i="1"/>
  <c r="BK887" i="1"/>
  <c r="BK886" i="1"/>
  <c r="BK885" i="1"/>
  <c r="BK884" i="1"/>
  <c r="BK883" i="1"/>
  <c r="BK882" i="1"/>
  <c r="BK881" i="1"/>
  <c r="BK880" i="1"/>
  <c r="BK879" i="1"/>
  <c r="BK878" i="1"/>
  <c r="BK877" i="1"/>
  <c r="BK876" i="1"/>
  <c r="BK875" i="1"/>
  <c r="BK874" i="1"/>
  <c r="BK873" i="1"/>
  <c r="BK872" i="1"/>
  <c r="BK871" i="1"/>
  <c r="BK870" i="1"/>
  <c r="BK869" i="1"/>
  <c r="BK868" i="1"/>
  <c r="BK867" i="1"/>
  <c r="BK866" i="1"/>
  <c r="BK865" i="1"/>
  <c r="BK864" i="1"/>
  <c r="BK863" i="1"/>
  <c r="BK862" i="1"/>
  <c r="BK861" i="1"/>
  <c r="BK860" i="1"/>
  <c r="BK859" i="1"/>
  <c r="BK858" i="1"/>
  <c r="BK857" i="1"/>
  <c r="BK856" i="1"/>
  <c r="BK855" i="1"/>
  <c r="BK854" i="1"/>
  <c r="BK853" i="1"/>
  <c r="BK852" i="1"/>
  <c r="BK851" i="1"/>
  <c r="BK850" i="1"/>
  <c r="BK849" i="1"/>
  <c r="BK848" i="1"/>
  <c r="BK847" i="1"/>
  <c r="BK846" i="1"/>
  <c r="BK845" i="1"/>
  <c r="BK844" i="1"/>
  <c r="BK843" i="1"/>
  <c r="BK842" i="1"/>
  <c r="BK841" i="1"/>
  <c r="BK840" i="1"/>
  <c r="BK839" i="1"/>
  <c r="BK838" i="1"/>
  <c r="BK837" i="1"/>
  <c r="BK836" i="1"/>
  <c r="BK835" i="1"/>
  <c r="BK834" i="1"/>
  <c r="BK833" i="1"/>
  <c r="BK832" i="1"/>
  <c r="BK831" i="1"/>
  <c r="BK830" i="1"/>
  <c r="BK829" i="1"/>
  <c r="BK828" i="1"/>
  <c r="BK827" i="1"/>
  <c r="BK826" i="1"/>
  <c r="BK825" i="1"/>
  <c r="BK824" i="1"/>
  <c r="BK823" i="1"/>
  <c r="BK822" i="1"/>
  <c r="BK821" i="1"/>
  <c r="BK820" i="1"/>
  <c r="BK819" i="1"/>
  <c r="BK818" i="1"/>
  <c r="BK817" i="1"/>
  <c r="BK816" i="1"/>
  <c r="BK815" i="1"/>
  <c r="BK814" i="1"/>
  <c r="BK813" i="1"/>
  <c r="BK812" i="1"/>
  <c r="BK811" i="1"/>
  <c r="BK810" i="1"/>
  <c r="BK809" i="1"/>
  <c r="BK808" i="1"/>
  <c r="BK807" i="1"/>
  <c r="BK806" i="1"/>
  <c r="BK805" i="1"/>
  <c r="BK804" i="1"/>
  <c r="BK803" i="1"/>
  <c r="BK802" i="1"/>
  <c r="BK801" i="1"/>
  <c r="BK800" i="1"/>
  <c r="BK799" i="1"/>
  <c r="BK798" i="1"/>
  <c r="BK797" i="1"/>
  <c r="BK796" i="1"/>
  <c r="BK795" i="1"/>
  <c r="BK794" i="1"/>
  <c r="BK793" i="1"/>
  <c r="BK792" i="1"/>
  <c r="BK791" i="1"/>
  <c r="BK790" i="1"/>
  <c r="BK789" i="1"/>
  <c r="BK788" i="1"/>
  <c r="BK787" i="1"/>
  <c r="BK786" i="1"/>
  <c r="BK785" i="1"/>
  <c r="BK784" i="1"/>
  <c r="BK783" i="1"/>
  <c r="BK782" i="1"/>
  <c r="BK781" i="1"/>
  <c r="BK780" i="1"/>
  <c r="BK779" i="1"/>
  <c r="BK778" i="1"/>
  <c r="BK777" i="1"/>
  <c r="BK776" i="1"/>
  <c r="BK775" i="1"/>
  <c r="BK774" i="1"/>
  <c r="BK773" i="1"/>
  <c r="BK772" i="1"/>
  <c r="BK771" i="1"/>
  <c r="BK770" i="1"/>
  <c r="BK769" i="1"/>
  <c r="BK768" i="1"/>
  <c r="BK767" i="1"/>
  <c r="BK766" i="1"/>
  <c r="BK765" i="1"/>
  <c r="BK764" i="1"/>
  <c r="BK763" i="1"/>
  <c r="BK762" i="1"/>
  <c r="BK761" i="1"/>
  <c r="BK760" i="1"/>
  <c r="BK759" i="1"/>
  <c r="BK758" i="1"/>
  <c r="BK757" i="1"/>
  <c r="BK756" i="1"/>
  <c r="BK755" i="1"/>
  <c r="BK754" i="1"/>
  <c r="BK753" i="1"/>
  <c r="BK752" i="1"/>
  <c r="BK751" i="1"/>
  <c r="BK750" i="1"/>
  <c r="BK749" i="1"/>
  <c r="BK748" i="1"/>
  <c r="BK747" i="1"/>
  <c r="BK746" i="1"/>
  <c r="BK745" i="1"/>
  <c r="BK744" i="1"/>
  <c r="BK743" i="1"/>
  <c r="BK742" i="1"/>
  <c r="BK741" i="1"/>
  <c r="BK740" i="1"/>
  <c r="BK739" i="1"/>
  <c r="BK738" i="1"/>
  <c r="BK737" i="1"/>
  <c r="BK736" i="1"/>
  <c r="BK735" i="1"/>
  <c r="BK734" i="1"/>
  <c r="BK733" i="1"/>
  <c r="BK732" i="1"/>
  <c r="BK731" i="1"/>
  <c r="BK730" i="1"/>
  <c r="BK729" i="1"/>
  <c r="BK728" i="1"/>
  <c r="BK727" i="1"/>
  <c r="BK726" i="1"/>
  <c r="BK725" i="1"/>
  <c r="BK724" i="1"/>
  <c r="BK723" i="1"/>
  <c r="BK722" i="1"/>
  <c r="BK721" i="1"/>
  <c r="BK720" i="1"/>
  <c r="BK719" i="1"/>
  <c r="BK718" i="1"/>
  <c r="BK717" i="1"/>
  <c r="BK716" i="1"/>
  <c r="BK715" i="1"/>
  <c r="BK714" i="1"/>
  <c r="BK713" i="1"/>
  <c r="BK712" i="1"/>
  <c r="BK711" i="1"/>
  <c r="BK710" i="1"/>
  <c r="BK709" i="1"/>
  <c r="BK708" i="1"/>
  <c r="BK707" i="1"/>
  <c r="BK706" i="1"/>
  <c r="BK705" i="1"/>
  <c r="BK704" i="1"/>
  <c r="BK703" i="1"/>
  <c r="BK702" i="1"/>
  <c r="BK701" i="1"/>
  <c r="BK700" i="1"/>
  <c r="BK699" i="1"/>
  <c r="BK698" i="1"/>
  <c r="BK697" i="1"/>
  <c r="BK696" i="1"/>
  <c r="BK695" i="1"/>
  <c r="BK694" i="1"/>
  <c r="BK693" i="1"/>
  <c r="BK692" i="1"/>
  <c r="BK691" i="1"/>
  <c r="BK690" i="1"/>
  <c r="BK689" i="1"/>
  <c r="BK688" i="1"/>
  <c r="BK687" i="1"/>
  <c r="BK686" i="1"/>
  <c r="BK685" i="1"/>
  <c r="BK684" i="1"/>
  <c r="BK683" i="1"/>
  <c r="BK682" i="1"/>
  <c r="BK681" i="1"/>
  <c r="BK680" i="1"/>
  <c r="BK679" i="1"/>
  <c r="BK678" i="1"/>
  <c r="BK677" i="1"/>
  <c r="BK676" i="1"/>
  <c r="BK675" i="1"/>
  <c r="BK674" i="1"/>
  <c r="BK673" i="1"/>
  <c r="BK672" i="1"/>
  <c r="BK671" i="1"/>
  <c r="BK670" i="1"/>
  <c r="BK669" i="1"/>
  <c r="BK668" i="1"/>
  <c r="BK667" i="1"/>
  <c r="BK666" i="1"/>
  <c r="BK665" i="1"/>
  <c r="BK664" i="1"/>
  <c r="BK663" i="1"/>
  <c r="BK662" i="1"/>
  <c r="BK661" i="1"/>
  <c r="BK660" i="1"/>
  <c r="BK659" i="1"/>
  <c r="BK658" i="1"/>
  <c r="BK657" i="1"/>
  <c r="BK656" i="1"/>
  <c r="BK655" i="1"/>
  <c r="BK654" i="1"/>
  <c r="BK653" i="1"/>
  <c r="BK652" i="1"/>
  <c r="BK651" i="1"/>
  <c r="BK650" i="1"/>
  <c r="BK649" i="1"/>
  <c r="BK648" i="1"/>
  <c r="BK647" i="1"/>
  <c r="BK646" i="1"/>
  <c r="BK645" i="1"/>
  <c r="BK644" i="1"/>
  <c r="BK643" i="1"/>
  <c r="BK642" i="1"/>
  <c r="BK641" i="1"/>
  <c r="BK640" i="1"/>
  <c r="BK639" i="1"/>
  <c r="BK638" i="1"/>
  <c r="BK637" i="1"/>
  <c r="BK636" i="1"/>
  <c r="BK635" i="1"/>
  <c r="BK634" i="1"/>
  <c r="BK633" i="1"/>
  <c r="BK632" i="1"/>
  <c r="BK631" i="1"/>
  <c r="BK630" i="1"/>
  <c r="BK629" i="1"/>
  <c r="BK628" i="1"/>
  <c r="BK627" i="1"/>
  <c r="BK626" i="1"/>
  <c r="BK625" i="1"/>
  <c r="BK624" i="1"/>
  <c r="BK623" i="1"/>
  <c r="BK622" i="1"/>
  <c r="BK621" i="1"/>
  <c r="BK620" i="1"/>
  <c r="BK619" i="1"/>
  <c r="BK618" i="1"/>
  <c r="BK617" i="1"/>
  <c r="BK616" i="1"/>
  <c r="BK615" i="1"/>
  <c r="BK614" i="1"/>
  <c r="BK613" i="1"/>
  <c r="BK612" i="1"/>
  <c r="BK611" i="1"/>
  <c r="BK610" i="1"/>
  <c r="BK609" i="1"/>
  <c r="BK608" i="1"/>
  <c r="BK607" i="1"/>
  <c r="BK606" i="1"/>
  <c r="BK605" i="1"/>
  <c r="BK604" i="1"/>
  <c r="BK603" i="1"/>
  <c r="BK602" i="1"/>
  <c r="BK601" i="1"/>
  <c r="BK600" i="1"/>
  <c r="BK599" i="1"/>
  <c r="BK598" i="1"/>
  <c r="BK597" i="1"/>
  <c r="BK596" i="1"/>
  <c r="BK595" i="1"/>
  <c r="BK594" i="1"/>
  <c r="BK593" i="1"/>
  <c r="BK592" i="1"/>
  <c r="BK591" i="1"/>
  <c r="BK590" i="1"/>
  <c r="BK589" i="1"/>
  <c r="BK588" i="1"/>
  <c r="BK587" i="1"/>
  <c r="BK586" i="1"/>
  <c r="BK585" i="1"/>
  <c r="BK584" i="1"/>
  <c r="BK583" i="1"/>
  <c r="BK582" i="1"/>
  <c r="BK581" i="1"/>
  <c r="BK580" i="1"/>
  <c r="BK579" i="1"/>
  <c r="BK578" i="1"/>
  <c r="BK577" i="1"/>
  <c r="BK576" i="1"/>
  <c r="BK575" i="1"/>
  <c r="BK574" i="1"/>
  <c r="BK573" i="1"/>
  <c r="BK572" i="1"/>
  <c r="BK571" i="1"/>
  <c r="BK570" i="1"/>
  <c r="BK569" i="1"/>
  <c r="BK568" i="1"/>
  <c r="BK567" i="1"/>
  <c r="BK566" i="1"/>
  <c r="BK565" i="1"/>
  <c r="BK564" i="1"/>
  <c r="BK563" i="1"/>
  <c r="BK562" i="1"/>
  <c r="BK561" i="1"/>
  <c r="BK560" i="1"/>
  <c r="BK559" i="1"/>
  <c r="BK558" i="1"/>
  <c r="BK557" i="1"/>
  <c r="BK556" i="1"/>
  <c r="BK555" i="1"/>
  <c r="BK554" i="1"/>
  <c r="BK553" i="1"/>
  <c r="BK552" i="1"/>
  <c r="BK551" i="1"/>
  <c r="BK550" i="1"/>
  <c r="BK549" i="1"/>
  <c r="BK548" i="1"/>
  <c r="BK547" i="1"/>
  <c r="BK546" i="1"/>
  <c r="BK545" i="1"/>
  <c r="BK544" i="1"/>
  <c r="BK543" i="1"/>
  <c r="BK542" i="1"/>
  <c r="BK541" i="1"/>
  <c r="BK540" i="1"/>
  <c r="BK539" i="1"/>
  <c r="BK538" i="1"/>
  <c r="BK537" i="1"/>
  <c r="BK536" i="1"/>
  <c r="BK535" i="1"/>
  <c r="BK534" i="1"/>
  <c r="BK533" i="1"/>
  <c r="BK532" i="1"/>
  <c r="BK531" i="1"/>
  <c r="BK530" i="1"/>
  <c r="BK529" i="1"/>
  <c r="BK528" i="1"/>
  <c r="BK527" i="1"/>
  <c r="BK526" i="1"/>
  <c r="BK525" i="1"/>
  <c r="BK524" i="1"/>
  <c r="BK523" i="1"/>
  <c r="BK522" i="1"/>
  <c r="BK521" i="1"/>
  <c r="BK520" i="1"/>
  <c r="BK519" i="1"/>
  <c r="BK518" i="1"/>
  <c r="BK517" i="1"/>
  <c r="BK516" i="1"/>
  <c r="BK515" i="1"/>
  <c r="BK514" i="1"/>
  <c r="BK513" i="1"/>
  <c r="BK512" i="1"/>
  <c r="BK511" i="1"/>
  <c r="BK510" i="1"/>
  <c r="BK509" i="1"/>
  <c r="BK508" i="1"/>
  <c r="BK507" i="1"/>
  <c r="BK506" i="1"/>
  <c r="BK505" i="1"/>
  <c r="BK504" i="1"/>
  <c r="BK503" i="1"/>
  <c r="BK502" i="1"/>
  <c r="BK501" i="1"/>
  <c r="BK500" i="1"/>
  <c r="BK499" i="1"/>
  <c r="BK498" i="1"/>
  <c r="BK497" i="1"/>
  <c r="BK496" i="1"/>
  <c r="BK495" i="1"/>
  <c r="BK494" i="1"/>
  <c r="BK493" i="1"/>
  <c r="BK492" i="1"/>
  <c r="BK491" i="1"/>
  <c r="BK490" i="1"/>
  <c r="BK489" i="1"/>
  <c r="BK488" i="1"/>
  <c r="BK487" i="1"/>
  <c r="BK486" i="1"/>
  <c r="BK485" i="1"/>
  <c r="BK484" i="1"/>
  <c r="BK483" i="1"/>
  <c r="BK482" i="1"/>
  <c r="BK481" i="1"/>
  <c r="BK480" i="1"/>
  <c r="BK479" i="1"/>
  <c r="BK478" i="1"/>
  <c r="BK477" i="1"/>
  <c r="BK476" i="1"/>
  <c r="BK475" i="1"/>
  <c r="BK474" i="1"/>
  <c r="BK473" i="1"/>
  <c r="BK472" i="1"/>
  <c r="BK471" i="1"/>
  <c r="BK470" i="1"/>
  <c r="BK469" i="1"/>
  <c r="BK468" i="1"/>
  <c r="BK467" i="1"/>
  <c r="BK466" i="1"/>
  <c r="BK465" i="1"/>
  <c r="BK464" i="1"/>
  <c r="BK463" i="1"/>
  <c r="BK462" i="1"/>
  <c r="BK461" i="1"/>
  <c r="BK460" i="1"/>
  <c r="BK459" i="1"/>
  <c r="BK458" i="1"/>
  <c r="BK457" i="1"/>
  <c r="BK456" i="1"/>
  <c r="BK455" i="1"/>
  <c r="BK454" i="1"/>
  <c r="BK453" i="1"/>
  <c r="BK452" i="1"/>
  <c r="BK451" i="1"/>
  <c r="BK450" i="1"/>
  <c r="BK449" i="1"/>
  <c r="BK448" i="1"/>
  <c r="BK447" i="1"/>
  <c r="BK446" i="1"/>
  <c r="BK445" i="1"/>
  <c r="BK444" i="1"/>
  <c r="BK443" i="1"/>
  <c r="BK442" i="1"/>
  <c r="BK441" i="1"/>
  <c r="BK440" i="1"/>
  <c r="BK439" i="1"/>
  <c r="BK438" i="1"/>
  <c r="BK437" i="1"/>
  <c r="BK436" i="1"/>
  <c r="BK435" i="1"/>
  <c r="BK434" i="1"/>
  <c r="BK433" i="1"/>
  <c r="BK432" i="1"/>
  <c r="BK431" i="1"/>
  <c r="BK430" i="1"/>
  <c r="BK429" i="1"/>
  <c r="BK428" i="1"/>
  <c r="BK427" i="1"/>
  <c r="BK426" i="1"/>
  <c r="BK425" i="1"/>
  <c r="BK424" i="1"/>
  <c r="BK423" i="1"/>
  <c r="BK422" i="1"/>
  <c r="BK421" i="1"/>
  <c r="BK420" i="1"/>
  <c r="BK419" i="1"/>
  <c r="BK418" i="1"/>
  <c r="BK417" i="1"/>
  <c r="BK416" i="1"/>
  <c r="BK415" i="1"/>
  <c r="BK414" i="1"/>
  <c r="BK413" i="1"/>
  <c r="BK412" i="1"/>
  <c r="BK411" i="1"/>
  <c r="BK410" i="1"/>
  <c r="BK409" i="1"/>
  <c r="BK408" i="1"/>
  <c r="BK407" i="1"/>
  <c r="BK406" i="1"/>
  <c r="BK405" i="1"/>
  <c r="BK404" i="1"/>
  <c r="BK403" i="1"/>
  <c r="BK402" i="1"/>
  <c r="BK401" i="1"/>
  <c r="BK400" i="1"/>
  <c r="BK399" i="1"/>
  <c r="BK398" i="1"/>
  <c r="BK397" i="1"/>
  <c r="BK396" i="1"/>
  <c r="BK395" i="1"/>
  <c r="BK394" i="1"/>
  <c r="BK393" i="1"/>
  <c r="BK392" i="1"/>
  <c r="BK391" i="1"/>
  <c r="BK390" i="1"/>
  <c r="BK389" i="1"/>
  <c r="BK388" i="1"/>
  <c r="BK387" i="1"/>
  <c r="BK386" i="1"/>
  <c r="BK385" i="1"/>
  <c r="BK384" i="1"/>
  <c r="BK383" i="1"/>
  <c r="BK382" i="1"/>
  <c r="BK381" i="1"/>
  <c r="BK380" i="1"/>
  <c r="BK379" i="1"/>
  <c r="BK378" i="1"/>
  <c r="BK377" i="1"/>
  <c r="BK376" i="1"/>
  <c r="BK375" i="1"/>
  <c r="BK374" i="1"/>
  <c r="BK373" i="1"/>
  <c r="BK372" i="1"/>
  <c r="BK371" i="1"/>
  <c r="BK370" i="1"/>
  <c r="BK369" i="1"/>
  <c r="BK368" i="1"/>
  <c r="BK367" i="1"/>
  <c r="BK366" i="1"/>
  <c r="BK365" i="1"/>
  <c r="BK364" i="1"/>
  <c r="BK363" i="1"/>
  <c r="BK362" i="1"/>
  <c r="BK361" i="1"/>
  <c r="BK360" i="1"/>
  <c r="BK359" i="1"/>
  <c r="BK358" i="1"/>
  <c r="BK357" i="1"/>
  <c r="BK356" i="1"/>
  <c r="BK355" i="1"/>
  <c r="BK354" i="1"/>
  <c r="BK353" i="1"/>
  <c r="BK352" i="1"/>
  <c r="BK351" i="1"/>
  <c r="BK350" i="1"/>
  <c r="BK349" i="1"/>
  <c r="BK348" i="1"/>
  <c r="BK347" i="1"/>
  <c r="BK346" i="1"/>
  <c r="BK345" i="1"/>
  <c r="BK344" i="1"/>
  <c r="BK343" i="1"/>
  <c r="BK342" i="1"/>
  <c r="BK341" i="1"/>
  <c r="BK340" i="1"/>
  <c r="BK339" i="1"/>
  <c r="BK338" i="1"/>
  <c r="BK337" i="1"/>
  <c r="BK336" i="1"/>
  <c r="BK335" i="1"/>
  <c r="BK334" i="1"/>
  <c r="BK333" i="1"/>
  <c r="BK332" i="1"/>
  <c r="BK331" i="1"/>
  <c r="BK330" i="1"/>
  <c r="BK329" i="1"/>
  <c r="BK328" i="1"/>
  <c r="BK327" i="1"/>
  <c r="BK326" i="1"/>
  <c r="BK325" i="1"/>
  <c r="BK324" i="1"/>
  <c r="BK323" i="1"/>
  <c r="BK322" i="1"/>
  <c r="BK321" i="1"/>
  <c r="BK320" i="1"/>
  <c r="BK319" i="1"/>
  <c r="BK318" i="1"/>
  <c r="BK317" i="1"/>
  <c r="BK316" i="1"/>
  <c r="BK315" i="1"/>
  <c r="BK314" i="1"/>
  <c r="BK313" i="1"/>
  <c r="BK312" i="1"/>
  <c r="BK311" i="1"/>
  <c r="BK310" i="1"/>
  <c r="BK309" i="1"/>
  <c r="BK308" i="1"/>
  <c r="BK307" i="1"/>
  <c r="BK306" i="1"/>
  <c r="BK305" i="1"/>
  <c r="BK304" i="1"/>
  <c r="BK303" i="1"/>
  <c r="BK302" i="1"/>
  <c r="BK301" i="1"/>
  <c r="BK300" i="1"/>
  <c r="BK299" i="1"/>
  <c r="BK298" i="1"/>
  <c r="BK297" i="1"/>
  <c r="BK296" i="1"/>
  <c r="BK295" i="1"/>
  <c r="BK294" i="1"/>
  <c r="BK293" i="1"/>
  <c r="BK292" i="1"/>
  <c r="BK291" i="1"/>
  <c r="BK290" i="1"/>
  <c r="BK289" i="1"/>
  <c r="BK288" i="1"/>
  <c r="BK287" i="1"/>
  <c r="BK286" i="1"/>
  <c r="BK285" i="1"/>
  <c r="BK284" i="1"/>
  <c r="BK283" i="1"/>
  <c r="BK282" i="1"/>
  <c r="BK281" i="1"/>
  <c r="BK280" i="1"/>
  <c r="BK279" i="1"/>
  <c r="BK278" i="1"/>
  <c r="BK277" i="1"/>
  <c r="BK276" i="1"/>
  <c r="BK275" i="1"/>
  <c r="BK274" i="1"/>
  <c r="BK273" i="1"/>
  <c r="BK272" i="1"/>
  <c r="BK271" i="1"/>
  <c r="BK270" i="1"/>
  <c r="BK269" i="1"/>
  <c r="BK268" i="1"/>
  <c r="BK267" i="1"/>
  <c r="BK266" i="1"/>
  <c r="BK265" i="1"/>
  <c r="BK264" i="1"/>
  <c r="BK263" i="1"/>
  <c r="BK262" i="1"/>
  <c r="BK261" i="1"/>
  <c r="BK260" i="1"/>
  <c r="BK259" i="1"/>
  <c r="BK258" i="1"/>
  <c r="BK257" i="1"/>
  <c r="BK256" i="1"/>
  <c r="BK255" i="1"/>
  <c r="BK254" i="1"/>
  <c r="BK253" i="1"/>
  <c r="BK252" i="1"/>
  <c r="BK251" i="1"/>
  <c r="BK250" i="1"/>
  <c r="BK249" i="1"/>
  <c r="BK248" i="1"/>
  <c r="BK247" i="1"/>
  <c r="BK246" i="1"/>
  <c r="BK245" i="1"/>
  <c r="BK244" i="1"/>
  <c r="BK243" i="1"/>
  <c r="BK242" i="1"/>
  <c r="BK241" i="1"/>
  <c r="BK240" i="1"/>
  <c r="BK239" i="1"/>
  <c r="BK238" i="1"/>
  <c r="BK237" i="1"/>
  <c r="BK236" i="1"/>
  <c r="BK235" i="1"/>
  <c r="BK234" i="1"/>
  <c r="BK233" i="1"/>
  <c r="BK232" i="1"/>
  <c r="BK231" i="1"/>
  <c r="BK230" i="1"/>
  <c r="BK229" i="1"/>
  <c r="BK228" i="1"/>
  <c r="BK227" i="1"/>
  <c r="BK226" i="1"/>
  <c r="BK225" i="1"/>
  <c r="BK224" i="1"/>
  <c r="BK223" i="1"/>
  <c r="BK222" i="1"/>
  <c r="BK221" i="1"/>
  <c r="BK220" i="1"/>
  <c r="BK219" i="1"/>
  <c r="BK218" i="1"/>
  <c r="BK217" i="1"/>
  <c r="BK216" i="1"/>
  <c r="BK215" i="1"/>
  <c r="BK214" i="1"/>
  <c r="BK213" i="1"/>
  <c r="BK212" i="1"/>
  <c r="BK211" i="1"/>
  <c r="BK210" i="1"/>
  <c r="BK209" i="1"/>
  <c r="BK208" i="1"/>
  <c r="BK207" i="1"/>
  <c r="BK206" i="1"/>
  <c r="BK205" i="1"/>
  <c r="BK204" i="1"/>
  <c r="BK203" i="1"/>
  <c r="BK202" i="1"/>
  <c r="BK201" i="1"/>
  <c r="BK200" i="1"/>
  <c r="BK199" i="1"/>
  <c r="BK198" i="1"/>
  <c r="BK197" i="1"/>
  <c r="BK196" i="1"/>
  <c r="BK195" i="1"/>
  <c r="BK194" i="1"/>
  <c r="BK193" i="1"/>
  <c r="BK192" i="1"/>
  <c r="BK191" i="1"/>
  <c r="BK190" i="1"/>
  <c r="BK189" i="1"/>
  <c r="BK188" i="1"/>
  <c r="BK187" i="1"/>
  <c r="BK186" i="1"/>
  <c r="BK185" i="1"/>
  <c r="BK184" i="1"/>
  <c r="BK183" i="1"/>
  <c r="BK182" i="1"/>
  <c r="BK181" i="1"/>
  <c r="BK180" i="1"/>
  <c r="BK179" i="1"/>
  <c r="BK178" i="1"/>
  <c r="BK177" i="1"/>
  <c r="BK176" i="1"/>
  <c r="BK175" i="1"/>
  <c r="BK174" i="1"/>
  <c r="BK173" i="1"/>
  <c r="BK172" i="1"/>
  <c r="BK171" i="1"/>
  <c r="BK170" i="1"/>
  <c r="BK169" i="1"/>
  <c r="BK168" i="1"/>
  <c r="BK167" i="1"/>
  <c r="BK166" i="1"/>
  <c r="BK165" i="1"/>
  <c r="BK164" i="1"/>
  <c r="BK163" i="1"/>
  <c r="BK162" i="1"/>
  <c r="BK161" i="1"/>
  <c r="BK160" i="1"/>
  <c r="BK159" i="1"/>
  <c r="BK158" i="1"/>
  <c r="BK157" i="1"/>
  <c r="BK156" i="1"/>
  <c r="BK155" i="1"/>
  <c r="BK154" i="1"/>
  <c r="BK153" i="1"/>
  <c r="BK152" i="1"/>
  <c r="BK151" i="1"/>
  <c r="BK150" i="1"/>
  <c r="BK149" i="1"/>
  <c r="BK148" i="1"/>
  <c r="BK147" i="1"/>
  <c r="BK146" i="1"/>
  <c r="BK145" i="1"/>
  <c r="BK144" i="1"/>
  <c r="BK143" i="1"/>
  <c r="BK142" i="1"/>
  <c r="BK141" i="1"/>
  <c r="BK140" i="1"/>
  <c r="BK139" i="1"/>
  <c r="BK138" i="1"/>
  <c r="BK137" i="1"/>
  <c r="BK136" i="1"/>
  <c r="BK135" i="1"/>
  <c r="BK134" i="1"/>
  <c r="BK133" i="1"/>
  <c r="BK132" i="1"/>
  <c r="BK131" i="1"/>
  <c r="BK130" i="1"/>
  <c r="BK129" i="1"/>
  <c r="BK128" i="1"/>
  <c r="BK127" i="1"/>
  <c r="BK126" i="1"/>
  <c r="BK125" i="1"/>
  <c r="BK124" i="1"/>
  <c r="BK123" i="1"/>
  <c r="BK122" i="1"/>
  <c r="BK121" i="1"/>
  <c r="BK120" i="1"/>
  <c r="BK119" i="1"/>
  <c r="BK118" i="1"/>
  <c r="BK117" i="1"/>
  <c r="BK116" i="1"/>
  <c r="BK115" i="1"/>
  <c r="BK114" i="1"/>
  <c r="BK113" i="1"/>
  <c r="BK112" i="1"/>
  <c r="BK111" i="1"/>
  <c r="BK110" i="1"/>
  <c r="BK109" i="1"/>
  <c r="BK108" i="1"/>
  <c r="BK107" i="1"/>
  <c r="BK106" i="1"/>
  <c r="BK105" i="1"/>
  <c r="BK104" i="1"/>
  <c r="BK103" i="1"/>
  <c r="BK102" i="1"/>
  <c r="BK101" i="1"/>
  <c r="BK100" i="1"/>
  <c r="BK99" i="1"/>
  <c r="BK98" i="1"/>
  <c r="BK97" i="1"/>
  <c r="BK96" i="1"/>
  <c r="BK95" i="1"/>
  <c r="BK94" i="1"/>
  <c r="BK93" i="1"/>
  <c r="BK92" i="1"/>
  <c r="BK91" i="1"/>
  <c r="BK90" i="1"/>
  <c r="BK89" i="1"/>
  <c r="BK88" i="1"/>
  <c r="BK87" i="1"/>
  <c r="BK86" i="1"/>
  <c r="BK85" i="1"/>
  <c r="BK84" i="1"/>
  <c r="BK83" i="1"/>
  <c r="BK82" i="1"/>
  <c r="BK81" i="1"/>
  <c r="BK80" i="1"/>
  <c r="BK79" i="1"/>
  <c r="BK78" i="1"/>
  <c r="BK77" i="1"/>
  <c r="BK76" i="1"/>
  <c r="BK75" i="1"/>
  <c r="BK74" i="1"/>
  <c r="BK73" i="1"/>
  <c r="BK72" i="1"/>
  <c r="BK71" i="1"/>
  <c r="BK70" i="1"/>
  <c r="BK69" i="1"/>
  <c r="BK68" i="1"/>
  <c r="BK67" i="1"/>
  <c r="BK66" i="1"/>
  <c r="BK65" i="1"/>
  <c r="BK64" i="1"/>
  <c r="BK63" i="1"/>
  <c r="BK62" i="1"/>
  <c r="BK61" i="1"/>
  <c r="BK60" i="1"/>
  <c r="BK59" i="1"/>
  <c r="BK58" i="1"/>
  <c r="BK57" i="1"/>
  <c r="BK56" i="1"/>
  <c r="BK55" i="1"/>
  <c r="BK54" i="1"/>
  <c r="BK53" i="1"/>
  <c r="BK52" i="1"/>
  <c r="BK51" i="1"/>
  <c r="BK50" i="1"/>
  <c r="BK49" i="1"/>
  <c r="BK48" i="1"/>
  <c r="BK47" i="1"/>
  <c r="BK46" i="1"/>
  <c r="BK45" i="1"/>
  <c r="BK44" i="1"/>
  <c r="BK43" i="1"/>
  <c r="BK42" i="1"/>
  <c r="BK41" i="1"/>
  <c r="BK40" i="1"/>
  <c r="BK39" i="1"/>
  <c r="BK38" i="1"/>
  <c r="BK37" i="1"/>
  <c r="BK36" i="1"/>
  <c r="BK35" i="1"/>
  <c r="BK34" i="1"/>
  <c r="BK33" i="1"/>
  <c r="BK32" i="1"/>
  <c r="BK31" i="1"/>
  <c r="BK30" i="1"/>
  <c r="BK29" i="1"/>
  <c r="BK28" i="1"/>
  <c r="BK27" i="1"/>
  <c r="BK26" i="1"/>
  <c r="BK25" i="1"/>
  <c r="BK24" i="1"/>
  <c r="BK23" i="1"/>
  <c r="BK22" i="1"/>
  <c r="BK21" i="1"/>
  <c r="BK20" i="1"/>
  <c r="BK19" i="1"/>
  <c r="BK18" i="1"/>
  <c r="BK17" i="1"/>
  <c r="BG1112" i="1"/>
  <c r="BG1111" i="1"/>
  <c r="BG1110" i="1"/>
  <c r="BG1109" i="1"/>
  <c r="BG1108" i="1"/>
  <c r="BG1107" i="1"/>
  <c r="BG1106" i="1"/>
  <c r="BG1105" i="1"/>
  <c r="BG1104" i="1"/>
  <c r="BG1103" i="1"/>
  <c r="BG1102" i="1"/>
  <c r="BG1101" i="1"/>
  <c r="BG1100" i="1"/>
  <c r="BG1099" i="1"/>
  <c r="BG1098" i="1"/>
  <c r="BG1097" i="1"/>
  <c r="BG1096" i="1"/>
  <c r="BG1095" i="1"/>
  <c r="BG1094" i="1"/>
  <c r="BG1093" i="1"/>
  <c r="BG1092" i="1"/>
  <c r="BG1091" i="1"/>
  <c r="BG1090" i="1"/>
  <c r="BG1089" i="1"/>
  <c r="BG1088" i="1"/>
  <c r="BG1087" i="1"/>
  <c r="BG1086" i="1"/>
  <c r="BG1085" i="1"/>
  <c r="BG1084" i="1"/>
  <c r="BG1083" i="1"/>
  <c r="BG1082" i="1"/>
  <c r="BG1081" i="1"/>
  <c r="BG1080" i="1"/>
  <c r="BG1079" i="1"/>
  <c r="BG1078" i="1"/>
  <c r="BG1077" i="1"/>
  <c r="BG1076" i="1"/>
  <c r="BG1075" i="1"/>
  <c r="BG1074" i="1"/>
  <c r="BG1073" i="1"/>
  <c r="BG1072" i="1"/>
  <c r="BG1071" i="1"/>
  <c r="BG1070" i="1"/>
  <c r="BG1069" i="1"/>
  <c r="BG1068" i="1"/>
  <c r="BG1067" i="1"/>
  <c r="BG1066" i="1"/>
  <c r="BG1065" i="1"/>
  <c r="BG1064" i="1"/>
  <c r="BG1063" i="1"/>
  <c r="BG1062" i="1"/>
  <c r="BG1061" i="1"/>
  <c r="BG1060" i="1"/>
  <c r="BG1059" i="1"/>
  <c r="BG1058" i="1"/>
  <c r="BG1057" i="1"/>
  <c r="BG1056" i="1"/>
  <c r="BG1055" i="1"/>
  <c r="BG1054" i="1"/>
  <c r="BG1053" i="1"/>
  <c r="BG1052" i="1"/>
  <c r="BG1051" i="1"/>
  <c r="BG1050" i="1"/>
  <c r="BG1049" i="1"/>
  <c r="BG1048" i="1"/>
  <c r="BG1047" i="1"/>
  <c r="BG1046" i="1"/>
  <c r="BG1045" i="1"/>
  <c r="BG1044" i="1"/>
  <c r="BG1043" i="1"/>
  <c r="BG1042" i="1"/>
  <c r="BG1041" i="1"/>
  <c r="BG1040" i="1"/>
  <c r="BG1039" i="1"/>
  <c r="BG1038" i="1"/>
  <c r="BG1037" i="1"/>
  <c r="BG1036" i="1"/>
  <c r="BG1035" i="1"/>
  <c r="BG1034" i="1"/>
  <c r="BG1033" i="1"/>
  <c r="BG1032" i="1"/>
  <c r="BG1031" i="1"/>
  <c r="BG1030" i="1"/>
  <c r="BG1029" i="1"/>
  <c r="BG1028" i="1"/>
  <c r="BG1027" i="1"/>
  <c r="BG1026" i="1"/>
  <c r="BG1025" i="1"/>
  <c r="BG1024" i="1"/>
  <c r="BG1023" i="1"/>
  <c r="BG1022" i="1"/>
  <c r="BG1021" i="1"/>
  <c r="BG1020" i="1"/>
  <c r="BG1019" i="1"/>
  <c r="BG1018" i="1"/>
  <c r="BG1017" i="1"/>
  <c r="BG1016" i="1"/>
  <c r="BG1015" i="1"/>
  <c r="BG1014" i="1"/>
  <c r="BG1013" i="1"/>
  <c r="BG1012" i="1"/>
  <c r="BG1011" i="1"/>
  <c r="BG1010" i="1"/>
  <c r="BG1009" i="1"/>
  <c r="BG1008" i="1"/>
  <c r="BG1007" i="1"/>
  <c r="BG1006" i="1"/>
  <c r="BG1005" i="1"/>
  <c r="BG1004" i="1"/>
  <c r="BG1003" i="1"/>
  <c r="BG1002" i="1"/>
  <c r="BG1001" i="1"/>
  <c r="BG1000" i="1"/>
  <c r="BG999" i="1"/>
  <c r="BG998" i="1"/>
  <c r="BG997" i="1"/>
  <c r="BG996" i="1"/>
  <c r="BG995" i="1"/>
  <c r="BG994" i="1"/>
  <c r="BG993" i="1"/>
  <c r="BG992" i="1"/>
  <c r="BG991" i="1"/>
  <c r="BG990" i="1"/>
  <c r="BG989" i="1"/>
  <c r="BG988" i="1"/>
  <c r="BG987" i="1"/>
  <c r="BG986" i="1"/>
  <c r="BG985" i="1"/>
  <c r="BG984" i="1"/>
  <c r="BG983" i="1"/>
  <c r="BG982" i="1"/>
  <c r="BG981" i="1"/>
  <c r="BG980" i="1"/>
  <c r="BG979" i="1"/>
  <c r="BG978" i="1"/>
  <c r="BG977" i="1"/>
  <c r="BG976" i="1"/>
  <c r="BG975" i="1"/>
  <c r="BG974" i="1"/>
  <c r="BG973" i="1"/>
  <c r="BG972" i="1"/>
  <c r="BG971" i="1"/>
  <c r="BG970" i="1"/>
  <c r="BG969" i="1"/>
  <c r="BG968" i="1"/>
  <c r="BG967" i="1"/>
  <c r="BG966" i="1"/>
  <c r="BG965" i="1"/>
  <c r="BG964" i="1"/>
  <c r="BG963" i="1"/>
  <c r="BG962" i="1"/>
  <c r="BG961" i="1"/>
  <c r="BG960" i="1"/>
  <c r="BG959" i="1"/>
  <c r="BG958" i="1"/>
  <c r="BG957" i="1"/>
  <c r="BG956" i="1"/>
  <c r="BG955" i="1"/>
  <c r="BG954" i="1"/>
  <c r="BG953" i="1"/>
  <c r="BG952" i="1"/>
  <c r="BG951" i="1"/>
  <c r="BG950" i="1"/>
  <c r="BG949" i="1"/>
  <c r="BG948" i="1"/>
  <c r="BG947" i="1"/>
  <c r="BG946" i="1"/>
  <c r="BG945" i="1"/>
  <c r="BG944" i="1"/>
  <c r="BG943" i="1"/>
  <c r="BG942" i="1"/>
  <c r="BG941" i="1"/>
  <c r="BG940" i="1"/>
  <c r="BG939" i="1"/>
  <c r="BG938" i="1"/>
  <c r="BG937" i="1"/>
  <c r="BG936" i="1"/>
  <c r="BG935" i="1"/>
  <c r="BG934" i="1"/>
  <c r="BG933" i="1"/>
  <c r="BG932" i="1"/>
  <c r="BG931" i="1"/>
  <c r="BG930" i="1"/>
  <c r="BG929" i="1"/>
  <c r="BG928" i="1"/>
  <c r="BG927" i="1"/>
  <c r="BG926" i="1"/>
  <c r="BG925" i="1"/>
  <c r="BG924" i="1"/>
  <c r="BG923" i="1"/>
  <c r="BG922" i="1"/>
  <c r="BG921" i="1"/>
  <c r="BG920" i="1"/>
  <c r="BG919" i="1"/>
  <c r="BG918" i="1"/>
  <c r="BG917" i="1"/>
  <c r="BG916" i="1"/>
  <c r="BG915" i="1"/>
  <c r="BG914" i="1"/>
  <c r="BG913" i="1"/>
  <c r="BG912" i="1"/>
  <c r="BG911" i="1"/>
  <c r="BG910" i="1"/>
  <c r="BG909" i="1"/>
  <c r="BG908" i="1"/>
  <c r="BG907" i="1"/>
  <c r="BG906" i="1"/>
  <c r="BG905" i="1"/>
  <c r="BG904" i="1"/>
  <c r="BG903" i="1"/>
  <c r="BG902" i="1"/>
  <c r="BG901" i="1"/>
  <c r="BG900" i="1"/>
  <c r="BG899" i="1"/>
  <c r="BG898" i="1"/>
  <c r="BG897" i="1"/>
  <c r="BG896" i="1"/>
  <c r="BG895" i="1"/>
  <c r="BG894" i="1"/>
  <c r="BG893" i="1"/>
  <c r="BG892" i="1"/>
  <c r="BG891" i="1"/>
  <c r="BG890" i="1"/>
  <c r="BG889" i="1"/>
  <c r="BG888" i="1"/>
  <c r="BG887" i="1"/>
  <c r="BG886" i="1"/>
  <c r="BG885" i="1"/>
  <c r="BG884" i="1"/>
  <c r="BG883" i="1"/>
  <c r="BG882" i="1"/>
  <c r="BG881" i="1"/>
  <c r="BG880" i="1"/>
  <c r="BG879" i="1"/>
  <c r="BG878" i="1"/>
  <c r="BG877" i="1"/>
  <c r="BG876" i="1"/>
  <c r="BG875" i="1"/>
  <c r="BG874" i="1"/>
  <c r="BG873" i="1"/>
  <c r="BG872" i="1"/>
  <c r="BG871" i="1"/>
  <c r="BG870" i="1"/>
  <c r="BG869" i="1"/>
  <c r="BG868" i="1"/>
  <c r="BG867" i="1"/>
  <c r="BG866" i="1"/>
  <c r="BG865" i="1"/>
  <c r="BG864" i="1"/>
  <c r="BG863" i="1"/>
  <c r="BG862" i="1"/>
  <c r="BG861" i="1"/>
  <c r="BG860" i="1"/>
  <c r="BG859" i="1"/>
  <c r="BG858" i="1"/>
  <c r="BG857" i="1"/>
  <c r="BG856" i="1"/>
  <c r="BG855" i="1"/>
  <c r="BG854" i="1"/>
  <c r="BG853" i="1"/>
  <c r="BG852" i="1"/>
  <c r="BG851" i="1"/>
  <c r="BG850" i="1"/>
  <c r="BG849" i="1"/>
  <c r="BG848" i="1"/>
  <c r="BG847" i="1"/>
  <c r="BG846" i="1"/>
  <c r="BG845" i="1"/>
  <c r="BG844" i="1"/>
  <c r="BG843" i="1"/>
  <c r="BG842" i="1"/>
  <c r="BG841" i="1"/>
  <c r="BG840" i="1"/>
  <c r="BG839" i="1"/>
  <c r="BG838" i="1"/>
  <c r="BG837" i="1"/>
  <c r="BG836" i="1"/>
  <c r="BG835" i="1"/>
  <c r="BG834" i="1"/>
  <c r="BG833" i="1"/>
  <c r="BG832" i="1"/>
  <c r="BG831" i="1"/>
  <c r="BG830" i="1"/>
  <c r="BG829" i="1"/>
  <c r="BG828" i="1"/>
  <c r="BG827" i="1"/>
  <c r="BG826" i="1"/>
  <c r="BG825" i="1"/>
  <c r="BG824" i="1"/>
  <c r="BG823" i="1"/>
  <c r="BG822" i="1"/>
  <c r="BG821" i="1"/>
  <c r="BG820" i="1"/>
  <c r="BG819" i="1"/>
  <c r="BG818" i="1"/>
  <c r="BG817" i="1"/>
  <c r="BG816" i="1"/>
  <c r="BG815" i="1"/>
  <c r="BG814" i="1"/>
  <c r="BG813" i="1"/>
  <c r="BG812" i="1"/>
  <c r="BG811" i="1"/>
  <c r="BG810" i="1"/>
  <c r="BG809" i="1"/>
  <c r="BG808" i="1"/>
  <c r="BG807" i="1"/>
  <c r="BG806" i="1"/>
  <c r="BG805" i="1"/>
  <c r="BG804" i="1"/>
  <c r="BG803" i="1"/>
  <c r="BG802" i="1"/>
  <c r="BG801" i="1"/>
  <c r="BG800" i="1"/>
  <c r="BG799" i="1"/>
  <c r="BG798" i="1"/>
  <c r="BG797" i="1"/>
  <c r="BG796" i="1"/>
  <c r="BG795" i="1"/>
  <c r="BG794" i="1"/>
  <c r="BG793" i="1"/>
  <c r="BG792" i="1"/>
  <c r="BG791" i="1"/>
  <c r="BG790" i="1"/>
  <c r="BG789" i="1"/>
  <c r="BG788" i="1"/>
  <c r="BG787" i="1"/>
  <c r="BG786" i="1"/>
  <c r="BG785" i="1"/>
  <c r="BG784" i="1"/>
  <c r="BG783" i="1"/>
  <c r="BG782" i="1"/>
  <c r="BG781" i="1"/>
  <c r="BG780" i="1"/>
  <c r="BG779" i="1"/>
  <c r="BG778" i="1"/>
  <c r="BG777" i="1"/>
  <c r="BG776" i="1"/>
  <c r="BG775" i="1"/>
  <c r="BG774" i="1"/>
  <c r="BG773" i="1"/>
  <c r="BG772" i="1"/>
  <c r="BG771" i="1"/>
  <c r="BG770" i="1"/>
  <c r="BG769" i="1"/>
  <c r="BG768" i="1"/>
  <c r="BG767" i="1"/>
  <c r="BG766" i="1"/>
  <c r="BG765" i="1"/>
  <c r="BG764" i="1"/>
  <c r="BG763" i="1"/>
  <c r="BG762" i="1"/>
  <c r="BG761" i="1"/>
  <c r="BG760" i="1"/>
  <c r="BG759" i="1"/>
  <c r="BG758" i="1"/>
  <c r="BG757" i="1"/>
  <c r="BG756" i="1"/>
  <c r="BG755" i="1"/>
  <c r="BG754" i="1"/>
  <c r="BG753" i="1"/>
  <c r="BG752" i="1"/>
  <c r="BG751" i="1"/>
  <c r="BG750" i="1"/>
  <c r="BG749" i="1"/>
  <c r="BG748" i="1"/>
  <c r="BG747" i="1"/>
  <c r="BG746" i="1"/>
  <c r="BG745" i="1"/>
  <c r="BG744" i="1"/>
  <c r="BG743" i="1"/>
  <c r="BG742" i="1"/>
  <c r="BG741" i="1"/>
  <c r="BG740" i="1"/>
  <c r="BG739" i="1"/>
  <c r="BG738" i="1"/>
  <c r="BG737" i="1"/>
  <c r="BG736" i="1"/>
  <c r="BG735" i="1"/>
  <c r="BG734" i="1"/>
  <c r="BG733" i="1"/>
  <c r="BG732" i="1"/>
  <c r="BG731" i="1"/>
  <c r="BG730" i="1"/>
  <c r="BG729" i="1"/>
  <c r="BG728" i="1"/>
  <c r="BG727" i="1"/>
  <c r="BG726" i="1"/>
  <c r="BG725" i="1"/>
  <c r="BG724" i="1"/>
  <c r="BG723" i="1"/>
  <c r="BG722" i="1"/>
  <c r="BG721" i="1"/>
  <c r="BG720" i="1"/>
  <c r="BG719" i="1"/>
  <c r="BG718" i="1"/>
  <c r="BG717" i="1"/>
  <c r="BG716" i="1"/>
  <c r="BG715" i="1"/>
  <c r="BG714" i="1"/>
  <c r="BG713" i="1"/>
  <c r="BG712" i="1"/>
  <c r="BG711" i="1"/>
  <c r="BG710" i="1"/>
  <c r="BG709" i="1"/>
  <c r="BG708" i="1"/>
  <c r="BG707" i="1"/>
  <c r="BG706" i="1"/>
  <c r="BG705" i="1"/>
  <c r="BG704" i="1"/>
  <c r="BG703" i="1"/>
  <c r="BG702" i="1"/>
  <c r="BG701" i="1"/>
  <c r="BG700" i="1"/>
  <c r="BG699" i="1"/>
  <c r="BG698" i="1"/>
  <c r="BG697" i="1"/>
  <c r="BG696" i="1"/>
  <c r="BG695" i="1"/>
  <c r="BG694" i="1"/>
  <c r="BG693" i="1"/>
  <c r="BG692" i="1"/>
  <c r="BG691" i="1"/>
  <c r="BG690" i="1"/>
  <c r="BG689" i="1"/>
  <c r="BG688" i="1"/>
  <c r="BG687" i="1"/>
  <c r="BG686" i="1"/>
  <c r="BG685" i="1"/>
  <c r="BG684" i="1"/>
  <c r="BG683" i="1"/>
  <c r="BG682" i="1"/>
  <c r="BG681" i="1"/>
  <c r="BG680" i="1"/>
  <c r="BG679" i="1"/>
  <c r="BG678" i="1"/>
  <c r="BG677" i="1"/>
  <c r="BG676" i="1"/>
  <c r="BG675" i="1"/>
  <c r="BG674" i="1"/>
  <c r="BG673" i="1"/>
  <c r="BG672" i="1"/>
  <c r="BG671" i="1"/>
  <c r="BG670" i="1"/>
  <c r="BG669" i="1"/>
  <c r="BG668" i="1"/>
  <c r="BG667" i="1"/>
  <c r="BG666" i="1"/>
  <c r="BG665" i="1"/>
  <c r="BG664" i="1"/>
  <c r="BG663" i="1"/>
  <c r="BG662" i="1"/>
  <c r="BG661" i="1"/>
  <c r="BG660" i="1"/>
  <c r="BG659" i="1"/>
  <c r="BG658" i="1"/>
  <c r="BG657" i="1"/>
  <c r="BG656" i="1"/>
  <c r="BG655" i="1"/>
  <c r="BG654" i="1"/>
  <c r="BG653" i="1"/>
  <c r="BG652" i="1"/>
  <c r="BG651" i="1"/>
  <c r="BG650" i="1"/>
  <c r="BG649" i="1"/>
  <c r="BG648" i="1"/>
  <c r="BG647" i="1"/>
  <c r="BG646" i="1"/>
  <c r="BG645" i="1"/>
  <c r="BG644" i="1"/>
  <c r="BG643" i="1"/>
  <c r="BG642" i="1"/>
  <c r="BG641" i="1"/>
  <c r="BG640" i="1"/>
  <c r="BG639" i="1"/>
  <c r="BG638" i="1"/>
  <c r="BG637" i="1"/>
  <c r="BG636" i="1"/>
  <c r="BG635" i="1"/>
  <c r="BG634" i="1"/>
  <c r="BG633" i="1"/>
  <c r="BG632" i="1"/>
  <c r="BG631" i="1"/>
  <c r="BG630" i="1"/>
  <c r="BG629" i="1"/>
  <c r="BG628" i="1"/>
  <c r="BG627" i="1"/>
  <c r="BG626" i="1"/>
  <c r="BG625" i="1"/>
  <c r="BG624" i="1"/>
  <c r="BG623" i="1"/>
  <c r="BG622" i="1"/>
  <c r="BG621" i="1"/>
  <c r="BG620" i="1"/>
  <c r="BG619" i="1"/>
  <c r="BG618" i="1"/>
  <c r="BG617" i="1"/>
  <c r="BG616" i="1"/>
  <c r="BG615" i="1"/>
  <c r="BG614" i="1"/>
  <c r="BG613" i="1"/>
  <c r="BG612" i="1"/>
  <c r="BG611" i="1"/>
  <c r="BG610" i="1"/>
  <c r="BG609" i="1"/>
  <c r="BG608" i="1"/>
  <c r="BG607" i="1"/>
  <c r="BG606" i="1"/>
  <c r="BG605" i="1"/>
  <c r="BG604" i="1"/>
  <c r="BG603" i="1"/>
  <c r="BG602" i="1"/>
  <c r="BG601" i="1"/>
  <c r="BG600" i="1"/>
  <c r="BG599" i="1"/>
  <c r="BG598" i="1"/>
  <c r="BG597" i="1"/>
  <c r="BG596" i="1"/>
  <c r="BG595" i="1"/>
  <c r="BG594" i="1"/>
  <c r="BG593" i="1"/>
  <c r="BG592" i="1"/>
  <c r="BG591" i="1"/>
  <c r="BG590" i="1"/>
  <c r="BG589" i="1"/>
  <c r="BG588" i="1"/>
  <c r="BG587" i="1"/>
  <c r="BG586" i="1"/>
  <c r="BG585" i="1"/>
  <c r="BG584" i="1"/>
  <c r="BG583" i="1"/>
  <c r="BG582" i="1"/>
  <c r="BG581" i="1"/>
  <c r="BG580" i="1"/>
  <c r="BG579" i="1"/>
  <c r="BG578" i="1"/>
  <c r="BG577" i="1"/>
  <c r="BG576" i="1"/>
  <c r="BG575" i="1"/>
  <c r="BG574" i="1"/>
  <c r="BG573" i="1"/>
  <c r="BG572" i="1"/>
  <c r="BG571" i="1"/>
  <c r="BG570" i="1"/>
  <c r="BG569" i="1"/>
  <c r="BG568" i="1"/>
  <c r="BG567" i="1"/>
  <c r="BG566" i="1"/>
  <c r="BG565" i="1"/>
  <c r="BG564" i="1"/>
  <c r="BG563" i="1"/>
  <c r="BG562" i="1"/>
  <c r="BG561" i="1"/>
  <c r="BG560" i="1"/>
  <c r="BG559" i="1"/>
  <c r="BG558" i="1"/>
  <c r="BG557" i="1"/>
  <c r="BG556" i="1"/>
  <c r="BG555" i="1"/>
  <c r="BG554" i="1"/>
  <c r="BG553" i="1"/>
  <c r="BG552" i="1"/>
  <c r="BG551" i="1"/>
  <c r="BG550" i="1"/>
  <c r="BG549" i="1"/>
  <c r="BG548" i="1"/>
  <c r="BG547" i="1"/>
  <c r="BG546" i="1"/>
  <c r="BG545" i="1"/>
  <c r="BG544" i="1"/>
  <c r="BG543" i="1"/>
  <c r="BG542" i="1"/>
  <c r="BG541" i="1"/>
  <c r="BG540" i="1"/>
  <c r="BG539" i="1"/>
  <c r="BG538" i="1"/>
  <c r="BG537" i="1"/>
  <c r="BG536" i="1"/>
  <c r="BG535" i="1"/>
  <c r="BG534" i="1"/>
  <c r="BG533" i="1"/>
  <c r="BG532" i="1"/>
  <c r="BG531" i="1"/>
  <c r="BG530" i="1"/>
  <c r="BG529" i="1"/>
  <c r="BG528" i="1"/>
  <c r="BG527" i="1"/>
  <c r="BG526" i="1"/>
  <c r="BG525" i="1"/>
  <c r="BG524" i="1"/>
  <c r="BG523" i="1"/>
  <c r="BG522" i="1"/>
  <c r="BG521" i="1"/>
  <c r="BG520" i="1"/>
  <c r="BG519" i="1"/>
  <c r="BG518" i="1"/>
  <c r="BG517" i="1"/>
  <c r="BG516" i="1"/>
  <c r="BG515" i="1"/>
  <c r="BG514" i="1"/>
  <c r="BG513" i="1"/>
  <c r="BG512" i="1"/>
  <c r="BG511" i="1"/>
  <c r="BG510" i="1"/>
  <c r="BG509" i="1"/>
  <c r="BG508" i="1"/>
  <c r="BG507" i="1"/>
  <c r="BG506" i="1"/>
  <c r="BG505" i="1"/>
  <c r="BG504" i="1"/>
  <c r="BG503" i="1"/>
  <c r="BG502" i="1"/>
  <c r="BG501" i="1"/>
  <c r="BG500" i="1"/>
  <c r="BG499" i="1"/>
  <c r="BG498" i="1"/>
  <c r="BG497" i="1"/>
  <c r="BG496" i="1"/>
  <c r="BG495" i="1"/>
  <c r="BG494" i="1"/>
  <c r="BG493" i="1"/>
  <c r="BG492" i="1"/>
  <c r="BG491" i="1"/>
  <c r="BG490" i="1"/>
  <c r="BG489" i="1"/>
  <c r="BG488" i="1"/>
  <c r="BG487" i="1"/>
  <c r="BG486" i="1"/>
  <c r="BG485" i="1"/>
  <c r="BG484" i="1"/>
  <c r="BG483" i="1"/>
  <c r="BG482" i="1"/>
  <c r="BG481" i="1"/>
  <c r="BG480" i="1"/>
  <c r="BG479" i="1"/>
  <c r="BG478" i="1"/>
  <c r="BG477" i="1"/>
  <c r="BG476" i="1"/>
  <c r="BG475" i="1"/>
  <c r="BG474" i="1"/>
  <c r="BG473" i="1"/>
  <c r="BG472" i="1"/>
  <c r="BG471" i="1"/>
  <c r="BG470" i="1"/>
  <c r="BG469" i="1"/>
  <c r="BG468" i="1"/>
  <c r="BG467" i="1"/>
  <c r="BG466" i="1"/>
  <c r="BG465" i="1"/>
  <c r="BG464" i="1"/>
  <c r="BG463" i="1"/>
  <c r="BG462" i="1"/>
  <c r="BG461" i="1"/>
  <c r="BG460" i="1"/>
  <c r="BG459" i="1"/>
  <c r="BG458" i="1"/>
  <c r="BG457" i="1"/>
  <c r="BG456" i="1"/>
  <c r="BG455" i="1"/>
  <c r="BG454" i="1"/>
  <c r="BG453" i="1"/>
  <c r="BG452" i="1"/>
  <c r="BG451" i="1"/>
  <c r="BG450" i="1"/>
  <c r="BG449" i="1"/>
  <c r="BG448" i="1"/>
  <c r="BG447" i="1"/>
  <c r="BG446" i="1"/>
  <c r="BG445" i="1"/>
  <c r="BG444" i="1"/>
  <c r="BG443" i="1"/>
  <c r="BG442" i="1"/>
  <c r="BG441" i="1"/>
  <c r="BG440" i="1"/>
  <c r="BG439" i="1"/>
  <c r="BG438" i="1"/>
  <c r="BG437" i="1"/>
  <c r="BG436" i="1"/>
  <c r="BG435" i="1"/>
  <c r="BG434" i="1"/>
  <c r="BG433" i="1"/>
  <c r="BG432" i="1"/>
  <c r="BG431" i="1"/>
  <c r="BG430" i="1"/>
  <c r="BG429" i="1"/>
  <c r="BG428" i="1"/>
  <c r="BG427" i="1"/>
  <c r="BG426" i="1"/>
  <c r="BG425" i="1"/>
  <c r="BG424" i="1"/>
  <c r="BG423" i="1"/>
  <c r="BG422" i="1"/>
  <c r="BG421" i="1"/>
  <c r="BG420" i="1"/>
  <c r="BG419" i="1"/>
  <c r="BG418" i="1"/>
  <c r="BG417" i="1"/>
  <c r="BG416" i="1"/>
  <c r="BG415" i="1"/>
  <c r="BG414" i="1"/>
  <c r="BG413" i="1"/>
  <c r="BG412" i="1"/>
  <c r="BG411" i="1"/>
  <c r="BG410" i="1"/>
  <c r="BG409" i="1"/>
  <c r="BG408" i="1"/>
  <c r="BG407" i="1"/>
  <c r="BG406" i="1"/>
  <c r="BG405" i="1"/>
  <c r="BG404" i="1"/>
  <c r="BG403" i="1"/>
  <c r="BG402" i="1"/>
  <c r="BG401" i="1"/>
  <c r="BG400" i="1"/>
  <c r="BG399" i="1"/>
  <c r="BG398" i="1"/>
  <c r="BG397" i="1"/>
  <c r="BG396" i="1"/>
  <c r="BG395" i="1"/>
  <c r="BG394" i="1"/>
  <c r="BG393" i="1"/>
  <c r="BG392" i="1"/>
  <c r="BG391" i="1"/>
  <c r="BG390" i="1"/>
  <c r="BG389" i="1"/>
  <c r="BG388" i="1"/>
  <c r="BG387" i="1"/>
  <c r="BG386" i="1"/>
  <c r="BG385" i="1"/>
  <c r="BG384" i="1"/>
  <c r="BG383" i="1"/>
  <c r="BG382" i="1"/>
  <c r="BG381" i="1"/>
  <c r="BG380" i="1"/>
  <c r="BG379" i="1"/>
  <c r="BG378" i="1"/>
  <c r="BG377" i="1"/>
  <c r="BG376" i="1"/>
  <c r="BG375" i="1"/>
  <c r="BG374" i="1"/>
  <c r="BG373" i="1"/>
  <c r="BG372" i="1"/>
  <c r="BG371" i="1"/>
  <c r="BG370" i="1"/>
  <c r="BG369" i="1"/>
  <c r="BG368" i="1"/>
  <c r="BG367" i="1"/>
  <c r="BG366" i="1"/>
  <c r="BG365" i="1"/>
  <c r="BG364" i="1"/>
  <c r="BG363" i="1"/>
  <c r="BG362" i="1"/>
  <c r="BG361" i="1"/>
  <c r="BG360" i="1"/>
  <c r="BG359" i="1"/>
  <c r="BG358" i="1"/>
  <c r="BG357" i="1"/>
  <c r="BG356" i="1"/>
  <c r="BG355" i="1"/>
  <c r="BG354" i="1"/>
  <c r="BG353" i="1"/>
  <c r="BG352" i="1"/>
  <c r="BG351" i="1"/>
  <c r="BG350" i="1"/>
  <c r="BG349" i="1"/>
  <c r="BG348" i="1"/>
  <c r="BG347" i="1"/>
  <c r="BG346" i="1"/>
  <c r="BG345" i="1"/>
  <c r="BG344" i="1"/>
  <c r="BG343" i="1"/>
  <c r="BG342" i="1"/>
  <c r="BG341" i="1"/>
  <c r="BG340" i="1"/>
  <c r="BG339" i="1"/>
  <c r="BG338" i="1"/>
  <c r="BG337" i="1"/>
  <c r="BG336" i="1"/>
  <c r="BG335" i="1"/>
  <c r="BG334" i="1"/>
  <c r="BG333" i="1"/>
  <c r="BG332" i="1"/>
  <c r="BG331" i="1"/>
  <c r="BG330" i="1"/>
  <c r="BG329" i="1"/>
  <c r="BG328" i="1"/>
  <c r="BG327" i="1"/>
  <c r="BG326" i="1"/>
  <c r="BG325" i="1"/>
  <c r="BG324" i="1"/>
  <c r="BG323" i="1"/>
  <c r="BG322" i="1"/>
  <c r="BG321" i="1"/>
  <c r="BG320" i="1"/>
  <c r="BG319" i="1"/>
  <c r="BG318" i="1"/>
  <c r="BG317" i="1"/>
  <c r="BG316" i="1"/>
  <c r="BG315" i="1"/>
  <c r="BG314" i="1"/>
  <c r="BG313" i="1"/>
  <c r="BG312" i="1"/>
  <c r="BG311" i="1"/>
  <c r="BG310" i="1"/>
  <c r="BG309" i="1"/>
  <c r="BG308" i="1"/>
  <c r="BG307" i="1"/>
  <c r="BG306" i="1"/>
  <c r="BG305" i="1"/>
  <c r="BG304" i="1"/>
  <c r="BG303" i="1"/>
  <c r="BG302" i="1"/>
  <c r="BG301" i="1"/>
  <c r="BG300" i="1"/>
  <c r="BG299" i="1"/>
  <c r="BG298" i="1"/>
  <c r="BG297" i="1"/>
  <c r="BG296" i="1"/>
  <c r="BG295" i="1"/>
  <c r="BG294" i="1"/>
  <c r="BG293" i="1"/>
  <c r="BG292" i="1"/>
  <c r="BG291" i="1"/>
  <c r="BG290" i="1"/>
  <c r="BG289" i="1"/>
  <c r="BG288" i="1"/>
  <c r="BG287" i="1"/>
  <c r="BG286" i="1"/>
  <c r="BG285" i="1"/>
  <c r="BG284" i="1"/>
  <c r="BG283" i="1"/>
  <c r="BG282" i="1"/>
  <c r="BG281" i="1"/>
  <c r="BG280" i="1"/>
  <c r="BG279" i="1"/>
  <c r="BG278" i="1"/>
  <c r="BG277" i="1"/>
  <c r="BG276" i="1"/>
  <c r="BG275" i="1"/>
  <c r="BG274" i="1"/>
  <c r="BG273" i="1"/>
  <c r="BG272" i="1"/>
  <c r="BG271" i="1"/>
  <c r="BG270" i="1"/>
  <c r="BG269" i="1"/>
  <c r="BG268" i="1"/>
  <c r="BG267" i="1"/>
  <c r="BG266" i="1"/>
  <c r="BG265" i="1"/>
  <c r="BG264" i="1"/>
  <c r="BG263" i="1"/>
  <c r="BG262" i="1"/>
  <c r="BG261" i="1"/>
  <c r="BG260" i="1"/>
  <c r="BG259" i="1"/>
  <c r="BG258" i="1"/>
  <c r="BG257" i="1"/>
  <c r="BG256" i="1"/>
  <c r="BG255" i="1"/>
  <c r="BG254" i="1"/>
  <c r="BG253" i="1"/>
  <c r="BG252" i="1"/>
  <c r="BG251" i="1"/>
  <c r="BG250" i="1"/>
  <c r="BG249" i="1"/>
  <c r="BG248" i="1"/>
  <c r="BG247" i="1"/>
  <c r="BG246" i="1"/>
  <c r="BG245" i="1"/>
  <c r="BG244" i="1"/>
  <c r="BG243" i="1"/>
  <c r="BG242" i="1"/>
  <c r="BG241" i="1"/>
  <c r="BG240" i="1"/>
  <c r="BG239" i="1"/>
  <c r="BG238" i="1"/>
  <c r="BG237" i="1"/>
  <c r="BG236" i="1"/>
  <c r="BG235" i="1"/>
  <c r="BG234" i="1"/>
  <c r="BG233" i="1"/>
  <c r="BG232" i="1"/>
  <c r="BG231" i="1"/>
  <c r="BG230" i="1"/>
  <c r="BG229" i="1"/>
  <c r="BG228" i="1"/>
  <c r="BG227" i="1"/>
  <c r="BG226" i="1"/>
  <c r="BG225" i="1"/>
  <c r="BG224" i="1"/>
  <c r="BG223" i="1"/>
  <c r="BG222" i="1"/>
  <c r="BG221" i="1"/>
  <c r="BG220" i="1"/>
  <c r="BG219" i="1"/>
  <c r="BG218" i="1"/>
  <c r="BG217" i="1"/>
  <c r="BG216" i="1"/>
  <c r="BG215" i="1"/>
  <c r="BG214" i="1"/>
  <c r="BG213" i="1"/>
  <c r="BG212" i="1"/>
  <c r="BG211" i="1"/>
  <c r="BG210" i="1"/>
  <c r="BG209" i="1"/>
  <c r="BG208" i="1"/>
  <c r="BG207" i="1"/>
  <c r="BG206" i="1"/>
  <c r="BG205" i="1"/>
  <c r="BG204" i="1"/>
  <c r="BG203" i="1"/>
  <c r="BG202" i="1"/>
  <c r="BG201" i="1"/>
  <c r="BG200" i="1"/>
  <c r="BG199" i="1"/>
  <c r="BG198" i="1"/>
  <c r="BG197" i="1"/>
  <c r="BG196" i="1"/>
  <c r="BG195" i="1"/>
  <c r="BG194" i="1"/>
  <c r="BG193" i="1"/>
  <c r="BG192" i="1"/>
  <c r="BG191" i="1"/>
  <c r="BG190" i="1"/>
  <c r="BG189" i="1"/>
  <c r="BG188" i="1"/>
  <c r="BG187" i="1"/>
  <c r="BG186" i="1"/>
  <c r="BG185" i="1"/>
  <c r="BG184" i="1"/>
  <c r="BG183" i="1"/>
  <c r="BG182" i="1"/>
  <c r="BG181" i="1"/>
  <c r="BG180" i="1"/>
  <c r="BG179" i="1"/>
  <c r="BG178" i="1"/>
  <c r="BG177" i="1"/>
  <c r="BG176" i="1"/>
  <c r="BG175" i="1"/>
  <c r="BG174" i="1"/>
  <c r="BG173" i="1"/>
  <c r="BG172" i="1"/>
  <c r="BG171" i="1"/>
  <c r="BG170" i="1"/>
  <c r="BG169" i="1"/>
  <c r="BG168" i="1"/>
  <c r="BG167" i="1"/>
  <c r="BG166" i="1"/>
  <c r="BG165" i="1"/>
  <c r="BG164" i="1"/>
  <c r="BG163" i="1"/>
  <c r="BG162" i="1"/>
  <c r="BG161" i="1"/>
  <c r="BG160" i="1"/>
  <c r="BG159" i="1"/>
  <c r="BG158" i="1"/>
  <c r="BG157" i="1"/>
  <c r="BG156" i="1"/>
  <c r="BG155" i="1"/>
  <c r="BG154" i="1"/>
  <c r="BG153" i="1"/>
  <c r="BG152" i="1"/>
  <c r="BG151" i="1"/>
  <c r="BG150" i="1"/>
  <c r="BG149" i="1"/>
  <c r="BG148" i="1"/>
  <c r="BG147" i="1"/>
  <c r="BG146" i="1"/>
  <c r="BG145" i="1"/>
  <c r="BG144" i="1"/>
  <c r="BG143" i="1"/>
  <c r="BG142" i="1"/>
  <c r="BG141" i="1"/>
  <c r="BG140" i="1"/>
  <c r="BG139" i="1"/>
  <c r="BG138" i="1"/>
  <c r="BG137" i="1"/>
  <c r="BG136" i="1"/>
  <c r="BG135" i="1"/>
  <c r="BG134" i="1"/>
  <c r="BG133" i="1"/>
  <c r="BG132" i="1"/>
  <c r="BG131" i="1"/>
  <c r="BG130" i="1"/>
  <c r="BG129" i="1"/>
  <c r="BG128" i="1"/>
  <c r="BG127" i="1"/>
  <c r="BG126" i="1"/>
  <c r="BG125" i="1"/>
  <c r="BG124" i="1"/>
  <c r="BG123" i="1"/>
  <c r="BG122" i="1"/>
  <c r="BG121" i="1"/>
  <c r="BG120" i="1"/>
  <c r="BG119" i="1"/>
  <c r="BG118" i="1"/>
  <c r="BG117" i="1"/>
  <c r="BG116" i="1"/>
  <c r="BG115" i="1"/>
  <c r="BG114" i="1"/>
  <c r="BG113" i="1"/>
  <c r="BG112" i="1"/>
  <c r="BG111" i="1"/>
  <c r="BG110" i="1"/>
  <c r="BG109" i="1"/>
  <c r="BG108" i="1"/>
  <c r="BG107" i="1"/>
  <c r="BG106" i="1"/>
  <c r="BG105" i="1"/>
  <c r="BG104" i="1"/>
  <c r="BG103" i="1"/>
  <c r="BG102" i="1"/>
  <c r="BG101" i="1"/>
  <c r="BG100" i="1"/>
  <c r="BG99" i="1"/>
  <c r="BG98" i="1"/>
  <c r="BG97" i="1"/>
  <c r="BG96" i="1"/>
  <c r="BG95" i="1"/>
  <c r="BG94" i="1"/>
  <c r="BG93" i="1"/>
  <c r="BG92" i="1"/>
  <c r="BG91" i="1"/>
  <c r="BG90" i="1"/>
  <c r="BG89" i="1"/>
  <c r="BG88" i="1"/>
  <c r="BG87" i="1"/>
  <c r="BG86" i="1"/>
  <c r="BG85" i="1"/>
  <c r="BG84" i="1"/>
  <c r="BG83" i="1"/>
  <c r="BG82" i="1"/>
  <c r="BG81" i="1"/>
  <c r="BG80" i="1"/>
  <c r="BG79" i="1"/>
  <c r="BG78" i="1"/>
  <c r="BG77" i="1"/>
  <c r="BG76" i="1"/>
  <c r="BG75" i="1"/>
  <c r="BG74" i="1"/>
  <c r="BG73" i="1"/>
  <c r="BG72" i="1"/>
  <c r="BG71" i="1"/>
  <c r="BG70" i="1"/>
  <c r="BG69" i="1"/>
  <c r="BG68" i="1"/>
  <c r="BG67" i="1"/>
  <c r="BG66" i="1"/>
  <c r="BG65" i="1"/>
  <c r="BG64" i="1"/>
  <c r="BG63" i="1"/>
  <c r="BG62" i="1"/>
  <c r="BG61" i="1"/>
  <c r="BG60" i="1"/>
  <c r="BG59" i="1"/>
  <c r="BG58" i="1"/>
  <c r="BG57" i="1"/>
  <c r="BG56" i="1"/>
  <c r="BG55" i="1"/>
  <c r="BG54" i="1"/>
  <c r="BG53" i="1"/>
  <c r="BG52" i="1"/>
  <c r="BG51" i="1"/>
  <c r="BG50" i="1"/>
  <c r="BG49" i="1"/>
  <c r="BG48" i="1"/>
  <c r="BG47" i="1"/>
  <c r="BG46" i="1"/>
  <c r="BG45" i="1"/>
  <c r="BG44" i="1"/>
  <c r="BG43" i="1"/>
  <c r="BG42" i="1"/>
  <c r="BG41" i="1"/>
  <c r="BG40" i="1"/>
  <c r="BG39" i="1"/>
  <c r="BG38" i="1"/>
  <c r="BG37" i="1"/>
  <c r="BG36" i="1"/>
  <c r="BG35" i="1"/>
  <c r="BG34" i="1"/>
  <c r="BG33" i="1"/>
  <c r="BG32" i="1"/>
  <c r="BG31" i="1"/>
  <c r="BG30" i="1"/>
  <c r="BG29" i="1"/>
  <c r="BG28" i="1"/>
  <c r="BG27" i="1"/>
  <c r="BG26" i="1"/>
  <c r="BG25" i="1"/>
  <c r="BG24" i="1"/>
  <c r="BG23" i="1"/>
  <c r="BG22" i="1"/>
  <c r="BG21" i="1"/>
  <c r="BG20" i="1"/>
  <c r="BG19" i="1"/>
  <c r="BG18" i="1"/>
  <c r="BG17" i="1"/>
  <c r="BA1112" i="1"/>
  <c r="BA1111" i="1"/>
  <c r="BA1110" i="1"/>
  <c r="BA1109" i="1"/>
  <c r="BA1108" i="1"/>
  <c r="BA1107" i="1"/>
  <c r="BA1106" i="1"/>
  <c r="BA1105" i="1"/>
  <c r="BA1104" i="1"/>
  <c r="BA1103" i="1"/>
  <c r="BA1102" i="1"/>
  <c r="BA1101" i="1"/>
  <c r="BA1100" i="1"/>
  <c r="BA1099" i="1"/>
  <c r="BA1098" i="1"/>
  <c r="BA1097" i="1"/>
  <c r="BA1096" i="1"/>
  <c r="BA1095" i="1"/>
  <c r="BA1094" i="1"/>
  <c r="BA1093" i="1"/>
  <c r="BA1092" i="1"/>
  <c r="BA1091" i="1"/>
  <c r="BA1090" i="1"/>
  <c r="BA1089" i="1"/>
  <c r="BA1088" i="1"/>
  <c r="BA1087" i="1"/>
  <c r="BA1086" i="1"/>
  <c r="BA1085" i="1"/>
  <c r="BA1084" i="1"/>
  <c r="BA1083" i="1"/>
  <c r="BA1082" i="1"/>
  <c r="BA1081" i="1"/>
  <c r="BA1080" i="1"/>
  <c r="BA1079" i="1"/>
  <c r="BA1078" i="1"/>
  <c r="BA1077" i="1"/>
  <c r="BA1076" i="1"/>
  <c r="BA1075" i="1"/>
  <c r="BA1074" i="1"/>
  <c r="BA1073" i="1"/>
  <c r="BA1072" i="1"/>
  <c r="BA1071" i="1"/>
  <c r="BA1070" i="1"/>
  <c r="BA1069" i="1"/>
  <c r="BA1068" i="1"/>
  <c r="BA1067" i="1"/>
  <c r="BA1066" i="1"/>
  <c r="BA1065" i="1"/>
  <c r="BA1064" i="1"/>
  <c r="BA1063" i="1"/>
  <c r="BA1062" i="1"/>
  <c r="BA1061" i="1"/>
  <c r="BA1060" i="1"/>
  <c r="BA1059" i="1"/>
  <c r="BA1058" i="1"/>
  <c r="BA1057" i="1"/>
  <c r="BA1056" i="1"/>
  <c r="BA1055" i="1"/>
  <c r="BA1054" i="1"/>
  <c r="BA1053" i="1"/>
  <c r="BA1052" i="1"/>
  <c r="BA1051" i="1"/>
  <c r="BA1050" i="1"/>
  <c r="BA1049" i="1"/>
  <c r="BA1048" i="1"/>
  <c r="BA1047" i="1"/>
  <c r="BA1046" i="1"/>
  <c r="BA1045" i="1"/>
  <c r="BA1044" i="1"/>
  <c r="BA1043" i="1"/>
  <c r="BA1042" i="1"/>
  <c r="BA1041" i="1"/>
  <c r="BA1040" i="1"/>
  <c r="BA1039" i="1"/>
  <c r="BA1038" i="1"/>
  <c r="BA1037" i="1"/>
  <c r="BA1036" i="1"/>
  <c r="BA1035" i="1"/>
  <c r="BA1034" i="1"/>
  <c r="BA1033" i="1"/>
  <c r="BA1032" i="1"/>
  <c r="BA1031" i="1"/>
  <c r="BA1030" i="1"/>
  <c r="BA1029" i="1"/>
  <c r="BA1028" i="1"/>
  <c r="BA1027" i="1"/>
  <c r="BA1026" i="1"/>
  <c r="BA1025" i="1"/>
  <c r="BA1024" i="1"/>
  <c r="BA1023" i="1"/>
  <c r="BA1022" i="1"/>
  <c r="BA1021" i="1"/>
  <c r="BA1020" i="1"/>
  <c r="BA1019" i="1"/>
  <c r="BA1018" i="1"/>
  <c r="BA1017" i="1"/>
  <c r="BA1016" i="1"/>
  <c r="BA1015" i="1"/>
  <c r="BA1014" i="1"/>
  <c r="BA1013" i="1"/>
  <c r="BA1012" i="1"/>
  <c r="BA1011" i="1"/>
  <c r="BA1010" i="1"/>
  <c r="BA1009" i="1"/>
  <c r="BA1008" i="1"/>
  <c r="BA1007" i="1"/>
  <c r="BA1006" i="1"/>
  <c r="BA1005" i="1"/>
  <c r="BA1004" i="1"/>
  <c r="BA1003" i="1"/>
  <c r="BA1002" i="1"/>
  <c r="BA1001" i="1"/>
  <c r="BA1000" i="1"/>
  <c r="BA999" i="1"/>
  <c r="BA998" i="1"/>
  <c r="BA997" i="1"/>
  <c r="BA996" i="1"/>
  <c r="BA995" i="1"/>
  <c r="BA994" i="1"/>
  <c r="BA993" i="1"/>
  <c r="BA992" i="1"/>
  <c r="BA991" i="1"/>
  <c r="BA990" i="1"/>
  <c r="BA989" i="1"/>
  <c r="BA988" i="1"/>
  <c r="BA987" i="1"/>
  <c r="BA986" i="1"/>
  <c r="BA985" i="1"/>
  <c r="BA984" i="1"/>
  <c r="BA983" i="1"/>
  <c r="BA982" i="1"/>
  <c r="BA981" i="1"/>
  <c r="BA980" i="1"/>
  <c r="BA979" i="1"/>
  <c r="BA978" i="1"/>
  <c r="BA977" i="1"/>
  <c r="BA976" i="1"/>
  <c r="BA975" i="1"/>
  <c r="BA974" i="1"/>
  <c r="BA973" i="1"/>
  <c r="BA972" i="1"/>
  <c r="BA971" i="1"/>
  <c r="BA970" i="1"/>
  <c r="BA969" i="1"/>
  <c r="BA968" i="1"/>
  <c r="BA967" i="1"/>
  <c r="BA966" i="1"/>
  <c r="BA965" i="1"/>
  <c r="BA964" i="1"/>
  <c r="BA963" i="1"/>
  <c r="BA962" i="1"/>
  <c r="BA961" i="1"/>
  <c r="BA960" i="1"/>
  <c r="BA959" i="1"/>
  <c r="BA958" i="1"/>
  <c r="BA957" i="1"/>
  <c r="BA956" i="1"/>
  <c r="BA955" i="1"/>
  <c r="BA954" i="1"/>
  <c r="BA953" i="1"/>
  <c r="BA952" i="1"/>
  <c r="BA951" i="1"/>
  <c r="BA950" i="1"/>
  <c r="BA949" i="1"/>
  <c r="BA948" i="1"/>
  <c r="BA947" i="1"/>
  <c r="BA946" i="1"/>
  <c r="BA945" i="1"/>
  <c r="BA944" i="1"/>
  <c r="BA943" i="1"/>
  <c r="BA942" i="1"/>
  <c r="BA941" i="1"/>
  <c r="BA940" i="1"/>
  <c r="BA939" i="1"/>
  <c r="BA938" i="1"/>
  <c r="BA937" i="1"/>
  <c r="BA936" i="1"/>
  <c r="BA935" i="1"/>
  <c r="BA934" i="1"/>
  <c r="BA933" i="1"/>
  <c r="BA932" i="1"/>
  <c r="BA931" i="1"/>
  <c r="BA930" i="1"/>
  <c r="BA929" i="1"/>
  <c r="BA928" i="1"/>
  <c r="BA927" i="1"/>
  <c r="BA926" i="1"/>
  <c r="BA925" i="1"/>
  <c r="BA924" i="1"/>
  <c r="BA923" i="1"/>
  <c r="BA922" i="1"/>
  <c r="BA921" i="1"/>
  <c r="BA920" i="1"/>
  <c r="BA919" i="1"/>
  <c r="BA918" i="1"/>
  <c r="BA917" i="1"/>
  <c r="BA916" i="1"/>
  <c r="BA915" i="1"/>
  <c r="BA914" i="1"/>
  <c r="BA913" i="1"/>
  <c r="BA912" i="1"/>
  <c r="BA911" i="1"/>
  <c r="BA910" i="1"/>
  <c r="BA909" i="1"/>
  <c r="BA908" i="1"/>
  <c r="BA907" i="1"/>
  <c r="BA906" i="1"/>
  <c r="BA905" i="1"/>
  <c r="BA904" i="1"/>
  <c r="BA903" i="1"/>
  <c r="BA902" i="1"/>
  <c r="BA901" i="1"/>
  <c r="BA900" i="1"/>
  <c r="BA899" i="1"/>
  <c r="BA898" i="1"/>
  <c r="BA897" i="1"/>
  <c r="BA896" i="1"/>
  <c r="BA895" i="1"/>
  <c r="BA894" i="1"/>
  <c r="BA893" i="1"/>
  <c r="BA892" i="1"/>
  <c r="BA891" i="1"/>
  <c r="BA890" i="1"/>
  <c r="BA889" i="1"/>
  <c r="BA888" i="1"/>
  <c r="BA887" i="1"/>
  <c r="BA886" i="1"/>
  <c r="BA885" i="1"/>
  <c r="BA884" i="1"/>
  <c r="BA883" i="1"/>
  <c r="BA882" i="1"/>
  <c r="BA881" i="1"/>
  <c r="BA880" i="1"/>
  <c r="BA879" i="1"/>
  <c r="BA878" i="1"/>
  <c r="BA877" i="1"/>
  <c r="BA876" i="1"/>
  <c r="BA875" i="1"/>
  <c r="BA874" i="1"/>
  <c r="BA873" i="1"/>
  <c r="BA872" i="1"/>
  <c r="BA871" i="1"/>
  <c r="BA870" i="1"/>
  <c r="BA869" i="1"/>
  <c r="BA868" i="1"/>
  <c r="BA867" i="1"/>
  <c r="BA866" i="1"/>
  <c r="BA865" i="1"/>
  <c r="BA864" i="1"/>
  <c r="BA863" i="1"/>
  <c r="BA862" i="1"/>
  <c r="BA861" i="1"/>
  <c r="BA860" i="1"/>
  <c r="BA859" i="1"/>
  <c r="BA858" i="1"/>
  <c r="BA857" i="1"/>
  <c r="BA856" i="1"/>
  <c r="BA855" i="1"/>
  <c r="BA854" i="1"/>
  <c r="BA853" i="1"/>
  <c r="BA852" i="1"/>
  <c r="BA851" i="1"/>
  <c r="BA850" i="1"/>
  <c r="BA849" i="1"/>
  <c r="BA848" i="1"/>
  <c r="BA847" i="1"/>
  <c r="BA846" i="1"/>
  <c r="BA845" i="1"/>
  <c r="BA844" i="1"/>
  <c r="BA843" i="1"/>
  <c r="BA842" i="1"/>
  <c r="BA841" i="1"/>
  <c r="BA840" i="1"/>
  <c r="BA839" i="1"/>
  <c r="BA838" i="1"/>
  <c r="BA837" i="1"/>
  <c r="BA836" i="1"/>
  <c r="BA835" i="1"/>
  <c r="BA834" i="1"/>
  <c r="BA833" i="1"/>
  <c r="BA832" i="1"/>
  <c r="BA831" i="1"/>
  <c r="BA830" i="1"/>
  <c r="BA829" i="1"/>
  <c r="BA828" i="1"/>
  <c r="BA827" i="1"/>
  <c r="BA826" i="1"/>
  <c r="BA825" i="1"/>
  <c r="BA824" i="1"/>
  <c r="BA823" i="1"/>
  <c r="BA822" i="1"/>
  <c r="BA821" i="1"/>
  <c r="BA820" i="1"/>
  <c r="BA819" i="1"/>
  <c r="BA818" i="1"/>
  <c r="BA817" i="1"/>
  <c r="BA816" i="1"/>
  <c r="BA815" i="1"/>
  <c r="BA814" i="1"/>
  <c r="BA813" i="1"/>
  <c r="BA812" i="1"/>
  <c r="BA811" i="1"/>
  <c r="BA810" i="1"/>
  <c r="BA809" i="1"/>
  <c r="BA808" i="1"/>
  <c r="BA807" i="1"/>
  <c r="BA806" i="1"/>
  <c r="BA805" i="1"/>
  <c r="BA804" i="1"/>
  <c r="BA803" i="1"/>
  <c r="BA802" i="1"/>
  <c r="BA801" i="1"/>
  <c r="BA800" i="1"/>
  <c r="BA799" i="1"/>
  <c r="BA798" i="1"/>
  <c r="BA797" i="1"/>
  <c r="BA796" i="1"/>
  <c r="BA795" i="1"/>
  <c r="BA794" i="1"/>
  <c r="BA793" i="1"/>
  <c r="BA792" i="1"/>
  <c r="BA791" i="1"/>
  <c r="BA790" i="1"/>
  <c r="BA789" i="1"/>
  <c r="BA788" i="1"/>
  <c r="BA787" i="1"/>
  <c r="BA786" i="1"/>
  <c r="BA785" i="1"/>
  <c r="BA784" i="1"/>
  <c r="BA783" i="1"/>
  <c r="BA782" i="1"/>
  <c r="BA781" i="1"/>
  <c r="BA780" i="1"/>
  <c r="BA779" i="1"/>
  <c r="BA778" i="1"/>
  <c r="BA777" i="1"/>
  <c r="BA776" i="1"/>
  <c r="BA775" i="1"/>
  <c r="BA774" i="1"/>
  <c r="BA773" i="1"/>
  <c r="BA772" i="1"/>
  <c r="BA771" i="1"/>
  <c r="BA770" i="1"/>
  <c r="BA769" i="1"/>
  <c r="BA768" i="1"/>
  <c r="BA767" i="1"/>
  <c r="BA766" i="1"/>
  <c r="BA765" i="1"/>
  <c r="BA764" i="1"/>
  <c r="BA763" i="1"/>
  <c r="BA762" i="1"/>
  <c r="BA761" i="1"/>
  <c r="BA760" i="1"/>
  <c r="BA759" i="1"/>
  <c r="BA758" i="1"/>
  <c r="BA757" i="1"/>
  <c r="BA756" i="1"/>
  <c r="BA755" i="1"/>
  <c r="BA754" i="1"/>
  <c r="BA753" i="1"/>
  <c r="BA752" i="1"/>
  <c r="BA751" i="1"/>
  <c r="BA750" i="1"/>
  <c r="BA749" i="1"/>
  <c r="BA748" i="1"/>
  <c r="BA747" i="1"/>
  <c r="BA746" i="1"/>
  <c r="BA745" i="1"/>
  <c r="BA744" i="1"/>
  <c r="BA743" i="1"/>
  <c r="BA742" i="1"/>
  <c r="BA741" i="1"/>
  <c r="BA740" i="1"/>
  <c r="BA739" i="1"/>
  <c r="BA738" i="1"/>
  <c r="BA737" i="1"/>
  <c r="BA736" i="1"/>
  <c r="BA735" i="1"/>
  <c r="BA734" i="1"/>
  <c r="BA733" i="1"/>
  <c r="BA732" i="1"/>
  <c r="BA731" i="1"/>
  <c r="BA730" i="1"/>
  <c r="BA729" i="1"/>
  <c r="BA728" i="1"/>
  <c r="BA727" i="1"/>
  <c r="BA726" i="1"/>
  <c r="BA725" i="1"/>
  <c r="BA724" i="1"/>
  <c r="BA723" i="1"/>
  <c r="BA722" i="1"/>
  <c r="BA721" i="1"/>
  <c r="BA720" i="1"/>
  <c r="BA719" i="1"/>
  <c r="BA718" i="1"/>
  <c r="BA717" i="1"/>
  <c r="BA716" i="1"/>
  <c r="BA715" i="1"/>
  <c r="BA714" i="1"/>
  <c r="BA713" i="1"/>
  <c r="BA712" i="1"/>
  <c r="BA711" i="1"/>
  <c r="BA710" i="1"/>
  <c r="BA709" i="1"/>
  <c r="BA708" i="1"/>
  <c r="BA707" i="1"/>
  <c r="BA706" i="1"/>
  <c r="BA705" i="1"/>
  <c r="BA704" i="1"/>
  <c r="BA703" i="1"/>
  <c r="BA702" i="1"/>
  <c r="BA701" i="1"/>
  <c r="BA700" i="1"/>
  <c r="BA699" i="1"/>
  <c r="BA698" i="1"/>
  <c r="BA697" i="1"/>
  <c r="BA696" i="1"/>
  <c r="BA695" i="1"/>
  <c r="BA694" i="1"/>
  <c r="BA693" i="1"/>
  <c r="BA692" i="1"/>
  <c r="BA691" i="1"/>
  <c r="BA690" i="1"/>
  <c r="BA689" i="1"/>
  <c r="BA688" i="1"/>
  <c r="BA687" i="1"/>
  <c r="BA686" i="1"/>
  <c r="BA685" i="1"/>
  <c r="BA684" i="1"/>
  <c r="BA683" i="1"/>
  <c r="BA682" i="1"/>
  <c r="BA681" i="1"/>
  <c r="BA680" i="1"/>
  <c r="BA679" i="1"/>
  <c r="BA678" i="1"/>
  <c r="BA677" i="1"/>
  <c r="BA676" i="1"/>
  <c r="BA675" i="1"/>
  <c r="BA674" i="1"/>
  <c r="BA673" i="1"/>
  <c r="BA672" i="1"/>
  <c r="BA671" i="1"/>
  <c r="BA670" i="1"/>
  <c r="BA669" i="1"/>
  <c r="BA668" i="1"/>
  <c r="BA667" i="1"/>
  <c r="BA666" i="1"/>
  <c r="BA665" i="1"/>
  <c r="BA664" i="1"/>
  <c r="BA663" i="1"/>
  <c r="BA662" i="1"/>
  <c r="BA661" i="1"/>
  <c r="BA660" i="1"/>
  <c r="BA659" i="1"/>
  <c r="BA658" i="1"/>
  <c r="BA657" i="1"/>
  <c r="BA656" i="1"/>
  <c r="BA655" i="1"/>
  <c r="BA654" i="1"/>
  <c r="BA653" i="1"/>
  <c r="BA652" i="1"/>
  <c r="BA651" i="1"/>
  <c r="BA650" i="1"/>
  <c r="BA649" i="1"/>
  <c r="BA648" i="1"/>
  <c r="BA647" i="1"/>
  <c r="BA646" i="1"/>
  <c r="BA645" i="1"/>
  <c r="BA644" i="1"/>
  <c r="BA643" i="1"/>
  <c r="BA642" i="1"/>
  <c r="BA641" i="1"/>
  <c r="BA640" i="1"/>
  <c r="BA639" i="1"/>
  <c r="BA638" i="1"/>
  <c r="BA637" i="1"/>
  <c r="BA636" i="1"/>
  <c r="BA635" i="1"/>
  <c r="BA634" i="1"/>
  <c r="BA633" i="1"/>
  <c r="BA632" i="1"/>
  <c r="BA631" i="1"/>
  <c r="BA630" i="1"/>
  <c r="BA629" i="1"/>
  <c r="BA628" i="1"/>
  <c r="BA627" i="1"/>
  <c r="BA626" i="1"/>
  <c r="BA625" i="1"/>
  <c r="BA624" i="1"/>
  <c r="BA623" i="1"/>
  <c r="BA622" i="1"/>
  <c r="BA621" i="1"/>
  <c r="BA620" i="1"/>
  <c r="BA619" i="1"/>
  <c r="BA618" i="1"/>
  <c r="BA617" i="1"/>
  <c r="BA616" i="1"/>
  <c r="BA615" i="1"/>
  <c r="BA614" i="1"/>
  <c r="BA613" i="1"/>
  <c r="BA612" i="1"/>
  <c r="BA611" i="1"/>
  <c r="BA610" i="1"/>
  <c r="BA609" i="1"/>
  <c r="BA608" i="1"/>
  <c r="BA607" i="1"/>
  <c r="BA606" i="1"/>
  <c r="BA605" i="1"/>
  <c r="BA604" i="1"/>
  <c r="BA603" i="1"/>
  <c r="BA602" i="1"/>
  <c r="BA601" i="1"/>
  <c r="BA600" i="1"/>
  <c r="BA599" i="1"/>
  <c r="BA598" i="1"/>
  <c r="BA597" i="1"/>
  <c r="BA596" i="1"/>
  <c r="BA595" i="1"/>
  <c r="BA594" i="1"/>
  <c r="BA593" i="1"/>
  <c r="BA592" i="1"/>
  <c r="BA591" i="1"/>
  <c r="BA590" i="1"/>
  <c r="BA589" i="1"/>
  <c r="BA588" i="1"/>
  <c r="BA587" i="1"/>
  <c r="BA586" i="1"/>
  <c r="BA585" i="1"/>
  <c r="BA584" i="1"/>
  <c r="BA583" i="1"/>
  <c r="BA582" i="1"/>
  <c r="BA581" i="1"/>
  <c r="BA580" i="1"/>
  <c r="BA579" i="1"/>
  <c r="BA578" i="1"/>
  <c r="BA577" i="1"/>
  <c r="BA576" i="1"/>
  <c r="BA575" i="1"/>
  <c r="BA574" i="1"/>
  <c r="BA573" i="1"/>
  <c r="BA572" i="1"/>
  <c r="BA571" i="1"/>
  <c r="BA570" i="1"/>
  <c r="BA569" i="1"/>
  <c r="BA568" i="1"/>
  <c r="BA567" i="1"/>
  <c r="BA566" i="1"/>
  <c r="BA565" i="1"/>
  <c r="BA564" i="1"/>
  <c r="BA563" i="1"/>
  <c r="BA562" i="1"/>
  <c r="BA561" i="1"/>
  <c r="BA560" i="1"/>
  <c r="BA559" i="1"/>
  <c r="BA558" i="1"/>
  <c r="BA557" i="1"/>
  <c r="BA556" i="1"/>
  <c r="BA555" i="1"/>
  <c r="BA554" i="1"/>
  <c r="BA553" i="1"/>
  <c r="BA552" i="1"/>
  <c r="BA551" i="1"/>
  <c r="BA550" i="1"/>
  <c r="BA549" i="1"/>
  <c r="BA548" i="1"/>
  <c r="BA547" i="1"/>
  <c r="BA546" i="1"/>
  <c r="BA545" i="1"/>
  <c r="BA544" i="1"/>
  <c r="BA543" i="1"/>
  <c r="BA542" i="1"/>
  <c r="BA541" i="1"/>
  <c r="BA540" i="1"/>
  <c r="BA539" i="1"/>
  <c r="BA538" i="1"/>
  <c r="BA537" i="1"/>
  <c r="BA536" i="1"/>
  <c r="BA535" i="1"/>
  <c r="BA534" i="1"/>
  <c r="BA533" i="1"/>
  <c r="BA532" i="1"/>
  <c r="BA531" i="1"/>
  <c r="BA530" i="1"/>
  <c r="BA529" i="1"/>
  <c r="BA528" i="1"/>
  <c r="BA527" i="1"/>
  <c r="BA526" i="1"/>
  <c r="BA525" i="1"/>
  <c r="BA524" i="1"/>
  <c r="BA523" i="1"/>
  <c r="BA522" i="1"/>
  <c r="BA521" i="1"/>
  <c r="BA520" i="1"/>
  <c r="BA519" i="1"/>
  <c r="BA518" i="1"/>
  <c r="BA517" i="1"/>
  <c r="BA516" i="1"/>
  <c r="BA515" i="1"/>
  <c r="BA514" i="1"/>
  <c r="BA513" i="1"/>
  <c r="BA512" i="1"/>
  <c r="BA511" i="1"/>
  <c r="BA510" i="1"/>
  <c r="BA509" i="1"/>
  <c r="BA508" i="1"/>
  <c r="BA507" i="1"/>
  <c r="BA506" i="1"/>
  <c r="BA505" i="1"/>
  <c r="BA504" i="1"/>
  <c r="BA503" i="1"/>
  <c r="BA502" i="1"/>
  <c r="BA501" i="1"/>
  <c r="BA500" i="1"/>
  <c r="BA499" i="1"/>
  <c r="BA498" i="1"/>
  <c r="BA497" i="1"/>
  <c r="BA496" i="1"/>
  <c r="BA495" i="1"/>
  <c r="BA494" i="1"/>
  <c r="BA493" i="1"/>
  <c r="BA492" i="1"/>
  <c r="BA491" i="1"/>
  <c r="BA490" i="1"/>
  <c r="BA489" i="1"/>
  <c r="BA488" i="1"/>
  <c r="BA487" i="1"/>
  <c r="BA486" i="1"/>
  <c r="BA485" i="1"/>
  <c r="BA484" i="1"/>
  <c r="BA483" i="1"/>
  <c r="BA482" i="1"/>
  <c r="BA481" i="1"/>
  <c r="BA480" i="1"/>
  <c r="BA479" i="1"/>
  <c r="BA478" i="1"/>
  <c r="BA477" i="1"/>
  <c r="BA476" i="1"/>
  <c r="BA475" i="1"/>
  <c r="BA474" i="1"/>
  <c r="BA473" i="1"/>
  <c r="BA472" i="1"/>
  <c r="BA471" i="1"/>
  <c r="BA470" i="1"/>
  <c r="BA469" i="1"/>
  <c r="BA468" i="1"/>
  <c r="BA467" i="1"/>
  <c r="BA466" i="1"/>
  <c r="BA465" i="1"/>
  <c r="BA464" i="1"/>
  <c r="BA463" i="1"/>
  <c r="BA462" i="1"/>
  <c r="BA461" i="1"/>
  <c r="BA460" i="1"/>
  <c r="BA459" i="1"/>
  <c r="BA458" i="1"/>
  <c r="BA457" i="1"/>
  <c r="BA456" i="1"/>
  <c r="BA455" i="1"/>
  <c r="BA454" i="1"/>
  <c r="BA453" i="1"/>
  <c r="BA452" i="1"/>
  <c r="BA451" i="1"/>
  <c r="BA450" i="1"/>
  <c r="BA449" i="1"/>
  <c r="BA448" i="1"/>
  <c r="BA447" i="1"/>
  <c r="BA446" i="1"/>
  <c r="BA445" i="1"/>
  <c r="BA444" i="1"/>
  <c r="BA443" i="1"/>
  <c r="BA442" i="1"/>
  <c r="BA441" i="1"/>
  <c r="BA440" i="1"/>
  <c r="BA439" i="1"/>
  <c r="BA438" i="1"/>
  <c r="BA437" i="1"/>
  <c r="BA436" i="1"/>
  <c r="BA435" i="1"/>
  <c r="BA434" i="1"/>
  <c r="BA433" i="1"/>
  <c r="BA432" i="1"/>
  <c r="BA431" i="1"/>
  <c r="BA430" i="1"/>
  <c r="BA429" i="1"/>
  <c r="BA428" i="1"/>
  <c r="BA427" i="1"/>
  <c r="BA426" i="1"/>
  <c r="BA425" i="1"/>
  <c r="BA424" i="1"/>
  <c r="BA423" i="1"/>
  <c r="BA422" i="1"/>
  <c r="BA421" i="1"/>
  <c r="BA420" i="1"/>
  <c r="BA419" i="1"/>
  <c r="BA418" i="1"/>
  <c r="BA417" i="1"/>
  <c r="BA416" i="1"/>
  <c r="BA415" i="1"/>
  <c r="BA414" i="1"/>
  <c r="BA413" i="1"/>
  <c r="BA412" i="1"/>
  <c r="BA411" i="1"/>
  <c r="BA410" i="1"/>
  <c r="BA409" i="1"/>
  <c r="BA408" i="1"/>
  <c r="BA407" i="1"/>
  <c r="BA406" i="1"/>
  <c r="BA405" i="1"/>
  <c r="BA404" i="1"/>
  <c r="BA403" i="1"/>
  <c r="BA402" i="1"/>
  <c r="BA401" i="1"/>
  <c r="BA400" i="1"/>
  <c r="BA399" i="1"/>
  <c r="BA398" i="1"/>
  <c r="BA397" i="1"/>
  <c r="BA396" i="1"/>
  <c r="BA395" i="1"/>
  <c r="BA394" i="1"/>
  <c r="BA393" i="1"/>
  <c r="BA392" i="1"/>
  <c r="BA391" i="1"/>
  <c r="BA390" i="1"/>
  <c r="BA389" i="1"/>
  <c r="BA388" i="1"/>
  <c r="BA387" i="1"/>
  <c r="BA386" i="1"/>
  <c r="BA385" i="1"/>
  <c r="BA384" i="1"/>
  <c r="BA383" i="1"/>
  <c r="BA382" i="1"/>
  <c r="BA381" i="1"/>
  <c r="BA380" i="1"/>
  <c r="BA379" i="1"/>
  <c r="BA378" i="1"/>
  <c r="BA377" i="1"/>
  <c r="BA376" i="1"/>
  <c r="BA375" i="1"/>
  <c r="BA374" i="1"/>
  <c r="BA373" i="1"/>
  <c r="BA372" i="1"/>
  <c r="BA371" i="1"/>
  <c r="BA370" i="1"/>
  <c r="BA369" i="1"/>
  <c r="BA368" i="1"/>
  <c r="BA367" i="1"/>
  <c r="BA366" i="1"/>
  <c r="BA365" i="1"/>
  <c r="BA364" i="1"/>
  <c r="BA363" i="1"/>
  <c r="BA362" i="1"/>
  <c r="BA361" i="1"/>
  <c r="BA360" i="1"/>
  <c r="BA359" i="1"/>
  <c r="BA358" i="1"/>
  <c r="BA357" i="1"/>
  <c r="BA356" i="1"/>
  <c r="BA355" i="1"/>
  <c r="BA354" i="1"/>
  <c r="BA353" i="1"/>
  <c r="BA352" i="1"/>
  <c r="BA351" i="1"/>
  <c r="BA350" i="1"/>
  <c r="BA349" i="1"/>
  <c r="BA348" i="1"/>
  <c r="BA347" i="1"/>
  <c r="BA346" i="1"/>
  <c r="BA345" i="1"/>
  <c r="BA344" i="1"/>
  <c r="BA343" i="1"/>
  <c r="BA342" i="1"/>
  <c r="BA341" i="1"/>
  <c r="BA340" i="1"/>
  <c r="BA339" i="1"/>
  <c r="BA338" i="1"/>
  <c r="BA337" i="1"/>
  <c r="BA336" i="1"/>
  <c r="BA335" i="1"/>
  <c r="BA334" i="1"/>
  <c r="BA333" i="1"/>
  <c r="BA332" i="1"/>
  <c r="BA331" i="1"/>
  <c r="BA330" i="1"/>
  <c r="BA329" i="1"/>
  <c r="BA328" i="1"/>
  <c r="BA327" i="1"/>
  <c r="BA326" i="1"/>
  <c r="BA325" i="1"/>
  <c r="BA324" i="1"/>
  <c r="BA323" i="1"/>
  <c r="BA322" i="1"/>
  <c r="BA321" i="1"/>
  <c r="BA320" i="1"/>
  <c r="BA319" i="1"/>
  <c r="BA318" i="1"/>
  <c r="BA317" i="1"/>
  <c r="BA316" i="1"/>
  <c r="BA315" i="1"/>
  <c r="BA314" i="1"/>
  <c r="BA313" i="1"/>
  <c r="BA312" i="1"/>
  <c r="BA311" i="1"/>
  <c r="BA310" i="1"/>
  <c r="BA309" i="1"/>
  <c r="BA308" i="1"/>
  <c r="BA307" i="1"/>
  <c r="BA306" i="1"/>
  <c r="BA305" i="1"/>
  <c r="BA304" i="1"/>
  <c r="BA303" i="1"/>
  <c r="BA302" i="1"/>
  <c r="BA301" i="1"/>
  <c r="BA300" i="1"/>
  <c r="BA299" i="1"/>
  <c r="BA298" i="1"/>
  <c r="BA297" i="1"/>
  <c r="BA296" i="1"/>
  <c r="BA295" i="1"/>
  <c r="BA294" i="1"/>
  <c r="BA293" i="1"/>
  <c r="BA292" i="1"/>
  <c r="BA291" i="1"/>
  <c r="BA290" i="1"/>
  <c r="BA289" i="1"/>
  <c r="BA288" i="1"/>
  <c r="BA287" i="1"/>
  <c r="BA286" i="1"/>
  <c r="BA285" i="1"/>
  <c r="BA284" i="1"/>
  <c r="BA283" i="1"/>
  <c r="BA282" i="1"/>
  <c r="BA281" i="1"/>
  <c r="BA280" i="1"/>
  <c r="BA279" i="1"/>
  <c r="BA278" i="1"/>
  <c r="BA277" i="1"/>
  <c r="BA276" i="1"/>
  <c r="BA275" i="1"/>
  <c r="BA274" i="1"/>
  <c r="BA273" i="1"/>
  <c r="BA272" i="1"/>
  <c r="BA271" i="1"/>
  <c r="BA270" i="1"/>
  <c r="BA269" i="1"/>
  <c r="BA268" i="1"/>
  <c r="BA267" i="1"/>
  <c r="BA266" i="1"/>
  <c r="BA265" i="1"/>
  <c r="BA264" i="1"/>
  <c r="BA263" i="1"/>
  <c r="BA262" i="1"/>
  <c r="BA261" i="1"/>
  <c r="BA260" i="1"/>
  <c r="BA259" i="1"/>
  <c r="BA258" i="1"/>
  <c r="BA257" i="1"/>
  <c r="BA256" i="1"/>
  <c r="BA255" i="1"/>
  <c r="BA254" i="1"/>
  <c r="BA253" i="1"/>
  <c r="BA252" i="1"/>
  <c r="BA251" i="1"/>
  <c r="BA250" i="1"/>
  <c r="BA249" i="1"/>
  <c r="BA248" i="1"/>
  <c r="BA247" i="1"/>
  <c r="BA246" i="1"/>
  <c r="BA245" i="1"/>
  <c r="BA244" i="1"/>
  <c r="BA243" i="1"/>
  <c r="BA242" i="1"/>
  <c r="BA241" i="1"/>
  <c r="BA240" i="1"/>
  <c r="BA239" i="1"/>
  <c r="BA238" i="1"/>
  <c r="BA237" i="1"/>
  <c r="BA236" i="1"/>
  <c r="BA235" i="1"/>
  <c r="BA234" i="1"/>
  <c r="BA233" i="1"/>
  <c r="BA232" i="1"/>
  <c r="BA231" i="1"/>
  <c r="BA230" i="1"/>
  <c r="BA229" i="1"/>
  <c r="BA228" i="1"/>
  <c r="BA227" i="1"/>
  <c r="BA226" i="1"/>
  <c r="BA225" i="1"/>
  <c r="BA224" i="1"/>
  <c r="BA223" i="1"/>
  <c r="BA222" i="1"/>
  <c r="BA221" i="1"/>
  <c r="BA220" i="1"/>
  <c r="BA219" i="1"/>
  <c r="BA218" i="1"/>
  <c r="BA217" i="1"/>
  <c r="BA216" i="1"/>
  <c r="BA215" i="1"/>
  <c r="BA214" i="1"/>
  <c r="BA213" i="1"/>
  <c r="BA212" i="1"/>
  <c r="BA211" i="1"/>
  <c r="BA210" i="1"/>
  <c r="BA209" i="1"/>
  <c r="BA208" i="1"/>
  <c r="BA207" i="1"/>
  <c r="BA206" i="1"/>
  <c r="BA205" i="1"/>
  <c r="BA204" i="1"/>
  <c r="BA203" i="1"/>
  <c r="BA202" i="1"/>
  <c r="BA201" i="1"/>
  <c r="BA200" i="1"/>
  <c r="BA199" i="1"/>
  <c r="BA198" i="1"/>
  <c r="BA197" i="1"/>
  <c r="BA196" i="1"/>
  <c r="BA195" i="1"/>
  <c r="BA194" i="1"/>
  <c r="BA193" i="1"/>
  <c r="BA192" i="1"/>
  <c r="BA191" i="1"/>
  <c r="BA190" i="1"/>
  <c r="BA189" i="1"/>
  <c r="BA188" i="1"/>
  <c r="BA187" i="1"/>
  <c r="BA186" i="1"/>
  <c r="BA185" i="1"/>
  <c r="BA184" i="1"/>
  <c r="BA183" i="1"/>
  <c r="BA182" i="1"/>
  <c r="BA181" i="1"/>
  <c r="BA180" i="1"/>
  <c r="BA179" i="1"/>
  <c r="BA178" i="1"/>
  <c r="BA177" i="1"/>
  <c r="BA176" i="1"/>
  <c r="BA175" i="1"/>
  <c r="BA174" i="1"/>
  <c r="BA173" i="1"/>
  <c r="BA172" i="1"/>
  <c r="BA171" i="1"/>
  <c r="BA170" i="1"/>
  <c r="BA169" i="1"/>
  <c r="BA168" i="1"/>
  <c r="BA167" i="1"/>
  <c r="BA166" i="1"/>
  <c r="BA165" i="1"/>
  <c r="BA164" i="1"/>
  <c r="BA163" i="1"/>
  <c r="BA162" i="1"/>
  <c r="BA161" i="1"/>
  <c r="BA160" i="1"/>
  <c r="BA159" i="1"/>
  <c r="BA158" i="1"/>
  <c r="BA157" i="1"/>
  <c r="BA156" i="1"/>
  <c r="BA155" i="1"/>
  <c r="BA154" i="1"/>
  <c r="BA153" i="1"/>
  <c r="BA152" i="1"/>
  <c r="BA151" i="1"/>
  <c r="BA150" i="1"/>
  <c r="BA149" i="1"/>
  <c r="BA148" i="1"/>
  <c r="BA147" i="1"/>
  <c r="BA146" i="1"/>
  <c r="BA145" i="1"/>
  <c r="BA144" i="1"/>
  <c r="BA143" i="1"/>
  <c r="BA142" i="1"/>
  <c r="BA141" i="1"/>
  <c r="BA140" i="1"/>
  <c r="BA139" i="1"/>
  <c r="BA138" i="1"/>
  <c r="BA137" i="1"/>
  <c r="BA136" i="1"/>
  <c r="BA135" i="1"/>
  <c r="BA134" i="1"/>
  <c r="BA133" i="1"/>
  <c r="BA132" i="1"/>
  <c r="BA131" i="1"/>
  <c r="BA130" i="1"/>
  <c r="BA129" i="1"/>
  <c r="BA128" i="1"/>
  <c r="BA127" i="1"/>
  <c r="BA126" i="1"/>
  <c r="BA125" i="1"/>
  <c r="BA124" i="1"/>
  <c r="BA123" i="1"/>
  <c r="BA122" i="1"/>
  <c r="BA121" i="1"/>
  <c r="BA120" i="1"/>
  <c r="BA119" i="1"/>
  <c r="BA118" i="1"/>
  <c r="BA117" i="1"/>
  <c r="BA116" i="1"/>
  <c r="BA115" i="1"/>
  <c r="BA114" i="1"/>
  <c r="BA113" i="1"/>
  <c r="BA112" i="1"/>
  <c r="BA111" i="1"/>
  <c r="BA110" i="1"/>
  <c r="BA109" i="1"/>
  <c r="BA108" i="1"/>
  <c r="BA107" i="1"/>
  <c r="BA106" i="1"/>
  <c r="BA105" i="1"/>
  <c r="BA104" i="1"/>
  <c r="BA103" i="1"/>
  <c r="BA102" i="1"/>
  <c r="BA101" i="1"/>
  <c r="BA100" i="1"/>
  <c r="BA99" i="1"/>
  <c r="BA98" i="1"/>
  <c r="BA97" i="1"/>
  <c r="BA96" i="1"/>
  <c r="BA95" i="1"/>
  <c r="BA94" i="1"/>
  <c r="BA93" i="1"/>
  <c r="BA92" i="1"/>
  <c r="BA91" i="1"/>
  <c r="BA90" i="1"/>
  <c r="BA89" i="1"/>
  <c r="BA88" i="1"/>
  <c r="BA87" i="1"/>
  <c r="BA86" i="1"/>
  <c r="BA85" i="1"/>
  <c r="BA84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AW1112" i="1"/>
  <c r="AW1111" i="1"/>
  <c r="AW1110" i="1"/>
  <c r="AW1109" i="1"/>
  <c r="AW1108" i="1"/>
  <c r="AW1107" i="1"/>
  <c r="AW1106" i="1"/>
  <c r="AW1105" i="1"/>
  <c r="AW1104" i="1"/>
  <c r="AW1103" i="1"/>
  <c r="AW1102" i="1"/>
  <c r="AW1101" i="1"/>
  <c r="AW1100" i="1"/>
  <c r="AW1099" i="1"/>
  <c r="AW1098" i="1"/>
  <c r="AW1097" i="1"/>
  <c r="AW1096" i="1"/>
  <c r="AW1095" i="1"/>
  <c r="AW1094" i="1"/>
  <c r="AW1093" i="1"/>
  <c r="AW1092" i="1"/>
  <c r="AW1091" i="1"/>
  <c r="AW1090" i="1"/>
  <c r="AW1089" i="1"/>
  <c r="AW1088" i="1"/>
  <c r="AW1087" i="1"/>
  <c r="AW1086" i="1"/>
  <c r="AW1085" i="1"/>
  <c r="AW1084" i="1"/>
  <c r="AW1083" i="1"/>
  <c r="AW1082" i="1"/>
  <c r="AW1081" i="1"/>
  <c r="AW1080" i="1"/>
  <c r="AW1079" i="1"/>
  <c r="AW1078" i="1"/>
  <c r="AW1077" i="1"/>
  <c r="AW1076" i="1"/>
  <c r="AW1075" i="1"/>
  <c r="AW1074" i="1"/>
  <c r="AW1073" i="1"/>
  <c r="AW1072" i="1"/>
  <c r="AW1071" i="1"/>
  <c r="AW1070" i="1"/>
  <c r="AW1069" i="1"/>
  <c r="AW1068" i="1"/>
  <c r="AW1067" i="1"/>
  <c r="AW1066" i="1"/>
  <c r="AW1065" i="1"/>
  <c r="AW1064" i="1"/>
  <c r="AW1063" i="1"/>
  <c r="AW1062" i="1"/>
  <c r="AW1061" i="1"/>
  <c r="AW1060" i="1"/>
  <c r="AW1059" i="1"/>
  <c r="AW1058" i="1"/>
  <c r="AW1057" i="1"/>
  <c r="AW1056" i="1"/>
  <c r="AW1055" i="1"/>
  <c r="AW1054" i="1"/>
  <c r="AW1053" i="1"/>
  <c r="AW1052" i="1"/>
  <c r="AW1051" i="1"/>
  <c r="AW1050" i="1"/>
  <c r="AW1049" i="1"/>
  <c r="AW1048" i="1"/>
  <c r="AW1047" i="1"/>
  <c r="AW1046" i="1"/>
  <c r="AW1045" i="1"/>
  <c r="AW1044" i="1"/>
  <c r="AW1043" i="1"/>
  <c r="AW1042" i="1"/>
  <c r="AW1041" i="1"/>
  <c r="AW1040" i="1"/>
  <c r="AW1039" i="1"/>
  <c r="AW1038" i="1"/>
  <c r="AW1037" i="1"/>
  <c r="AW1036" i="1"/>
  <c r="AW1035" i="1"/>
  <c r="AW1034" i="1"/>
  <c r="AW1033" i="1"/>
  <c r="AW1032" i="1"/>
  <c r="AW1031" i="1"/>
  <c r="AW1030" i="1"/>
  <c r="AW1029" i="1"/>
  <c r="AW1028" i="1"/>
  <c r="AW1027" i="1"/>
  <c r="AW1026" i="1"/>
  <c r="AW1025" i="1"/>
  <c r="AW1024" i="1"/>
  <c r="AW1023" i="1"/>
  <c r="AW1022" i="1"/>
  <c r="AW1021" i="1"/>
  <c r="AW1020" i="1"/>
  <c r="AW1019" i="1"/>
  <c r="AW1018" i="1"/>
  <c r="AW1017" i="1"/>
  <c r="AW1016" i="1"/>
  <c r="AW1015" i="1"/>
  <c r="AW1014" i="1"/>
  <c r="AW1013" i="1"/>
  <c r="AW1012" i="1"/>
  <c r="AW1011" i="1"/>
  <c r="AW1010" i="1"/>
  <c r="AW1009" i="1"/>
  <c r="AW1008" i="1"/>
  <c r="AW1007" i="1"/>
  <c r="AW1006" i="1"/>
  <c r="AW1005" i="1"/>
  <c r="AW1004" i="1"/>
  <c r="AW1003" i="1"/>
  <c r="AW1002" i="1"/>
  <c r="AW1001" i="1"/>
  <c r="AW1000" i="1"/>
  <c r="AW999" i="1"/>
  <c r="AW998" i="1"/>
  <c r="AW997" i="1"/>
  <c r="AW996" i="1"/>
  <c r="AW995" i="1"/>
  <c r="AW994" i="1"/>
  <c r="AW993" i="1"/>
  <c r="AW992" i="1"/>
  <c r="AW991" i="1"/>
  <c r="AW990" i="1"/>
  <c r="AW989" i="1"/>
  <c r="AW988" i="1"/>
  <c r="AW987" i="1"/>
  <c r="AW986" i="1"/>
  <c r="AW985" i="1"/>
  <c r="AW984" i="1"/>
  <c r="AW983" i="1"/>
  <c r="AW982" i="1"/>
  <c r="AW981" i="1"/>
  <c r="AW980" i="1"/>
  <c r="AW979" i="1"/>
  <c r="AW978" i="1"/>
  <c r="AW977" i="1"/>
  <c r="AW976" i="1"/>
  <c r="AW975" i="1"/>
  <c r="AW974" i="1"/>
  <c r="AW973" i="1"/>
  <c r="AW972" i="1"/>
  <c r="AW971" i="1"/>
  <c r="AW970" i="1"/>
  <c r="AW969" i="1"/>
  <c r="AW968" i="1"/>
  <c r="AW967" i="1"/>
  <c r="AW966" i="1"/>
  <c r="AW965" i="1"/>
  <c r="AW964" i="1"/>
  <c r="AW963" i="1"/>
  <c r="AW962" i="1"/>
  <c r="AW961" i="1"/>
  <c r="AW960" i="1"/>
  <c r="AW959" i="1"/>
  <c r="AW958" i="1"/>
  <c r="AW957" i="1"/>
  <c r="AW956" i="1"/>
  <c r="AW955" i="1"/>
  <c r="AW954" i="1"/>
  <c r="AW953" i="1"/>
  <c r="AW952" i="1"/>
  <c r="AW951" i="1"/>
  <c r="AW950" i="1"/>
  <c r="AW949" i="1"/>
  <c r="AW948" i="1"/>
  <c r="AW947" i="1"/>
  <c r="AW946" i="1"/>
  <c r="AW945" i="1"/>
  <c r="AW944" i="1"/>
  <c r="AW943" i="1"/>
  <c r="AW942" i="1"/>
  <c r="AW941" i="1"/>
  <c r="AW940" i="1"/>
  <c r="AW939" i="1"/>
  <c r="AW938" i="1"/>
  <c r="AW937" i="1"/>
  <c r="AW936" i="1"/>
  <c r="AW935" i="1"/>
  <c r="AW934" i="1"/>
  <c r="AW933" i="1"/>
  <c r="AW932" i="1"/>
  <c r="AW931" i="1"/>
  <c r="AW930" i="1"/>
  <c r="AW929" i="1"/>
  <c r="AW928" i="1"/>
  <c r="AW927" i="1"/>
  <c r="AW926" i="1"/>
  <c r="AW925" i="1"/>
  <c r="AW924" i="1"/>
  <c r="AW923" i="1"/>
  <c r="AW922" i="1"/>
  <c r="AW921" i="1"/>
  <c r="AW920" i="1"/>
  <c r="AW919" i="1"/>
  <c r="AW918" i="1"/>
  <c r="AW917" i="1"/>
  <c r="AW916" i="1"/>
  <c r="AW915" i="1"/>
  <c r="AW914" i="1"/>
  <c r="AW913" i="1"/>
  <c r="AW912" i="1"/>
  <c r="AW911" i="1"/>
  <c r="AW910" i="1"/>
  <c r="AW909" i="1"/>
  <c r="AW908" i="1"/>
  <c r="AW907" i="1"/>
  <c r="AW906" i="1"/>
  <c r="AW905" i="1"/>
  <c r="AW904" i="1"/>
  <c r="AW903" i="1"/>
  <c r="AW902" i="1"/>
  <c r="AW901" i="1"/>
  <c r="AW900" i="1"/>
  <c r="AW899" i="1"/>
  <c r="AW898" i="1"/>
  <c r="AW897" i="1"/>
  <c r="AW896" i="1"/>
  <c r="AW895" i="1"/>
  <c r="AW894" i="1"/>
  <c r="AW893" i="1"/>
  <c r="AW892" i="1"/>
  <c r="AW891" i="1"/>
  <c r="AW890" i="1"/>
  <c r="AW889" i="1"/>
  <c r="AW888" i="1"/>
  <c r="AW887" i="1"/>
  <c r="AW886" i="1"/>
  <c r="AW885" i="1"/>
  <c r="AW884" i="1"/>
  <c r="AW883" i="1"/>
  <c r="AW882" i="1"/>
  <c r="AW881" i="1"/>
  <c r="AW880" i="1"/>
  <c r="AW879" i="1"/>
  <c r="AW878" i="1"/>
  <c r="AW877" i="1"/>
  <c r="AW876" i="1"/>
  <c r="AW875" i="1"/>
  <c r="AW874" i="1"/>
  <c r="AW873" i="1"/>
  <c r="AW872" i="1"/>
  <c r="AW871" i="1"/>
  <c r="AW870" i="1"/>
  <c r="AW869" i="1"/>
  <c r="AW868" i="1"/>
  <c r="AW867" i="1"/>
  <c r="AW866" i="1"/>
  <c r="AW865" i="1"/>
  <c r="AW864" i="1"/>
  <c r="AW863" i="1"/>
  <c r="AW862" i="1"/>
  <c r="AW861" i="1"/>
  <c r="AW860" i="1"/>
  <c r="AW859" i="1"/>
  <c r="AW858" i="1"/>
  <c r="AW857" i="1"/>
  <c r="AW856" i="1"/>
  <c r="AW855" i="1"/>
  <c r="AW854" i="1"/>
  <c r="AW853" i="1"/>
  <c r="AW852" i="1"/>
  <c r="AW851" i="1"/>
  <c r="AW850" i="1"/>
  <c r="AW849" i="1"/>
  <c r="AW848" i="1"/>
  <c r="AW847" i="1"/>
  <c r="AW846" i="1"/>
  <c r="AW845" i="1"/>
  <c r="AW844" i="1"/>
  <c r="AW843" i="1"/>
  <c r="AW842" i="1"/>
  <c r="AW841" i="1"/>
  <c r="AW840" i="1"/>
  <c r="AW839" i="1"/>
  <c r="AW838" i="1"/>
  <c r="AW837" i="1"/>
  <c r="AW836" i="1"/>
  <c r="AW835" i="1"/>
  <c r="AW834" i="1"/>
  <c r="AW833" i="1"/>
  <c r="AW832" i="1"/>
  <c r="AW831" i="1"/>
  <c r="AW830" i="1"/>
  <c r="AW829" i="1"/>
  <c r="AW828" i="1"/>
  <c r="AW827" i="1"/>
  <c r="AW826" i="1"/>
  <c r="AW825" i="1"/>
  <c r="AW824" i="1"/>
  <c r="AW823" i="1"/>
  <c r="AW822" i="1"/>
  <c r="AW821" i="1"/>
  <c r="AW820" i="1"/>
  <c r="AW819" i="1"/>
  <c r="AW818" i="1"/>
  <c r="AW817" i="1"/>
  <c r="AW816" i="1"/>
  <c r="AW815" i="1"/>
  <c r="AW814" i="1"/>
  <c r="AW813" i="1"/>
  <c r="AW812" i="1"/>
  <c r="AW811" i="1"/>
  <c r="AW810" i="1"/>
  <c r="AW809" i="1"/>
  <c r="AW808" i="1"/>
  <c r="AW807" i="1"/>
  <c r="AW806" i="1"/>
  <c r="AW805" i="1"/>
  <c r="AW804" i="1"/>
  <c r="AW803" i="1"/>
  <c r="AW802" i="1"/>
  <c r="AW801" i="1"/>
  <c r="AW800" i="1"/>
  <c r="AW799" i="1"/>
  <c r="AW798" i="1"/>
  <c r="AW797" i="1"/>
  <c r="AW796" i="1"/>
  <c r="AW795" i="1"/>
  <c r="AW794" i="1"/>
  <c r="AW793" i="1"/>
  <c r="AW792" i="1"/>
  <c r="AW791" i="1"/>
  <c r="AW790" i="1"/>
  <c r="AW789" i="1"/>
  <c r="AW788" i="1"/>
  <c r="AW787" i="1"/>
  <c r="AW786" i="1"/>
  <c r="AW785" i="1"/>
  <c r="AW784" i="1"/>
  <c r="AW783" i="1"/>
  <c r="AW782" i="1"/>
  <c r="AW781" i="1"/>
  <c r="AW780" i="1"/>
  <c r="AW779" i="1"/>
  <c r="AW778" i="1"/>
  <c r="AW777" i="1"/>
  <c r="AW776" i="1"/>
  <c r="AW775" i="1"/>
  <c r="AW774" i="1"/>
  <c r="AW773" i="1"/>
  <c r="AW772" i="1"/>
  <c r="AW771" i="1"/>
  <c r="AW770" i="1"/>
  <c r="AW769" i="1"/>
  <c r="AW768" i="1"/>
  <c r="AW767" i="1"/>
  <c r="AW766" i="1"/>
  <c r="AW765" i="1"/>
  <c r="AW764" i="1"/>
  <c r="AW763" i="1"/>
  <c r="AW762" i="1"/>
  <c r="AW761" i="1"/>
  <c r="AW760" i="1"/>
  <c r="AW759" i="1"/>
  <c r="AW758" i="1"/>
  <c r="AW757" i="1"/>
  <c r="AW756" i="1"/>
  <c r="AW755" i="1"/>
  <c r="AW754" i="1"/>
  <c r="AW753" i="1"/>
  <c r="AW752" i="1"/>
  <c r="AW751" i="1"/>
  <c r="AW750" i="1"/>
  <c r="AW749" i="1"/>
  <c r="AW748" i="1"/>
  <c r="AW747" i="1"/>
  <c r="AW746" i="1"/>
  <c r="AW745" i="1"/>
  <c r="AW744" i="1"/>
  <c r="AW743" i="1"/>
  <c r="AW742" i="1"/>
  <c r="AW741" i="1"/>
  <c r="AW740" i="1"/>
  <c r="AW739" i="1"/>
  <c r="AW738" i="1"/>
  <c r="AW737" i="1"/>
  <c r="AW736" i="1"/>
  <c r="AW735" i="1"/>
  <c r="AW734" i="1"/>
  <c r="AW733" i="1"/>
  <c r="AW732" i="1"/>
  <c r="AW731" i="1"/>
  <c r="AW730" i="1"/>
  <c r="AW729" i="1"/>
  <c r="AW728" i="1"/>
  <c r="AW727" i="1"/>
  <c r="AW726" i="1"/>
  <c r="AW725" i="1"/>
  <c r="AW724" i="1"/>
  <c r="AW723" i="1"/>
  <c r="AW722" i="1"/>
  <c r="AW721" i="1"/>
  <c r="AW720" i="1"/>
  <c r="AW719" i="1"/>
  <c r="AW718" i="1"/>
  <c r="AW717" i="1"/>
  <c r="AW716" i="1"/>
  <c r="AW715" i="1"/>
  <c r="AW714" i="1"/>
  <c r="AW713" i="1"/>
  <c r="AW712" i="1"/>
  <c r="AW711" i="1"/>
  <c r="AW710" i="1"/>
  <c r="AW709" i="1"/>
  <c r="AW708" i="1"/>
  <c r="AW707" i="1"/>
  <c r="AW706" i="1"/>
  <c r="AW705" i="1"/>
  <c r="AW704" i="1"/>
  <c r="AW703" i="1"/>
  <c r="AW702" i="1"/>
  <c r="AW701" i="1"/>
  <c r="AW700" i="1"/>
  <c r="AW699" i="1"/>
  <c r="AW698" i="1"/>
  <c r="AW697" i="1"/>
  <c r="AW696" i="1"/>
  <c r="AW695" i="1"/>
  <c r="AW694" i="1"/>
  <c r="AW693" i="1"/>
  <c r="AW692" i="1"/>
  <c r="AW691" i="1"/>
  <c r="AW690" i="1"/>
  <c r="AW689" i="1"/>
  <c r="AW688" i="1"/>
  <c r="AW687" i="1"/>
  <c r="AW686" i="1"/>
  <c r="AW685" i="1"/>
  <c r="AW684" i="1"/>
  <c r="AW683" i="1"/>
  <c r="AW682" i="1"/>
  <c r="AW681" i="1"/>
  <c r="AW680" i="1"/>
  <c r="AW679" i="1"/>
  <c r="AW678" i="1"/>
  <c r="AW677" i="1"/>
  <c r="AW676" i="1"/>
  <c r="AW675" i="1"/>
  <c r="AW674" i="1"/>
  <c r="AW673" i="1"/>
  <c r="AW672" i="1"/>
  <c r="AW671" i="1"/>
  <c r="AW670" i="1"/>
  <c r="AW669" i="1"/>
  <c r="AW668" i="1"/>
  <c r="AW667" i="1"/>
  <c r="AW666" i="1"/>
  <c r="AW665" i="1"/>
  <c r="AW664" i="1"/>
  <c r="AW663" i="1"/>
  <c r="AW662" i="1"/>
  <c r="AW661" i="1"/>
  <c r="AW660" i="1"/>
  <c r="AW659" i="1"/>
  <c r="AW658" i="1"/>
  <c r="AW657" i="1"/>
  <c r="AW656" i="1"/>
  <c r="AW655" i="1"/>
  <c r="AW654" i="1"/>
  <c r="AW653" i="1"/>
  <c r="AW652" i="1"/>
  <c r="AW651" i="1"/>
  <c r="AW650" i="1"/>
  <c r="AW649" i="1"/>
  <c r="AW648" i="1"/>
  <c r="AW647" i="1"/>
  <c r="AW646" i="1"/>
  <c r="AW645" i="1"/>
  <c r="AW644" i="1"/>
  <c r="AW643" i="1"/>
  <c r="AW642" i="1"/>
  <c r="AW641" i="1"/>
  <c r="AW640" i="1"/>
  <c r="AW639" i="1"/>
  <c r="AW638" i="1"/>
  <c r="AW637" i="1"/>
  <c r="AW636" i="1"/>
  <c r="AW635" i="1"/>
  <c r="AW634" i="1"/>
  <c r="AW633" i="1"/>
  <c r="AW632" i="1"/>
  <c r="AW631" i="1"/>
  <c r="AW630" i="1"/>
  <c r="AW629" i="1"/>
  <c r="AW628" i="1"/>
  <c r="AW627" i="1"/>
  <c r="AW626" i="1"/>
  <c r="AW625" i="1"/>
  <c r="AW624" i="1"/>
  <c r="AW623" i="1"/>
  <c r="AW622" i="1"/>
  <c r="AW621" i="1"/>
  <c r="AW620" i="1"/>
  <c r="AW619" i="1"/>
  <c r="AW618" i="1"/>
  <c r="AW617" i="1"/>
  <c r="AW616" i="1"/>
  <c r="AW615" i="1"/>
  <c r="AW614" i="1"/>
  <c r="AW613" i="1"/>
  <c r="AW612" i="1"/>
  <c r="AW611" i="1"/>
  <c r="AW610" i="1"/>
  <c r="AW609" i="1"/>
  <c r="AW608" i="1"/>
  <c r="AW607" i="1"/>
  <c r="AW606" i="1"/>
  <c r="AW605" i="1"/>
  <c r="AW604" i="1"/>
  <c r="AW603" i="1"/>
  <c r="AW602" i="1"/>
  <c r="AW601" i="1"/>
  <c r="AW600" i="1"/>
  <c r="AW599" i="1"/>
  <c r="AW598" i="1"/>
  <c r="AW597" i="1"/>
  <c r="AW596" i="1"/>
  <c r="AW595" i="1"/>
  <c r="AW594" i="1"/>
  <c r="AW593" i="1"/>
  <c r="AW592" i="1"/>
  <c r="AW591" i="1"/>
  <c r="AW590" i="1"/>
  <c r="AW589" i="1"/>
  <c r="AW588" i="1"/>
  <c r="AW587" i="1"/>
  <c r="AW586" i="1"/>
  <c r="AW585" i="1"/>
  <c r="AW584" i="1"/>
  <c r="AW583" i="1"/>
  <c r="AW582" i="1"/>
  <c r="AW581" i="1"/>
  <c r="AW580" i="1"/>
  <c r="AW579" i="1"/>
  <c r="AW578" i="1"/>
  <c r="AW577" i="1"/>
  <c r="AW576" i="1"/>
  <c r="AW575" i="1"/>
  <c r="AW574" i="1"/>
  <c r="AW573" i="1"/>
  <c r="AW572" i="1"/>
  <c r="AW571" i="1"/>
  <c r="AW570" i="1"/>
  <c r="AW569" i="1"/>
  <c r="AW568" i="1"/>
  <c r="AW567" i="1"/>
  <c r="AW566" i="1"/>
  <c r="AW565" i="1"/>
  <c r="AW564" i="1"/>
  <c r="AW563" i="1"/>
  <c r="AW562" i="1"/>
  <c r="AW561" i="1"/>
  <c r="AW560" i="1"/>
  <c r="AW559" i="1"/>
  <c r="AW558" i="1"/>
  <c r="AW557" i="1"/>
  <c r="AW556" i="1"/>
  <c r="AW555" i="1"/>
  <c r="AW554" i="1"/>
  <c r="AW553" i="1"/>
  <c r="AW552" i="1"/>
  <c r="AW551" i="1"/>
  <c r="AW550" i="1"/>
  <c r="AW549" i="1"/>
  <c r="AW548" i="1"/>
  <c r="AW547" i="1"/>
  <c r="AW546" i="1"/>
  <c r="AW545" i="1"/>
  <c r="AW544" i="1"/>
  <c r="AW543" i="1"/>
  <c r="AW542" i="1"/>
  <c r="AW541" i="1"/>
  <c r="AW540" i="1"/>
  <c r="AW539" i="1"/>
  <c r="AW538" i="1"/>
  <c r="AW537" i="1"/>
  <c r="AW536" i="1"/>
  <c r="AW535" i="1"/>
  <c r="AW534" i="1"/>
  <c r="AW533" i="1"/>
  <c r="AW532" i="1"/>
  <c r="AW531" i="1"/>
  <c r="AW530" i="1"/>
  <c r="AW529" i="1"/>
  <c r="AW528" i="1"/>
  <c r="AW527" i="1"/>
  <c r="AW526" i="1"/>
  <c r="AW525" i="1"/>
  <c r="AW524" i="1"/>
  <c r="AW523" i="1"/>
  <c r="AW522" i="1"/>
  <c r="AW521" i="1"/>
  <c r="AW520" i="1"/>
  <c r="AW519" i="1"/>
  <c r="AW518" i="1"/>
  <c r="AW517" i="1"/>
  <c r="AW516" i="1"/>
  <c r="AW515" i="1"/>
  <c r="AW514" i="1"/>
  <c r="AW513" i="1"/>
  <c r="AW512" i="1"/>
  <c r="AW511" i="1"/>
  <c r="AW510" i="1"/>
  <c r="AW509" i="1"/>
  <c r="AW508" i="1"/>
  <c r="AW507" i="1"/>
  <c r="AW506" i="1"/>
  <c r="AW505" i="1"/>
  <c r="AW504" i="1"/>
  <c r="AW503" i="1"/>
  <c r="AW502" i="1"/>
  <c r="AW501" i="1"/>
  <c r="AW500" i="1"/>
  <c r="AW499" i="1"/>
  <c r="AW498" i="1"/>
  <c r="AW497" i="1"/>
  <c r="AW496" i="1"/>
  <c r="AW495" i="1"/>
  <c r="AW494" i="1"/>
  <c r="AW493" i="1"/>
  <c r="AW492" i="1"/>
  <c r="AW491" i="1"/>
  <c r="AW490" i="1"/>
  <c r="AW489" i="1"/>
  <c r="AW488" i="1"/>
  <c r="AW487" i="1"/>
  <c r="AW486" i="1"/>
  <c r="AW485" i="1"/>
  <c r="AW484" i="1"/>
  <c r="AW483" i="1"/>
  <c r="AW482" i="1"/>
  <c r="AW481" i="1"/>
  <c r="AW480" i="1"/>
  <c r="AW479" i="1"/>
  <c r="AW478" i="1"/>
  <c r="AW477" i="1"/>
  <c r="AW476" i="1"/>
  <c r="AW475" i="1"/>
  <c r="AW474" i="1"/>
  <c r="AW473" i="1"/>
  <c r="AW472" i="1"/>
  <c r="AW471" i="1"/>
  <c r="AW470" i="1"/>
  <c r="AW469" i="1"/>
  <c r="AW468" i="1"/>
  <c r="AW467" i="1"/>
  <c r="AW466" i="1"/>
  <c r="AW465" i="1"/>
  <c r="AW464" i="1"/>
  <c r="AW463" i="1"/>
  <c r="AW462" i="1"/>
  <c r="AW461" i="1"/>
  <c r="AW460" i="1"/>
  <c r="AW459" i="1"/>
  <c r="AW458" i="1"/>
  <c r="AW457" i="1"/>
  <c r="AW456" i="1"/>
  <c r="AW455" i="1"/>
  <c r="AW454" i="1"/>
  <c r="AW453" i="1"/>
  <c r="AW452" i="1"/>
  <c r="AW451" i="1"/>
  <c r="AW450" i="1"/>
  <c r="AW449" i="1"/>
  <c r="AW448" i="1"/>
  <c r="AW447" i="1"/>
  <c r="AW446" i="1"/>
  <c r="AW445" i="1"/>
  <c r="AW444" i="1"/>
  <c r="AW443" i="1"/>
  <c r="AW442" i="1"/>
  <c r="AW441" i="1"/>
  <c r="AW440" i="1"/>
  <c r="AW439" i="1"/>
  <c r="AW438" i="1"/>
  <c r="AW437" i="1"/>
  <c r="AW436" i="1"/>
  <c r="AW435" i="1"/>
  <c r="AW434" i="1"/>
  <c r="AW433" i="1"/>
  <c r="AW432" i="1"/>
  <c r="AW431" i="1"/>
  <c r="AW430" i="1"/>
  <c r="AW429" i="1"/>
  <c r="AW428" i="1"/>
  <c r="AW427" i="1"/>
  <c r="AW426" i="1"/>
  <c r="AW425" i="1"/>
  <c r="AW424" i="1"/>
  <c r="AW423" i="1"/>
  <c r="AW422" i="1"/>
  <c r="AW421" i="1"/>
  <c r="AW420" i="1"/>
  <c r="AW419" i="1"/>
  <c r="AW418" i="1"/>
  <c r="AW417" i="1"/>
  <c r="AW416" i="1"/>
  <c r="AW415" i="1"/>
  <c r="AW414" i="1"/>
  <c r="AW413" i="1"/>
  <c r="AW412" i="1"/>
  <c r="AW411" i="1"/>
  <c r="AW410" i="1"/>
  <c r="AW409" i="1"/>
  <c r="AW408" i="1"/>
  <c r="AW407" i="1"/>
  <c r="AW406" i="1"/>
  <c r="AW405" i="1"/>
  <c r="AW404" i="1"/>
  <c r="AW403" i="1"/>
  <c r="AW402" i="1"/>
  <c r="AW401" i="1"/>
  <c r="AW400" i="1"/>
  <c r="AW399" i="1"/>
  <c r="AW398" i="1"/>
  <c r="AW397" i="1"/>
  <c r="AW396" i="1"/>
  <c r="AW395" i="1"/>
  <c r="AW394" i="1"/>
  <c r="AW393" i="1"/>
  <c r="AW392" i="1"/>
  <c r="AW391" i="1"/>
  <c r="AW390" i="1"/>
  <c r="AW389" i="1"/>
  <c r="AW388" i="1"/>
  <c r="AW387" i="1"/>
  <c r="AW386" i="1"/>
  <c r="AW385" i="1"/>
  <c r="AW384" i="1"/>
  <c r="AW383" i="1"/>
  <c r="AW382" i="1"/>
  <c r="AW381" i="1"/>
  <c r="AW380" i="1"/>
  <c r="AW379" i="1"/>
  <c r="AW378" i="1"/>
  <c r="AW377" i="1"/>
  <c r="AW376" i="1"/>
  <c r="AW375" i="1"/>
  <c r="AW374" i="1"/>
  <c r="AW373" i="1"/>
  <c r="AW372" i="1"/>
  <c r="AW371" i="1"/>
  <c r="AW370" i="1"/>
  <c r="AW369" i="1"/>
  <c r="AW368" i="1"/>
  <c r="AW367" i="1"/>
  <c r="AW366" i="1"/>
  <c r="AW365" i="1"/>
  <c r="AW364" i="1"/>
  <c r="AW363" i="1"/>
  <c r="AW362" i="1"/>
  <c r="AW361" i="1"/>
  <c r="AW360" i="1"/>
  <c r="AW359" i="1"/>
  <c r="AW358" i="1"/>
  <c r="AW357" i="1"/>
  <c r="AW356" i="1"/>
  <c r="AW355" i="1"/>
  <c r="AW354" i="1"/>
  <c r="AW353" i="1"/>
  <c r="AW352" i="1"/>
  <c r="AW351" i="1"/>
  <c r="AW350" i="1"/>
  <c r="AW349" i="1"/>
  <c r="AW348" i="1"/>
  <c r="AW347" i="1"/>
  <c r="AW346" i="1"/>
  <c r="AW345" i="1"/>
  <c r="AW344" i="1"/>
  <c r="AW343" i="1"/>
  <c r="AW342" i="1"/>
  <c r="AW341" i="1"/>
  <c r="AW340" i="1"/>
  <c r="AW339" i="1"/>
  <c r="AW338" i="1"/>
  <c r="AW337" i="1"/>
  <c r="AW336" i="1"/>
  <c r="AW335" i="1"/>
  <c r="AW334" i="1"/>
  <c r="AW333" i="1"/>
  <c r="AW332" i="1"/>
  <c r="AW331" i="1"/>
  <c r="AW330" i="1"/>
  <c r="AW329" i="1"/>
  <c r="AW328" i="1"/>
  <c r="AW327" i="1"/>
  <c r="AW326" i="1"/>
  <c r="AW325" i="1"/>
  <c r="AW324" i="1"/>
  <c r="AW323" i="1"/>
  <c r="AW322" i="1"/>
  <c r="AW321" i="1"/>
  <c r="AW320" i="1"/>
  <c r="AW319" i="1"/>
  <c r="AW318" i="1"/>
  <c r="AW317" i="1"/>
  <c r="AW316" i="1"/>
  <c r="AW315" i="1"/>
  <c r="AW314" i="1"/>
  <c r="AW313" i="1"/>
  <c r="AW312" i="1"/>
  <c r="AW311" i="1"/>
  <c r="AW310" i="1"/>
  <c r="AW309" i="1"/>
  <c r="AW308" i="1"/>
  <c r="AW307" i="1"/>
  <c r="AW306" i="1"/>
  <c r="AW305" i="1"/>
  <c r="AW304" i="1"/>
  <c r="AW303" i="1"/>
  <c r="AW302" i="1"/>
  <c r="AW301" i="1"/>
  <c r="AW300" i="1"/>
  <c r="AW299" i="1"/>
  <c r="AW298" i="1"/>
  <c r="AW297" i="1"/>
  <c r="AW296" i="1"/>
  <c r="AW295" i="1"/>
  <c r="AW294" i="1"/>
  <c r="AW293" i="1"/>
  <c r="AW292" i="1"/>
  <c r="AW291" i="1"/>
  <c r="AW290" i="1"/>
  <c r="AW289" i="1"/>
  <c r="AW288" i="1"/>
  <c r="AW287" i="1"/>
  <c r="AW286" i="1"/>
  <c r="AW285" i="1"/>
  <c r="AW284" i="1"/>
  <c r="AW283" i="1"/>
  <c r="AW282" i="1"/>
  <c r="AW281" i="1"/>
  <c r="AW280" i="1"/>
  <c r="AW279" i="1"/>
  <c r="AW278" i="1"/>
  <c r="AW277" i="1"/>
  <c r="AW276" i="1"/>
  <c r="AW275" i="1"/>
  <c r="AW274" i="1"/>
  <c r="AW273" i="1"/>
  <c r="AW272" i="1"/>
  <c r="AW271" i="1"/>
  <c r="AW270" i="1"/>
  <c r="AW269" i="1"/>
  <c r="AW268" i="1"/>
  <c r="AW267" i="1"/>
  <c r="AW266" i="1"/>
  <c r="AW265" i="1"/>
  <c r="AW264" i="1"/>
  <c r="AW263" i="1"/>
  <c r="AW262" i="1"/>
  <c r="AW261" i="1"/>
  <c r="AW260" i="1"/>
  <c r="AW259" i="1"/>
  <c r="AW258" i="1"/>
  <c r="AW257" i="1"/>
  <c r="AW256" i="1"/>
  <c r="AW255" i="1"/>
  <c r="AW254" i="1"/>
  <c r="AW253" i="1"/>
  <c r="AW252" i="1"/>
  <c r="AW251" i="1"/>
  <c r="AW250" i="1"/>
  <c r="AW249" i="1"/>
  <c r="AW248" i="1"/>
  <c r="AW247" i="1"/>
  <c r="AW246" i="1"/>
  <c r="AW245" i="1"/>
  <c r="AW244" i="1"/>
  <c r="AW243" i="1"/>
  <c r="AW242" i="1"/>
  <c r="AW241" i="1"/>
  <c r="AW240" i="1"/>
  <c r="AW239" i="1"/>
  <c r="AW238" i="1"/>
  <c r="AW237" i="1"/>
  <c r="AW236" i="1"/>
  <c r="AW235" i="1"/>
  <c r="AW234" i="1"/>
  <c r="AW233" i="1"/>
  <c r="AW232" i="1"/>
  <c r="AW231" i="1"/>
  <c r="AW230" i="1"/>
  <c r="AW229" i="1"/>
  <c r="AW228" i="1"/>
  <c r="AW227" i="1"/>
  <c r="AW226" i="1"/>
  <c r="AW225" i="1"/>
  <c r="AW224" i="1"/>
  <c r="AW223" i="1"/>
  <c r="AW222" i="1"/>
  <c r="AW221" i="1"/>
  <c r="AW220" i="1"/>
  <c r="AW219" i="1"/>
  <c r="AW218" i="1"/>
  <c r="AW217" i="1"/>
  <c r="AW216" i="1"/>
  <c r="AW215" i="1"/>
  <c r="AW214" i="1"/>
  <c r="AW213" i="1"/>
  <c r="AW212" i="1"/>
  <c r="AW211" i="1"/>
  <c r="AW210" i="1"/>
  <c r="AW209" i="1"/>
  <c r="AW208" i="1"/>
  <c r="AW207" i="1"/>
  <c r="AW206" i="1"/>
  <c r="AW205" i="1"/>
  <c r="AW204" i="1"/>
  <c r="AW203" i="1"/>
  <c r="AW202" i="1"/>
  <c r="AW201" i="1"/>
  <c r="AW200" i="1"/>
  <c r="AW199" i="1"/>
  <c r="AW198" i="1"/>
  <c r="AW197" i="1"/>
  <c r="AW196" i="1"/>
  <c r="AW195" i="1"/>
  <c r="AW194" i="1"/>
  <c r="AW193" i="1"/>
  <c r="AW192" i="1"/>
  <c r="AW191" i="1"/>
  <c r="AW190" i="1"/>
  <c r="AW189" i="1"/>
  <c r="AW188" i="1"/>
  <c r="AW187" i="1"/>
  <c r="AW186" i="1"/>
  <c r="AW185" i="1"/>
  <c r="AW184" i="1"/>
  <c r="AW183" i="1"/>
  <c r="AW182" i="1"/>
  <c r="AW181" i="1"/>
  <c r="AW180" i="1"/>
  <c r="AW179" i="1"/>
  <c r="AW178" i="1"/>
  <c r="AW177" i="1"/>
  <c r="AW176" i="1"/>
  <c r="AW175" i="1"/>
  <c r="AW174" i="1"/>
  <c r="AW173" i="1"/>
  <c r="AW172" i="1"/>
  <c r="AW171" i="1"/>
  <c r="AW170" i="1"/>
  <c r="AW169" i="1"/>
  <c r="AW168" i="1"/>
  <c r="AW167" i="1"/>
  <c r="AW166" i="1"/>
  <c r="AW165" i="1"/>
  <c r="AW164" i="1"/>
  <c r="AW163" i="1"/>
  <c r="AW162" i="1"/>
  <c r="AW161" i="1"/>
  <c r="AW160" i="1"/>
  <c r="AW159" i="1"/>
  <c r="AW158" i="1"/>
  <c r="AW157" i="1"/>
  <c r="AW156" i="1"/>
  <c r="AW155" i="1"/>
  <c r="AW154" i="1"/>
  <c r="AW153" i="1"/>
  <c r="AW152" i="1"/>
  <c r="AW151" i="1"/>
  <c r="AW150" i="1"/>
  <c r="AW149" i="1"/>
  <c r="AW148" i="1"/>
  <c r="AW147" i="1"/>
  <c r="AW146" i="1"/>
  <c r="AW145" i="1"/>
  <c r="AW144" i="1"/>
  <c r="AW143" i="1"/>
  <c r="AW142" i="1"/>
  <c r="AW141" i="1"/>
  <c r="AW140" i="1"/>
  <c r="AW139" i="1"/>
  <c r="AW138" i="1"/>
  <c r="AW137" i="1"/>
  <c r="AW136" i="1"/>
  <c r="AW135" i="1"/>
  <c r="AW134" i="1"/>
  <c r="AW133" i="1"/>
  <c r="AW132" i="1"/>
  <c r="AW131" i="1"/>
  <c r="AW130" i="1"/>
  <c r="AW129" i="1"/>
  <c r="AW128" i="1"/>
  <c r="AW127" i="1"/>
  <c r="AW126" i="1"/>
  <c r="AW125" i="1"/>
  <c r="AW124" i="1"/>
  <c r="AW123" i="1"/>
  <c r="AW122" i="1"/>
  <c r="AW121" i="1"/>
  <c r="AW120" i="1"/>
  <c r="AW119" i="1"/>
  <c r="AW118" i="1"/>
  <c r="AW117" i="1"/>
  <c r="AW116" i="1"/>
  <c r="AW115" i="1"/>
  <c r="AW114" i="1"/>
  <c r="AW113" i="1"/>
  <c r="AW112" i="1"/>
  <c r="AW111" i="1"/>
  <c r="AW110" i="1"/>
  <c r="AW109" i="1"/>
  <c r="AW108" i="1"/>
  <c r="AW107" i="1"/>
  <c r="AW106" i="1"/>
  <c r="AW105" i="1"/>
  <c r="AW104" i="1"/>
  <c r="AW103" i="1"/>
  <c r="AW102" i="1"/>
  <c r="AW101" i="1"/>
  <c r="AW100" i="1"/>
  <c r="AW99" i="1"/>
  <c r="AW98" i="1"/>
  <c r="AW97" i="1"/>
  <c r="AW96" i="1"/>
  <c r="AW95" i="1"/>
  <c r="AW94" i="1"/>
  <c r="AW93" i="1"/>
  <c r="AW92" i="1"/>
  <c r="AW91" i="1"/>
  <c r="AW90" i="1"/>
  <c r="AW89" i="1"/>
  <c r="AW88" i="1"/>
  <c r="AW87" i="1"/>
  <c r="AW86" i="1"/>
  <c r="AW85" i="1"/>
  <c r="AW84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S1112" i="1"/>
  <c r="AS1111" i="1"/>
  <c r="AS1110" i="1"/>
  <c r="AS1109" i="1"/>
  <c r="AS1108" i="1"/>
  <c r="AS1107" i="1"/>
  <c r="AS1106" i="1"/>
  <c r="AS1105" i="1"/>
  <c r="AS1104" i="1"/>
  <c r="AS1103" i="1"/>
  <c r="AS1102" i="1"/>
  <c r="AS1101" i="1"/>
  <c r="AS1100" i="1"/>
  <c r="AS1099" i="1"/>
  <c r="AS1098" i="1"/>
  <c r="AS1097" i="1"/>
  <c r="AS1096" i="1"/>
  <c r="AS1095" i="1"/>
  <c r="AS1094" i="1"/>
  <c r="AS1093" i="1"/>
  <c r="AS1092" i="1"/>
  <c r="AS1091" i="1"/>
  <c r="AS1090" i="1"/>
  <c r="AS1089" i="1"/>
  <c r="AS1088" i="1"/>
  <c r="AS1087" i="1"/>
  <c r="AS1086" i="1"/>
  <c r="AS1085" i="1"/>
  <c r="AS1084" i="1"/>
  <c r="AS1083" i="1"/>
  <c r="AS1082" i="1"/>
  <c r="AS1081" i="1"/>
  <c r="AS1080" i="1"/>
  <c r="AS1079" i="1"/>
  <c r="AS1078" i="1"/>
  <c r="AS1077" i="1"/>
  <c r="AS1076" i="1"/>
  <c r="AS1075" i="1"/>
  <c r="AS1074" i="1"/>
  <c r="AS1073" i="1"/>
  <c r="AS1072" i="1"/>
  <c r="AS1071" i="1"/>
  <c r="AS1070" i="1"/>
  <c r="AS1069" i="1"/>
  <c r="AS1068" i="1"/>
  <c r="AS1067" i="1"/>
  <c r="AS1066" i="1"/>
  <c r="AS1065" i="1"/>
  <c r="AS1064" i="1"/>
  <c r="AS1063" i="1"/>
  <c r="AS1062" i="1"/>
  <c r="AS1061" i="1"/>
  <c r="AS1060" i="1"/>
  <c r="AS1059" i="1"/>
  <c r="AS1058" i="1"/>
  <c r="AS1057" i="1"/>
  <c r="AS1056" i="1"/>
  <c r="AS1055" i="1"/>
  <c r="AS1054" i="1"/>
  <c r="AS1053" i="1"/>
  <c r="AS1052" i="1"/>
  <c r="AS1051" i="1"/>
  <c r="AS1050" i="1"/>
  <c r="AS1049" i="1"/>
  <c r="AS1048" i="1"/>
  <c r="AS1047" i="1"/>
  <c r="AS1046" i="1"/>
  <c r="AS1045" i="1"/>
  <c r="AS1044" i="1"/>
  <c r="AS1043" i="1"/>
  <c r="AS1042" i="1"/>
  <c r="AS1041" i="1"/>
  <c r="AS1040" i="1"/>
  <c r="AS1039" i="1"/>
  <c r="AS1038" i="1"/>
  <c r="AS1037" i="1"/>
  <c r="AS1036" i="1"/>
  <c r="AS1035" i="1"/>
  <c r="AS1034" i="1"/>
  <c r="AS1033" i="1"/>
  <c r="AS1032" i="1"/>
  <c r="AS1031" i="1"/>
  <c r="AS1030" i="1"/>
  <c r="AS1029" i="1"/>
  <c r="AS1028" i="1"/>
  <c r="AS1027" i="1"/>
  <c r="AS1026" i="1"/>
  <c r="AS1025" i="1"/>
  <c r="AS1024" i="1"/>
  <c r="AS1023" i="1"/>
  <c r="AS1022" i="1"/>
  <c r="AS1021" i="1"/>
  <c r="AS1020" i="1"/>
  <c r="AS1019" i="1"/>
  <c r="AS1018" i="1"/>
  <c r="AS1017" i="1"/>
  <c r="AS1016" i="1"/>
  <c r="AS1015" i="1"/>
  <c r="AS1014" i="1"/>
  <c r="AS1013" i="1"/>
  <c r="AS1012" i="1"/>
  <c r="AS1011" i="1"/>
  <c r="AS1010" i="1"/>
  <c r="AS1009" i="1"/>
  <c r="AS1008" i="1"/>
  <c r="AS1007" i="1"/>
  <c r="AS1006" i="1"/>
  <c r="AS1005" i="1"/>
  <c r="AS1004" i="1"/>
  <c r="AS1003" i="1"/>
  <c r="AS1002" i="1"/>
  <c r="AS1001" i="1"/>
  <c r="AS1000" i="1"/>
  <c r="AS999" i="1"/>
  <c r="AS998" i="1"/>
  <c r="AS997" i="1"/>
  <c r="AS996" i="1"/>
  <c r="AS995" i="1"/>
  <c r="AS994" i="1"/>
  <c r="AS993" i="1"/>
  <c r="AS992" i="1"/>
  <c r="AS991" i="1"/>
  <c r="AS990" i="1"/>
  <c r="AS989" i="1"/>
  <c r="AS988" i="1"/>
  <c r="AS987" i="1"/>
  <c r="AS986" i="1"/>
  <c r="AS985" i="1"/>
  <c r="AS984" i="1"/>
  <c r="AS983" i="1"/>
  <c r="AS982" i="1"/>
  <c r="AS981" i="1"/>
  <c r="AS980" i="1"/>
  <c r="AS979" i="1"/>
  <c r="AS978" i="1"/>
  <c r="AS977" i="1"/>
  <c r="AS976" i="1"/>
  <c r="AS975" i="1"/>
  <c r="AS974" i="1"/>
  <c r="AS973" i="1"/>
  <c r="AS972" i="1"/>
  <c r="AS971" i="1"/>
  <c r="AS970" i="1"/>
  <c r="AS969" i="1"/>
  <c r="AS968" i="1"/>
  <c r="AS967" i="1"/>
  <c r="AS966" i="1"/>
  <c r="AS965" i="1"/>
  <c r="AS964" i="1"/>
  <c r="AS963" i="1"/>
  <c r="AS962" i="1"/>
  <c r="AS961" i="1"/>
  <c r="AS960" i="1"/>
  <c r="AS959" i="1"/>
  <c r="AS958" i="1"/>
  <c r="AS957" i="1"/>
  <c r="AS956" i="1"/>
  <c r="AS955" i="1"/>
  <c r="AS954" i="1"/>
  <c r="AS953" i="1"/>
  <c r="AS952" i="1"/>
  <c r="AS951" i="1"/>
  <c r="AS950" i="1"/>
  <c r="AS949" i="1"/>
  <c r="AS948" i="1"/>
  <c r="AS947" i="1"/>
  <c r="AS946" i="1"/>
  <c r="AS945" i="1"/>
  <c r="AS944" i="1"/>
  <c r="AS943" i="1"/>
  <c r="AS942" i="1"/>
  <c r="AS941" i="1"/>
  <c r="AS940" i="1"/>
  <c r="AS939" i="1"/>
  <c r="AS938" i="1"/>
  <c r="AS937" i="1"/>
  <c r="AS936" i="1"/>
  <c r="AS935" i="1"/>
  <c r="AS934" i="1"/>
  <c r="AS933" i="1"/>
  <c r="AS932" i="1"/>
  <c r="AS931" i="1"/>
  <c r="AS930" i="1"/>
  <c r="AS929" i="1"/>
  <c r="AS928" i="1"/>
  <c r="AS927" i="1"/>
  <c r="AS926" i="1"/>
  <c r="AS925" i="1"/>
  <c r="AS924" i="1"/>
  <c r="AS923" i="1"/>
  <c r="AS922" i="1"/>
  <c r="AS921" i="1"/>
  <c r="AS920" i="1"/>
  <c r="AS919" i="1"/>
  <c r="AS918" i="1"/>
  <c r="AS917" i="1"/>
  <c r="AS916" i="1"/>
  <c r="AS915" i="1"/>
  <c r="AS914" i="1"/>
  <c r="AS913" i="1"/>
  <c r="AS912" i="1"/>
  <c r="AS911" i="1"/>
  <c r="AS910" i="1"/>
  <c r="AS909" i="1"/>
  <c r="AS908" i="1"/>
  <c r="AS907" i="1"/>
  <c r="AS906" i="1"/>
  <c r="AS905" i="1"/>
  <c r="AS904" i="1"/>
  <c r="AS903" i="1"/>
  <c r="AS902" i="1"/>
  <c r="AS901" i="1"/>
  <c r="AS900" i="1"/>
  <c r="AS899" i="1"/>
  <c r="AS898" i="1"/>
  <c r="AS897" i="1"/>
  <c r="AS896" i="1"/>
  <c r="AS895" i="1"/>
  <c r="AS894" i="1"/>
  <c r="AS893" i="1"/>
  <c r="AS892" i="1"/>
  <c r="AS891" i="1"/>
  <c r="AS890" i="1"/>
  <c r="AS889" i="1"/>
  <c r="AS888" i="1"/>
  <c r="AS887" i="1"/>
  <c r="AS886" i="1"/>
  <c r="AS885" i="1"/>
  <c r="AS884" i="1"/>
  <c r="AS883" i="1"/>
  <c r="AS882" i="1"/>
  <c r="AS881" i="1"/>
  <c r="AS880" i="1"/>
  <c r="AS879" i="1"/>
  <c r="AS878" i="1"/>
  <c r="AS877" i="1"/>
  <c r="AS876" i="1"/>
  <c r="AS875" i="1"/>
  <c r="AS874" i="1"/>
  <c r="AS873" i="1"/>
  <c r="AS872" i="1"/>
  <c r="AS871" i="1"/>
  <c r="AS870" i="1"/>
  <c r="AS869" i="1"/>
  <c r="AS868" i="1"/>
  <c r="AS867" i="1"/>
  <c r="AS866" i="1"/>
  <c r="AS865" i="1"/>
  <c r="AS864" i="1"/>
  <c r="AS863" i="1"/>
  <c r="AS862" i="1"/>
  <c r="AS861" i="1"/>
  <c r="AS860" i="1"/>
  <c r="AS859" i="1"/>
  <c r="AS858" i="1"/>
  <c r="AS857" i="1"/>
  <c r="AS856" i="1"/>
  <c r="AS855" i="1"/>
  <c r="AS854" i="1"/>
  <c r="AS853" i="1"/>
  <c r="AS852" i="1"/>
  <c r="AS851" i="1"/>
  <c r="AS850" i="1"/>
  <c r="AS849" i="1"/>
  <c r="AS848" i="1"/>
  <c r="AS847" i="1"/>
  <c r="AS846" i="1"/>
  <c r="AS845" i="1"/>
  <c r="AS844" i="1"/>
  <c r="AS843" i="1"/>
  <c r="AS842" i="1"/>
  <c r="AS841" i="1"/>
  <c r="AS840" i="1"/>
  <c r="AS839" i="1"/>
  <c r="AS838" i="1"/>
  <c r="AS837" i="1"/>
  <c r="AS836" i="1"/>
  <c r="AS835" i="1"/>
  <c r="AS834" i="1"/>
  <c r="AS833" i="1"/>
  <c r="AS832" i="1"/>
  <c r="AS831" i="1"/>
  <c r="AS830" i="1"/>
  <c r="AS829" i="1"/>
  <c r="AS828" i="1"/>
  <c r="AS827" i="1"/>
  <c r="AS826" i="1"/>
  <c r="AS825" i="1"/>
  <c r="AS824" i="1"/>
  <c r="AS823" i="1"/>
  <c r="AS822" i="1"/>
  <c r="AS821" i="1"/>
  <c r="AS820" i="1"/>
  <c r="AS819" i="1"/>
  <c r="AS818" i="1"/>
  <c r="AS817" i="1"/>
  <c r="AS816" i="1"/>
  <c r="AS815" i="1"/>
  <c r="AS814" i="1"/>
  <c r="AS813" i="1"/>
  <c r="AS812" i="1"/>
  <c r="AS811" i="1"/>
  <c r="AS810" i="1"/>
  <c r="AS809" i="1"/>
  <c r="AS808" i="1"/>
  <c r="AS807" i="1"/>
  <c r="AS806" i="1"/>
  <c r="AS805" i="1"/>
  <c r="AS804" i="1"/>
  <c r="AS803" i="1"/>
  <c r="AS802" i="1"/>
  <c r="AS801" i="1"/>
  <c r="AS800" i="1"/>
  <c r="AS799" i="1"/>
  <c r="AS798" i="1"/>
  <c r="AS797" i="1"/>
  <c r="AS796" i="1"/>
  <c r="AS795" i="1"/>
  <c r="AS794" i="1"/>
  <c r="AS793" i="1"/>
  <c r="AS792" i="1"/>
  <c r="AS791" i="1"/>
  <c r="AS790" i="1"/>
  <c r="AS789" i="1"/>
  <c r="AS788" i="1"/>
  <c r="AS787" i="1"/>
  <c r="AS786" i="1"/>
  <c r="AS785" i="1"/>
  <c r="AS784" i="1"/>
  <c r="AS783" i="1"/>
  <c r="AS782" i="1"/>
  <c r="AS781" i="1"/>
  <c r="AS780" i="1"/>
  <c r="AS779" i="1"/>
  <c r="AS778" i="1"/>
  <c r="AS777" i="1"/>
  <c r="AS776" i="1"/>
  <c r="AS775" i="1"/>
  <c r="AS774" i="1"/>
  <c r="AS773" i="1"/>
  <c r="AS772" i="1"/>
  <c r="AS771" i="1"/>
  <c r="AS770" i="1"/>
  <c r="AS769" i="1"/>
  <c r="AS768" i="1"/>
  <c r="AS767" i="1"/>
  <c r="AS766" i="1"/>
  <c r="AS765" i="1"/>
  <c r="AS764" i="1"/>
  <c r="AS763" i="1"/>
  <c r="AS762" i="1"/>
  <c r="AS761" i="1"/>
  <c r="AS760" i="1"/>
  <c r="AS759" i="1"/>
  <c r="AS758" i="1"/>
  <c r="AS757" i="1"/>
  <c r="AS756" i="1"/>
  <c r="AS755" i="1"/>
  <c r="AS754" i="1"/>
  <c r="AS753" i="1"/>
  <c r="AS752" i="1"/>
  <c r="AS751" i="1"/>
  <c r="AS750" i="1"/>
  <c r="AS749" i="1"/>
  <c r="AS748" i="1"/>
  <c r="AS747" i="1"/>
  <c r="AS746" i="1"/>
  <c r="AS745" i="1"/>
  <c r="AS744" i="1"/>
  <c r="AS743" i="1"/>
  <c r="AS742" i="1"/>
  <c r="AS741" i="1"/>
  <c r="AS740" i="1"/>
  <c r="AS739" i="1"/>
  <c r="AS738" i="1"/>
  <c r="AS737" i="1"/>
  <c r="AS736" i="1"/>
  <c r="AS735" i="1"/>
  <c r="AS734" i="1"/>
  <c r="AS733" i="1"/>
  <c r="AS732" i="1"/>
  <c r="AS731" i="1"/>
  <c r="AS730" i="1"/>
  <c r="AS729" i="1"/>
  <c r="AS728" i="1"/>
  <c r="AS727" i="1"/>
  <c r="AS726" i="1"/>
  <c r="AS725" i="1"/>
  <c r="AS724" i="1"/>
  <c r="AS723" i="1"/>
  <c r="AS722" i="1"/>
  <c r="AS721" i="1"/>
  <c r="AS720" i="1"/>
  <c r="AS719" i="1"/>
  <c r="AS718" i="1"/>
  <c r="AS717" i="1"/>
  <c r="AS716" i="1"/>
  <c r="AS715" i="1"/>
  <c r="AS714" i="1"/>
  <c r="AS713" i="1"/>
  <c r="AS712" i="1"/>
  <c r="AS711" i="1"/>
  <c r="AS710" i="1"/>
  <c r="AS709" i="1"/>
  <c r="AS708" i="1"/>
  <c r="AS707" i="1"/>
  <c r="AS706" i="1"/>
  <c r="AS705" i="1"/>
  <c r="AS704" i="1"/>
  <c r="AS703" i="1"/>
  <c r="AS702" i="1"/>
  <c r="AS701" i="1"/>
  <c r="AS700" i="1"/>
  <c r="AS699" i="1"/>
  <c r="AS698" i="1"/>
  <c r="AS697" i="1"/>
  <c r="AS696" i="1"/>
  <c r="AS695" i="1"/>
  <c r="AS694" i="1"/>
  <c r="AS693" i="1"/>
  <c r="AS692" i="1"/>
  <c r="AS691" i="1"/>
  <c r="AS690" i="1"/>
  <c r="AS689" i="1"/>
  <c r="AS688" i="1"/>
  <c r="AS687" i="1"/>
  <c r="AS686" i="1"/>
  <c r="AS685" i="1"/>
  <c r="AS684" i="1"/>
  <c r="AS683" i="1"/>
  <c r="AS682" i="1"/>
  <c r="AS681" i="1"/>
  <c r="AS680" i="1"/>
  <c r="AS679" i="1"/>
  <c r="AS678" i="1"/>
  <c r="AS677" i="1"/>
  <c r="AS676" i="1"/>
  <c r="AS675" i="1"/>
  <c r="AS674" i="1"/>
  <c r="AS673" i="1"/>
  <c r="AS672" i="1"/>
  <c r="AS671" i="1"/>
  <c r="AS670" i="1"/>
  <c r="AS669" i="1"/>
  <c r="AS668" i="1"/>
  <c r="AS667" i="1"/>
  <c r="AS666" i="1"/>
  <c r="AS665" i="1"/>
  <c r="AS664" i="1"/>
  <c r="AS663" i="1"/>
  <c r="AS662" i="1"/>
  <c r="AS661" i="1"/>
  <c r="AS660" i="1"/>
  <c r="AS659" i="1"/>
  <c r="AS658" i="1"/>
  <c r="AS657" i="1"/>
  <c r="AS656" i="1"/>
  <c r="AS655" i="1"/>
  <c r="AS654" i="1"/>
  <c r="AS653" i="1"/>
  <c r="AS652" i="1"/>
  <c r="AS651" i="1"/>
  <c r="AS650" i="1"/>
  <c r="AS649" i="1"/>
  <c r="AS648" i="1"/>
  <c r="AS647" i="1"/>
  <c r="AS646" i="1"/>
  <c r="AS645" i="1"/>
  <c r="AS644" i="1"/>
  <c r="AS643" i="1"/>
  <c r="AS642" i="1"/>
  <c r="AS641" i="1"/>
  <c r="AS640" i="1"/>
  <c r="AS639" i="1"/>
  <c r="AS638" i="1"/>
  <c r="AS637" i="1"/>
  <c r="AS636" i="1"/>
  <c r="AS635" i="1"/>
  <c r="AS634" i="1"/>
  <c r="AS633" i="1"/>
  <c r="AS632" i="1"/>
  <c r="AS631" i="1"/>
  <c r="AS630" i="1"/>
  <c r="AS629" i="1"/>
  <c r="AS628" i="1"/>
  <c r="AS627" i="1"/>
  <c r="AS626" i="1"/>
  <c r="AS625" i="1"/>
  <c r="AS624" i="1"/>
  <c r="AS623" i="1"/>
  <c r="AS622" i="1"/>
  <c r="AS621" i="1"/>
  <c r="AS620" i="1"/>
  <c r="AS619" i="1"/>
  <c r="AS618" i="1"/>
  <c r="AS617" i="1"/>
  <c r="AS616" i="1"/>
  <c r="AS615" i="1"/>
  <c r="AS614" i="1"/>
  <c r="AS613" i="1"/>
  <c r="AS612" i="1"/>
  <c r="AS611" i="1"/>
  <c r="AS610" i="1"/>
  <c r="AS609" i="1"/>
  <c r="AS608" i="1"/>
  <c r="AS607" i="1"/>
  <c r="AS606" i="1"/>
  <c r="AS605" i="1"/>
  <c r="AS604" i="1"/>
  <c r="AS603" i="1"/>
  <c r="AS602" i="1"/>
  <c r="AS601" i="1"/>
  <c r="AS600" i="1"/>
  <c r="AS599" i="1"/>
  <c r="AS598" i="1"/>
  <c r="AS597" i="1"/>
  <c r="AS596" i="1"/>
  <c r="AS595" i="1"/>
  <c r="AS594" i="1"/>
  <c r="AS593" i="1"/>
  <c r="AS592" i="1"/>
  <c r="AS591" i="1"/>
  <c r="AS590" i="1"/>
  <c r="AS589" i="1"/>
  <c r="AS588" i="1"/>
  <c r="AS587" i="1"/>
  <c r="AS586" i="1"/>
  <c r="AS585" i="1"/>
  <c r="AS584" i="1"/>
  <c r="AS583" i="1"/>
  <c r="AS582" i="1"/>
  <c r="AS581" i="1"/>
  <c r="AS580" i="1"/>
  <c r="AS579" i="1"/>
  <c r="AS578" i="1"/>
  <c r="AS577" i="1"/>
  <c r="AS576" i="1"/>
  <c r="AS575" i="1"/>
  <c r="AS574" i="1"/>
  <c r="AS573" i="1"/>
  <c r="AS572" i="1"/>
  <c r="AS571" i="1"/>
  <c r="AS570" i="1"/>
  <c r="AS569" i="1"/>
  <c r="AS568" i="1"/>
  <c r="AS567" i="1"/>
  <c r="AS566" i="1"/>
  <c r="AS565" i="1"/>
  <c r="AS564" i="1"/>
  <c r="AS563" i="1"/>
  <c r="AS562" i="1"/>
  <c r="AS561" i="1"/>
  <c r="AS560" i="1"/>
  <c r="AS559" i="1"/>
  <c r="AS558" i="1"/>
  <c r="AS557" i="1"/>
  <c r="AS556" i="1"/>
  <c r="AS555" i="1"/>
  <c r="AS554" i="1"/>
  <c r="AS553" i="1"/>
  <c r="AS552" i="1"/>
  <c r="AS551" i="1"/>
  <c r="AS550" i="1"/>
  <c r="AS549" i="1"/>
  <c r="AS548" i="1"/>
  <c r="AS547" i="1"/>
  <c r="AS546" i="1"/>
  <c r="AS545" i="1"/>
  <c r="AS544" i="1"/>
  <c r="AS543" i="1"/>
  <c r="AS542" i="1"/>
  <c r="AS541" i="1"/>
  <c r="AS540" i="1"/>
  <c r="AS539" i="1"/>
  <c r="AS538" i="1"/>
  <c r="AS537" i="1"/>
  <c r="AS536" i="1"/>
  <c r="AS535" i="1"/>
  <c r="AS534" i="1"/>
  <c r="AS533" i="1"/>
  <c r="AS532" i="1"/>
  <c r="AS531" i="1"/>
  <c r="AS530" i="1"/>
  <c r="AS529" i="1"/>
  <c r="AS528" i="1"/>
  <c r="AS527" i="1"/>
  <c r="AS526" i="1"/>
  <c r="AS525" i="1"/>
  <c r="AS524" i="1"/>
  <c r="AS523" i="1"/>
  <c r="AS522" i="1"/>
  <c r="AS521" i="1"/>
  <c r="AS520" i="1"/>
  <c r="AS519" i="1"/>
  <c r="AS518" i="1"/>
  <c r="AS517" i="1"/>
  <c r="AS516" i="1"/>
  <c r="AS515" i="1"/>
  <c r="AS514" i="1"/>
  <c r="AS513" i="1"/>
  <c r="AS512" i="1"/>
  <c r="AS511" i="1"/>
  <c r="AS510" i="1"/>
  <c r="AS509" i="1"/>
  <c r="AS508" i="1"/>
  <c r="AS507" i="1"/>
  <c r="AS506" i="1"/>
  <c r="AS505" i="1"/>
  <c r="AS504" i="1"/>
  <c r="AS503" i="1"/>
  <c r="AS502" i="1"/>
  <c r="AS501" i="1"/>
  <c r="AS500" i="1"/>
  <c r="AS499" i="1"/>
  <c r="AS498" i="1"/>
  <c r="AS497" i="1"/>
  <c r="AS496" i="1"/>
  <c r="AS495" i="1"/>
  <c r="AS494" i="1"/>
  <c r="AS493" i="1"/>
  <c r="AS492" i="1"/>
  <c r="AS491" i="1"/>
  <c r="AS490" i="1"/>
  <c r="AS489" i="1"/>
  <c r="AS488" i="1"/>
  <c r="AS487" i="1"/>
  <c r="AS486" i="1"/>
  <c r="AS485" i="1"/>
  <c r="AS484" i="1"/>
  <c r="AS483" i="1"/>
  <c r="AS482" i="1"/>
  <c r="AS481" i="1"/>
  <c r="AS480" i="1"/>
  <c r="AS479" i="1"/>
  <c r="AS478" i="1"/>
  <c r="AS477" i="1"/>
  <c r="AS476" i="1"/>
  <c r="AS475" i="1"/>
  <c r="AS474" i="1"/>
  <c r="AS473" i="1"/>
  <c r="AS472" i="1"/>
  <c r="AS471" i="1"/>
  <c r="AS470" i="1"/>
  <c r="AS469" i="1"/>
  <c r="AS468" i="1"/>
  <c r="AS467" i="1"/>
  <c r="AS466" i="1"/>
  <c r="AS465" i="1"/>
  <c r="AS464" i="1"/>
  <c r="AS463" i="1"/>
  <c r="AS462" i="1"/>
  <c r="AS461" i="1"/>
  <c r="AS460" i="1"/>
  <c r="AS459" i="1"/>
  <c r="AS458" i="1"/>
  <c r="AS457" i="1"/>
  <c r="AS456" i="1"/>
  <c r="AS455" i="1"/>
  <c r="AS454" i="1"/>
  <c r="AS453" i="1"/>
  <c r="AS452" i="1"/>
  <c r="AS451" i="1"/>
  <c r="AS450" i="1"/>
  <c r="AS449" i="1"/>
  <c r="AS448" i="1"/>
  <c r="AS447" i="1"/>
  <c r="AS446" i="1"/>
  <c r="AS445" i="1"/>
  <c r="AS444" i="1"/>
  <c r="AS443" i="1"/>
  <c r="AS442" i="1"/>
  <c r="AS441" i="1"/>
  <c r="AS440" i="1"/>
  <c r="AS439" i="1"/>
  <c r="AS438" i="1"/>
  <c r="AS437" i="1"/>
  <c r="AS436" i="1"/>
  <c r="AS435" i="1"/>
  <c r="AS434" i="1"/>
  <c r="AS433" i="1"/>
  <c r="AS432" i="1"/>
  <c r="AS431" i="1"/>
  <c r="AS430" i="1"/>
  <c r="AS429" i="1"/>
  <c r="AS428" i="1"/>
  <c r="AS427" i="1"/>
  <c r="AS426" i="1"/>
  <c r="AS425" i="1"/>
  <c r="AS424" i="1"/>
  <c r="AS423" i="1"/>
  <c r="AS422" i="1"/>
  <c r="AS421" i="1"/>
  <c r="AS420" i="1"/>
  <c r="AS419" i="1"/>
  <c r="AS418" i="1"/>
  <c r="AS417" i="1"/>
  <c r="AS416" i="1"/>
  <c r="AS415" i="1"/>
  <c r="AS414" i="1"/>
  <c r="AS413" i="1"/>
  <c r="AS412" i="1"/>
  <c r="AS411" i="1"/>
  <c r="AS410" i="1"/>
  <c r="AS409" i="1"/>
  <c r="AS408" i="1"/>
  <c r="AS407" i="1"/>
  <c r="AS406" i="1"/>
  <c r="AS405" i="1"/>
  <c r="AS404" i="1"/>
  <c r="AS403" i="1"/>
  <c r="AS402" i="1"/>
  <c r="AS401" i="1"/>
  <c r="AS400" i="1"/>
  <c r="AS399" i="1"/>
  <c r="AS398" i="1"/>
  <c r="AS397" i="1"/>
  <c r="AS396" i="1"/>
  <c r="AS395" i="1"/>
  <c r="AS394" i="1"/>
  <c r="AS393" i="1"/>
  <c r="AS392" i="1"/>
  <c r="AS391" i="1"/>
  <c r="AS390" i="1"/>
  <c r="AS389" i="1"/>
  <c r="AS388" i="1"/>
  <c r="AS387" i="1"/>
  <c r="AS386" i="1"/>
  <c r="AS385" i="1"/>
  <c r="AS384" i="1"/>
  <c r="AS383" i="1"/>
  <c r="AS382" i="1"/>
  <c r="AS381" i="1"/>
  <c r="AS380" i="1"/>
  <c r="AS379" i="1"/>
  <c r="AS378" i="1"/>
  <c r="AS377" i="1"/>
  <c r="AS376" i="1"/>
  <c r="AS375" i="1"/>
  <c r="AS374" i="1"/>
  <c r="AS373" i="1"/>
  <c r="AS372" i="1"/>
  <c r="AS371" i="1"/>
  <c r="AS370" i="1"/>
  <c r="AS369" i="1"/>
  <c r="AS368" i="1"/>
  <c r="AS367" i="1"/>
  <c r="AS366" i="1"/>
  <c r="AS365" i="1"/>
  <c r="AS364" i="1"/>
  <c r="AS363" i="1"/>
  <c r="AS362" i="1"/>
  <c r="AS361" i="1"/>
  <c r="AS360" i="1"/>
  <c r="AS359" i="1"/>
  <c r="AS358" i="1"/>
  <c r="AS357" i="1"/>
  <c r="AS356" i="1"/>
  <c r="AS355" i="1"/>
  <c r="AS354" i="1"/>
  <c r="AS353" i="1"/>
  <c r="AS352" i="1"/>
  <c r="AS351" i="1"/>
  <c r="AS350" i="1"/>
  <c r="AS349" i="1"/>
  <c r="AS348" i="1"/>
  <c r="AS347" i="1"/>
  <c r="AS346" i="1"/>
  <c r="AS345" i="1"/>
  <c r="AS344" i="1"/>
  <c r="AS343" i="1"/>
  <c r="AS342" i="1"/>
  <c r="AS341" i="1"/>
  <c r="AS340" i="1"/>
  <c r="AS339" i="1"/>
  <c r="AS338" i="1"/>
  <c r="AS337" i="1"/>
  <c r="AS336" i="1"/>
  <c r="AS335" i="1"/>
  <c r="AS334" i="1"/>
  <c r="AS333" i="1"/>
  <c r="AS332" i="1"/>
  <c r="AS331" i="1"/>
  <c r="AS330" i="1"/>
  <c r="AS329" i="1"/>
  <c r="AS328" i="1"/>
  <c r="AS327" i="1"/>
  <c r="AS326" i="1"/>
  <c r="AS325" i="1"/>
  <c r="AS324" i="1"/>
  <c r="AS323" i="1"/>
  <c r="AS322" i="1"/>
  <c r="AS321" i="1"/>
  <c r="AS320" i="1"/>
  <c r="AS319" i="1"/>
  <c r="AS318" i="1"/>
  <c r="AS317" i="1"/>
  <c r="AS316" i="1"/>
  <c r="AS315" i="1"/>
  <c r="AS314" i="1"/>
  <c r="AS313" i="1"/>
  <c r="AS312" i="1"/>
  <c r="AS311" i="1"/>
  <c r="AS310" i="1"/>
  <c r="AS309" i="1"/>
  <c r="AS308" i="1"/>
  <c r="AS307" i="1"/>
  <c r="AS306" i="1"/>
  <c r="AS305" i="1"/>
  <c r="AS304" i="1"/>
  <c r="AS303" i="1"/>
  <c r="AS302" i="1"/>
  <c r="AS301" i="1"/>
  <c r="AS300" i="1"/>
  <c r="AS299" i="1"/>
  <c r="AS298" i="1"/>
  <c r="AS297" i="1"/>
  <c r="AS296" i="1"/>
  <c r="AS295" i="1"/>
  <c r="AS294" i="1"/>
  <c r="AS293" i="1"/>
  <c r="AS292" i="1"/>
  <c r="AS291" i="1"/>
  <c r="AS290" i="1"/>
  <c r="AS289" i="1"/>
  <c r="AS288" i="1"/>
  <c r="AS287" i="1"/>
  <c r="AS286" i="1"/>
  <c r="AS285" i="1"/>
  <c r="AS284" i="1"/>
  <c r="AS283" i="1"/>
  <c r="AS282" i="1"/>
  <c r="AS281" i="1"/>
  <c r="AS280" i="1"/>
  <c r="AS279" i="1"/>
  <c r="AS278" i="1"/>
  <c r="AS277" i="1"/>
  <c r="AS276" i="1"/>
  <c r="AS275" i="1"/>
  <c r="AS274" i="1"/>
  <c r="AS273" i="1"/>
  <c r="AS272" i="1"/>
  <c r="AS271" i="1"/>
  <c r="AS270" i="1"/>
  <c r="AS269" i="1"/>
  <c r="AS268" i="1"/>
  <c r="AS267" i="1"/>
  <c r="AS266" i="1"/>
  <c r="AS265" i="1"/>
  <c r="AS264" i="1"/>
  <c r="AS263" i="1"/>
  <c r="AS262" i="1"/>
  <c r="AS261" i="1"/>
  <c r="AS260" i="1"/>
  <c r="AS259" i="1"/>
  <c r="AS258" i="1"/>
  <c r="AS257" i="1"/>
  <c r="AS256" i="1"/>
  <c r="AS255" i="1"/>
  <c r="AS254" i="1"/>
  <c r="AS253" i="1"/>
  <c r="AS252" i="1"/>
  <c r="AS251" i="1"/>
  <c r="AS250" i="1"/>
  <c r="AS249" i="1"/>
  <c r="AS248" i="1"/>
  <c r="AS247" i="1"/>
  <c r="AS246" i="1"/>
  <c r="AS245" i="1"/>
  <c r="AS244" i="1"/>
  <c r="AS243" i="1"/>
  <c r="AS242" i="1"/>
  <c r="AS241" i="1"/>
  <c r="AS240" i="1"/>
  <c r="AS239" i="1"/>
  <c r="AS238" i="1"/>
  <c r="AS237" i="1"/>
  <c r="AS236" i="1"/>
  <c r="AS235" i="1"/>
  <c r="AS234" i="1"/>
  <c r="AS233" i="1"/>
  <c r="AS232" i="1"/>
  <c r="AS231" i="1"/>
  <c r="AS230" i="1"/>
  <c r="AS229" i="1"/>
  <c r="AS228" i="1"/>
  <c r="AS227" i="1"/>
  <c r="AS226" i="1"/>
  <c r="AS225" i="1"/>
  <c r="AS224" i="1"/>
  <c r="AS223" i="1"/>
  <c r="AS222" i="1"/>
  <c r="AS221" i="1"/>
  <c r="AS220" i="1"/>
  <c r="AS219" i="1"/>
  <c r="AS218" i="1"/>
  <c r="AS217" i="1"/>
  <c r="AS216" i="1"/>
  <c r="AS215" i="1"/>
  <c r="AS214" i="1"/>
  <c r="AS213" i="1"/>
  <c r="AS212" i="1"/>
  <c r="AS211" i="1"/>
  <c r="AS210" i="1"/>
  <c r="AS209" i="1"/>
  <c r="AS208" i="1"/>
  <c r="AS207" i="1"/>
  <c r="AS206" i="1"/>
  <c r="AS205" i="1"/>
  <c r="AS204" i="1"/>
  <c r="AS203" i="1"/>
  <c r="AS202" i="1"/>
  <c r="AS201" i="1"/>
  <c r="AS200" i="1"/>
  <c r="AS199" i="1"/>
  <c r="AS198" i="1"/>
  <c r="AS197" i="1"/>
  <c r="AS196" i="1"/>
  <c r="AS195" i="1"/>
  <c r="AS194" i="1"/>
  <c r="AS193" i="1"/>
  <c r="AS192" i="1"/>
  <c r="AS191" i="1"/>
  <c r="AS190" i="1"/>
  <c r="AS189" i="1"/>
  <c r="AS188" i="1"/>
  <c r="AS187" i="1"/>
  <c r="AS186" i="1"/>
  <c r="AS185" i="1"/>
  <c r="AS184" i="1"/>
  <c r="AS183" i="1"/>
  <c r="AS182" i="1"/>
  <c r="AS181" i="1"/>
  <c r="AS180" i="1"/>
  <c r="AS179" i="1"/>
  <c r="AS178" i="1"/>
  <c r="AS177" i="1"/>
  <c r="AS176" i="1"/>
  <c r="AS175" i="1"/>
  <c r="AS174" i="1"/>
  <c r="AS173" i="1"/>
  <c r="AS172" i="1"/>
  <c r="AS171" i="1"/>
  <c r="AS170" i="1"/>
  <c r="AS169" i="1"/>
  <c r="AS168" i="1"/>
  <c r="AS167" i="1"/>
  <c r="AS166" i="1"/>
  <c r="AS165" i="1"/>
  <c r="AS164" i="1"/>
  <c r="AS163" i="1"/>
  <c r="AS162" i="1"/>
  <c r="AS161" i="1"/>
  <c r="AS160" i="1"/>
  <c r="AS159" i="1"/>
  <c r="AS158" i="1"/>
  <c r="AS157" i="1"/>
  <c r="AS156" i="1"/>
  <c r="AS155" i="1"/>
  <c r="AS154" i="1"/>
  <c r="AS153" i="1"/>
  <c r="AS152" i="1"/>
  <c r="AS151" i="1"/>
  <c r="AS150" i="1"/>
  <c r="AS149" i="1"/>
  <c r="AS148" i="1"/>
  <c r="AS147" i="1"/>
  <c r="AS146" i="1"/>
  <c r="AS145" i="1"/>
  <c r="AS144" i="1"/>
  <c r="AS143" i="1"/>
  <c r="AS142" i="1"/>
  <c r="AS141" i="1"/>
  <c r="AS140" i="1"/>
  <c r="AS139" i="1"/>
  <c r="AS138" i="1"/>
  <c r="AS137" i="1"/>
  <c r="AS136" i="1"/>
  <c r="AS135" i="1"/>
  <c r="AS134" i="1"/>
  <c r="AS133" i="1"/>
  <c r="AS132" i="1"/>
  <c r="AS131" i="1"/>
  <c r="AS130" i="1"/>
  <c r="AS129" i="1"/>
  <c r="AS128" i="1"/>
  <c r="AS127" i="1"/>
  <c r="AS126" i="1"/>
  <c r="AS125" i="1"/>
  <c r="AS124" i="1"/>
  <c r="AS123" i="1"/>
  <c r="AS122" i="1"/>
  <c r="AS121" i="1"/>
  <c r="AS120" i="1"/>
  <c r="AS119" i="1"/>
  <c r="AS118" i="1"/>
  <c r="AS117" i="1"/>
  <c r="AS116" i="1"/>
  <c r="AS115" i="1"/>
  <c r="AS114" i="1"/>
  <c r="AS113" i="1"/>
  <c r="AS112" i="1"/>
  <c r="AS111" i="1"/>
  <c r="AS110" i="1"/>
  <c r="AS109" i="1"/>
  <c r="AS108" i="1"/>
  <c r="AS107" i="1"/>
  <c r="AS106" i="1"/>
  <c r="AS105" i="1"/>
  <c r="AS104" i="1"/>
  <c r="AS103" i="1"/>
  <c r="AS102" i="1"/>
  <c r="AS101" i="1"/>
  <c r="AS100" i="1"/>
  <c r="AS99" i="1"/>
  <c r="AS98" i="1"/>
  <c r="AS97" i="1"/>
  <c r="AS96" i="1"/>
  <c r="AS95" i="1"/>
  <c r="AS94" i="1"/>
  <c r="AS93" i="1"/>
  <c r="AS92" i="1"/>
  <c r="AS91" i="1"/>
  <c r="AS90" i="1"/>
  <c r="AS89" i="1"/>
  <c r="AS88" i="1"/>
  <c r="AS87" i="1"/>
  <c r="AS86" i="1"/>
  <c r="AS85" i="1"/>
  <c r="AS84" i="1"/>
  <c r="AS83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O1112" i="1"/>
  <c r="AO1111" i="1"/>
  <c r="AO1110" i="1"/>
  <c r="AO1109" i="1"/>
  <c r="AO1108" i="1"/>
  <c r="AO1107" i="1"/>
  <c r="AO1106" i="1"/>
  <c r="AO1105" i="1"/>
  <c r="AO1104" i="1"/>
  <c r="AO1103" i="1"/>
  <c r="AO1102" i="1"/>
  <c r="AO1101" i="1"/>
  <c r="AO1100" i="1"/>
  <c r="AO1099" i="1"/>
  <c r="AO1098" i="1"/>
  <c r="AO1097" i="1"/>
  <c r="AO1096" i="1"/>
  <c r="AO1095" i="1"/>
  <c r="AO1094" i="1"/>
  <c r="AO1093" i="1"/>
  <c r="AO1092" i="1"/>
  <c r="AO1091" i="1"/>
  <c r="AO1090" i="1"/>
  <c r="AO1089" i="1"/>
  <c r="AO1088" i="1"/>
  <c r="AO1087" i="1"/>
  <c r="AO1086" i="1"/>
  <c r="AO1085" i="1"/>
  <c r="AO1084" i="1"/>
  <c r="AO1083" i="1"/>
  <c r="AO1082" i="1"/>
  <c r="AO1081" i="1"/>
  <c r="AO1080" i="1"/>
  <c r="AO1079" i="1"/>
  <c r="AO1078" i="1"/>
  <c r="AO1077" i="1"/>
  <c r="AO1076" i="1"/>
  <c r="AO1075" i="1"/>
  <c r="AO1074" i="1"/>
  <c r="AO1073" i="1"/>
  <c r="AO1072" i="1"/>
  <c r="AO1071" i="1"/>
  <c r="AO1070" i="1"/>
  <c r="AO1069" i="1"/>
  <c r="AO1068" i="1"/>
  <c r="AO1067" i="1"/>
  <c r="AO1066" i="1"/>
  <c r="AO1065" i="1"/>
  <c r="AO1064" i="1"/>
  <c r="AO1063" i="1"/>
  <c r="AO1062" i="1"/>
  <c r="AO1061" i="1"/>
  <c r="AO1060" i="1"/>
  <c r="AO1059" i="1"/>
  <c r="AO1058" i="1"/>
  <c r="AO1057" i="1"/>
  <c r="AO1056" i="1"/>
  <c r="AO1055" i="1"/>
  <c r="AO1054" i="1"/>
  <c r="AO1053" i="1"/>
  <c r="AO1052" i="1"/>
  <c r="AO1051" i="1"/>
  <c r="AO1050" i="1"/>
  <c r="AO1049" i="1"/>
  <c r="AO1048" i="1"/>
  <c r="AO1047" i="1"/>
  <c r="AO1046" i="1"/>
  <c r="AO1045" i="1"/>
  <c r="AO1044" i="1"/>
  <c r="AO1043" i="1"/>
  <c r="AO1042" i="1"/>
  <c r="AO1041" i="1"/>
  <c r="AO1040" i="1"/>
  <c r="AO1039" i="1"/>
  <c r="AO1038" i="1"/>
  <c r="AO1037" i="1"/>
  <c r="AO1036" i="1"/>
  <c r="AO1035" i="1"/>
  <c r="AO1034" i="1"/>
  <c r="AO1033" i="1"/>
  <c r="AO1032" i="1"/>
  <c r="AO1031" i="1"/>
  <c r="AO1030" i="1"/>
  <c r="AO1029" i="1"/>
  <c r="AO1028" i="1"/>
  <c r="AO1027" i="1"/>
  <c r="AO1026" i="1"/>
  <c r="AO1025" i="1"/>
  <c r="AO1024" i="1"/>
  <c r="AO1023" i="1"/>
  <c r="AO1022" i="1"/>
  <c r="AO1021" i="1"/>
  <c r="AO1020" i="1"/>
  <c r="AO1019" i="1"/>
  <c r="AO1018" i="1"/>
  <c r="AO1017" i="1"/>
  <c r="AO1016" i="1"/>
  <c r="AO1015" i="1"/>
  <c r="AO1014" i="1"/>
  <c r="AO1013" i="1"/>
  <c r="AO1012" i="1"/>
  <c r="AO1011" i="1"/>
  <c r="AO1010" i="1"/>
  <c r="AO1009" i="1"/>
  <c r="AO1008" i="1"/>
  <c r="AO1007" i="1"/>
  <c r="AO1006" i="1"/>
  <c r="AO1005" i="1"/>
  <c r="AO1004" i="1"/>
  <c r="AO1003" i="1"/>
  <c r="AO1002" i="1"/>
  <c r="AO1001" i="1"/>
  <c r="AO1000" i="1"/>
  <c r="AO999" i="1"/>
  <c r="AO998" i="1"/>
  <c r="AO997" i="1"/>
  <c r="AO996" i="1"/>
  <c r="AO995" i="1"/>
  <c r="AO994" i="1"/>
  <c r="AO993" i="1"/>
  <c r="AO992" i="1"/>
  <c r="AO991" i="1"/>
  <c r="AO990" i="1"/>
  <c r="AO989" i="1"/>
  <c r="AO988" i="1"/>
  <c r="AO987" i="1"/>
  <c r="AO986" i="1"/>
  <c r="AO985" i="1"/>
  <c r="AO984" i="1"/>
  <c r="AO983" i="1"/>
  <c r="AO982" i="1"/>
  <c r="AO981" i="1"/>
  <c r="AO980" i="1"/>
  <c r="AO979" i="1"/>
  <c r="AO978" i="1"/>
  <c r="AO977" i="1"/>
  <c r="AO976" i="1"/>
  <c r="AO975" i="1"/>
  <c r="AO974" i="1"/>
  <c r="AO973" i="1"/>
  <c r="AO972" i="1"/>
  <c r="AO971" i="1"/>
  <c r="AO970" i="1"/>
  <c r="AO969" i="1"/>
  <c r="AO968" i="1"/>
  <c r="AO967" i="1"/>
  <c r="AO966" i="1"/>
  <c r="AO965" i="1"/>
  <c r="AO964" i="1"/>
  <c r="AO963" i="1"/>
  <c r="AO962" i="1"/>
  <c r="AO961" i="1"/>
  <c r="AO960" i="1"/>
  <c r="AO959" i="1"/>
  <c r="AO958" i="1"/>
  <c r="AO957" i="1"/>
  <c r="AO956" i="1"/>
  <c r="AO955" i="1"/>
  <c r="AO954" i="1"/>
  <c r="AO953" i="1"/>
  <c r="AO952" i="1"/>
  <c r="AO951" i="1"/>
  <c r="AO950" i="1"/>
  <c r="AO949" i="1"/>
  <c r="AO948" i="1"/>
  <c r="AO947" i="1"/>
  <c r="AO946" i="1"/>
  <c r="AO945" i="1"/>
  <c r="AO944" i="1"/>
  <c r="AO943" i="1"/>
  <c r="AO942" i="1"/>
  <c r="AO941" i="1"/>
  <c r="AO940" i="1"/>
  <c r="AO939" i="1"/>
  <c r="AO938" i="1"/>
  <c r="AO937" i="1"/>
  <c r="AO936" i="1"/>
  <c r="AO935" i="1"/>
  <c r="AO934" i="1"/>
  <c r="AO933" i="1"/>
  <c r="AO932" i="1"/>
  <c r="AO931" i="1"/>
  <c r="AO930" i="1"/>
  <c r="AO929" i="1"/>
  <c r="AO928" i="1"/>
  <c r="AO927" i="1"/>
  <c r="AO926" i="1"/>
  <c r="AO925" i="1"/>
  <c r="AO924" i="1"/>
  <c r="AO923" i="1"/>
  <c r="AO922" i="1"/>
  <c r="AO921" i="1"/>
  <c r="AO920" i="1"/>
  <c r="AO919" i="1"/>
  <c r="AO918" i="1"/>
  <c r="AO917" i="1"/>
  <c r="AO916" i="1"/>
  <c r="AO915" i="1"/>
  <c r="AO914" i="1"/>
  <c r="AO913" i="1"/>
  <c r="AO912" i="1"/>
  <c r="AO911" i="1"/>
  <c r="AO910" i="1"/>
  <c r="AO909" i="1"/>
  <c r="AO908" i="1"/>
  <c r="AO907" i="1"/>
  <c r="AO906" i="1"/>
  <c r="AO905" i="1"/>
  <c r="AO904" i="1"/>
  <c r="AO903" i="1"/>
  <c r="AO902" i="1"/>
  <c r="AO901" i="1"/>
  <c r="AO900" i="1"/>
  <c r="AO899" i="1"/>
  <c r="AO898" i="1"/>
  <c r="AO897" i="1"/>
  <c r="AO896" i="1"/>
  <c r="AO895" i="1"/>
  <c r="AO894" i="1"/>
  <c r="AO893" i="1"/>
  <c r="AO892" i="1"/>
  <c r="AO891" i="1"/>
  <c r="AO890" i="1"/>
  <c r="AO889" i="1"/>
  <c r="AO888" i="1"/>
  <c r="AO887" i="1"/>
  <c r="AO886" i="1"/>
  <c r="AO885" i="1"/>
  <c r="AO884" i="1"/>
  <c r="AO883" i="1"/>
  <c r="AO882" i="1"/>
  <c r="AO881" i="1"/>
  <c r="AO880" i="1"/>
  <c r="AO879" i="1"/>
  <c r="AO878" i="1"/>
  <c r="AO877" i="1"/>
  <c r="AO876" i="1"/>
  <c r="AO875" i="1"/>
  <c r="AO874" i="1"/>
  <c r="AO873" i="1"/>
  <c r="AO872" i="1"/>
  <c r="AO871" i="1"/>
  <c r="AO870" i="1"/>
  <c r="AO869" i="1"/>
  <c r="AO868" i="1"/>
  <c r="AO867" i="1"/>
  <c r="AO866" i="1"/>
  <c r="AO865" i="1"/>
  <c r="AO864" i="1"/>
  <c r="AO863" i="1"/>
  <c r="AO862" i="1"/>
  <c r="AO861" i="1"/>
  <c r="AO860" i="1"/>
  <c r="AO859" i="1"/>
  <c r="AO858" i="1"/>
  <c r="AO857" i="1"/>
  <c r="AO856" i="1"/>
  <c r="AO855" i="1"/>
  <c r="AO854" i="1"/>
  <c r="AO853" i="1"/>
  <c r="AO852" i="1"/>
  <c r="AO851" i="1"/>
  <c r="AO850" i="1"/>
  <c r="AO849" i="1"/>
  <c r="AO848" i="1"/>
  <c r="AO847" i="1"/>
  <c r="AO846" i="1"/>
  <c r="AO845" i="1"/>
  <c r="AO844" i="1"/>
  <c r="AO843" i="1"/>
  <c r="AO842" i="1"/>
  <c r="AO841" i="1"/>
  <c r="AO840" i="1"/>
  <c r="AO839" i="1"/>
  <c r="AO838" i="1"/>
  <c r="AO837" i="1"/>
  <c r="AO836" i="1"/>
  <c r="AO835" i="1"/>
  <c r="AO834" i="1"/>
  <c r="AO833" i="1"/>
  <c r="AO832" i="1"/>
  <c r="AO831" i="1"/>
  <c r="AO830" i="1"/>
  <c r="AO829" i="1"/>
  <c r="AO828" i="1"/>
  <c r="AO827" i="1"/>
  <c r="AO826" i="1"/>
  <c r="AO825" i="1"/>
  <c r="AO824" i="1"/>
  <c r="AO823" i="1"/>
  <c r="AO822" i="1"/>
  <c r="AO821" i="1"/>
  <c r="AO820" i="1"/>
  <c r="AO819" i="1"/>
  <c r="AO818" i="1"/>
  <c r="AO817" i="1"/>
  <c r="AO816" i="1"/>
  <c r="AO815" i="1"/>
  <c r="AO814" i="1"/>
  <c r="AO813" i="1"/>
  <c r="AO812" i="1"/>
  <c r="AO811" i="1"/>
  <c r="AO810" i="1"/>
  <c r="AO809" i="1"/>
  <c r="AO808" i="1"/>
  <c r="AO807" i="1"/>
  <c r="AO806" i="1"/>
  <c r="AO805" i="1"/>
  <c r="AO804" i="1"/>
  <c r="AO803" i="1"/>
  <c r="AO802" i="1"/>
  <c r="AO801" i="1"/>
  <c r="AO800" i="1"/>
  <c r="AO799" i="1"/>
  <c r="AO798" i="1"/>
  <c r="AO797" i="1"/>
  <c r="AO796" i="1"/>
  <c r="AO795" i="1"/>
  <c r="AO794" i="1"/>
  <c r="AO793" i="1"/>
  <c r="AO792" i="1"/>
  <c r="AO791" i="1"/>
  <c r="AO790" i="1"/>
  <c r="AO789" i="1"/>
  <c r="AO788" i="1"/>
  <c r="AO787" i="1"/>
  <c r="AO786" i="1"/>
  <c r="AO785" i="1"/>
  <c r="AO784" i="1"/>
  <c r="AO783" i="1"/>
  <c r="AO782" i="1"/>
  <c r="AO781" i="1"/>
  <c r="AO780" i="1"/>
  <c r="AO779" i="1"/>
  <c r="AO778" i="1"/>
  <c r="AO777" i="1"/>
  <c r="AO776" i="1"/>
  <c r="AO775" i="1"/>
  <c r="AO774" i="1"/>
  <c r="AO773" i="1"/>
  <c r="AO772" i="1"/>
  <c r="AO771" i="1"/>
  <c r="AO770" i="1"/>
  <c r="AO769" i="1"/>
  <c r="AO768" i="1"/>
  <c r="AO767" i="1"/>
  <c r="AO766" i="1"/>
  <c r="AO765" i="1"/>
  <c r="AO764" i="1"/>
  <c r="AO763" i="1"/>
  <c r="AO762" i="1"/>
  <c r="AO761" i="1"/>
  <c r="AO760" i="1"/>
  <c r="AO759" i="1"/>
  <c r="AO758" i="1"/>
  <c r="AO757" i="1"/>
  <c r="AO756" i="1"/>
  <c r="AO755" i="1"/>
  <c r="AO754" i="1"/>
  <c r="AO753" i="1"/>
  <c r="AO752" i="1"/>
  <c r="AO751" i="1"/>
  <c r="AO750" i="1"/>
  <c r="AO749" i="1"/>
  <c r="AO748" i="1"/>
  <c r="AO747" i="1"/>
  <c r="AO746" i="1"/>
  <c r="AO745" i="1"/>
  <c r="AO744" i="1"/>
  <c r="AO743" i="1"/>
  <c r="AO742" i="1"/>
  <c r="AO741" i="1"/>
  <c r="AO740" i="1"/>
  <c r="AO739" i="1"/>
  <c r="AO738" i="1"/>
  <c r="AO737" i="1"/>
  <c r="AO736" i="1"/>
  <c r="AO735" i="1"/>
  <c r="AO734" i="1"/>
  <c r="AO733" i="1"/>
  <c r="AO732" i="1"/>
  <c r="AO731" i="1"/>
  <c r="AO730" i="1"/>
  <c r="AO729" i="1"/>
  <c r="AO728" i="1"/>
  <c r="AO727" i="1"/>
  <c r="AO726" i="1"/>
  <c r="AO725" i="1"/>
  <c r="AO724" i="1"/>
  <c r="AO723" i="1"/>
  <c r="AO722" i="1"/>
  <c r="AO721" i="1"/>
  <c r="AO720" i="1"/>
  <c r="AO719" i="1"/>
  <c r="AO718" i="1"/>
  <c r="AO717" i="1"/>
  <c r="AO716" i="1"/>
  <c r="AO715" i="1"/>
  <c r="AO714" i="1"/>
  <c r="AO713" i="1"/>
  <c r="AO712" i="1"/>
  <c r="AO711" i="1"/>
  <c r="AO710" i="1"/>
  <c r="AO709" i="1"/>
  <c r="AO708" i="1"/>
  <c r="AO707" i="1"/>
  <c r="AO706" i="1"/>
  <c r="AO705" i="1"/>
  <c r="AO704" i="1"/>
  <c r="AO703" i="1"/>
  <c r="AO702" i="1"/>
  <c r="AO701" i="1"/>
  <c r="AO700" i="1"/>
  <c r="AO699" i="1"/>
  <c r="AO698" i="1"/>
  <c r="AO697" i="1"/>
  <c r="AO696" i="1"/>
  <c r="AO695" i="1"/>
  <c r="AO694" i="1"/>
  <c r="AO693" i="1"/>
  <c r="AO692" i="1"/>
  <c r="AO691" i="1"/>
  <c r="AO690" i="1"/>
  <c r="AO689" i="1"/>
  <c r="AO688" i="1"/>
  <c r="AO687" i="1"/>
  <c r="AO686" i="1"/>
  <c r="AO685" i="1"/>
  <c r="AO684" i="1"/>
  <c r="AO683" i="1"/>
  <c r="AO682" i="1"/>
  <c r="AO681" i="1"/>
  <c r="AO680" i="1"/>
  <c r="AO679" i="1"/>
  <c r="AO678" i="1"/>
  <c r="AO677" i="1"/>
  <c r="AO676" i="1"/>
  <c r="AO675" i="1"/>
  <c r="AO674" i="1"/>
  <c r="AO673" i="1"/>
  <c r="AO672" i="1"/>
  <c r="AO671" i="1"/>
  <c r="AO670" i="1"/>
  <c r="AO669" i="1"/>
  <c r="AO668" i="1"/>
  <c r="AO667" i="1"/>
  <c r="AO666" i="1"/>
  <c r="AO665" i="1"/>
  <c r="AO664" i="1"/>
  <c r="AO663" i="1"/>
  <c r="AO662" i="1"/>
  <c r="AO661" i="1"/>
  <c r="AO660" i="1"/>
  <c r="AO659" i="1"/>
  <c r="AO658" i="1"/>
  <c r="AO657" i="1"/>
  <c r="AO656" i="1"/>
  <c r="AO655" i="1"/>
  <c r="AO654" i="1"/>
  <c r="AO653" i="1"/>
  <c r="AO652" i="1"/>
  <c r="AO651" i="1"/>
  <c r="AO650" i="1"/>
  <c r="AO649" i="1"/>
  <c r="AO648" i="1"/>
  <c r="AO647" i="1"/>
  <c r="AO646" i="1"/>
  <c r="AO645" i="1"/>
  <c r="AO644" i="1"/>
  <c r="AO643" i="1"/>
  <c r="AO642" i="1"/>
  <c r="AO641" i="1"/>
  <c r="AO640" i="1"/>
  <c r="AO639" i="1"/>
  <c r="AO638" i="1"/>
  <c r="AO637" i="1"/>
  <c r="AO636" i="1"/>
  <c r="AO635" i="1"/>
  <c r="AO634" i="1"/>
  <c r="AO633" i="1"/>
  <c r="AO632" i="1"/>
  <c r="AO631" i="1"/>
  <c r="AO630" i="1"/>
  <c r="AO629" i="1"/>
  <c r="AO628" i="1"/>
  <c r="AO627" i="1"/>
  <c r="AO626" i="1"/>
  <c r="AO625" i="1"/>
  <c r="AO624" i="1"/>
  <c r="AO623" i="1"/>
  <c r="AO622" i="1"/>
  <c r="AO621" i="1"/>
  <c r="AO620" i="1"/>
  <c r="AO619" i="1"/>
  <c r="AO618" i="1"/>
  <c r="AO617" i="1"/>
  <c r="AO616" i="1"/>
  <c r="AO615" i="1"/>
  <c r="AO614" i="1"/>
  <c r="AO613" i="1"/>
  <c r="AO612" i="1"/>
  <c r="AO611" i="1"/>
  <c r="AO610" i="1"/>
  <c r="AO609" i="1"/>
  <c r="AO608" i="1"/>
  <c r="AO607" i="1"/>
  <c r="AO606" i="1"/>
  <c r="AO605" i="1"/>
  <c r="AO604" i="1"/>
  <c r="AO603" i="1"/>
  <c r="AO602" i="1"/>
  <c r="AO601" i="1"/>
  <c r="AO600" i="1"/>
  <c r="AO599" i="1"/>
  <c r="AO598" i="1"/>
  <c r="AO597" i="1"/>
  <c r="AO596" i="1"/>
  <c r="AO595" i="1"/>
  <c r="AO594" i="1"/>
  <c r="AO593" i="1"/>
  <c r="AO592" i="1"/>
  <c r="AO591" i="1"/>
  <c r="AO590" i="1"/>
  <c r="AO589" i="1"/>
  <c r="AO588" i="1"/>
  <c r="AO587" i="1"/>
  <c r="AO586" i="1"/>
  <c r="AO585" i="1"/>
  <c r="AO584" i="1"/>
  <c r="AO583" i="1"/>
  <c r="AO582" i="1"/>
  <c r="AO581" i="1"/>
  <c r="AO580" i="1"/>
  <c r="AO579" i="1"/>
  <c r="AO578" i="1"/>
  <c r="AO577" i="1"/>
  <c r="AO576" i="1"/>
  <c r="AO575" i="1"/>
  <c r="AO574" i="1"/>
  <c r="AO573" i="1"/>
  <c r="AO572" i="1"/>
  <c r="AO571" i="1"/>
  <c r="AO570" i="1"/>
  <c r="AO569" i="1"/>
  <c r="AO568" i="1"/>
  <c r="AO567" i="1"/>
  <c r="AO566" i="1"/>
  <c r="AO565" i="1"/>
  <c r="AO564" i="1"/>
  <c r="AO563" i="1"/>
  <c r="AO562" i="1"/>
  <c r="AO561" i="1"/>
  <c r="AO560" i="1"/>
  <c r="AO559" i="1"/>
  <c r="AO558" i="1"/>
  <c r="AO557" i="1"/>
  <c r="AO556" i="1"/>
  <c r="AO555" i="1"/>
  <c r="AO554" i="1"/>
  <c r="AO553" i="1"/>
  <c r="AO552" i="1"/>
  <c r="AO551" i="1"/>
  <c r="AO550" i="1"/>
  <c r="AO549" i="1"/>
  <c r="AO548" i="1"/>
  <c r="AO547" i="1"/>
  <c r="AO546" i="1"/>
  <c r="AO545" i="1"/>
  <c r="AO544" i="1"/>
  <c r="AO543" i="1"/>
  <c r="AO542" i="1"/>
  <c r="AO541" i="1"/>
  <c r="AO540" i="1"/>
  <c r="AO539" i="1"/>
  <c r="AO538" i="1"/>
  <c r="AO537" i="1"/>
  <c r="AO536" i="1"/>
  <c r="AO535" i="1"/>
  <c r="AO534" i="1"/>
  <c r="AO533" i="1"/>
  <c r="AO532" i="1"/>
  <c r="AO531" i="1"/>
  <c r="AO530" i="1"/>
  <c r="AO529" i="1"/>
  <c r="AO528" i="1"/>
  <c r="AO527" i="1"/>
  <c r="AO526" i="1"/>
  <c r="AO525" i="1"/>
  <c r="AO524" i="1"/>
  <c r="AO523" i="1"/>
  <c r="AO522" i="1"/>
  <c r="AO521" i="1"/>
  <c r="AO520" i="1"/>
  <c r="AO519" i="1"/>
  <c r="AO518" i="1"/>
  <c r="AO517" i="1"/>
  <c r="AO516" i="1"/>
  <c r="AO515" i="1"/>
  <c r="AO514" i="1"/>
  <c r="AO513" i="1"/>
  <c r="AO512" i="1"/>
  <c r="AO511" i="1"/>
  <c r="AO510" i="1"/>
  <c r="AO509" i="1"/>
  <c r="AO508" i="1"/>
  <c r="AO507" i="1"/>
  <c r="AO506" i="1"/>
  <c r="AO505" i="1"/>
  <c r="AO504" i="1"/>
  <c r="AO503" i="1"/>
  <c r="AO502" i="1"/>
  <c r="AO501" i="1"/>
  <c r="AO500" i="1"/>
  <c r="AO499" i="1"/>
  <c r="AO498" i="1"/>
  <c r="AO497" i="1"/>
  <c r="AO496" i="1"/>
  <c r="AO495" i="1"/>
  <c r="AO494" i="1"/>
  <c r="AO493" i="1"/>
  <c r="AO492" i="1"/>
  <c r="AO491" i="1"/>
  <c r="AO490" i="1"/>
  <c r="AO489" i="1"/>
  <c r="AO488" i="1"/>
  <c r="AO487" i="1"/>
  <c r="AO486" i="1"/>
  <c r="AO485" i="1"/>
  <c r="AO484" i="1"/>
  <c r="AO483" i="1"/>
  <c r="AO482" i="1"/>
  <c r="AO481" i="1"/>
  <c r="AO480" i="1"/>
  <c r="AO479" i="1"/>
  <c r="AO478" i="1"/>
  <c r="AO477" i="1"/>
  <c r="AO476" i="1"/>
  <c r="AO475" i="1"/>
  <c r="AO474" i="1"/>
  <c r="AO473" i="1"/>
  <c r="AO472" i="1"/>
  <c r="AO471" i="1"/>
  <c r="AO470" i="1"/>
  <c r="AO469" i="1"/>
  <c r="AO468" i="1"/>
  <c r="AO467" i="1"/>
  <c r="AO466" i="1"/>
  <c r="AO465" i="1"/>
  <c r="AO464" i="1"/>
  <c r="AO463" i="1"/>
  <c r="AO462" i="1"/>
  <c r="AO461" i="1"/>
  <c r="AO460" i="1"/>
  <c r="AO459" i="1"/>
  <c r="AO458" i="1"/>
  <c r="AO457" i="1"/>
  <c r="AO456" i="1"/>
  <c r="AO455" i="1"/>
  <c r="AO454" i="1"/>
  <c r="AO453" i="1"/>
  <c r="AO452" i="1"/>
  <c r="AO451" i="1"/>
  <c r="AO450" i="1"/>
  <c r="AO449" i="1"/>
  <c r="AO448" i="1"/>
  <c r="AO447" i="1"/>
  <c r="AO446" i="1"/>
  <c r="AO445" i="1"/>
  <c r="AO444" i="1"/>
  <c r="AO443" i="1"/>
  <c r="AO442" i="1"/>
  <c r="AO441" i="1"/>
  <c r="AO440" i="1"/>
  <c r="AO439" i="1"/>
  <c r="AO438" i="1"/>
  <c r="AO437" i="1"/>
  <c r="AO436" i="1"/>
  <c r="AO435" i="1"/>
  <c r="AO434" i="1"/>
  <c r="AO433" i="1"/>
  <c r="AO432" i="1"/>
  <c r="AO431" i="1"/>
  <c r="AO430" i="1"/>
  <c r="AO429" i="1"/>
  <c r="AO428" i="1"/>
  <c r="AO427" i="1"/>
  <c r="AO426" i="1"/>
  <c r="AO425" i="1"/>
  <c r="AO424" i="1"/>
  <c r="AO423" i="1"/>
  <c r="AO422" i="1"/>
  <c r="AO421" i="1"/>
  <c r="AO420" i="1"/>
  <c r="AO419" i="1"/>
  <c r="AO418" i="1"/>
  <c r="AO417" i="1"/>
  <c r="AO416" i="1"/>
  <c r="AO415" i="1"/>
  <c r="AO414" i="1"/>
  <c r="AO413" i="1"/>
  <c r="AO412" i="1"/>
  <c r="AO411" i="1"/>
  <c r="AO410" i="1"/>
  <c r="AO409" i="1"/>
  <c r="AO408" i="1"/>
  <c r="AO407" i="1"/>
  <c r="AO406" i="1"/>
  <c r="AO405" i="1"/>
  <c r="AO404" i="1"/>
  <c r="AO403" i="1"/>
  <c r="AO402" i="1"/>
  <c r="AO401" i="1"/>
  <c r="AO400" i="1"/>
  <c r="AO399" i="1"/>
  <c r="AO398" i="1"/>
  <c r="AO397" i="1"/>
  <c r="AO396" i="1"/>
  <c r="AO395" i="1"/>
  <c r="AO394" i="1"/>
  <c r="AO393" i="1"/>
  <c r="AO392" i="1"/>
  <c r="AO391" i="1"/>
  <c r="AO390" i="1"/>
  <c r="AO389" i="1"/>
  <c r="AO388" i="1"/>
  <c r="AO387" i="1"/>
  <c r="AO386" i="1"/>
  <c r="AO385" i="1"/>
  <c r="AO384" i="1"/>
  <c r="AO383" i="1"/>
  <c r="AO382" i="1"/>
  <c r="AO381" i="1"/>
  <c r="AO380" i="1"/>
  <c r="AO379" i="1"/>
  <c r="AO378" i="1"/>
  <c r="AO377" i="1"/>
  <c r="AO376" i="1"/>
  <c r="AO375" i="1"/>
  <c r="AO374" i="1"/>
  <c r="AO373" i="1"/>
  <c r="AO372" i="1"/>
  <c r="AO371" i="1"/>
  <c r="AO370" i="1"/>
  <c r="AO369" i="1"/>
  <c r="AO368" i="1"/>
  <c r="AO367" i="1"/>
  <c r="AO366" i="1"/>
  <c r="AO365" i="1"/>
  <c r="AO364" i="1"/>
  <c r="AO363" i="1"/>
  <c r="AO362" i="1"/>
  <c r="AO361" i="1"/>
  <c r="AO360" i="1"/>
  <c r="AO359" i="1"/>
  <c r="AO358" i="1"/>
  <c r="AO357" i="1"/>
  <c r="AO356" i="1"/>
  <c r="AO355" i="1"/>
  <c r="AO354" i="1"/>
  <c r="AO353" i="1"/>
  <c r="AO352" i="1"/>
  <c r="AO351" i="1"/>
  <c r="AO350" i="1"/>
  <c r="AO349" i="1"/>
  <c r="AO348" i="1"/>
  <c r="AO347" i="1"/>
  <c r="AO346" i="1"/>
  <c r="AO345" i="1"/>
  <c r="AO344" i="1"/>
  <c r="AO343" i="1"/>
  <c r="AO342" i="1"/>
  <c r="AO341" i="1"/>
  <c r="AO340" i="1"/>
  <c r="AO339" i="1"/>
  <c r="AO338" i="1"/>
  <c r="AO337" i="1"/>
  <c r="AO336" i="1"/>
  <c r="AO335" i="1"/>
  <c r="AO334" i="1"/>
  <c r="AO333" i="1"/>
  <c r="AO332" i="1"/>
  <c r="AO331" i="1"/>
  <c r="AO330" i="1"/>
  <c r="AO329" i="1"/>
  <c r="AO328" i="1"/>
  <c r="AO327" i="1"/>
  <c r="AO326" i="1"/>
  <c r="AO325" i="1"/>
  <c r="AO324" i="1"/>
  <c r="AO323" i="1"/>
  <c r="AO322" i="1"/>
  <c r="AO321" i="1"/>
  <c r="AO320" i="1"/>
  <c r="AO319" i="1"/>
  <c r="AO318" i="1"/>
  <c r="AO317" i="1"/>
  <c r="AO316" i="1"/>
  <c r="AO315" i="1"/>
  <c r="AO314" i="1"/>
  <c r="AO313" i="1"/>
  <c r="AO312" i="1"/>
  <c r="AO311" i="1"/>
  <c r="AO310" i="1"/>
  <c r="AO309" i="1"/>
  <c r="AO308" i="1"/>
  <c r="AO307" i="1"/>
  <c r="AO306" i="1"/>
  <c r="AO305" i="1"/>
  <c r="AO304" i="1"/>
  <c r="AO303" i="1"/>
  <c r="AO302" i="1"/>
  <c r="AO301" i="1"/>
  <c r="AO300" i="1"/>
  <c r="AO299" i="1"/>
  <c r="AO298" i="1"/>
  <c r="AO297" i="1"/>
  <c r="AO296" i="1"/>
  <c r="AO295" i="1"/>
  <c r="AO294" i="1"/>
  <c r="AO293" i="1"/>
  <c r="AO292" i="1"/>
  <c r="AO291" i="1"/>
  <c r="AO290" i="1"/>
  <c r="AO289" i="1"/>
  <c r="AO288" i="1"/>
  <c r="AO287" i="1"/>
  <c r="AO286" i="1"/>
  <c r="AO285" i="1"/>
  <c r="AO284" i="1"/>
  <c r="AO283" i="1"/>
  <c r="AO282" i="1"/>
  <c r="AO281" i="1"/>
  <c r="AO280" i="1"/>
  <c r="AO279" i="1"/>
  <c r="AO278" i="1"/>
  <c r="AO277" i="1"/>
  <c r="AO276" i="1"/>
  <c r="AO275" i="1"/>
  <c r="AO274" i="1"/>
  <c r="AO273" i="1"/>
  <c r="AO272" i="1"/>
  <c r="AO271" i="1"/>
  <c r="AO270" i="1"/>
  <c r="AO269" i="1"/>
  <c r="AO268" i="1"/>
  <c r="AO267" i="1"/>
  <c r="AO266" i="1"/>
  <c r="AO265" i="1"/>
  <c r="AO264" i="1"/>
  <c r="AO263" i="1"/>
  <c r="AO262" i="1"/>
  <c r="AO261" i="1"/>
  <c r="AO260" i="1"/>
  <c r="AO259" i="1"/>
  <c r="AO258" i="1"/>
  <c r="AO257" i="1"/>
  <c r="AO256" i="1"/>
  <c r="AO255" i="1"/>
  <c r="AO254" i="1"/>
  <c r="AO253" i="1"/>
  <c r="AO252" i="1"/>
  <c r="AO251" i="1"/>
  <c r="AO250" i="1"/>
  <c r="AO249" i="1"/>
  <c r="AO248" i="1"/>
  <c r="AO247" i="1"/>
  <c r="AO246" i="1"/>
  <c r="AO245" i="1"/>
  <c r="AO244" i="1"/>
  <c r="AO243" i="1"/>
  <c r="AO242" i="1"/>
  <c r="AO241" i="1"/>
  <c r="AO240" i="1"/>
  <c r="AO239" i="1"/>
  <c r="AO238" i="1"/>
  <c r="AO237" i="1"/>
  <c r="AO236" i="1"/>
  <c r="AO235" i="1"/>
  <c r="AO234" i="1"/>
  <c r="AO233" i="1"/>
  <c r="AO232" i="1"/>
  <c r="AO231" i="1"/>
  <c r="AO230" i="1"/>
  <c r="AO229" i="1"/>
  <c r="AO228" i="1"/>
  <c r="AO227" i="1"/>
  <c r="AO226" i="1"/>
  <c r="AO225" i="1"/>
  <c r="AO224" i="1"/>
  <c r="AO223" i="1"/>
  <c r="AO222" i="1"/>
  <c r="AO221" i="1"/>
  <c r="AO220" i="1"/>
  <c r="AO219" i="1"/>
  <c r="AO218" i="1"/>
  <c r="AO217" i="1"/>
  <c r="AO216" i="1"/>
  <c r="AO215" i="1"/>
  <c r="AO214" i="1"/>
  <c r="AO213" i="1"/>
  <c r="AO212" i="1"/>
  <c r="AO211" i="1"/>
  <c r="AO210" i="1"/>
  <c r="AO209" i="1"/>
  <c r="AO208" i="1"/>
  <c r="AO207" i="1"/>
  <c r="AO206" i="1"/>
  <c r="AO205" i="1"/>
  <c r="AO204" i="1"/>
  <c r="AO203" i="1"/>
  <c r="AO202" i="1"/>
  <c r="AO201" i="1"/>
  <c r="AO200" i="1"/>
  <c r="AO199" i="1"/>
  <c r="AO198" i="1"/>
  <c r="AO197" i="1"/>
  <c r="AO196" i="1"/>
  <c r="AO195" i="1"/>
  <c r="AO194" i="1"/>
  <c r="AO193" i="1"/>
  <c r="AO192" i="1"/>
  <c r="AO191" i="1"/>
  <c r="AO190" i="1"/>
  <c r="AO189" i="1"/>
  <c r="AO188" i="1"/>
  <c r="AO187" i="1"/>
  <c r="AO186" i="1"/>
  <c r="AO185" i="1"/>
  <c r="AO184" i="1"/>
  <c r="AO183" i="1"/>
  <c r="AO182" i="1"/>
  <c r="AO181" i="1"/>
  <c r="AO180" i="1"/>
  <c r="AO179" i="1"/>
  <c r="AO178" i="1"/>
  <c r="AO177" i="1"/>
  <c r="AO176" i="1"/>
  <c r="AO175" i="1"/>
  <c r="AO174" i="1"/>
  <c r="AO173" i="1"/>
  <c r="AO172" i="1"/>
  <c r="AO171" i="1"/>
  <c r="AO170" i="1"/>
  <c r="AO169" i="1"/>
  <c r="AO168" i="1"/>
  <c r="AO167" i="1"/>
  <c r="AO166" i="1"/>
  <c r="AO165" i="1"/>
  <c r="AO164" i="1"/>
  <c r="AO163" i="1"/>
  <c r="AO162" i="1"/>
  <c r="AO161" i="1"/>
  <c r="AO160" i="1"/>
  <c r="AO159" i="1"/>
  <c r="AO158" i="1"/>
  <c r="AO157" i="1"/>
  <c r="AO156" i="1"/>
  <c r="AO155" i="1"/>
  <c r="AO154" i="1"/>
  <c r="AO153" i="1"/>
  <c r="AO152" i="1"/>
  <c r="AO151" i="1"/>
  <c r="AO150" i="1"/>
  <c r="AO149" i="1"/>
  <c r="AO148" i="1"/>
  <c r="AO147" i="1"/>
  <c r="AO146" i="1"/>
  <c r="AO145" i="1"/>
  <c r="AO144" i="1"/>
  <c r="AO143" i="1"/>
  <c r="AO142" i="1"/>
  <c r="AO141" i="1"/>
  <c r="AO140" i="1"/>
  <c r="AO139" i="1"/>
  <c r="AO138" i="1"/>
  <c r="AO137" i="1"/>
  <c r="AO136" i="1"/>
  <c r="AO135" i="1"/>
  <c r="AO134" i="1"/>
  <c r="AO133" i="1"/>
  <c r="AO132" i="1"/>
  <c r="AO131" i="1"/>
  <c r="AO130" i="1"/>
  <c r="AO129" i="1"/>
  <c r="AO128" i="1"/>
  <c r="AO127" i="1"/>
  <c r="AO126" i="1"/>
  <c r="AO125" i="1"/>
  <c r="AO124" i="1"/>
  <c r="AO123" i="1"/>
  <c r="AO122" i="1"/>
  <c r="AO121" i="1"/>
  <c r="AO120" i="1"/>
  <c r="AO119" i="1"/>
  <c r="AO118" i="1"/>
  <c r="AO117" i="1"/>
  <c r="AO116" i="1"/>
  <c r="AO115" i="1"/>
  <c r="AO114" i="1"/>
  <c r="AO113" i="1"/>
  <c r="AO112" i="1"/>
  <c r="AO111" i="1"/>
  <c r="AO110" i="1"/>
  <c r="AO109" i="1"/>
  <c r="AO108" i="1"/>
  <c r="AO107" i="1"/>
  <c r="AO106" i="1"/>
  <c r="AO105" i="1"/>
  <c r="AO104" i="1"/>
  <c r="AO103" i="1"/>
  <c r="AO102" i="1"/>
  <c r="AO101" i="1"/>
  <c r="AO100" i="1"/>
  <c r="AO99" i="1"/>
  <c r="AO98" i="1"/>
  <c r="AO97" i="1"/>
  <c r="AO96" i="1"/>
  <c r="AO95" i="1"/>
  <c r="AO94" i="1"/>
  <c r="AO93" i="1"/>
  <c r="AO92" i="1"/>
  <c r="AO91" i="1"/>
  <c r="AO90" i="1"/>
  <c r="AO89" i="1"/>
  <c r="AO88" i="1"/>
  <c r="AO87" i="1"/>
  <c r="AO86" i="1"/>
  <c r="AO85" i="1"/>
  <c r="AO84" i="1"/>
  <c r="AO83" i="1"/>
  <c r="AO82" i="1"/>
  <c r="AO81" i="1"/>
  <c r="AO80" i="1"/>
  <c r="AO79" i="1"/>
  <c r="AO78" i="1"/>
  <c r="AO77" i="1"/>
  <c r="AO76" i="1"/>
  <c r="AO75" i="1"/>
  <c r="AO74" i="1"/>
  <c r="AO73" i="1"/>
  <c r="AO72" i="1"/>
  <c r="AO71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/>
  <c r="AO49" i="1"/>
  <c r="AO48" i="1"/>
  <c r="AO47" i="1"/>
  <c r="AO46" i="1"/>
  <c r="AO45" i="1"/>
  <c r="AO44" i="1"/>
  <c r="AO43" i="1"/>
  <c r="AO42" i="1"/>
  <c r="AO41" i="1"/>
  <c r="AO40" i="1"/>
  <c r="AO39" i="1"/>
  <c r="AO38" i="1"/>
  <c r="AO37" i="1"/>
  <c r="AO36" i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O21" i="1"/>
  <c r="AO20" i="1"/>
  <c r="AO19" i="1"/>
  <c r="AO18" i="1"/>
  <c r="AO17" i="1"/>
  <c r="AK1112" i="1"/>
  <c r="AK1111" i="1"/>
  <c r="AK1110" i="1"/>
  <c r="AK1109" i="1"/>
  <c r="AK1108" i="1"/>
  <c r="AK1107" i="1"/>
  <c r="AK1106" i="1"/>
  <c r="AK1105" i="1"/>
  <c r="AK1104" i="1"/>
  <c r="AK1103" i="1"/>
  <c r="AK1102" i="1"/>
  <c r="AK1101" i="1"/>
  <c r="AK1100" i="1"/>
  <c r="AK1099" i="1"/>
  <c r="AK1098" i="1"/>
  <c r="AK1097" i="1"/>
  <c r="AK1096" i="1"/>
  <c r="AK1095" i="1"/>
  <c r="AK1094" i="1"/>
  <c r="AK1093" i="1"/>
  <c r="AK1092" i="1"/>
  <c r="AK1091" i="1"/>
  <c r="AK1090" i="1"/>
  <c r="AK1089" i="1"/>
  <c r="AK1088" i="1"/>
  <c r="AK1087" i="1"/>
  <c r="AK1086" i="1"/>
  <c r="AK1085" i="1"/>
  <c r="AK1084" i="1"/>
  <c r="AK1083" i="1"/>
  <c r="AK1082" i="1"/>
  <c r="AK1081" i="1"/>
  <c r="AK1080" i="1"/>
  <c r="AK1079" i="1"/>
  <c r="AK1078" i="1"/>
  <c r="AK1077" i="1"/>
  <c r="AK1076" i="1"/>
  <c r="AK1075" i="1"/>
  <c r="AK1074" i="1"/>
  <c r="AK1073" i="1"/>
  <c r="AK1072" i="1"/>
  <c r="AK1071" i="1"/>
  <c r="AK1070" i="1"/>
  <c r="AK1069" i="1"/>
  <c r="AK1068" i="1"/>
  <c r="AK1067" i="1"/>
  <c r="AK1066" i="1"/>
  <c r="AK1065" i="1"/>
  <c r="AK1064" i="1"/>
  <c r="AK1063" i="1"/>
  <c r="AK1062" i="1"/>
  <c r="AK1061" i="1"/>
  <c r="AK1060" i="1"/>
  <c r="AK1059" i="1"/>
  <c r="AK1058" i="1"/>
  <c r="AK1057" i="1"/>
  <c r="AK1056" i="1"/>
  <c r="AK1055" i="1"/>
  <c r="AK1054" i="1"/>
  <c r="AK1053" i="1"/>
  <c r="AK1052" i="1"/>
  <c r="AK1051" i="1"/>
  <c r="AK1050" i="1"/>
  <c r="AK1049" i="1"/>
  <c r="AK1048" i="1"/>
  <c r="AK1047" i="1"/>
  <c r="AK1046" i="1"/>
  <c r="AK1045" i="1"/>
  <c r="AK1044" i="1"/>
  <c r="AK1043" i="1"/>
  <c r="AK1042" i="1"/>
  <c r="AK1041" i="1"/>
  <c r="AK1040" i="1"/>
  <c r="AK1039" i="1"/>
  <c r="AK1038" i="1"/>
  <c r="AK1037" i="1"/>
  <c r="AK1036" i="1"/>
  <c r="AK1035" i="1"/>
  <c r="AK1034" i="1"/>
  <c r="AK1033" i="1"/>
  <c r="AK1032" i="1"/>
  <c r="AK1031" i="1"/>
  <c r="AK1030" i="1"/>
  <c r="AK1029" i="1"/>
  <c r="AK1028" i="1"/>
  <c r="AK1027" i="1"/>
  <c r="AK1026" i="1"/>
  <c r="AK1025" i="1"/>
  <c r="AK1024" i="1"/>
  <c r="AK1023" i="1"/>
  <c r="AK1022" i="1"/>
  <c r="AK1021" i="1"/>
  <c r="AK1020" i="1"/>
  <c r="AK1019" i="1"/>
  <c r="AK1018" i="1"/>
  <c r="AK1017" i="1"/>
  <c r="AK1016" i="1"/>
  <c r="AK1015" i="1"/>
  <c r="AK1014" i="1"/>
  <c r="AK1013" i="1"/>
  <c r="AK1012" i="1"/>
  <c r="AK1011" i="1"/>
  <c r="AK1010" i="1"/>
  <c r="AK1009" i="1"/>
  <c r="AK1008" i="1"/>
  <c r="AK1007" i="1"/>
  <c r="AK1006" i="1"/>
  <c r="AK1005" i="1"/>
  <c r="AK1004" i="1"/>
  <c r="AK1003" i="1"/>
  <c r="AK1002" i="1"/>
  <c r="AK1001" i="1"/>
  <c r="AK1000" i="1"/>
  <c r="AK999" i="1"/>
  <c r="AK998" i="1"/>
  <c r="AK997" i="1"/>
  <c r="AK996" i="1"/>
  <c r="AK995" i="1"/>
  <c r="AK994" i="1"/>
  <c r="AK993" i="1"/>
  <c r="AK992" i="1"/>
  <c r="AK991" i="1"/>
  <c r="AK990" i="1"/>
  <c r="AK989" i="1"/>
  <c r="AK988" i="1"/>
  <c r="AK987" i="1"/>
  <c r="AK986" i="1"/>
  <c r="AK985" i="1"/>
  <c r="AK984" i="1"/>
  <c r="AK983" i="1"/>
  <c r="AK982" i="1"/>
  <c r="AK981" i="1"/>
  <c r="AK980" i="1"/>
  <c r="AK979" i="1"/>
  <c r="AK978" i="1"/>
  <c r="AK977" i="1"/>
  <c r="AK976" i="1"/>
  <c r="AK975" i="1"/>
  <c r="AK974" i="1"/>
  <c r="AK973" i="1"/>
  <c r="AK972" i="1"/>
  <c r="AK971" i="1"/>
  <c r="AK970" i="1"/>
  <c r="AK969" i="1"/>
  <c r="AK968" i="1"/>
  <c r="AK967" i="1"/>
  <c r="AK966" i="1"/>
  <c r="AK965" i="1"/>
  <c r="AK964" i="1"/>
  <c r="AK963" i="1"/>
  <c r="AK962" i="1"/>
  <c r="AK961" i="1"/>
  <c r="AK960" i="1"/>
  <c r="AK959" i="1"/>
  <c r="AK958" i="1"/>
  <c r="AK957" i="1"/>
  <c r="AK956" i="1"/>
  <c r="AK955" i="1"/>
  <c r="AK954" i="1"/>
  <c r="AK953" i="1"/>
  <c r="AK952" i="1"/>
  <c r="AK951" i="1"/>
  <c r="AK950" i="1"/>
  <c r="AK949" i="1"/>
  <c r="AK948" i="1"/>
  <c r="AK947" i="1"/>
  <c r="AK946" i="1"/>
  <c r="AK945" i="1"/>
  <c r="AK944" i="1"/>
  <c r="AK943" i="1"/>
  <c r="AK942" i="1"/>
  <c r="AK941" i="1"/>
  <c r="AK940" i="1"/>
  <c r="AK939" i="1"/>
  <c r="AK938" i="1"/>
  <c r="AK937" i="1"/>
  <c r="AK936" i="1"/>
  <c r="AK935" i="1"/>
  <c r="AK934" i="1"/>
  <c r="AK933" i="1"/>
  <c r="AK932" i="1"/>
  <c r="AK931" i="1"/>
  <c r="AK930" i="1"/>
  <c r="AK929" i="1"/>
  <c r="AK928" i="1"/>
  <c r="AK927" i="1"/>
  <c r="AK926" i="1"/>
  <c r="AK925" i="1"/>
  <c r="AK924" i="1"/>
  <c r="AK923" i="1"/>
  <c r="AK922" i="1"/>
  <c r="AK921" i="1"/>
  <c r="AK920" i="1"/>
  <c r="AK919" i="1"/>
  <c r="AK918" i="1"/>
  <c r="AK917" i="1"/>
  <c r="AK916" i="1"/>
  <c r="AK915" i="1"/>
  <c r="AK914" i="1"/>
  <c r="AK913" i="1"/>
  <c r="AK912" i="1"/>
  <c r="AK911" i="1"/>
  <c r="AK910" i="1"/>
  <c r="AK909" i="1"/>
  <c r="AK908" i="1"/>
  <c r="AK907" i="1"/>
  <c r="AK906" i="1"/>
  <c r="AK905" i="1"/>
  <c r="AK904" i="1"/>
  <c r="AK903" i="1"/>
  <c r="AK902" i="1"/>
  <c r="AK901" i="1"/>
  <c r="AK900" i="1"/>
  <c r="AK899" i="1"/>
  <c r="AK898" i="1"/>
  <c r="AK897" i="1"/>
  <c r="AK896" i="1"/>
  <c r="AK895" i="1"/>
  <c r="AK894" i="1"/>
  <c r="AK893" i="1"/>
  <c r="AK892" i="1"/>
  <c r="AK891" i="1"/>
  <c r="AK890" i="1"/>
  <c r="AK889" i="1"/>
  <c r="AK888" i="1"/>
  <c r="AK887" i="1"/>
  <c r="AK886" i="1"/>
  <c r="AK885" i="1"/>
  <c r="AK884" i="1"/>
  <c r="AK883" i="1"/>
  <c r="AK882" i="1"/>
  <c r="AK881" i="1"/>
  <c r="AK880" i="1"/>
  <c r="AK879" i="1"/>
  <c r="AK878" i="1"/>
  <c r="AK877" i="1"/>
  <c r="AK876" i="1"/>
  <c r="AK875" i="1"/>
  <c r="AK874" i="1"/>
  <c r="AK873" i="1"/>
  <c r="AK872" i="1"/>
  <c r="AK871" i="1"/>
  <c r="AK870" i="1"/>
  <c r="AK869" i="1"/>
  <c r="AK868" i="1"/>
  <c r="AK867" i="1"/>
  <c r="AK866" i="1"/>
  <c r="AK865" i="1"/>
  <c r="AK864" i="1"/>
  <c r="AK863" i="1"/>
  <c r="AK862" i="1"/>
  <c r="AK861" i="1"/>
  <c r="AK860" i="1"/>
  <c r="AK859" i="1"/>
  <c r="AK858" i="1"/>
  <c r="AK857" i="1"/>
  <c r="AK856" i="1"/>
  <c r="AK855" i="1"/>
  <c r="AK854" i="1"/>
  <c r="AK853" i="1"/>
  <c r="AK852" i="1"/>
  <c r="AK851" i="1"/>
  <c r="AK850" i="1"/>
  <c r="AK849" i="1"/>
  <c r="AK848" i="1"/>
  <c r="AK847" i="1"/>
  <c r="AK846" i="1"/>
  <c r="AK845" i="1"/>
  <c r="AK844" i="1"/>
  <c r="AK843" i="1"/>
  <c r="AK842" i="1"/>
  <c r="AK841" i="1"/>
  <c r="AK840" i="1"/>
  <c r="AK839" i="1"/>
  <c r="AK838" i="1"/>
  <c r="AK837" i="1"/>
  <c r="AK836" i="1"/>
  <c r="AK835" i="1"/>
  <c r="AK834" i="1"/>
  <c r="AK833" i="1"/>
  <c r="AK832" i="1"/>
  <c r="AK831" i="1"/>
  <c r="AK830" i="1"/>
  <c r="AK829" i="1"/>
  <c r="AK828" i="1"/>
  <c r="AK827" i="1"/>
  <c r="AK826" i="1"/>
  <c r="AK825" i="1"/>
  <c r="AK824" i="1"/>
  <c r="AK823" i="1"/>
  <c r="AK822" i="1"/>
  <c r="AK821" i="1"/>
  <c r="AK820" i="1"/>
  <c r="AK819" i="1"/>
  <c r="AK818" i="1"/>
  <c r="AK817" i="1"/>
  <c r="AK816" i="1"/>
  <c r="AK815" i="1"/>
  <c r="AK814" i="1"/>
  <c r="AK813" i="1"/>
  <c r="AK812" i="1"/>
  <c r="AK811" i="1"/>
  <c r="AK810" i="1"/>
  <c r="AK809" i="1"/>
  <c r="AK808" i="1"/>
  <c r="AK807" i="1"/>
  <c r="AK806" i="1"/>
  <c r="AK805" i="1"/>
  <c r="AK804" i="1"/>
  <c r="AK803" i="1"/>
  <c r="AK802" i="1"/>
  <c r="AK801" i="1"/>
  <c r="AK800" i="1"/>
  <c r="AK799" i="1"/>
  <c r="AK798" i="1"/>
  <c r="AK797" i="1"/>
  <c r="AK796" i="1"/>
  <c r="AK795" i="1"/>
  <c r="AK794" i="1"/>
  <c r="AK793" i="1"/>
  <c r="AK792" i="1"/>
  <c r="AK791" i="1"/>
  <c r="AK790" i="1"/>
  <c r="AK789" i="1"/>
  <c r="AK788" i="1"/>
  <c r="AK787" i="1"/>
  <c r="AK786" i="1"/>
  <c r="AK785" i="1"/>
  <c r="AK784" i="1"/>
  <c r="AK783" i="1"/>
  <c r="AK782" i="1"/>
  <c r="AK781" i="1"/>
  <c r="AK780" i="1"/>
  <c r="AK779" i="1"/>
  <c r="AK778" i="1"/>
  <c r="AK777" i="1"/>
  <c r="AK776" i="1"/>
  <c r="AK775" i="1"/>
  <c r="AK774" i="1"/>
  <c r="AK773" i="1"/>
  <c r="AK772" i="1"/>
  <c r="AK771" i="1"/>
  <c r="AK770" i="1"/>
  <c r="AK769" i="1"/>
  <c r="AK768" i="1"/>
  <c r="AK767" i="1"/>
  <c r="AK766" i="1"/>
  <c r="AK765" i="1"/>
  <c r="AK764" i="1"/>
  <c r="AK763" i="1"/>
  <c r="AK762" i="1"/>
  <c r="AK761" i="1"/>
  <c r="AK760" i="1"/>
  <c r="AK759" i="1"/>
  <c r="AK758" i="1"/>
  <c r="AK757" i="1"/>
  <c r="AK756" i="1"/>
  <c r="AK755" i="1"/>
  <c r="AK754" i="1"/>
  <c r="AK753" i="1"/>
  <c r="AK752" i="1"/>
  <c r="AK751" i="1"/>
  <c r="AK750" i="1"/>
  <c r="AK749" i="1"/>
  <c r="AK748" i="1"/>
  <c r="AK747" i="1"/>
  <c r="AK746" i="1"/>
  <c r="AK745" i="1"/>
  <c r="AK744" i="1"/>
  <c r="AK743" i="1"/>
  <c r="AK742" i="1"/>
  <c r="AK741" i="1"/>
  <c r="AK740" i="1"/>
  <c r="AK739" i="1"/>
  <c r="AK738" i="1"/>
  <c r="AK737" i="1"/>
  <c r="AK736" i="1"/>
  <c r="AK735" i="1"/>
  <c r="AK734" i="1"/>
  <c r="AK733" i="1"/>
  <c r="AK732" i="1"/>
  <c r="AK731" i="1"/>
  <c r="AK730" i="1"/>
  <c r="AK729" i="1"/>
  <c r="AK728" i="1"/>
  <c r="AK727" i="1"/>
  <c r="AK726" i="1"/>
  <c r="AK725" i="1"/>
  <c r="AK724" i="1"/>
  <c r="AK723" i="1"/>
  <c r="AK722" i="1"/>
  <c r="AK721" i="1"/>
  <c r="AK720" i="1"/>
  <c r="AK719" i="1"/>
  <c r="AK718" i="1"/>
  <c r="AK717" i="1"/>
  <c r="AK716" i="1"/>
  <c r="AK715" i="1"/>
  <c r="AK714" i="1"/>
  <c r="AK713" i="1"/>
  <c r="AK712" i="1"/>
  <c r="AK711" i="1"/>
  <c r="AK710" i="1"/>
  <c r="AK709" i="1"/>
  <c r="AK708" i="1"/>
  <c r="AK707" i="1"/>
  <c r="AK706" i="1"/>
  <c r="AK705" i="1"/>
  <c r="AK704" i="1"/>
  <c r="AK703" i="1"/>
  <c r="AK702" i="1"/>
  <c r="AK701" i="1"/>
  <c r="AK700" i="1"/>
  <c r="AK699" i="1"/>
  <c r="AK698" i="1"/>
  <c r="AK697" i="1"/>
  <c r="AK696" i="1"/>
  <c r="AK695" i="1"/>
  <c r="AK694" i="1"/>
  <c r="AK693" i="1"/>
  <c r="AK692" i="1"/>
  <c r="AK691" i="1"/>
  <c r="AK690" i="1"/>
  <c r="AK689" i="1"/>
  <c r="AK688" i="1"/>
  <c r="AK687" i="1"/>
  <c r="AK686" i="1"/>
  <c r="AK685" i="1"/>
  <c r="AK684" i="1"/>
  <c r="AK683" i="1"/>
  <c r="AK682" i="1"/>
  <c r="AK681" i="1"/>
  <c r="AK680" i="1"/>
  <c r="AK679" i="1"/>
  <c r="AK678" i="1"/>
  <c r="AK677" i="1"/>
  <c r="AK676" i="1"/>
  <c r="AK675" i="1"/>
  <c r="AK674" i="1"/>
  <c r="AK673" i="1"/>
  <c r="AK672" i="1"/>
  <c r="AK671" i="1"/>
  <c r="AK670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30" i="1"/>
  <c r="AK529" i="1"/>
  <c r="AK528" i="1"/>
  <c r="AK527" i="1"/>
  <c r="AK526" i="1"/>
  <c r="AK525" i="1"/>
  <c r="AK524" i="1"/>
  <c r="AK523" i="1"/>
  <c r="AK522" i="1"/>
  <c r="AK521" i="1"/>
  <c r="AK520" i="1"/>
  <c r="AK519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G1112" i="1"/>
  <c r="AG1111" i="1"/>
  <c r="AG1110" i="1"/>
  <c r="AG1109" i="1"/>
  <c r="AG1108" i="1"/>
  <c r="AG1107" i="1"/>
  <c r="AG1106" i="1"/>
  <c r="AG1105" i="1"/>
  <c r="AG1104" i="1"/>
  <c r="AG1103" i="1"/>
  <c r="AG1102" i="1"/>
  <c r="AG1101" i="1"/>
  <c r="AG1100" i="1"/>
  <c r="AG1099" i="1"/>
  <c r="AG1098" i="1"/>
  <c r="AG1097" i="1"/>
  <c r="AG1096" i="1"/>
  <c r="AG1095" i="1"/>
  <c r="AG1094" i="1"/>
  <c r="AG1093" i="1"/>
  <c r="AG1092" i="1"/>
  <c r="AG1091" i="1"/>
  <c r="AG1090" i="1"/>
  <c r="AG1089" i="1"/>
  <c r="AG1088" i="1"/>
  <c r="AG1087" i="1"/>
  <c r="AG1086" i="1"/>
  <c r="AG1085" i="1"/>
  <c r="AG1084" i="1"/>
  <c r="AG1083" i="1"/>
  <c r="AG1082" i="1"/>
  <c r="AG1081" i="1"/>
  <c r="AG1080" i="1"/>
  <c r="AG1079" i="1"/>
  <c r="AG1078" i="1"/>
  <c r="AG1077" i="1"/>
  <c r="AG1076" i="1"/>
  <c r="AG1075" i="1"/>
  <c r="AG1074" i="1"/>
  <c r="AG1073" i="1"/>
  <c r="AG1072" i="1"/>
  <c r="AG1071" i="1"/>
  <c r="AG1070" i="1"/>
  <c r="AG1069" i="1"/>
  <c r="AG1068" i="1"/>
  <c r="AG1067" i="1"/>
  <c r="AG1066" i="1"/>
  <c r="AG1065" i="1"/>
  <c r="AG1064" i="1"/>
  <c r="AG1063" i="1"/>
  <c r="AG1062" i="1"/>
  <c r="AG1061" i="1"/>
  <c r="AG1060" i="1"/>
  <c r="AG1059" i="1"/>
  <c r="AG1058" i="1"/>
  <c r="AG1057" i="1"/>
  <c r="AG1056" i="1"/>
  <c r="AG1055" i="1"/>
  <c r="AG1054" i="1"/>
  <c r="AG1053" i="1"/>
  <c r="AG1052" i="1"/>
  <c r="AG1051" i="1"/>
  <c r="AG1050" i="1"/>
  <c r="AG1049" i="1"/>
  <c r="AG1048" i="1"/>
  <c r="AG1047" i="1"/>
  <c r="AG1046" i="1"/>
  <c r="AG1045" i="1"/>
  <c r="AG1044" i="1"/>
  <c r="AG1043" i="1"/>
  <c r="AG1042" i="1"/>
  <c r="AG1041" i="1"/>
  <c r="AG1040" i="1"/>
  <c r="AG1039" i="1"/>
  <c r="AG1038" i="1"/>
  <c r="AG1037" i="1"/>
  <c r="AG1036" i="1"/>
  <c r="AG1035" i="1"/>
  <c r="AG1034" i="1"/>
  <c r="AG1033" i="1"/>
  <c r="AG1032" i="1"/>
  <c r="AG1031" i="1"/>
  <c r="AG1030" i="1"/>
  <c r="AG1029" i="1"/>
  <c r="AG1028" i="1"/>
  <c r="AG1027" i="1"/>
  <c r="AG1026" i="1"/>
  <c r="AG1025" i="1"/>
  <c r="AG1024" i="1"/>
  <c r="AG1023" i="1"/>
  <c r="AG1022" i="1"/>
  <c r="AG1021" i="1"/>
  <c r="AG1020" i="1"/>
  <c r="AG1019" i="1"/>
  <c r="AG1018" i="1"/>
  <c r="AG1017" i="1"/>
  <c r="AG1016" i="1"/>
  <c r="AG1015" i="1"/>
  <c r="AG1014" i="1"/>
  <c r="AG1013" i="1"/>
  <c r="AG1012" i="1"/>
  <c r="AG1011" i="1"/>
  <c r="AG1010" i="1"/>
  <c r="AG1009" i="1"/>
  <c r="AG1008" i="1"/>
  <c r="AG1007" i="1"/>
  <c r="AG1006" i="1"/>
  <c r="AG1005" i="1"/>
  <c r="AG1004" i="1"/>
  <c r="AG1003" i="1"/>
  <c r="AG1002" i="1"/>
  <c r="AG1001" i="1"/>
  <c r="AG1000" i="1"/>
  <c r="AG999" i="1"/>
  <c r="AG998" i="1"/>
  <c r="AG997" i="1"/>
  <c r="AG996" i="1"/>
  <c r="AG995" i="1"/>
  <c r="AG994" i="1"/>
  <c r="AG993" i="1"/>
  <c r="AG992" i="1"/>
  <c r="AG991" i="1"/>
  <c r="AG990" i="1"/>
  <c r="AG989" i="1"/>
  <c r="AG988" i="1"/>
  <c r="AG987" i="1"/>
  <c r="AG986" i="1"/>
  <c r="AG985" i="1"/>
  <c r="AG984" i="1"/>
  <c r="AG983" i="1"/>
  <c r="AG982" i="1"/>
  <c r="AG981" i="1"/>
  <c r="AG980" i="1"/>
  <c r="AG979" i="1"/>
  <c r="AG978" i="1"/>
  <c r="AG977" i="1"/>
  <c r="AG976" i="1"/>
  <c r="AG975" i="1"/>
  <c r="AG974" i="1"/>
  <c r="AG973" i="1"/>
  <c r="AG972" i="1"/>
  <c r="AG971" i="1"/>
  <c r="AG970" i="1"/>
  <c r="AG969" i="1"/>
  <c r="AG968" i="1"/>
  <c r="AG967" i="1"/>
  <c r="AG966" i="1"/>
  <c r="AG965" i="1"/>
  <c r="AG964" i="1"/>
  <c r="AG963" i="1"/>
  <c r="AG962" i="1"/>
  <c r="AG961" i="1"/>
  <c r="AG960" i="1"/>
  <c r="AG959" i="1"/>
  <c r="AG958" i="1"/>
  <c r="AG957" i="1"/>
  <c r="AG956" i="1"/>
  <c r="AG955" i="1"/>
  <c r="AG954" i="1"/>
  <c r="AG953" i="1"/>
  <c r="AG952" i="1"/>
  <c r="AG951" i="1"/>
  <c r="AG950" i="1"/>
  <c r="AG949" i="1"/>
  <c r="AG948" i="1"/>
  <c r="AG947" i="1"/>
  <c r="AG946" i="1"/>
  <c r="AG945" i="1"/>
  <c r="AG944" i="1"/>
  <c r="AG943" i="1"/>
  <c r="AG942" i="1"/>
  <c r="AG941" i="1"/>
  <c r="AG940" i="1"/>
  <c r="AG939" i="1"/>
  <c r="AG938" i="1"/>
  <c r="AG937" i="1"/>
  <c r="AG936" i="1"/>
  <c r="AG935" i="1"/>
  <c r="AG934" i="1"/>
  <c r="AG933" i="1"/>
  <c r="AG932" i="1"/>
  <c r="AG931" i="1"/>
  <c r="AG930" i="1"/>
  <c r="AG929" i="1"/>
  <c r="AG928" i="1"/>
  <c r="AG927" i="1"/>
  <c r="AG926" i="1"/>
  <c r="AG925" i="1"/>
  <c r="AG924" i="1"/>
  <c r="AG923" i="1"/>
  <c r="AG922" i="1"/>
  <c r="AG921" i="1"/>
  <c r="AG920" i="1"/>
  <c r="AG919" i="1"/>
  <c r="AG918" i="1"/>
  <c r="AG917" i="1"/>
  <c r="AG916" i="1"/>
  <c r="AG915" i="1"/>
  <c r="AG914" i="1"/>
  <c r="AG913" i="1"/>
  <c r="AG912" i="1"/>
  <c r="AG911" i="1"/>
  <c r="AG910" i="1"/>
  <c r="AG909" i="1"/>
  <c r="AG908" i="1"/>
  <c r="AG907" i="1"/>
  <c r="AG906" i="1"/>
  <c r="AG905" i="1"/>
  <c r="AG904" i="1"/>
  <c r="AG903" i="1"/>
  <c r="AG902" i="1"/>
  <c r="AG901" i="1"/>
  <c r="AG900" i="1"/>
  <c r="AG899" i="1"/>
  <c r="AG898" i="1"/>
  <c r="AG897" i="1"/>
  <c r="AG896" i="1"/>
  <c r="AG895" i="1"/>
  <c r="AG894" i="1"/>
  <c r="AG893" i="1"/>
  <c r="AG892" i="1"/>
  <c r="AG891" i="1"/>
  <c r="AG890" i="1"/>
  <c r="AG889" i="1"/>
  <c r="AG888" i="1"/>
  <c r="AG887" i="1"/>
  <c r="AG886" i="1"/>
  <c r="AG885" i="1"/>
  <c r="AG884" i="1"/>
  <c r="AG883" i="1"/>
  <c r="AG882" i="1"/>
  <c r="AG881" i="1"/>
  <c r="AG880" i="1"/>
  <c r="AG879" i="1"/>
  <c r="AG878" i="1"/>
  <c r="AG877" i="1"/>
  <c r="AG876" i="1"/>
  <c r="AG875" i="1"/>
  <c r="AG874" i="1"/>
  <c r="AG873" i="1"/>
  <c r="AG872" i="1"/>
  <c r="AG871" i="1"/>
  <c r="AG870" i="1"/>
  <c r="AG869" i="1"/>
  <c r="AG868" i="1"/>
  <c r="AG867" i="1"/>
  <c r="AG866" i="1"/>
  <c r="AG865" i="1"/>
  <c r="AG864" i="1"/>
  <c r="AG863" i="1"/>
  <c r="AG862" i="1"/>
  <c r="AG861" i="1"/>
  <c r="AG860" i="1"/>
  <c r="AG859" i="1"/>
  <c r="AG858" i="1"/>
  <c r="AG857" i="1"/>
  <c r="AG856" i="1"/>
  <c r="AG855" i="1"/>
  <c r="AG854" i="1"/>
  <c r="AG853" i="1"/>
  <c r="AG852" i="1"/>
  <c r="AG851" i="1"/>
  <c r="AG850" i="1"/>
  <c r="AG849" i="1"/>
  <c r="AG848" i="1"/>
  <c r="AG847" i="1"/>
  <c r="AG846" i="1"/>
  <c r="AG845" i="1"/>
  <c r="AG844" i="1"/>
  <c r="AG843" i="1"/>
  <c r="AG842" i="1"/>
  <c r="AG841" i="1"/>
  <c r="AG840" i="1"/>
  <c r="AG839" i="1"/>
  <c r="AG838" i="1"/>
  <c r="AG837" i="1"/>
  <c r="AG836" i="1"/>
  <c r="AG835" i="1"/>
  <c r="AG834" i="1"/>
  <c r="AG833" i="1"/>
  <c r="AG832" i="1"/>
  <c r="AG831" i="1"/>
  <c r="AG830" i="1"/>
  <c r="AG829" i="1"/>
  <c r="AG828" i="1"/>
  <c r="AG827" i="1"/>
  <c r="AG826" i="1"/>
  <c r="AG825" i="1"/>
  <c r="AG824" i="1"/>
  <c r="AG823" i="1"/>
  <c r="AG822" i="1"/>
  <c r="AG821" i="1"/>
  <c r="AG820" i="1"/>
  <c r="AG819" i="1"/>
  <c r="AG818" i="1"/>
  <c r="AG817" i="1"/>
  <c r="AG816" i="1"/>
  <c r="AG815" i="1"/>
  <c r="AG814" i="1"/>
  <c r="AG813" i="1"/>
  <c r="AG812" i="1"/>
  <c r="AG811" i="1"/>
  <c r="AG810" i="1"/>
  <c r="AG809" i="1"/>
  <c r="AG808" i="1"/>
  <c r="AG807" i="1"/>
  <c r="AG806" i="1"/>
  <c r="AG805" i="1"/>
  <c r="AG804" i="1"/>
  <c r="AG803" i="1"/>
  <c r="AG802" i="1"/>
  <c r="AG801" i="1"/>
  <c r="AG800" i="1"/>
  <c r="AG799" i="1"/>
  <c r="AG798" i="1"/>
  <c r="AG797" i="1"/>
  <c r="AG796" i="1"/>
  <c r="AG795" i="1"/>
  <c r="AG794" i="1"/>
  <c r="AG793" i="1"/>
  <c r="AG792" i="1"/>
  <c r="AG791" i="1"/>
  <c r="AG790" i="1"/>
  <c r="AG789" i="1"/>
  <c r="AG788" i="1"/>
  <c r="AG787" i="1"/>
  <c r="AG786" i="1"/>
  <c r="AG785" i="1"/>
  <c r="AG784" i="1"/>
  <c r="AG783" i="1"/>
  <c r="AG782" i="1"/>
  <c r="AG781" i="1"/>
  <c r="AG780" i="1"/>
  <c r="AG779" i="1"/>
  <c r="AG778" i="1"/>
  <c r="AG777" i="1"/>
  <c r="AG776" i="1"/>
  <c r="AG775" i="1"/>
  <c r="AG774" i="1"/>
  <c r="AG773" i="1"/>
  <c r="AG772" i="1"/>
  <c r="AG771" i="1"/>
  <c r="AG770" i="1"/>
  <c r="AG769" i="1"/>
  <c r="AG768" i="1"/>
  <c r="AG767" i="1"/>
  <c r="AG766" i="1"/>
  <c r="AG765" i="1"/>
  <c r="AG764" i="1"/>
  <c r="AG763" i="1"/>
  <c r="AG762" i="1"/>
  <c r="AG761" i="1"/>
  <c r="AG760" i="1"/>
  <c r="AG759" i="1"/>
  <c r="AG758" i="1"/>
  <c r="AG757" i="1"/>
  <c r="AG756" i="1"/>
  <c r="AG755" i="1"/>
  <c r="AG754" i="1"/>
  <c r="AG753" i="1"/>
  <c r="AG752" i="1"/>
  <c r="AG751" i="1"/>
  <c r="AG750" i="1"/>
  <c r="AG749" i="1"/>
  <c r="AG748" i="1"/>
  <c r="AG747" i="1"/>
  <c r="AG746" i="1"/>
  <c r="AG745" i="1"/>
  <c r="AG744" i="1"/>
  <c r="AG743" i="1"/>
  <c r="AG742" i="1"/>
  <c r="AG741" i="1"/>
  <c r="AG740" i="1"/>
  <c r="AG739" i="1"/>
  <c r="AG738" i="1"/>
  <c r="AG737" i="1"/>
  <c r="AG736" i="1"/>
  <c r="AG735" i="1"/>
  <c r="AG734" i="1"/>
  <c r="AG733" i="1"/>
  <c r="AG732" i="1"/>
  <c r="AG731" i="1"/>
  <c r="AG730" i="1"/>
  <c r="AG729" i="1"/>
  <c r="AG728" i="1"/>
  <c r="AG727" i="1"/>
  <c r="AG726" i="1"/>
  <c r="AG725" i="1"/>
  <c r="AG724" i="1"/>
  <c r="AG723" i="1"/>
  <c r="AG722" i="1"/>
  <c r="AG721" i="1"/>
  <c r="AG720" i="1"/>
  <c r="AG719" i="1"/>
  <c r="AG718" i="1"/>
  <c r="AG717" i="1"/>
  <c r="AG716" i="1"/>
  <c r="AG715" i="1"/>
  <c r="AG714" i="1"/>
  <c r="AG713" i="1"/>
  <c r="AG712" i="1"/>
  <c r="AG711" i="1"/>
  <c r="AG710" i="1"/>
  <c r="AG709" i="1"/>
  <c r="AG708" i="1"/>
  <c r="AG707" i="1"/>
  <c r="AG706" i="1"/>
  <c r="AG705" i="1"/>
  <c r="AG704" i="1"/>
  <c r="AG703" i="1"/>
  <c r="AG702" i="1"/>
  <c r="AG701" i="1"/>
  <c r="AG700" i="1"/>
  <c r="AG699" i="1"/>
  <c r="AG698" i="1"/>
  <c r="AG697" i="1"/>
  <c r="AG696" i="1"/>
  <c r="AG695" i="1"/>
  <c r="AG694" i="1"/>
  <c r="AG693" i="1"/>
  <c r="AG692" i="1"/>
  <c r="AG691" i="1"/>
  <c r="AG690" i="1"/>
  <c r="AG689" i="1"/>
  <c r="AG688" i="1"/>
  <c r="AG687" i="1"/>
  <c r="AG686" i="1"/>
  <c r="AG685" i="1"/>
  <c r="AG684" i="1"/>
  <c r="AG683" i="1"/>
  <c r="AG682" i="1"/>
  <c r="AG681" i="1"/>
  <c r="AG680" i="1"/>
  <c r="AG679" i="1"/>
  <c r="AG678" i="1"/>
  <c r="AG677" i="1"/>
  <c r="AG676" i="1"/>
  <c r="AG675" i="1"/>
  <c r="AG674" i="1"/>
  <c r="AG673" i="1"/>
  <c r="AG672" i="1"/>
  <c r="AG671" i="1"/>
  <c r="AG670" i="1"/>
  <c r="AG669" i="1"/>
  <c r="AG668" i="1"/>
  <c r="AG667" i="1"/>
  <c r="AG666" i="1"/>
  <c r="AG665" i="1"/>
  <c r="AG664" i="1"/>
  <c r="AG663" i="1"/>
  <c r="AG662" i="1"/>
  <c r="AG661" i="1"/>
  <c r="AG660" i="1"/>
  <c r="AG659" i="1"/>
  <c r="AG658" i="1"/>
  <c r="AG657" i="1"/>
  <c r="AG656" i="1"/>
  <c r="AG655" i="1"/>
  <c r="AG654" i="1"/>
  <c r="AG653" i="1"/>
  <c r="AG652" i="1"/>
  <c r="AG651" i="1"/>
  <c r="AG650" i="1"/>
  <c r="AG649" i="1"/>
  <c r="AG648" i="1"/>
  <c r="AG647" i="1"/>
  <c r="AG646" i="1"/>
  <c r="AG645" i="1"/>
  <c r="AG644" i="1"/>
  <c r="AG643" i="1"/>
  <c r="AG642" i="1"/>
  <c r="AG641" i="1"/>
  <c r="AG640" i="1"/>
  <c r="AG639" i="1"/>
  <c r="AG638" i="1"/>
  <c r="AG637" i="1"/>
  <c r="AG636" i="1"/>
  <c r="AG635" i="1"/>
  <c r="AG634" i="1"/>
  <c r="AG633" i="1"/>
  <c r="AG632" i="1"/>
  <c r="AG631" i="1"/>
  <c r="AG630" i="1"/>
  <c r="AG629" i="1"/>
  <c r="AG628" i="1"/>
  <c r="AG627" i="1"/>
  <c r="AG626" i="1"/>
  <c r="AG625" i="1"/>
  <c r="AG624" i="1"/>
  <c r="AG623" i="1"/>
  <c r="AG622" i="1"/>
  <c r="AG621" i="1"/>
  <c r="AG620" i="1"/>
  <c r="AG619" i="1"/>
  <c r="AG618" i="1"/>
  <c r="AG617" i="1"/>
  <c r="AG616" i="1"/>
  <c r="AG615" i="1"/>
  <c r="AG614" i="1"/>
  <c r="AG613" i="1"/>
  <c r="AG612" i="1"/>
  <c r="AG611" i="1"/>
  <c r="AG610" i="1"/>
  <c r="AG609" i="1"/>
  <c r="AG608" i="1"/>
  <c r="AG607" i="1"/>
  <c r="AG606" i="1"/>
  <c r="AG605" i="1"/>
  <c r="AG604" i="1"/>
  <c r="AG603" i="1"/>
  <c r="AG602" i="1"/>
  <c r="AG601" i="1"/>
  <c r="AG600" i="1"/>
  <c r="AG599" i="1"/>
  <c r="AG598" i="1"/>
  <c r="AG597" i="1"/>
  <c r="AG596" i="1"/>
  <c r="AG595" i="1"/>
  <c r="AG594" i="1"/>
  <c r="AG593" i="1"/>
  <c r="AG592" i="1"/>
  <c r="AG591" i="1"/>
  <c r="AG590" i="1"/>
  <c r="AG589" i="1"/>
  <c r="AG588" i="1"/>
  <c r="AG587" i="1"/>
  <c r="AG586" i="1"/>
  <c r="AG585" i="1"/>
  <c r="AG584" i="1"/>
  <c r="AG583" i="1"/>
  <c r="AG582" i="1"/>
  <c r="AG581" i="1"/>
  <c r="AG580" i="1"/>
  <c r="AG579" i="1"/>
  <c r="AG578" i="1"/>
  <c r="AG577" i="1"/>
  <c r="AG576" i="1"/>
  <c r="AG575" i="1"/>
  <c r="AG574" i="1"/>
  <c r="AG573" i="1"/>
  <c r="AG572" i="1"/>
  <c r="AG571" i="1"/>
  <c r="AG570" i="1"/>
  <c r="AG569" i="1"/>
  <c r="AG568" i="1"/>
  <c r="AG567" i="1"/>
  <c r="AG566" i="1"/>
  <c r="AG565" i="1"/>
  <c r="AG564" i="1"/>
  <c r="AG563" i="1"/>
  <c r="AG562" i="1"/>
  <c r="AG561" i="1"/>
  <c r="AG560" i="1"/>
  <c r="AG559" i="1"/>
  <c r="AG558" i="1"/>
  <c r="AG557" i="1"/>
  <c r="AG556" i="1"/>
  <c r="AG555" i="1"/>
  <c r="AG554" i="1"/>
  <c r="AG553" i="1"/>
  <c r="AG552" i="1"/>
  <c r="AG551" i="1"/>
  <c r="AG550" i="1"/>
  <c r="AG549" i="1"/>
  <c r="AG548" i="1"/>
  <c r="AG547" i="1"/>
  <c r="AG546" i="1"/>
  <c r="AG545" i="1"/>
  <c r="AG544" i="1"/>
  <c r="AG543" i="1"/>
  <c r="AG542" i="1"/>
  <c r="AG541" i="1"/>
  <c r="AG540" i="1"/>
  <c r="AG539" i="1"/>
  <c r="AG538" i="1"/>
  <c r="AG537" i="1"/>
  <c r="AG536" i="1"/>
  <c r="AG535" i="1"/>
  <c r="AG534" i="1"/>
  <c r="AG533" i="1"/>
  <c r="AG532" i="1"/>
  <c r="AG531" i="1"/>
  <c r="AG530" i="1"/>
  <c r="AG529" i="1"/>
  <c r="AG528" i="1"/>
  <c r="AG527" i="1"/>
  <c r="AG526" i="1"/>
  <c r="AG525" i="1"/>
  <c r="AG524" i="1"/>
  <c r="AG523" i="1"/>
  <c r="AG522" i="1"/>
  <c r="AG521" i="1"/>
  <c r="AG520" i="1"/>
  <c r="AG519" i="1"/>
  <c r="AG518" i="1"/>
  <c r="AG517" i="1"/>
  <c r="AG516" i="1"/>
  <c r="AG515" i="1"/>
  <c r="AG514" i="1"/>
  <c r="AG513" i="1"/>
  <c r="AG512" i="1"/>
  <c r="AG511" i="1"/>
  <c r="AG510" i="1"/>
  <c r="AG509" i="1"/>
  <c r="AG508" i="1"/>
  <c r="AG507" i="1"/>
  <c r="AG506" i="1"/>
  <c r="AG505" i="1"/>
  <c r="AG504" i="1"/>
  <c r="AG503" i="1"/>
  <c r="AG502" i="1"/>
  <c r="AG501" i="1"/>
  <c r="AG500" i="1"/>
  <c r="AG499" i="1"/>
  <c r="AG498" i="1"/>
  <c r="AG497" i="1"/>
  <c r="AG496" i="1"/>
  <c r="AG495" i="1"/>
  <c r="AG494" i="1"/>
  <c r="AG493" i="1"/>
  <c r="AG492" i="1"/>
  <c r="AG491" i="1"/>
  <c r="AG490" i="1"/>
  <c r="AG489" i="1"/>
  <c r="AG488" i="1"/>
  <c r="AG487" i="1"/>
  <c r="AG486" i="1"/>
  <c r="AG485" i="1"/>
  <c r="AG484" i="1"/>
  <c r="AG483" i="1"/>
  <c r="AG482" i="1"/>
  <c r="AG481" i="1"/>
  <c r="AG480" i="1"/>
  <c r="AG479" i="1"/>
  <c r="AG478" i="1"/>
  <c r="AG477" i="1"/>
  <c r="AG476" i="1"/>
  <c r="AG475" i="1"/>
  <c r="AG474" i="1"/>
  <c r="AG473" i="1"/>
  <c r="AG472" i="1"/>
  <c r="AG471" i="1"/>
  <c r="AG470" i="1"/>
  <c r="AG469" i="1"/>
  <c r="AG468" i="1"/>
  <c r="AG467" i="1"/>
  <c r="AG466" i="1"/>
  <c r="AG465" i="1"/>
  <c r="AG464" i="1"/>
  <c r="AG463" i="1"/>
  <c r="AG462" i="1"/>
  <c r="AG461" i="1"/>
  <c r="AG460" i="1"/>
  <c r="AG459" i="1"/>
  <c r="AG458" i="1"/>
  <c r="AG457" i="1"/>
  <c r="AG456" i="1"/>
  <c r="AG455" i="1"/>
  <c r="AG454" i="1"/>
  <c r="AG453" i="1"/>
  <c r="AG452" i="1"/>
  <c r="AG451" i="1"/>
  <c r="AG450" i="1"/>
  <c r="AG449" i="1"/>
  <c r="AG448" i="1"/>
  <c r="AG447" i="1"/>
  <c r="AG446" i="1"/>
  <c r="AG445" i="1"/>
  <c r="AG444" i="1"/>
  <c r="AG443" i="1"/>
  <c r="AG442" i="1"/>
  <c r="AG441" i="1"/>
  <c r="AG440" i="1"/>
  <c r="AG439" i="1"/>
  <c r="AG438" i="1"/>
  <c r="AG437" i="1"/>
  <c r="AG436" i="1"/>
  <c r="AG435" i="1"/>
  <c r="AG434" i="1"/>
  <c r="AG433" i="1"/>
  <c r="AG432" i="1"/>
  <c r="AG431" i="1"/>
  <c r="AG430" i="1"/>
  <c r="AG429" i="1"/>
  <c r="AG428" i="1"/>
  <c r="AG427" i="1"/>
  <c r="AG426" i="1"/>
  <c r="AG425" i="1"/>
  <c r="AG424" i="1"/>
  <c r="AG423" i="1"/>
  <c r="AG422" i="1"/>
  <c r="AG421" i="1"/>
  <c r="AG420" i="1"/>
  <c r="AG419" i="1"/>
  <c r="AG418" i="1"/>
  <c r="AG417" i="1"/>
  <c r="AG416" i="1"/>
  <c r="AG415" i="1"/>
  <c r="AG414" i="1"/>
  <c r="AG413" i="1"/>
  <c r="AG412" i="1"/>
  <c r="AG411" i="1"/>
  <c r="AG410" i="1"/>
  <c r="AG409" i="1"/>
  <c r="AG408" i="1"/>
  <c r="AG407" i="1"/>
  <c r="AG406" i="1"/>
  <c r="AG405" i="1"/>
  <c r="AG404" i="1"/>
  <c r="AG403" i="1"/>
  <c r="AG402" i="1"/>
  <c r="AG401" i="1"/>
  <c r="AG400" i="1"/>
  <c r="AG399" i="1"/>
  <c r="AG398" i="1"/>
  <c r="AG397" i="1"/>
  <c r="AG396" i="1"/>
  <c r="AG395" i="1"/>
  <c r="AG394" i="1"/>
  <c r="AG393" i="1"/>
  <c r="AG392" i="1"/>
  <c r="AG391" i="1"/>
  <c r="AG390" i="1"/>
  <c r="AG389" i="1"/>
  <c r="AG388" i="1"/>
  <c r="AG387" i="1"/>
  <c r="AG386" i="1"/>
  <c r="AG385" i="1"/>
  <c r="AG384" i="1"/>
  <c r="AG383" i="1"/>
  <c r="AG382" i="1"/>
  <c r="AG381" i="1"/>
  <c r="AG380" i="1"/>
  <c r="AG379" i="1"/>
  <c r="AG378" i="1"/>
  <c r="AG377" i="1"/>
  <c r="AG376" i="1"/>
  <c r="AG375" i="1"/>
  <c r="AG374" i="1"/>
  <c r="AG373" i="1"/>
  <c r="AG372" i="1"/>
  <c r="AG371" i="1"/>
  <c r="AG370" i="1"/>
  <c r="AG369" i="1"/>
  <c r="AG368" i="1"/>
  <c r="AG367" i="1"/>
  <c r="AG366" i="1"/>
  <c r="AG365" i="1"/>
  <c r="AG364" i="1"/>
  <c r="AG363" i="1"/>
  <c r="AG362" i="1"/>
  <c r="AG361" i="1"/>
  <c r="AG360" i="1"/>
  <c r="AG359" i="1"/>
  <c r="AG358" i="1"/>
  <c r="AG357" i="1"/>
  <c r="AG356" i="1"/>
  <c r="AG355" i="1"/>
  <c r="AG354" i="1"/>
  <c r="AG353" i="1"/>
  <c r="AG352" i="1"/>
  <c r="AG351" i="1"/>
  <c r="AG350" i="1"/>
  <c r="AG349" i="1"/>
  <c r="AG348" i="1"/>
  <c r="AG347" i="1"/>
  <c r="AG346" i="1"/>
  <c r="AG345" i="1"/>
  <c r="AG344" i="1"/>
  <c r="AG343" i="1"/>
  <c r="AG342" i="1"/>
  <c r="AG341" i="1"/>
  <c r="AG340" i="1"/>
  <c r="AG339" i="1"/>
  <c r="AG338" i="1"/>
  <c r="AG337" i="1"/>
  <c r="AG336" i="1"/>
  <c r="AG335" i="1"/>
  <c r="AG334" i="1"/>
  <c r="AG333" i="1"/>
  <c r="AG332" i="1"/>
  <c r="AG331" i="1"/>
  <c r="AG330" i="1"/>
  <c r="AG329" i="1"/>
  <c r="AG328" i="1"/>
  <c r="AG327" i="1"/>
  <c r="AG326" i="1"/>
  <c r="AG325" i="1"/>
  <c r="AG324" i="1"/>
  <c r="AG323" i="1"/>
  <c r="AG322" i="1"/>
  <c r="AG321" i="1"/>
  <c r="AG320" i="1"/>
  <c r="AG319" i="1"/>
  <c r="AG318" i="1"/>
  <c r="AG317" i="1"/>
  <c r="AG316" i="1"/>
  <c r="AG315" i="1"/>
  <c r="AG314" i="1"/>
  <c r="AG313" i="1"/>
  <c r="AG312" i="1"/>
  <c r="AG311" i="1"/>
  <c r="AG310" i="1"/>
  <c r="AG309" i="1"/>
  <c r="AG308" i="1"/>
  <c r="AG307" i="1"/>
  <c r="AG306" i="1"/>
  <c r="AG305" i="1"/>
  <c r="AG304" i="1"/>
  <c r="AG303" i="1"/>
  <c r="AG302" i="1"/>
  <c r="AG301" i="1"/>
  <c r="AG300" i="1"/>
  <c r="AG299" i="1"/>
  <c r="AG298" i="1"/>
  <c r="AG297" i="1"/>
  <c r="AG296" i="1"/>
  <c r="AG295" i="1"/>
  <c r="AG294" i="1"/>
  <c r="AG293" i="1"/>
  <c r="AG292" i="1"/>
  <c r="AG291" i="1"/>
  <c r="AG290" i="1"/>
  <c r="AG289" i="1"/>
  <c r="AG288" i="1"/>
  <c r="AG287" i="1"/>
  <c r="AG286" i="1"/>
  <c r="AG285" i="1"/>
  <c r="AG284" i="1"/>
  <c r="AG283" i="1"/>
  <c r="AG282" i="1"/>
  <c r="AG281" i="1"/>
  <c r="AG280" i="1"/>
  <c r="AG279" i="1"/>
  <c r="AG278" i="1"/>
  <c r="AG277" i="1"/>
  <c r="AG276" i="1"/>
  <c r="AG275" i="1"/>
  <c r="AG274" i="1"/>
  <c r="AG273" i="1"/>
  <c r="AG272" i="1"/>
  <c r="AG271" i="1"/>
  <c r="AG270" i="1"/>
  <c r="AG269" i="1"/>
  <c r="AG268" i="1"/>
  <c r="AG267" i="1"/>
  <c r="AG266" i="1"/>
  <c r="AG265" i="1"/>
  <c r="AG264" i="1"/>
  <c r="AG263" i="1"/>
  <c r="AG262" i="1"/>
  <c r="AG261" i="1"/>
  <c r="AG260" i="1"/>
  <c r="AG259" i="1"/>
  <c r="AG258" i="1"/>
  <c r="AG257" i="1"/>
  <c r="AG256" i="1"/>
  <c r="AG255" i="1"/>
  <c r="AG254" i="1"/>
  <c r="AG253" i="1"/>
  <c r="AG252" i="1"/>
  <c r="AG251" i="1"/>
  <c r="AG250" i="1"/>
  <c r="AG249" i="1"/>
  <c r="AG248" i="1"/>
  <c r="AG247" i="1"/>
  <c r="AG246" i="1"/>
  <c r="AG245" i="1"/>
  <c r="AG244" i="1"/>
  <c r="AG243" i="1"/>
  <c r="AG242" i="1"/>
  <c r="AG241" i="1"/>
  <c r="AG240" i="1"/>
  <c r="AG239" i="1"/>
  <c r="AG238" i="1"/>
  <c r="AG237" i="1"/>
  <c r="AG236" i="1"/>
  <c r="AG235" i="1"/>
  <c r="AG234" i="1"/>
  <c r="AG233" i="1"/>
  <c r="AG232" i="1"/>
  <c r="AG231" i="1"/>
  <c r="AG230" i="1"/>
  <c r="AG229" i="1"/>
  <c r="AG228" i="1"/>
  <c r="AG227" i="1"/>
  <c r="AG226" i="1"/>
  <c r="AG225" i="1"/>
  <c r="AG224" i="1"/>
  <c r="AG223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G174" i="1"/>
  <c r="AG173" i="1"/>
  <c r="AG172" i="1"/>
  <c r="AG171" i="1"/>
  <c r="AG170" i="1"/>
  <c r="AG169" i="1"/>
  <c r="AG168" i="1"/>
  <c r="AG167" i="1"/>
  <c r="AG166" i="1"/>
  <c r="AG165" i="1"/>
  <c r="AG164" i="1"/>
  <c r="AG163" i="1"/>
  <c r="AG162" i="1"/>
  <c r="AG161" i="1"/>
  <c r="AG160" i="1"/>
  <c r="AG159" i="1"/>
  <c r="AG158" i="1"/>
  <c r="AG157" i="1"/>
  <c r="AG156" i="1"/>
  <c r="AG155" i="1"/>
  <c r="AG154" i="1"/>
  <c r="AG153" i="1"/>
  <c r="AG152" i="1"/>
  <c r="AG151" i="1"/>
  <c r="AG150" i="1"/>
  <c r="AG149" i="1"/>
  <c r="AG148" i="1"/>
  <c r="AG147" i="1"/>
  <c r="AG146" i="1"/>
  <c r="AG145" i="1"/>
  <c r="AG144" i="1"/>
  <c r="AG143" i="1"/>
  <c r="AG142" i="1"/>
  <c r="AG141" i="1"/>
  <c r="AG140" i="1"/>
  <c r="AG139" i="1"/>
  <c r="AG138" i="1"/>
  <c r="AG137" i="1"/>
  <c r="AG136" i="1"/>
  <c r="AG135" i="1"/>
  <c r="AG134" i="1"/>
  <c r="AG133" i="1"/>
  <c r="AG132" i="1"/>
  <c r="AG131" i="1"/>
  <c r="AG130" i="1"/>
  <c r="AG129" i="1"/>
  <c r="AG128" i="1"/>
  <c r="AG127" i="1"/>
  <c r="AG126" i="1"/>
  <c r="AG125" i="1"/>
  <c r="AG124" i="1"/>
  <c r="AG123" i="1"/>
  <c r="AG122" i="1"/>
  <c r="AG121" i="1"/>
  <c r="AG120" i="1"/>
  <c r="AG119" i="1"/>
  <c r="AG118" i="1"/>
  <c r="AG117" i="1"/>
  <c r="AG116" i="1"/>
  <c r="AG115" i="1"/>
  <c r="AG114" i="1"/>
  <c r="AG113" i="1"/>
  <c r="AG112" i="1"/>
  <c r="AG111" i="1"/>
  <c r="AG110" i="1"/>
  <c r="AG109" i="1"/>
  <c r="AG108" i="1"/>
  <c r="AG107" i="1"/>
  <c r="AG106" i="1"/>
  <c r="AG105" i="1"/>
  <c r="AG104" i="1"/>
  <c r="AG103" i="1"/>
  <c r="AG102" i="1"/>
  <c r="AG101" i="1"/>
  <c r="AG100" i="1"/>
  <c r="AG99" i="1"/>
  <c r="AG98" i="1"/>
  <c r="AG97" i="1"/>
  <c r="AG96" i="1"/>
  <c r="AG95" i="1"/>
  <c r="AG94" i="1"/>
  <c r="AG93" i="1"/>
  <c r="AG92" i="1"/>
  <c r="AG91" i="1"/>
  <c r="AG90" i="1"/>
  <c r="AG89" i="1"/>
  <c r="AG88" i="1"/>
  <c r="AG87" i="1"/>
  <c r="AG86" i="1"/>
  <c r="AG85" i="1"/>
  <c r="AG84" i="1"/>
  <c r="AG83" i="1"/>
  <c r="AG82" i="1"/>
  <c r="AG81" i="1"/>
  <c r="AG80" i="1"/>
  <c r="AG79" i="1"/>
  <c r="AG78" i="1"/>
  <c r="AG77" i="1"/>
  <c r="AG76" i="1"/>
  <c r="AG75" i="1"/>
  <c r="AG74" i="1"/>
  <c r="AG73" i="1"/>
  <c r="AG72" i="1"/>
  <c r="AG71" i="1"/>
  <c r="AG70" i="1"/>
  <c r="AG69" i="1"/>
  <c r="AG68" i="1"/>
  <c r="AG67" i="1"/>
  <c r="AG66" i="1"/>
  <c r="AG65" i="1"/>
  <c r="AG64" i="1"/>
  <c r="AG63" i="1"/>
  <c r="AG62" i="1"/>
  <c r="AG61" i="1"/>
  <c r="AG60" i="1"/>
  <c r="AG59" i="1"/>
  <c r="AG58" i="1"/>
  <c r="AG57" i="1"/>
  <c r="AG56" i="1"/>
  <c r="AG55" i="1"/>
  <c r="AG54" i="1"/>
  <c r="AG53" i="1"/>
  <c r="AG52" i="1"/>
  <c r="AG51" i="1"/>
  <c r="AG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A1112" i="1"/>
  <c r="AA1111" i="1"/>
  <c r="AA1110" i="1"/>
  <c r="AA1109" i="1"/>
  <c r="AA1108" i="1"/>
  <c r="AA1107" i="1"/>
  <c r="AA1106" i="1"/>
  <c r="AA1105" i="1"/>
  <c r="AA1104" i="1"/>
  <c r="AA1103" i="1"/>
  <c r="AA1102" i="1"/>
  <c r="AA1101" i="1"/>
  <c r="AA1100" i="1"/>
  <c r="AA1099" i="1"/>
  <c r="AA1098" i="1"/>
  <c r="AA1097" i="1"/>
  <c r="AA1096" i="1"/>
  <c r="AA1095" i="1"/>
  <c r="AA1094" i="1"/>
  <c r="AA1093" i="1"/>
  <c r="AA1092" i="1"/>
  <c r="AA1091" i="1"/>
  <c r="AA1090" i="1"/>
  <c r="AA1089" i="1"/>
  <c r="AA1088" i="1"/>
  <c r="AA1087" i="1"/>
  <c r="AA1086" i="1"/>
  <c r="AA1085" i="1"/>
  <c r="AA1084" i="1"/>
  <c r="AA1083" i="1"/>
  <c r="AA1082" i="1"/>
  <c r="AA1081" i="1"/>
  <c r="AA1080" i="1"/>
  <c r="AA1079" i="1"/>
  <c r="AA1078" i="1"/>
  <c r="AA1077" i="1"/>
  <c r="AA1076" i="1"/>
  <c r="AA1075" i="1"/>
  <c r="AA1074" i="1"/>
  <c r="AA1073" i="1"/>
  <c r="AA1072" i="1"/>
  <c r="AA1071" i="1"/>
  <c r="AA1070" i="1"/>
  <c r="AA1069" i="1"/>
  <c r="AA1068" i="1"/>
  <c r="AA1067" i="1"/>
  <c r="AA1066" i="1"/>
  <c r="AA1065" i="1"/>
  <c r="AA1064" i="1"/>
  <c r="AA1063" i="1"/>
  <c r="AA1062" i="1"/>
  <c r="AA1061" i="1"/>
  <c r="AA1060" i="1"/>
  <c r="AA1059" i="1"/>
  <c r="AA1058" i="1"/>
  <c r="AA1057" i="1"/>
  <c r="AA1056" i="1"/>
  <c r="AA1055" i="1"/>
  <c r="AA1054" i="1"/>
  <c r="AA1053" i="1"/>
  <c r="AA1052" i="1"/>
  <c r="AA1051" i="1"/>
  <c r="AA1050" i="1"/>
  <c r="AA1049" i="1"/>
  <c r="AA1048" i="1"/>
  <c r="AA1047" i="1"/>
  <c r="AA1046" i="1"/>
  <c r="AA1045" i="1"/>
  <c r="AA1044" i="1"/>
  <c r="AA1043" i="1"/>
  <c r="AA1042" i="1"/>
  <c r="AA1041" i="1"/>
  <c r="AA1040" i="1"/>
  <c r="AA1039" i="1"/>
  <c r="AA1038" i="1"/>
  <c r="AA1037" i="1"/>
  <c r="AA1036" i="1"/>
  <c r="AA1035" i="1"/>
  <c r="AA1034" i="1"/>
  <c r="AA1033" i="1"/>
  <c r="AA1032" i="1"/>
  <c r="AA1031" i="1"/>
  <c r="AA1030" i="1"/>
  <c r="AA1029" i="1"/>
  <c r="AA1028" i="1"/>
  <c r="AA1027" i="1"/>
  <c r="AA1026" i="1"/>
  <c r="AA1025" i="1"/>
  <c r="AA1024" i="1"/>
  <c r="AA1023" i="1"/>
  <c r="AA1022" i="1"/>
  <c r="AA1021" i="1"/>
  <c r="AA1020" i="1"/>
  <c r="AA1019" i="1"/>
  <c r="AA1018" i="1"/>
  <c r="AA1017" i="1"/>
  <c r="AA1016" i="1"/>
  <c r="AA1015" i="1"/>
  <c r="AA1014" i="1"/>
  <c r="AA1013" i="1"/>
  <c r="AA1012" i="1"/>
  <c r="AA1011" i="1"/>
  <c r="AA1010" i="1"/>
  <c r="AA1009" i="1"/>
  <c r="AA1008" i="1"/>
  <c r="AA1007" i="1"/>
  <c r="AA1006" i="1"/>
  <c r="AA1005" i="1"/>
  <c r="AA1004" i="1"/>
  <c r="AA1003" i="1"/>
  <c r="AA1002" i="1"/>
  <c r="AA1001" i="1"/>
  <c r="AA1000" i="1"/>
  <c r="AA999" i="1"/>
  <c r="AA998" i="1"/>
  <c r="AA997" i="1"/>
  <c r="AA996" i="1"/>
  <c r="AA995" i="1"/>
  <c r="AA994" i="1"/>
  <c r="AA993" i="1"/>
  <c r="AA992" i="1"/>
  <c r="AA991" i="1"/>
  <c r="AA990" i="1"/>
  <c r="AA989" i="1"/>
  <c r="AA988" i="1"/>
  <c r="AA987" i="1"/>
  <c r="AA986" i="1"/>
  <c r="AA985" i="1"/>
  <c r="AA984" i="1"/>
  <c r="AA983" i="1"/>
  <c r="AA982" i="1"/>
  <c r="AA981" i="1"/>
  <c r="AA980" i="1"/>
  <c r="AA979" i="1"/>
  <c r="AA978" i="1"/>
  <c r="AA977" i="1"/>
  <c r="AA976" i="1"/>
  <c r="AA975" i="1"/>
  <c r="AA974" i="1"/>
  <c r="AA973" i="1"/>
  <c r="AA972" i="1"/>
  <c r="AA971" i="1"/>
  <c r="AA970" i="1"/>
  <c r="AA969" i="1"/>
  <c r="AA968" i="1"/>
  <c r="AA967" i="1"/>
  <c r="AA966" i="1"/>
  <c r="AA965" i="1"/>
  <c r="AA964" i="1"/>
  <c r="AA963" i="1"/>
  <c r="AA962" i="1"/>
  <c r="AA961" i="1"/>
  <c r="AA960" i="1"/>
  <c r="AA959" i="1"/>
  <c r="AA958" i="1"/>
  <c r="AA957" i="1"/>
  <c r="AA956" i="1"/>
  <c r="AA955" i="1"/>
  <c r="AA954" i="1"/>
  <c r="AA953" i="1"/>
  <c r="AA952" i="1"/>
  <c r="AA951" i="1"/>
  <c r="AA950" i="1"/>
  <c r="AA949" i="1"/>
  <c r="AA948" i="1"/>
  <c r="AA947" i="1"/>
  <c r="AA946" i="1"/>
  <c r="AA945" i="1"/>
  <c r="AA944" i="1"/>
  <c r="AA943" i="1"/>
  <c r="AA942" i="1"/>
  <c r="AA941" i="1"/>
  <c r="AA940" i="1"/>
  <c r="AA939" i="1"/>
  <c r="AA938" i="1"/>
  <c r="AA937" i="1"/>
  <c r="AA936" i="1"/>
  <c r="AA935" i="1"/>
  <c r="AA934" i="1"/>
  <c r="AA933" i="1"/>
  <c r="AA932" i="1"/>
  <c r="AA931" i="1"/>
  <c r="AA930" i="1"/>
  <c r="AA929" i="1"/>
  <c r="AA928" i="1"/>
  <c r="AA927" i="1"/>
  <c r="AA926" i="1"/>
  <c r="AA925" i="1"/>
  <c r="AA924" i="1"/>
  <c r="AA923" i="1"/>
  <c r="AA922" i="1"/>
  <c r="AA921" i="1"/>
  <c r="AA920" i="1"/>
  <c r="AA919" i="1"/>
  <c r="AA918" i="1"/>
  <c r="AA917" i="1"/>
  <c r="AA916" i="1"/>
  <c r="AA915" i="1"/>
  <c r="AA914" i="1"/>
  <c r="AA913" i="1"/>
  <c r="AA912" i="1"/>
  <c r="AA911" i="1"/>
  <c r="AA910" i="1"/>
  <c r="AA909" i="1"/>
  <c r="AA908" i="1"/>
  <c r="AA907" i="1"/>
  <c r="AA906" i="1"/>
  <c r="AA905" i="1"/>
  <c r="AA904" i="1"/>
  <c r="AA903" i="1"/>
  <c r="AA902" i="1"/>
  <c r="AA901" i="1"/>
  <c r="AA900" i="1"/>
  <c r="AA899" i="1"/>
  <c r="AA898" i="1"/>
  <c r="AA897" i="1"/>
  <c r="AA896" i="1"/>
  <c r="AA895" i="1"/>
  <c r="AA894" i="1"/>
  <c r="AA893" i="1"/>
  <c r="AA892" i="1"/>
  <c r="AA891" i="1"/>
  <c r="AA890" i="1"/>
  <c r="AA889" i="1"/>
  <c r="AA888" i="1"/>
  <c r="AA887" i="1"/>
  <c r="AA886" i="1"/>
  <c r="AA885" i="1"/>
  <c r="AA884" i="1"/>
  <c r="AA883" i="1"/>
  <c r="AA882" i="1"/>
  <c r="AA881" i="1"/>
  <c r="AA880" i="1"/>
  <c r="AA879" i="1"/>
  <c r="AA878" i="1"/>
  <c r="AA877" i="1"/>
  <c r="AA876" i="1"/>
  <c r="AA875" i="1"/>
  <c r="AA874" i="1"/>
  <c r="AA873" i="1"/>
  <c r="AA872" i="1"/>
  <c r="AA871" i="1"/>
  <c r="AA870" i="1"/>
  <c r="AA869" i="1"/>
  <c r="AA868" i="1"/>
  <c r="AA867" i="1"/>
  <c r="AA866" i="1"/>
  <c r="AA865" i="1"/>
  <c r="AA864" i="1"/>
  <c r="AA863" i="1"/>
  <c r="AA862" i="1"/>
  <c r="AA861" i="1"/>
  <c r="AA860" i="1"/>
  <c r="AA859" i="1"/>
  <c r="AA858" i="1"/>
  <c r="AA857" i="1"/>
  <c r="AA856" i="1"/>
  <c r="AA855" i="1"/>
  <c r="AA854" i="1"/>
  <c r="AA853" i="1"/>
  <c r="AA852" i="1"/>
  <c r="AA851" i="1"/>
  <c r="AA850" i="1"/>
  <c r="AA849" i="1"/>
  <c r="AA848" i="1"/>
  <c r="AA847" i="1"/>
  <c r="AA846" i="1"/>
  <c r="AA845" i="1"/>
  <c r="AA844" i="1"/>
  <c r="AA843" i="1"/>
  <c r="AA842" i="1"/>
  <c r="AA841" i="1"/>
  <c r="AA840" i="1"/>
  <c r="AA839" i="1"/>
  <c r="AA838" i="1"/>
  <c r="AA837" i="1"/>
  <c r="AA836" i="1"/>
  <c r="AA835" i="1"/>
  <c r="AA834" i="1"/>
  <c r="AA833" i="1"/>
  <c r="AA832" i="1"/>
  <c r="AA831" i="1"/>
  <c r="AA830" i="1"/>
  <c r="AA829" i="1"/>
  <c r="AA828" i="1"/>
  <c r="AA827" i="1"/>
  <c r="AA826" i="1"/>
  <c r="AA825" i="1"/>
  <c r="AA824" i="1"/>
  <c r="AA823" i="1"/>
  <c r="AA822" i="1"/>
  <c r="AA821" i="1"/>
  <c r="AA820" i="1"/>
  <c r="AA819" i="1"/>
  <c r="AA818" i="1"/>
  <c r="AA817" i="1"/>
  <c r="AA816" i="1"/>
  <c r="AA815" i="1"/>
  <c r="AA814" i="1"/>
  <c r="AA813" i="1"/>
  <c r="AA812" i="1"/>
  <c r="AA811" i="1"/>
  <c r="AA810" i="1"/>
  <c r="AA809" i="1"/>
  <c r="AA808" i="1"/>
  <c r="AA807" i="1"/>
  <c r="AA806" i="1"/>
  <c r="AA805" i="1"/>
  <c r="AA804" i="1"/>
  <c r="AA803" i="1"/>
  <c r="AA802" i="1"/>
  <c r="AA801" i="1"/>
  <c r="AA800" i="1"/>
  <c r="AA799" i="1"/>
  <c r="AA798" i="1"/>
  <c r="AA797" i="1"/>
  <c r="AA796" i="1"/>
  <c r="AA795" i="1"/>
  <c r="AA794" i="1"/>
  <c r="AA793" i="1"/>
  <c r="AA792" i="1"/>
  <c r="AA791" i="1"/>
  <c r="AA790" i="1"/>
  <c r="AA789" i="1"/>
  <c r="AA788" i="1"/>
  <c r="AA787" i="1"/>
  <c r="AA786" i="1"/>
  <c r="AA785" i="1"/>
  <c r="AA784" i="1"/>
  <c r="AA783" i="1"/>
  <c r="AA782" i="1"/>
  <c r="AA781" i="1"/>
  <c r="AA780" i="1"/>
  <c r="AA779" i="1"/>
  <c r="AA778" i="1"/>
  <c r="AA777" i="1"/>
  <c r="AA776" i="1"/>
  <c r="AA775" i="1"/>
  <c r="AA774" i="1"/>
  <c r="AA773" i="1"/>
  <c r="AA772" i="1"/>
  <c r="AA771" i="1"/>
  <c r="AA770" i="1"/>
  <c r="AA769" i="1"/>
  <c r="AA768" i="1"/>
  <c r="AA767" i="1"/>
  <c r="AA766" i="1"/>
  <c r="AA765" i="1"/>
  <c r="AA764" i="1"/>
  <c r="AA763" i="1"/>
  <c r="AA762" i="1"/>
  <c r="AA761" i="1"/>
  <c r="AA760" i="1"/>
  <c r="AA759" i="1"/>
  <c r="AA758" i="1"/>
  <c r="AA757" i="1"/>
  <c r="AA756" i="1"/>
  <c r="AA755" i="1"/>
  <c r="AA754" i="1"/>
  <c r="AA753" i="1"/>
  <c r="AA752" i="1"/>
  <c r="AA751" i="1"/>
  <c r="AA750" i="1"/>
  <c r="AA749" i="1"/>
  <c r="AA748" i="1"/>
  <c r="AA747" i="1"/>
  <c r="AA746" i="1"/>
  <c r="AA745" i="1"/>
  <c r="AA744" i="1"/>
  <c r="AA743" i="1"/>
  <c r="AA742" i="1"/>
  <c r="AA741" i="1"/>
  <c r="AA740" i="1"/>
  <c r="AA739" i="1"/>
  <c r="AA738" i="1"/>
  <c r="AA737" i="1"/>
  <c r="AA736" i="1"/>
  <c r="AA735" i="1"/>
  <c r="AA734" i="1"/>
  <c r="AA733" i="1"/>
  <c r="AA732" i="1"/>
  <c r="AA731" i="1"/>
  <c r="AA730" i="1"/>
  <c r="AA729" i="1"/>
  <c r="AA728" i="1"/>
  <c r="AA727" i="1"/>
  <c r="AA726" i="1"/>
  <c r="AA725" i="1"/>
  <c r="AA724" i="1"/>
  <c r="AA723" i="1"/>
  <c r="AA722" i="1"/>
  <c r="AA721" i="1"/>
  <c r="AA720" i="1"/>
  <c r="AA719" i="1"/>
  <c r="AA718" i="1"/>
  <c r="AA717" i="1"/>
  <c r="AA716" i="1"/>
  <c r="AA715" i="1"/>
  <c r="AA714" i="1"/>
  <c r="AA713" i="1"/>
  <c r="AA712" i="1"/>
  <c r="AA711" i="1"/>
  <c r="AA710" i="1"/>
  <c r="AA709" i="1"/>
  <c r="AA708" i="1"/>
  <c r="AA707" i="1"/>
  <c r="AA706" i="1"/>
  <c r="AA705" i="1"/>
  <c r="AA704" i="1"/>
  <c r="AA703" i="1"/>
  <c r="AA702" i="1"/>
  <c r="AA701" i="1"/>
  <c r="AA700" i="1"/>
  <c r="AA699" i="1"/>
  <c r="AA698" i="1"/>
  <c r="AA697" i="1"/>
  <c r="AA696" i="1"/>
  <c r="AA695" i="1"/>
  <c r="AA694" i="1"/>
  <c r="AA693" i="1"/>
  <c r="AA692" i="1"/>
  <c r="AA691" i="1"/>
  <c r="AA690" i="1"/>
  <c r="AA689" i="1"/>
  <c r="AA688" i="1"/>
  <c r="AA687" i="1"/>
  <c r="AA686" i="1"/>
  <c r="AA685" i="1"/>
  <c r="AA684" i="1"/>
  <c r="AA683" i="1"/>
  <c r="AA682" i="1"/>
  <c r="AA681" i="1"/>
  <c r="AA680" i="1"/>
  <c r="AA679" i="1"/>
  <c r="AA678" i="1"/>
  <c r="AA677" i="1"/>
  <c r="AA676" i="1"/>
  <c r="AA675" i="1"/>
  <c r="AA674" i="1"/>
  <c r="AA673" i="1"/>
  <c r="AA672" i="1"/>
  <c r="AA671" i="1"/>
  <c r="AA670" i="1"/>
  <c r="AA669" i="1"/>
  <c r="AA668" i="1"/>
  <c r="AA667" i="1"/>
  <c r="AA666" i="1"/>
  <c r="AA665" i="1"/>
  <c r="AA664" i="1"/>
  <c r="AA663" i="1"/>
  <c r="AA662" i="1"/>
  <c r="AA661" i="1"/>
  <c r="AA660" i="1"/>
  <c r="AA659" i="1"/>
  <c r="AA658" i="1"/>
  <c r="AA657" i="1"/>
  <c r="AA656" i="1"/>
  <c r="AA655" i="1"/>
  <c r="AA654" i="1"/>
  <c r="AA653" i="1"/>
  <c r="AA652" i="1"/>
  <c r="AA651" i="1"/>
  <c r="AA650" i="1"/>
  <c r="AA649" i="1"/>
  <c r="AA648" i="1"/>
  <c r="AA647" i="1"/>
  <c r="AA646" i="1"/>
  <c r="AA645" i="1"/>
  <c r="AA644" i="1"/>
  <c r="AA643" i="1"/>
  <c r="AA642" i="1"/>
  <c r="AA641" i="1"/>
  <c r="AA640" i="1"/>
  <c r="AA639" i="1"/>
  <c r="AA638" i="1"/>
  <c r="AA637" i="1"/>
  <c r="AA636" i="1"/>
  <c r="AA635" i="1"/>
  <c r="AA634" i="1"/>
  <c r="AA633" i="1"/>
  <c r="AA632" i="1"/>
  <c r="AA631" i="1"/>
  <c r="AA630" i="1"/>
  <c r="AA629" i="1"/>
  <c r="AA628" i="1"/>
  <c r="AA627" i="1"/>
  <c r="AA626" i="1"/>
  <c r="AA625" i="1"/>
  <c r="AA624" i="1"/>
  <c r="AA623" i="1"/>
  <c r="AA622" i="1"/>
  <c r="AA621" i="1"/>
  <c r="AA620" i="1"/>
  <c r="AA619" i="1"/>
  <c r="AA618" i="1"/>
  <c r="AA617" i="1"/>
  <c r="AA616" i="1"/>
  <c r="AA615" i="1"/>
  <c r="AA614" i="1"/>
  <c r="AA613" i="1"/>
  <c r="AA612" i="1"/>
  <c r="AA611" i="1"/>
  <c r="AA610" i="1"/>
  <c r="AA609" i="1"/>
  <c r="AA608" i="1"/>
  <c r="AA607" i="1"/>
  <c r="AA606" i="1"/>
  <c r="AA605" i="1"/>
  <c r="AA604" i="1"/>
  <c r="AA603" i="1"/>
  <c r="AA602" i="1"/>
  <c r="AA601" i="1"/>
  <c r="AA600" i="1"/>
  <c r="AA599" i="1"/>
  <c r="AA598" i="1"/>
  <c r="AA597" i="1"/>
  <c r="AA596" i="1"/>
  <c r="AA595" i="1"/>
  <c r="AA594" i="1"/>
  <c r="AA593" i="1"/>
  <c r="AA592" i="1"/>
  <c r="AA591" i="1"/>
  <c r="AA590" i="1"/>
  <c r="AA589" i="1"/>
  <c r="AA588" i="1"/>
  <c r="AA587" i="1"/>
  <c r="AA586" i="1"/>
  <c r="AA585" i="1"/>
  <c r="AA584" i="1"/>
  <c r="AA583" i="1"/>
  <c r="AA582" i="1"/>
  <c r="AA581" i="1"/>
  <c r="AA580" i="1"/>
  <c r="AA579" i="1"/>
  <c r="AA578" i="1"/>
  <c r="AA577" i="1"/>
  <c r="AA576" i="1"/>
  <c r="AA575" i="1"/>
  <c r="AA574" i="1"/>
  <c r="AA573" i="1"/>
  <c r="AA572" i="1"/>
  <c r="AA571" i="1"/>
  <c r="AA570" i="1"/>
  <c r="AA569" i="1"/>
  <c r="AA568" i="1"/>
  <c r="AA567" i="1"/>
  <c r="AA566" i="1"/>
  <c r="AA565" i="1"/>
  <c r="AA564" i="1"/>
  <c r="AA563" i="1"/>
  <c r="AA562" i="1"/>
  <c r="AA561" i="1"/>
  <c r="AA560" i="1"/>
  <c r="AA559" i="1"/>
  <c r="AA558" i="1"/>
  <c r="AA557" i="1"/>
  <c r="AA556" i="1"/>
  <c r="AA555" i="1"/>
  <c r="AA554" i="1"/>
  <c r="AA553" i="1"/>
  <c r="AA552" i="1"/>
  <c r="AA551" i="1"/>
  <c r="AA550" i="1"/>
  <c r="AA549" i="1"/>
  <c r="AA548" i="1"/>
  <c r="AA547" i="1"/>
  <c r="AA546" i="1"/>
  <c r="AA545" i="1"/>
  <c r="AA544" i="1"/>
  <c r="AA543" i="1"/>
  <c r="AA542" i="1"/>
  <c r="AA541" i="1"/>
  <c r="AA540" i="1"/>
  <c r="AA539" i="1"/>
  <c r="AA538" i="1"/>
  <c r="AA537" i="1"/>
  <c r="AA536" i="1"/>
  <c r="AA535" i="1"/>
  <c r="AA534" i="1"/>
  <c r="AA533" i="1"/>
  <c r="AA532" i="1"/>
  <c r="AA531" i="1"/>
  <c r="AA530" i="1"/>
  <c r="AA529" i="1"/>
  <c r="AA528" i="1"/>
  <c r="AA527" i="1"/>
  <c r="AA526" i="1"/>
  <c r="AA525" i="1"/>
  <c r="AA524" i="1"/>
  <c r="AA523" i="1"/>
  <c r="AA522" i="1"/>
  <c r="AA521" i="1"/>
  <c r="AA520" i="1"/>
  <c r="AA519" i="1"/>
  <c r="AA518" i="1"/>
  <c r="AA517" i="1"/>
  <c r="AA516" i="1"/>
  <c r="AA515" i="1"/>
  <c r="AA514" i="1"/>
  <c r="AA513" i="1"/>
  <c r="AA512" i="1"/>
  <c r="AA511" i="1"/>
  <c r="AA510" i="1"/>
  <c r="AA509" i="1"/>
  <c r="AA508" i="1"/>
  <c r="AA507" i="1"/>
  <c r="AA506" i="1"/>
  <c r="AA505" i="1"/>
  <c r="AA504" i="1"/>
  <c r="AA503" i="1"/>
  <c r="AA502" i="1"/>
  <c r="AA501" i="1"/>
  <c r="AA500" i="1"/>
  <c r="AA499" i="1"/>
  <c r="AA498" i="1"/>
  <c r="AA497" i="1"/>
  <c r="AA496" i="1"/>
  <c r="AA495" i="1"/>
  <c r="AA494" i="1"/>
  <c r="AA493" i="1"/>
  <c r="AA492" i="1"/>
  <c r="AA491" i="1"/>
  <c r="AA490" i="1"/>
  <c r="AA489" i="1"/>
  <c r="AA488" i="1"/>
  <c r="AA487" i="1"/>
  <c r="AA486" i="1"/>
  <c r="AA485" i="1"/>
  <c r="AA484" i="1"/>
  <c r="AA483" i="1"/>
  <c r="AA482" i="1"/>
  <c r="AA481" i="1"/>
  <c r="AA480" i="1"/>
  <c r="AA479" i="1"/>
  <c r="AA478" i="1"/>
  <c r="AA477" i="1"/>
  <c r="AA476" i="1"/>
  <c r="AA475" i="1"/>
  <c r="AA474" i="1"/>
  <c r="AA473" i="1"/>
  <c r="AA472" i="1"/>
  <c r="AA471" i="1"/>
  <c r="AA470" i="1"/>
  <c r="AA469" i="1"/>
  <c r="AA468" i="1"/>
  <c r="AA467" i="1"/>
  <c r="AA466" i="1"/>
  <c r="AA465" i="1"/>
  <c r="AA464" i="1"/>
  <c r="AA463" i="1"/>
  <c r="AA462" i="1"/>
  <c r="AA461" i="1"/>
  <c r="AA460" i="1"/>
  <c r="AA459" i="1"/>
  <c r="AA458" i="1"/>
  <c r="AA457" i="1"/>
  <c r="AA456" i="1"/>
  <c r="AA455" i="1"/>
  <c r="AA454" i="1"/>
  <c r="AA453" i="1"/>
  <c r="AA452" i="1"/>
  <c r="AA451" i="1"/>
  <c r="AA450" i="1"/>
  <c r="AA449" i="1"/>
  <c r="AA448" i="1"/>
  <c r="AA447" i="1"/>
  <c r="AA446" i="1"/>
  <c r="AA445" i="1"/>
  <c r="AA444" i="1"/>
  <c r="AA443" i="1"/>
  <c r="AA442" i="1"/>
  <c r="AA441" i="1"/>
  <c r="AA440" i="1"/>
  <c r="AA439" i="1"/>
  <c r="AA438" i="1"/>
  <c r="AA437" i="1"/>
  <c r="AA436" i="1"/>
  <c r="AA435" i="1"/>
  <c r="AA434" i="1"/>
  <c r="AA433" i="1"/>
  <c r="AA432" i="1"/>
  <c r="AA431" i="1"/>
  <c r="AA430" i="1"/>
  <c r="AA429" i="1"/>
  <c r="AA428" i="1"/>
  <c r="AA427" i="1"/>
  <c r="AA426" i="1"/>
  <c r="AA425" i="1"/>
  <c r="AA424" i="1"/>
  <c r="AA423" i="1"/>
  <c r="AA422" i="1"/>
  <c r="AA421" i="1"/>
  <c r="AA420" i="1"/>
  <c r="AA419" i="1"/>
  <c r="AA418" i="1"/>
  <c r="AA417" i="1"/>
  <c r="AA416" i="1"/>
  <c r="AA415" i="1"/>
  <c r="AA414" i="1"/>
  <c r="AA413" i="1"/>
  <c r="AA412" i="1"/>
  <c r="AA411" i="1"/>
  <c r="AA410" i="1"/>
  <c r="AA409" i="1"/>
  <c r="AA408" i="1"/>
  <c r="AA407" i="1"/>
  <c r="AA406" i="1"/>
  <c r="AA405" i="1"/>
  <c r="AA404" i="1"/>
  <c r="AA403" i="1"/>
  <c r="AA402" i="1"/>
  <c r="AA401" i="1"/>
  <c r="AA400" i="1"/>
  <c r="AA399" i="1"/>
  <c r="AA398" i="1"/>
  <c r="AA397" i="1"/>
  <c r="AA396" i="1"/>
  <c r="AA395" i="1"/>
  <c r="AA394" i="1"/>
  <c r="AA393" i="1"/>
  <c r="AA392" i="1"/>
  <c r="AA391" i="1"/>
  <c r="AA390" i="1"/>
  <c r="AA389" i="1"/>
  <c r="AA388" i="1"/>
  <c r="AA387" i="1"/>
  <c r="AA386" i="1"/>
  <c r="AA385" i="1"/>
  <c r="AA384" i="1"/>
  <c r="AA383" i="1"/>
  <c r="AA382" i="1"/>
  <c r="AA381" i="1"/>
  <c r="AA380" i="1"/>
  <c r="AA379" i="1"/>
  <c r="AA378" i="1"/>
  <c r="AA377" i="1"/>
  <c r="AA376" i="1"/>
  <c r="AA375" i="1"/>
  <c r="AA374" i="1"/>
  <c r="AA373" i="1"/>
  <c r="AA372" i="1"/>
  <c r="AA371" i="1"/>
  <c r="AA370" i="1"/>
  <c r="AA369" i="1"/>
  <c r="AA368" i="1"/>
  <c r="AA367" i="1"/>
  <c r="AA366" i="1"/>
  <c r="AA365" i="1"/>
  <c r="AA364" i="1"/>
  <c r="AA363" i="1"/>
  <c r="AA362" i="1"/>
  <c r="AA361" i="1"/>
  <c r="AA360" i="1"/>
  <c r="AA359" i="1"/>
  <c r="AA358" i="1"/>
  <c r="AA357" i="1"/>
  <c r="AA356" i="1"/>
  <c r="AA355" i="1"/>
  <c r="AA354" i="1"/>
  <c r="AA353" i="1"/>
  <c r="AA352" i="1"/>
  <c r="AA351" i="1"/>
  <c r="AA350" i="1"/>
  <c r="AA349" i="1"/>
  <c r="AA348" i="1"/>
  <c r="AA347" i="1"/>
  <c r="AA346" i="1"/>
  <c r="AA345" i="1"/>
  <c r="AA344" i="1"/>
  <c r="AA343" i="1"/>
  <c r="AA342" i="1"/>
  <c r="AA341" i="1"/>
  <c r="AA340" i="1"/>
  <c r="AA339" i="1"/>
  <c r="AA338" i="1"/>
  <c r="AA337" i="1"/>
  <c r="AA336" i="1"/>
  <c r="AA335" i="1"/>
  <c r="AA334" i="1"/>
  <c r="AA333" i="1"/>
  <c r="AA332" i="1"/>
  <c r="AA331" i="1"/>
  <c r="AA330" i="1"/>
  <c r="AA329" i="1"/>
  <c r="AA328" i="1"/>
  <c r="AA327" i="1"/>
  <c r="AA326" i="1"/>
  <c r="AA325" i="1"/>
  <c r="AA324" i="1"/>
  <c r="AA323" i="1"/>
  <c r="AA322" i="1"/>
  <c r="AA321" i="1"/>
  <c r="AA320" i="1"/>
  <c r="AA319" i="1"/>
  <c r="AA318" i="1"/>
  <c r="AA317" i="1"/>
  <c r="AA316" i="1"/>
  <c r="AA315" i="1"/>
  <c r="AA314" i="1"/>
  <c r="AA313" i="1"/>
  <c r="AA312" i="1"/>
  <c r="AA311" i="1"/>
  <c r="AA310" i="1"/>
  <c r="AA309" i="1"/>
  <c r="AA308" i="1"/>
  <c r="AA307" i="1"/>
  <c r="AA306" i="1"/>
  <c r="AA305" i="1"/>
  <c r="AA304" i="1"/>
  <c r="AA303" i="1"/>
  <c r="AA302" i="1"/>
  <c r="AA301" i="1"/>
  <c r="AA300" i="1"/>
  <c r="AA299" i="1"/>
  <c r="AA298" i="1"/>
  <c r="AA297" i="1"/>
  <c r="AA296" i="1"/>
  <c r="AA295" i="1"/>
  <c r="AA294" i="1"/>
  <c r="AA293" i="1"/>
  <c r="AA292" i="1"/>
  <c r="AA291" i="1"/>
  <c r="AA290" i="1"/>
  <c r="AA289" i="1"/>
  <c r="AA288" i="1"/>
  <c r="AA287" i="1"/>
  <c r="AA286" i="1"/>
  <c r="AA285" i="1"/>
  <c r="AA284" i="1"/>
  <c r="AA283" i="1"/>
  <c r="AA282" i="1"/>
  <c r="AA281" i="1"/>
  <c r="AA280" i="1"/>
  <c r="AA279" i="1"/>
  <c r="AA278" i="1"/>
  <c r="AA277" i="1"/>
  <c r="AA276" i="1"/>
  <c r="AA275" i="1"/>
  <c r="AA274" i="1"/>
  <c r="AA273" i="1"/>
  <c r="AA272" i="1"/>
  <c r="AA271" i="1"/>
  <c r="AA270" i="1"/>
  <c r="AA269" i="1"/>
  <c r="AA268" i="1"/>
  <c r="AA267" i="1"/>
  <c r="AA266" i="1"/>
  <c r="AA265" i="1"/>
  <c r="AA264" i="1"/>
  <c r="AA263" i="1"/>
  <c r="AA262" i="1"/>
  <c r="AA261" i="1"/>
  <c r="AA260" i="1"/>
  <c r="AA259" i="1"/>
  <c r="AA258" i="1"/>
  <c r="AA257" i="1"/>
  <c r="AA256" i="1"/>
  <c r="AA255" i="1"/>
  <c r="AA254" i="1"/>
  <c r="AA253" i="1"/>
  <c r="AA252" i="1"/>
  <c r="AA251" i="1"/>
  <c r="AA250" i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AA224" i="1"/>
  <c r="AA223" i="1"/>
  <c r="AA222" i="1"/>
  <c r="AA221" i="1"/>
  <c r="AA220" i="1"/>
  <c r="AA219" i="1"/>
  <c r="AA218" i="1"/>
  <c r="AA217" i="1"/>
  <c r="AA216" i="1"/>
  <c r="AA215" i="1"/>
  <c r="AA214" i="1"/>
  <c r="AA213" i="1"/>
  <c r="AA212" i="1"/>
  <c r="AA211" i="1"/>
  <c r="AA210" i="1"/>
  <c r="AA209" i="1"/>
  <c r="AA208" i="1"/>
  <c r="AA207" i="1"/>
  <c r="AA206" i="1"/>
  <c r="AA205" i="1"/>
  <c r="AA204" i="1"/>
  <c r="AA203" i="1"/>
  <c r="AA202" i="1"/>
  <c r="AA201" i="1"/>
  <c r="AA200" i="1"/>
  <c r="AA199" i="1"/>
  <c r="AA198" i="1"/>
  <c r="AA197" i="1"/>
  <c r="AA196" i="1"/>
  <c r="AA195" i="1"/>
  <c r="AA194" i="1"/>
  <c r="AA193" i="1"/>
  <c r="AA192" i="1"/>
  <c r="AA191" i="1"/>
  <c r="AA190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8" i="1"/>
  <c r="AA167" i="1"/>
  <c r="AA166" i="1"/>
  <c r="AA165" i="1"/>
  <c r="AA164" i="1"/>
  <c r="AA163" i="1"/>
  <c r="AA162" i="1"/>
  <c r="AA161" i="1"/>
  <c r="AA160" i="1"/>
  <c r="AA159" i="1"/>
  <c r="AA158" i="1"/>
  <c r="AA157" i="1"/>
  <c r="AA156" i="1"/>
  <c r="AA155" i="1"/>
  <c r="AA154" i="1"/>
  <c r="AA153" i="1"/>
  <c r="AA152" i="1"/>
  <c r="AA151" i="1"/>
  <c r="AA150" i="1"/>
  <c r="AA149" i="1"/>
  <c r="AA148" i="1"/>
  <c r="AA147" i="1"/>
  <c r="AA146" i="1"/>
  <c r="AA145" i="1"/>
  <c r="AA144" i="1"/>
  <c r="AA143" i="1"/>
  <c r="AA142" i="1"/>
  <c r="AA141" i="1"/>
  <c r="AA140" i="1"/>
  <c r="AA139" i="1"/>
  <c r="AA138" i="1"/>
  <c r="AA137" i="1"/>
  <c r="AA136" i="1"/>
  <c r="AA135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W1112" i="1"/>
  <c r="W1111" i="1"/>
  <c r="W1110" i="1"/>
  <c r="W1109" i="1"/>
  <c r="W1108" i="1"/>
  <c r="W1107" i="1"/>
  <c r="W1106" i="1"/>
  <c r="W1105" i="1"/>
  <c r="W1104" i="1"/>
  <c r="W1103" i="1"/>
  <c r="W1102" i="1"/>
  <c r="W1101" i="1"/>
  <c r="W1100" i="1"/>
  <c r="W1099" i="1"/>
  <c r="W1098" i="1"/>
  <c r="W1097" i="1"/>
  <c r="W1096" i="1"/>
  <c r="W1095" i="1"/>
  <c r="W1094" i="1"/>
  <c r="W1093" i="1"/>
  <c r="W1092" i="1"/>
  <c r="W1091" i="1"/>
  <c r="W1090" i="1"/>
  <c r="W1089" i="1"/>
  <c r="W1088" i="1"/>
  <c r="W1087" i="1"/>
  <c r="W1086" i="1"/>
  <c r="W1085" i="1"/>
  <c r="W1084" i="1"/>
  <c r="W1083" i="1"/>
  <c r="W1082" i="1"/>
  <c r="W1081" i="1"/>
  <c r="W1080" i="1"/>
  <c r="W1079" i="1"/>
  <c r="W1078" i="1"/>
  <c r="W1077" i="1"/>
  <c r="W1076" i="1"/>
  <c r="W1075" i="1"/>
  <c r="W1074" i="1"/>
  <c r="W1073" i="1"/>
  <c r="W1072" i="1"/>
  <c r="W1071" i="1"/>
  <c r="W1070" i="1"/>
  <c r="W1069" i="1"/>
  <c r="W1068" i="1"/>
  <c r="W1067" i="1"/>
  <c r="W1066" i="1"/>
  <c r="W1065" i="1"/>
  <c r="W1064" i="1"/>
  <c r="W1063" i="1"/>
  <c r="W1062" i="1"/>
  <c r="W1061" i="1"/>
  <c r="W1060" i="1"/>
  <c r="W1059" i="1"/>
  <c r="W1058" i="1"/>
  <c r="W1057" i="1"/>
  <c r="W1056" i="1"/>
  <c r="W1055" i="1"/>
  <c r="W1054" i="1"/>
  <c r="W1053" i="1"/>
  <c r="W1052" i="1"/>
  <c r="W1051" i="1"/>
  <c r="W1050" i="1"/>
  <c r="W1049" i="1"/>
  <c r="W1048" i="1"/>
  <c r="W1047" i="1"/>
  <c r="W1046" i="1"/>
  <c r="W1045" i="1"/>
  <c r="W1044" i="1"/>
  <c r="W1043" i="1"/>
  <c r="W1042" i="1"/>
  <c r="W1041" i="1"/>
  <c r="W1040" i="1"/>
  <c r="W1039" i="1"/>
  <c r="W1038" i="1"/>
  <c r="W1037" i="1"/>
  <c r="W1036" i="1"/>
  <c r="W1035" i="1"/>
  <c r="W1034" i="1"/>
  <c r="W1033" i="1"/>
  <c r="W1032" i="1"/>
  <c r="W1031" i="1"/>
  <c r="W1030" i="1"/>
  <c r="W1029" i="1"/>
  <c r="W1028" i="1"/>
  <c r="W1027" i="1"/>
  <c r="W1026" i="1"/>
  <c r="W1025" i="1"/>
  <c r="W1024" i="1"/>
  <c r="W1023" i="1"/>
  <c r="W1022" i="1"/>
  <c r="W1021" i="1"/>
  <c r="W1020" i="1"/>
  <c r="W1019" i="1"/>
  <c r="W1018" i="1"/>
  <c r="W1017" i="1"/>
  <c r="W1016" i="1"/>
  <c r="W1015" i="1"/>
  <c r="W1014" i="1"/>
  <c r="W1013" i="1"/>
  <c r="W1012" i="1"/>
  <c r="W1011" i="1"/>
  <c r="W1010" i="1"/>
  <c r="W1009" i="1"/>
  <c r="W1008" i="1"/>
  <c r="W1007" i="1"/>
  <c r="W1006" i="1"/>
  <c r="W1005" i="1"/>
  <c r="W1004" i="1"/>
  <c r="W1003" i="1"/>
  <c r="W1002" i="1"/>
  <c r="W1001" i="1"/>
  <c r="W1000" i="1"/>
  <c r="W999" i="1"/>
  <c r="W998" i="1"/>
  <c r="W997" i="1"/>
  <c r="W996" i="1"/>
  <c r="W995" i="1"/>
  <c r="W994" i="1"/>
  <c r="W993" i="1"/>
  <c r="W992" i="1"/>
  <c r="W991" i="1"/>
  <c r="W990" i="1"/>
  <c r="W989" i="1"/>
  <c r="W988" i="1"/>
  <c r="W987" i="1"/>
  <c r="W986" i="1"/>
  <c r="W985" i="1"/>
  <c r="W984" i="1"/>
  <c r="W983" i="1"/>
  <c r="W982" i="1"/>
  <c r="W981" i="1"/>
  <c r="W980" i="1"/>
  <c r="W979" i="1"/>
  <c r="W978" i="1"/>
  <c r="W977" i="1"/>
  <c r="W976" i="1"/>
  <c r="W975" i="1"/>
  <c r="W974" i="1"/>
  <c r="W973" i="1"/>
  <c r="W972" i="1"/>
  <c r="W971" i="1"/>
  <c r="W970" i="1"/>
  <c r="W969" i="1"/>
  <c r="W968" i="1"/>
  <c r="W967" i="1"/>
  <c r="W966" i="1"/>
  <c r="W965" i="1"/>
  <c r="W964" i="1"/>
  <c r="W963" i="1"/>
  <c r="W962" i="1"/>
  <c r="W961" i="1"/>
  <c r="W960" i="1"/>
  <c r="W959" i="1"/>
  <c r="W958" i="1"/>
  <c r="W957" i="1"/>
  <c r="W956" i="1"/>
  <c r="W955" i="1"/>
  <c r="W954" i="1"/>
  <c r="W953" i="1"/>
  <c r="W952" i="1"/>
  <c r="W951" i="1"/>
  <c r="W950" i="1"/>
  <c r="W949" i="1"/>
  <c r="W948" i="1"/>
  <c r="W947" i="1"/>
  <c r="W946" i="1"/>
  <c r="W945" i="1"/>
  <c r="W944" i="1"/>
  <c r="W943" i="1"/>
  <c r="W942" i="1"/>
  <c r="W941" i="1"/>
  <c r="W940" i="1"/>
  <c r="W939" i="1"/>
  <c r="W938" i="1"/>
  <c r="W937" i="1"/>
  <c r="W936" i="1"/>
  <c r="W935" i="1"/>
  <c r="W934" i="1"/>
  <c r="W933" i="1"/>
  <c r="W932" i="1"/>
  <c r="W931" i="1"/>
  <c r="W930" i="1"/>
  <c r="W929" i="1"/>
  <c r="W928" i="1"/>
  <c r="W927" i="1"/>
  <c r="W926" i="1"/>
  <c r="W925" i="1"/>
  <c r="W924" i="1"/>
  <c r="W923" i="1"/>
  <c r="W922" i="1"/>
  <c r="W921" i="1"/>
  <c r="W920" i="1"/>
  <c r="W919" i="1"/>
  <c r="W918" i="1"/>
  <c r="W917" i="1"/>
  <c r="W916" i="1"/>
  <c r="W915" i="1"/>
  <c r="W914" i="1"/>
  <c r="W913" i="1"/>
  <c r="W912" i="1"/>
  <c r="W911" i="1"/>
  <c r="W910" i="1"/>
  <c r="W909" i="1"/>
  <c r="W908" i="1"/>
  <c r="W907" i="1"/>
  <c r="W906" i="1"/>
  <c r="W905" i="1"/>
  <c r="W904" i="1"/>
  <c r="W903" i="1"/>
  <c r="W902" i="1"/>
  <c r="W901" i="1"/>
  <c r="W900" i="1"/>
  <c r="W899" i="1"/>
  <c r="W898" i="1"/>
  <c r="W897" i="1"/>
  <c r="W896" i="1"/>
  <c r="W895" i="1"/>
  <c r="W894" i="1"/>
  <c r="W893" i="1"/>
  <c r="W892" i="1"/>
  <c r="W891" i="1"/>
  <c r="W890" i="1"/>
  <c r="W889" i="1"/>
  <c r="W888" i="1"/>
  <c r="W887" i="1"/>
  <c r="W886" i="1"/>
  <c r="W885" i="1"/>
  <c r="W884" i="1"/>
  <c r="W883" i="1"/>
  <c r="W882" i="1"/>
  <c r="W881" i="1"/>
  <c r="W880" i="1"/>
  <c r="W879" i="1"/>
  <c r="W878" i="1"/>
  <c r="W877" i="1"/>
  <c r="W876" i="1"/>
  <c r="W875" i="1"/>
  <c r="W874" i="1"/>
  <c r="W873" i="1"/>
  <c r="W872" i="1"/>
  <c r="W871" i="1"/>
  <c r="W870" i="1"/>
  <c r="W869" i="1"/>
  <c r="W868" i="1"/>
  <c r="W867" i="1"/>
  <c r="W866" i="1"/>
  <c r="W865" i="1"/>
  <c r="W864" i="1"/>
  <c r="W863" i="1"/>
  <c r="W862" i="1"/>
  <c r="W861" i="1"/>
  <c r="W860" i="1"/>
  <c r="W859" i="1"/>
  <c r="W858" i="1"/>
  <c r="W857" i="1"/>
  <c r="W856" i="1"/>
  <c r="W855" i="1"/>
  <c r="W854" i="1"/>
  <c r="W853" i="1"/>
  <c r="W852" i="1"/>
  <c r="W851" i="1"/>
  <c r="W850" i="1"/>
  <c r="W849" i="1"/>
  <c r="W848" i="1"/>
  <c r="W847" i="1"/>
  <c r="W846" i="1"/>
  <c r="W845" i="1"/>
  <c r="W844" i="1"/>
  <c r="W843" i="1"/>
  <c r="W842" i="1"/>
  <c r="W841" i="1"/>
  <c r="W840" i="1"/>
  <c r="W839" i="1"/>
  <c r="W838" i="1"/>
  <c r="W837" i="1"/>
  <c r="W836" i="1"/>
  <c r="W835" i="1"/>
  <c r="W834" i="1"/>
  <c r="W833" i="1"/>
  <c r="W832" i="1"/>
  <c r="W831" i="1"/>
  <c r="W830" i="1"/>
  <c r="W829" i="1"/>
  <c r="W828" i="1"/>
  <c r="W827" i="1"/>
  <c r="W826" i="1"/>
  <c r="W825" i="1"/>
  <c r="W824" i="1"/>
  <c r="W823" i="1"/>
  <c r="W822" i="1"/>
  <c r="W821" i="1"/>
  <c r="W820" i="1"/>
  <c r="W819" i="1"/>
  <c r="W818" i="1"/>
  <c r="W817" i="1"/>
  <c r="W816" i="1"/>
  <c r="W815" i="1"/>
  <c r="W814" i="1"/>
  <c r="W813" i="1"/>
  <c r="W812" i="1"/>
  <c r="W811" i="1"/>
  <c r="W810" i="1"/>
  <c r="W809" i="1"/>
  <c r="W808" i="1"/>
  <c r="W807" i="1"/>
  <c r="W806" i="1"/>
  <c r="W805" i="1"/>
  <c r="W804" i="1"/>
  <c r="W803" i="1"/>
  <c r="W802" i="1"/>
  <c r="W801" i="1"/>
  <c r="W800" i="1"/>
  <c r="W799" i="1"/>
  <c r="W798" i="1"/>
  <c r="W797" i="1"/>
  <c r="W796" i="1"/>
  <c r="W795" i="1"/>
  <c r="W794" i="1"/>
  <c r="W793" i="1"/>
  <c r="W792" i="1"/>
  <c r="W791" i="1"/>
  <c r="W790" i="1"/>
  <c r="W789" i="1"/>
  <c r="W788" i="1"/>
  <c r="W787" i="1"/>
  <c r="W786" i="1"/>
  <c r="W785" i="1"/>
  <c r="W784" i="1"/>
  <c r="W783" i="1"/>
  <c r="W782" i="1"/>
  <c r="W781" i="1"/>
  <c r="W780" i="1"/>
  <c r="W779" i="1"/>
  <c r="W778" i="1"/>
  <c r="W777" i="1"/>
  <c r="W776" i="1"/>
  <c r="W775" i="1"/>
  <c r="W774" i="1"/>
  <c r="W773" i="1"/>
  <c r="W772" i="1"/>
  <c r="W771" i="1"/>
  <c r="W770" i="1"/>
  <c r="W769" i="1"/>
  <c r="W768" i="1"/>
  <c r="W767" i="1"/>
  <c r="W766" i="1"/>
  <c r="W765" i="1"/>
  <c r="W764" i="1"/>
  <c r="W763" i="1"/>
  <c r="W762" i="1"/>
  <c r="W761" i="1"/>
  <c r="W760" i="1"/>
  <c r="W759" i="1"/>
  <c r="W758" i="1"/>
  <c r="W757" i="1"/>
  <c r="W756" i="1"/>
  <c r="W755" i="1"/>
  <c r="W754" i="1"/>
  <c r="W753" i="1"/>
  <c r="W752" i="1"/>
  <c r="W751" i="1"/>
  <c r="W750" i="1"/>
  <c r="W749" i="1"/>
  <c r="W748" i="1"/>
  <c r="W747" i="1"/>
  <c r="W746" i="1"/>
  <c r="W745" i="1"/>
  <c r="W744" i="1"/>
  <c r="W743" i="1"/>
  <c r="W742" i="1"/>
  <c r="W741" i="1"/>
  <c r="W740" i="1"/>
  <c r="W739" i="1"/>
  <c r="W738" i="1"/>
  <c r="W737" i="1"/>
  <c r="W736" i="1"/>
  <c r="W735" i="1"/>
  <c r="W734" i="1"/>
  <c r="W733" i="1"/>
  <c r="W732" i="1"/>
  <c r="W731" i="1"/>
  <c r="W730" i="1"/>
  <c r="W729" i="1"/>
  <c r="W728" i="1"/>
  <c r="W727" i="1"/>
  <c r="W726" i="1"/>
  <c r="W725" i="1"/>
  <c r="W724" i="1"/>
  <c r="W723" i="1"/>
  <c r="W722" i="1"/>
  <c r="W721" i="1"/>
  <c r="W720" i="1"/>
  <c r="W719" i="1"/>
  <c r="W718" i="1"/>
  <c r="W717" i="1"/>
  <c r="W716" i="1"/>
  <c r="W715" i="1"/>
  <c r="W714" i="1"/>
  <c r="W713" i="1"/>
  <c r="W712" i="1"/>
  <c r="W711" i="1"/>
  <c r="W710" i="1"/>
  <c r="W709" i="1"/>
  <c r="W708" i="1"/>
  <c r="W707" i="1"/>
  <c r="W706" i="1"/>
  <c r="W705" i="1"/>
  <c r="W704" i="1"/>
  <c r="W703" i="1"/>
  <c r="W702" i="1"/>
  <c r="W701" i="1"/>
  <c r="W700" i="1"/>
  <c r="W699" i="1"/>
  <c r="W698" i="1"/>
  <c r="W697" i="1"/>
  <c r="W696" i="1"/>
  <c r="W695" i="1"/>
  <c r="W694" i="1"/>
  <c r="W693" i="1"/>
  <c r="W692" i="1"/>
  <c r="W691" i="1"/>
  <c r="W690" i="1"/>
  <c r="W689" i="1"/>
  <c r="W688" i="1"/>
  <c r="W687" i="1"/>
  <c r="W686" i="1"/>
  <c r="W685" i="1"/>
  <c r="W684" i="1"/>
  <c r="W683" i="1"/>
  <c r="W682" i="1"/>
  <c r="W681" i="1"/>
  <c r="W680" i="1"/>
  <c r="W679" i="1"/>
  <c r="W678" i="1"/>
  <c r="W677" i="1"/>
  <c r="W676" i="1"/>
  <c r="W675" i="1"/>
  <c r="W674" i="1"/>
  <c r="W673" i="1"/>
  <c r="W672" i="1"/>
  <c r="W671" i="1"/>
  <c r="W670" i="1"/>
  <c r="W669" i="1"/>
  <c r="W668" i="1"/>
  <c r="W667" i="1"/>
  <c r="W666" i="1"/>
  <c r="W665" i="1"/>
  <c r="W664" i="1"/>
  <c r="W663" i="1"/>
  <c r="W662" i="1"/>
  <c r="W661" i="1"/>
  <c r="W660" i="1"/>
  <c r="W659" i="1"/>
  <c r="W658" i="1"/>
  <c r="W657" i="1"/>
  <c r="W656" i="1"/>
  <c r="W655" i="1"/>
  <c r="W654" i="1"/>
  <c r="W653" i="1"/>
  <c r="W652" i="1"/>
  <c r="W651" i="1"/>
  <c r="W650" i="1"/>
  <c r="W649" i="1"/>
  <c r="W648" i="1"/>
  <c r="W647" i="1"/>
  <c r="W646" i="1"/>
  <c r="W645" i="1"/>
  <c r="W644" i="1"/>
  <c r="W643" i="1"/>
  <c r="W642" i="1"/>
  <c r="W641" i="1"/>
  <c r="W640" i="1"/>
  <c r="W639" i="1"/>
  <c r="W638" i="1"/>
  <c r="W637" i="1"/>
  <c r="W636" i="1"/>
  <c r="W635" i="1"/>
  <c r="W634" i="1"/>
  <c r="W633" i="1"/>
  <c r="W632" i="1"/>
  <c r="W631" i="1"/>
  <c r="W630" i="1"/>
  <c r="W629" i="1"/>
  <c r="W628" i="1"/>
  <c r="W627" i="1"/>
  <c r="W626" i="1"/>
  <c r="W625" i="1"/>
  <c r="W624" i="1"/>
  <c r="W623" i="1"/>
  <c r="W622" i="1"/>
  <c r="W621" i="1"/>
  <c r="W620" i="1"/>
  <c r="W619" i="1"/>
  <c r="W618" i="1"/>
  <c r="W617" i="1"/>
  <c r="W616" i="1"/>
  <c r="W615" i="1"/>
  <c r="W614" i="1"/>
  <c r="W613" i="1"/>
  <c r="W612" i="1"/>
  <c r="W611" i="1"/>
  <c r="W610" i="1"/>
  <c r="W609" i="1"/>
  <c r="W608" i="1"/>
  <c r="W607" i="1"/>
  <c r="W606" i="1"/>
  <c r="W605" i="1"/>
  <c r="W604" i="1"/>
  <c r="W603" i="1"/>
  <c r="W602" i="1"/>
  <c r="W601" i="1"/>
  <c r="W600" i="1"/>
  <c r="W599" i="1"/>
  <c r="W598" i="1"/>
  <c r="W597" i="1"/>
  <c r="W596" i="1"/>
  <c r="W595" i="1"/>
  <c r="W594" i="1"/>
  <c r="W593" i="1"/>
  <c r="W592" i="1"/>
  <c r="W591" i="1"/>
  <c r="W590" i="1"/>
  <c r="W589" i="1"/>
  <c r="W588" i="1"/>
  <c r="W587" i="1"/>
  <c r="W586" i="1"/>
  <c r="W585" i="1"/>
  <c r="W584" i="1"/>
  <c r="W583" i="1"/>
  <c r="W582" i="1"/>
  <c r="W581" i="1"/>
  <c r="W580" i="1"/>
  <c r="W579" i="1"/>
  <c r="W578" i="1"/>
  <c r="W577" i="1"/>
  <c r="W576" i="1"/>
  <c r="W575" i="1"/>
  <c r="W574" i="1"/>
  <c r="W573" i="1"/>
  <c r="W572" i="1"/>
  <c r="W571" i="1"/>
  <c r="W570" i="1"/>
  <c r="W569" i="1"/>
  <c r="W568" i="1"/>
  <c r="W567" i="1"/>
  <c r="W566" i="1"/>
  <c r="W565" i="1"/>
  <c r="W564" i="1"/>
  <c r="W563" i="1"/>
  <c r="W562" i="1"/>
  <c r="W561" i="1"/>
  <c r="W560" i="1"/>
  <c r="W559" i="1"/>
  <c r="W558" i="1"/>
  <c r="W557" i="1"/>
  <c r="W556" i="1"/>
  <c r="W555" i="1"/>
  <c r="W554" i="1"/>
  <c r="W553" i="1"/>
  <c r="W552" i="1"/>
  <c r="W551" i="1"/>
  <c r="W550" i="1"/>
  <c r="W549" i="1"/>
  <c r="W548" i="1"/>
  <c r="W547" i="1"/>
  <c r="W546" i="1"/>
  <c r="W545" i="1"/>
  <c r="W544" i="1"/>
  <c r="W543" i="1"/>
  <c r="W542" i="1"/>
  <c r="W541" i="1"/>
  <c r="W540" i="1"/>
  <c r="W539" i="1"/>
  <c r="W538" i="1"/>
  <c r="W537" i="1"/>
  <c r="W536" i="1"/>
  <c r="W535" i="1"/>
  <c r="W534" i="1"/>
  <c r="W533" i="1"/>
  <c r="W532" i="1"/>
  <c r="W531" i="1"/>
  <c r="W530" i="1"/>
  <c r="W529" i="1"/>
  <c r="W528" i="1"/>
  <c r="W527" i="1"/>
  <c r="W526" i="1"/>
  <c r="W525" i="1"/>
  <c r="W524" i="1"/>
  <c r="W523" i="1"/>
  <c r="W522" i="1"/>
  <c r="W521" i="1"/>
  <c r="W520" i="1"/>
  <c r="W519" i="1"/>
  <c r="W518" i="1"/>
  <c r="W517" i="1"/>
  <c r="W516" i="1"/>
  <c r="W515" i="1"/>
  <c r="W514" i="1"/>
  <c r="W513" i="1"/>
  <c r="W512" i="1"/>
  <c r="W511" i="1"/>
  <c r="W510" i="1"/>
  <c r="W509" i="1"/>
  <c r="W508" i="1"/>
  <c r="W507" i="1"/>
  <c r="W506" i="1"/>
  <c r="W505" i="1"/>
  <c r="W504" i="1"/>
  <c r="W503" i="1"/>
  <c r="W502" i="1"/>
  <c r="W501" i="1"/>
  <c r="W500" i="1"/>
  <c r="W499" i="1"/>
  <c r="W498" i="1"/>
  <c r="W497" i="1"/>
  <c r="W496" i="1"/>
  <c r="W495" i="1"/>
  <c r="W494" i="1"/>
  <c r="W493" i="1"/>
  <c r="W492" i="1"/>
  <c r="W491" i="1"/>
  <c r="W490" i="1"/>
  <c r="W489" i="1"/>
  <c r="W488" i="1"/>
  <c r="W487" i="1"/>
  <c r="W486" i="1"/>
  <c r="W485" i="1"/>
  <c r="W484" i="1"/>
  <c r="W483" i="1"/>
  <c r="W482" i="1"/>
  <c r="W481" i="1"/>
  <c r="W480" i="1"/>
  <c r="W479" i="1"/>
  <c r="W478" i="1"/>
  <c r="W477" i="1"/>
  <c r="W476" i="1"/>
  <c r="W475" i="1"/>
  <c r="W474" i="1"/>
  <c r="W473" i="1"/>
  <c r="W472" i="1"/>
  <c r="W471" i="1"/>
  <c r="W470" i="1"/>
  <c r="W469" i="1"/>
  <c r="W468" i="1"/>
  <c r="W467" i="1"/>
  <c r="W466" i="1"/>
  <c r="W465" i="1"/>
  <c r="W464" i="1"/>
  <c r="W463" i="1"/>
  <c r="W462" i="1"/>
  <c r="W461" i="1"/>
  <c r="W460" i="1"/>
  <c r="W459" i="1"/>
  <c r="W458" i="1"/>
  <c r="W457" i="1"/>
  <c r="W456" i="1"/>
  <c r="W455" i="1"/>
  <c r="W454" i="1"/>
  <c r="W453" i="1"/>
  <c r="W452" i="1"/>
  <c r="W451" i="1"/>
  <c r="W450" i="1"/>
  <c r="W449" i="1"/>
  <c r="W448" i="1"/>
  <c r="W447" i="1"/>
  <c r="W446" i="1"/>
  <c r="W445" i="1"/>
  <c r="W444" i="1"/>
  <c r="W443" i="1"/>
  <c r="W442" i="1"/>
  <c r="W441" i="1"/>
  <c r="W440" i="1"/>
  <c r="W439" i="1"/>
  <c r="W438" i="1"/>
  <c r="W437" i="1"/>
  <c r="W436" i="1"/>
  <c r="W435" i="1"/>
  <c r="W434" i="1"/>
  <c r="W433" i="1"/>
  <c r="W432" i="1"/>
  <c r="W431" i="1"/>
  <c r="W430" i="1"/>
  <c r="W429" i="1"/>
  <c r="W428" i="1"/>
  <c r="W427" i="1"/>
  <c r="W426" i="1"/>
  <c r="W425" i="1"/>
  <c r="W424" i="1"/>
  <c r="W423" i="1"/>
  <c r="W422" i="1"/>
  <c r="W421" i="1"/>
  <c r="W420" i="1"/>
  <c r="W419" i="1"/>
  <c r="W418" i="1"/>
  <c r="W417" i="1"/>
  <c r="W416" i="1"/>
  <c r="W415" i="1"/>
  <c r="W414" i="1"/>
  <c r="W413" i="1"/>
  <c r="W412" i="1"/>
  <c r="W411" i="1"/>
  <c r="W410" i="1"/>
  <c r="W409" i="1"/>
  <c r="W408" i="1"/>
  <c r="W407" i="1"/>
  <c r="W406" i="1"/>
  <c r="W405" i="1"/>
  <c r="W404" i="1"/>
  <c r="W403" i="1"/>
  <c r="W402" i="1"/>
  <c r="W401" i="1"/>
  <c r="W400" i="1"/>
  <c r="W399" i="1"/>
  <c r="W398" i="1"/>
  <c r="W397" i="1"/>
  <c r="W396" i="1"/>
  <c r="W395" i="1"/>
  <c r="W394" i="1"/>
  <c r="W393" i="1"/>
  <c r="W392" i="1"/>
  <c r="W391" i="1"/>
  <c r="W390" i="1"/>
  <c r="W389" i="1"/>
  <c r="W388" i="1"/>
  <c r="W387" i="1"/>
  <c r="W386" i="1"/>
  <c r="W385" i="1"/>
  <c r="W384" i="1"/>
  <c r="W383" i="1"/>
  <c r="W382" i="1"/>
  <c r="W381" i="1"/>
  <c r="W380" i="1"/>
  <c r="W379" i="1"/>
  <c r="W378" i="1"/>
  <c r="W377" i="1"/>
  <c r="W376" i="1"/>
  <c r="W375" i="1"/>
  <c r="W374" i="1"/>
  <c r="W373" i="1"/>
  <c r="W372" i="1"/>
  <c r="W371" i="1"/>
  <c r="W370" i="1"/>
  <c r="W369" i="1"/>
  <c r="W368" i="1"/>
  <c r="W367" i="1"/>
  <c r="W366" i="1"/>
  <c r="W365" i="1"/>
  <c r="W364" i="1"/>
  <c r="W363" i="1"/>
  <c r="W362" i="1"/>
  <c r="W361" i="1"/>
  <c r="W360" i="1"/>
  <c r="W359" i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W344" i="1"/>
  <c r="W343" i="1"/>
  <c r="W342" i="1"/>
  <c r="W341" i="1"/>
  <c r="W340" i="1"/>
  <c r="W339" i="1"/>
  <c r="W338" i="1"/>
  <c r="W337" i="1"/>
  <c r="W336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S1112" i="1"/>
  <c r="S1111" i="1"/>
  <c r="S1110" i="1"/>
  <c r="S1109" i="1"/>
  <c r="S1108" i="1"/>
  <c r="S1107" i="1"/>
  <c r="S1106" i="1"/>
  <c r="S1105" i="1"/>
  <c r="S1104" i="1"/>
  <c r="S1103" i="1"/>
  <c r="S1102" i="1"/>
  <c r="S1101" i="1"/>
  <c r="S1100" i="1"/>
  <c r="S1099" i="1"/>
  <c r="S1098" i="1"/>
  <c r="S1097" i="1"/>
  <c r="S1096" i="1"/>
  <c r="S1095" i="1"/>
  <c r="S1094" i="1"/>
  <c r="S1093" i="1"/>
  <c r="S1092" i="1"/>
  <c r="S1091" i="1"/>
  <c r="S1090" i="1"/>
  <c r="S1089" i="1"/>
  <c r="S1088" i="1"/>
  <c r="S1087" i="1"/>
  <c r="S1086" i="1"/>
  <c r="S1085" i="1"/>
  <c r="S1084" i="1"/>
  <c r="S1083" i="1"/>
  <c r="S1082" i="1"/>
  <c r="S1081" i="1"/>
  <c r="S1080" i="1"/>
  <c r="S1079" i="1"/>
  <c r="S1078" i="1"/>
  <c r="S1077" i="1"/>
  <c r="S1076" i="1"/>
  <c r="S1075" i="1"/>
  <c r="S1074" i="1"/>
  <c r="S1073" i="1"/>
  <c r="S1072" i="1"/>
  <c r="S1071" i="1"/>
  <c r="S1070" i="1"/>
  <c r="S1069" i="1"/>
  <c r="S1068" i="1"/>
  <c r="S1067" i="1"/>
  <c r="S1066" i="1"/>
  <c r="S1065" i="1"/>
  <c r="S1064" i="1"/>
  <c r="S1063" i="1"/>
  <c r="S1062" i="1"/>
  <c r="S1061" i="1"/>
  <c r="S1060" i="1"/>
  <c r="S1059" i="1"/>
  <c r="S1058" i="1"/>
  <c r="S1057" i="1"/>
  <c r="S1056" i="1"/>
  <c r="S1055" i="1"/>
  <c r="S1054" i="1"/>
  <c r="S1053" i="1"/>
  <c r="S1052" i="1"/>
  <c r="S1051" i="1"/>
  <c r="S1050" i="1"/>
  <c r="S1049" i="1"/>
  <c r="S1048" i="1"/>
  <c r="S1047" i="1"/>
  <c r="S1046" i="1"/>
  <c r="S1045" i="1"/>
  <c r="S1044" i="1"/>
  <c r="S1043" i="1"/>
  <c r="S1042" i="1"/>
  <c r="S1041" i="1"/>
  <c r="S1040" i="1"/>
  <c r="S1039" i="1"/>
  <c r="S1038" i="1"/>
  <c r="S1037" i="1"/>
  <c r="S1036" i="1"/>
  <c r="S1035" i="1"/>
  <c r="S1034" i="1"/>
  <c r="S1033" i="1"/>
  <c r="S1032" i="1"/>
  <c r="S1031" i="1"/>
  <c r="S1030" i="1"/>
  <c r="S1029" i="1"/>
  <c r="S1028" i="1"/>
  <c r="S1027" i="1"/>
  <c r="S1026" i="1"/>
  <c r="S1025" i="1"/>
  <c r="S1024" i="1"/>
  <c r="S1023" i="1"/>
  <c r="S1022" i="1"/>
  <c r="S1021" i="1"/>
  <c r="S1020" i="1"/>
  <c r="S1019" i="1"/>
  <c r="S1018" i="1"/>
  <c r="S1017" i="1"/>
  <c r="S1016" i="1"/>
  <c r="S1015" i="1"/>
  <c r="S1014" i="1"/>
  <c r="S1013" i="1"/>
  <c r="S1012" i="1"/>
  <c r="S1011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J7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F7" i="1"/>
  <c r="G1112" i="1"/>
  <c r="G1111" i="1"/>
  <c r="G1110" i="1"/>
  <c r="G1109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C1112" i="1"/>
  <c r="C1110" i="1"/>
  <c r="C1111" i="1"/>
  <c r="C1101" i="1"/>
  <c r="C1102" i="1"/>
  <c r="C1103" i="1"/>
  <c r="C1104" i="1"/>
  <c r="C1105" i="1"/>
  <c r="C1106" i="1"/>
  <c r="C1107" i="1"/>
  <c r="C1108" i="1"/>
  <c r="C1109" i="1"/>
  <c r="C1091" i="1"/>
  <c r="C1092" i="1"/>
  <c r="C1093" i="1"/>
  <c r="C1094" i="1"/>
  <c r="C1095" i="1"/>
  <c r="C1096" i="1"/>
  <c r="C1097" i="1"/>
  <c r="C1098" i="1"/>
  <c r="C1099" i="1"/>
  <c r="C1100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660" i="1"/>
  <c r="C661" i="1"/>
  <c r="C662" i="1"/>
  <c r="C663" i="1"/>
  <c r="C664" i="1"/>
  <c r="C665" i="1"/>
  <c r="C666" i="1"/>
  <c r="C667" i="1"/>
  <c r="C668" i="1"/>
  <c r="C669" i="1"/>
  <c r="C670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384" i="1"/>
  <c r="C385" i="1"/>
  <c r="C386" i="1"/>
  <c r="C387" i="1"/>
  <c r="C388" i="1"/>
  <c r="C389" i="1"/>
  <c r="C382" i="1"/>
  <c r="C383" i="1"/>
  <c r="C7" i="4"/>
  <c r="D7" i="4" s="1"/>
  <c r="C8" i="4"/>
  <c r="D8" i="4" s="1"/>
  <c r="C9" i="4"/>
  <c r="D9" i="4"/>
  <c r="C10" i="4"/>
  <c r="D10" i="4" s="1"/>
  <c r="C11" i="4"/>
  <c r="D11" i="4" s="1"/>
  <c r="C12" i="4"/>
  <c r="D12" i="4" s="1"/>
  <c r="C13" i="4"/>
  <c r="D13" i="4"/>
  <c r="C14" i="4"/>
  <c r="D14" i="4" s="1"/>
  <c r="C15" i="4"/>
  <c r="D15" i="4" s="1"/>
  <c r="C16" i="4"/>
  <c r="D16" i="4" s="1"/>
  <c r="C17" i="4"/>
  <c r="D17" i="4"/>
  <c r="C18" i="4"/>
  <c r="D18" i="4" s="1"/>
  <c r="C19" i="4"/>
  <c r="D19" i="4" s="1"/>
  <c r="C20" i="4"/>
  <c r="D20" i="4" s="1"/>
  <c r="C21" i="4"/>
  <c r="D21" i="4"/>
  <c r="C22" i="4"/>
  <c r="D22" i="4" s="1"/>
  <c r="C23" i="4"/>
  <c r="D23" i="4" s="1"/>
  <c r="C24" i="4"/>
  <c r="D24" i="4" s="1"/>
  <c r="C25" i="4"/>
  <c r="D25" i="4"/>
  <c r="C26" i="4"/>
  <c r="D26" i="4" s="1"/>
  <c r="C27" i="4"/>
  <c r="D27" i="4" s="1"/>
  <c r="C28" i="4"/>
  <c r="D28" i="4" s="1"/>
  <c r="C29" i="4"/>
  <c r="D29" i="4"/>
  <c r="C30" i="4"/>
  <c r="D30" i="4" s="1"/>
  <c r="C31" i="4"/>
  <c r="D31" i="4" s="1"/>
  <c r="C32" i="4"/>
  <c r="D32" i="4" s="1"/>
  <c r="C33" i="4"/>
  <c r="D33" i="4"/>
  <c r="C34" i="4"/>
  <c r="D34" i="4" s="1"/>
  <c r="C35" i="4"/>
  <c r="D35" i="4" s="1"/>
  <c r="C36" i="4"/>
  <c r="D36" i="4" s="1"/>
  <c r="C37" i="4"/>
  <c r="D37" i="4"/>
  <c r="C38" i="4"/>
  <c r="D38" i="4" s="1"/>
  <c r="C39" i="4"/>
  <c r="D39" i="4" s="1"/>
  <c r="C40" i="4"/>
  <c r="D40" i="4" s="1"/>
  <c r="C41" i="4"/>
  <c r="D41" i="4"/>
  <c r="C42" i="4"/>
  <c r="D42" i="4" s="1"/>
  <c r="C43" i="4"/>
  <c r="D43" i="4" s="1"/>
  <c r="C44" i="4"/>
  <c r="D44" i="4" s="1"/>
  <c r="C45" i="4"/>
  <c r="D45" i="4"/>
  <c r="C46" i="4"/>
  <c r="D46" i="4" s="1"/>
  <c r="C47" i="4"/>
  <c r="D47" i="4" s="1"/>
  <c r="C48" i="4"/>
  <c r="D48" i="4" s="1"/>
  <c r="C49" i="4"/>
  <c r="D49" i="4"/>
  <c r="C50" i="4"/>
  <c r="D50" i="4" s="1"/>
  <c r="C51" i="4"/>
  <c r="D51" i="4" s="1"/>
  <c r="C52" i="4"/>
  <c r="D52" i="4" s="1"/>
  <c r="C53" i="4"/>
  <c r="D53" i="4"/>
  <c r="C54" i="4"/>
  <c r="D54" i="4" s="1"/>
  <c r="C55" i="4"/>
  <c r="D55" i="4" s="1"/>
  <c r="C56" i="4"/>
  <c r="D56" i="4" s="1"/>
  <c r="C57" i="4"/>
  <c r="D57" i="4"/>
  <c r="C58" i="4"/>
  <c r="D58" i="4" s="1"/>
  <c r="C59" i="4"/>
  <c r="D59" i="4" s="1"/>
  <c r="C60" i="4"/>
  <c r="D60" i="4" s="1"/>
  <c r="C61" i="4"/>
  <c r="D61" i="4"/>
  <c r="C62" i="4"/>
  <c r="D62" i="4" s="1"/>
  <c r="C63" i="4"/>
  <c r="D63" i="4" s="1"/>
  <c r="C64" i="4"/>
  <c r="D64" i="4" s="1"/>
  <c r="C65" i="4"/>
  <c r="D65" i="4"/>
  <c r="C66" i="4"/>
  <c r="D66" i="4" s="1"/>
  <c r="C67" i="4"/>
  <c r="D67" i="4" s="1"/>
  <c r="C68" i="4"/>
  <c r="D68" i="4" s="1"/>
  <c r="C69" i="4"/>
  <c r="D69" i="4"/>
  <c r="C70" i="4"/>
  <c r="D70" i="4" s="1"/>
  <c r="C71" i="4"/>
  <c r="D71" i="4" s="1"/>
  <c r="C72" i="4"/>
  <c r="D72" i="4" s="1"/>
  <c r="C73" i="4"/>
  <c r="D73" i="4"/>
  <c r="C74" i="4"/>
  <c r="D74" i="4" s="1"/>
  <c r="C75" i="4"/>
  <c r="D75" i="4" s="1"/>
  <c r="C76" i="4"/>
  <c r="D76" i="4" s="1"/>
  <c r="C77" i="4"/>
  <c r="D77" i="4"/>
  <c r="C78" i="4"/>
  <c r="D78" i="4" s="1"/>
  <c r="C79" i="4"/>
  <c r="D79" i="4" s="1"/>
  <c r="C80" i="4"/>
  <c r="D80" i="4" s="1"/>
  <c r="C81" i="4"/>
  <c r="D81" i="4"/>
  <c r="C82" i="4"/>
  <c r="D82" i="4" s="1"/>
  <c r="C83" i="4"/>
  <c r="D83" i="4" s="1"/>
  <c r="C84" i="4"/>
  <c r="D84" i="4" s="1"/>
  <c r="C85" i="4"/>
  <c r="D85" i="4"/>
  <c r="C86" i="4"/>
  <c r="D86" i="4" s="1"/>
  <c r="C87" i="4"/>
  <c r="D87" i="4" s="1"/>
  <c r="C88" i="4"/>
  <c r="D88" i="4" s="1"/>
  <c r="C89" i="4"/>
  <c r="D89" i="4"/>
  <c r="C90" i="4"/>
  <c r="D90" i="4" s="1"/>
  <c r="C91" i="4"/>
  <c r="D91" i="4"/>
  <c r="C92" i="4"/>
  <c r="D92" i="4" s="1"/>
  <c r="C93" i="4"/>
  <c r="D93" i="4"/>
  <c r="C94" i="4"/>
  <c r="D94" i="4" s="1"/>
  <c r="C95" i="4"/>
  <c r="D95" i="4"/>
  <c r="C96" i="4"/>
  <c r="D96" i="4" s="1"/>
  <c r="C97" i="4"/>
  <c r="D97" i="4"/>
  <c r="C98" i="4"/>
  <c r="D98" i="4" s="1"/>
  <c r="C99" i="4"/>
  <c r="D99" i="4"/>
  <c r="C100" i="4"/>
  <c r="D100" i="4" s="1"/>
  <c r="C101" i="4"/>
  <c r="D101" i="4"/>
  <c r="C102" i="4"/>
  <c r="D102" i="4" s="1"/>
  <c r="C103" i="4"/>
  <c r="D103" i="4"/>
  <c r="C104" i="4"/>
  <c r="D104" i="4" s="1"/>
  <c r="D6" i="4"/>
  <c r="C6" i="4"/>
  <c r="B7" i="1"/>
  <c r="E14" i="3"/>
  <c r="E13" i="3"/>
  <c r="E12" i="3"/>
  <c r="E11" i="3"/>
  <c r="E10" i="3"/>
  <c r="E9" i="3"/>
  <c r="E8" i="3"/>
  <c r="E6" i="3"/>
  <c r="H17" i="1" s="1"/>
  <c r="E7" i="3"/>
  <c r="E5" i="3"/>
  <c r="C10" i="3"/>
  <c r="W2" i="5" s="1"/>
  <c r="C7" i="3"/>
  <c r="K2" i="5" s="1"/>
  <c r="C6" i="3"/>
  <c r="G2" i="5" s="1"/>
  <c r="C12" i="3"/>
  <c r="AE2" i="5" s="1"/>
  <c r="C11" i="3"/>
  <c r="AA2" i="5" s="1"/>
  <c r="C5" i="3"/>
  <c r="C9" i="3"/>
  <c r="S2" i="5" s="1"/>
  <c r="C8" i="3"/>
  <c r="O2" i="5" s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G8" i="1" l="1"/>
  <c r="G10" i="1" s="1"/>
  <c r="H472" i="1" s="1"/>
  <c r="O4" i="5"/>
  <c r="O6" i="5"/>
  <c r="K8" i="1"/>
  <c r="AA8" i="1"/>
  <c r="W4" i="5"/>
  <c r="W6" i="5"/>
  <c r="S6" i="5"/>
  <c r="S4" i="5"/>
  <c r="O8" i="1"/>
  <c r="AG8" i="1"/>
  <c r="AA6" i="5"/>
  <c r="AA4" i="5"/>
  <c r="AE6" i="5"/>
  <c r="AE4" i="5"/>
  <c r="S8" i="1"/>
  <c r="G6" i="5"/>
  <c r="G4" i="5"/>
  <c r="C8" i="1"/>
  <c r="C2" i="5"/>
  <c r="K6" i="5"/>
  <c r="K4" i="5"/>
  <c r="W8" i="1"/>
  <c r="H929" i="1"/>
  <c r="H778" i="1"/>
  <c r="H502" i="1"/>
  <c r="H351" i="1"/>
  <c r="H991" i="1"/>
  <c r="G12" i="1"/>
  <c r="H181" i="1" s="1"/>
  <c r="H278" i="1"/>
  <c r="H1048" i="1"/>
  <c r="H1030" i="1"/>
  <c r="H655" i="1" l="1"/>
  <c r="H838" i="1"/>
  <c r="H868" i="1"/>
  <c r="F7" i="3"/>
  <c r="L318" i="5"/>
  <c r="L65" i="5"/>
  <c r="L195" i="5"/>
  <c r="L274" i="5"/>
  <c r="L286" i="5"/>
  <c r="L98" i="5"/>
  <c r="L331" i="5"/>
  <c r="L290" i="5"/>
  <c r="L137" i="5"/>
  <c r="L297" i="5"/>
  <c r="L303" i="5"/>
  <c r="L167" i="5"/>
  <c r="L86" i="5"/>
  <c r="L31" i="5"/>
  <c r="L362" i="5"/>
  <c r="L156" i="5"/>
  <c r="L197" i="5"/>
  <c r="L320" i="5"/>
  <c r="L346" i="5"/>
  <c r="L37" i="5"/>
  <c r="L76" i="5"/>
  <c r="L151" i="5"/>
  <c r="L366" i="5"/>
  <c r="L106" i="5"/>
  <c r="L153" i="5"/>
  <c r="L291" i="5"/>
  <c r="L141" i="5"/>
  <c r="L276" i="5"/>
  <c r="L182" i="5"/>
  <c r="L336" i="5"/>
  <c r="L149" i="5"/>
  <c r="L327" i="5"/>
  <c r="L329" i="5"/>
  <c r="L163" i="5"/>
  <c r="L145" i="5"/>
  <c r="L21" i="5"/>
  <c r="L28" i="5"/>
  <c r="L364" i="5"/>
  <c r="L341" i="5"/>
  <c r="L315" i="5"/>
  <c r="L39" i="5"/>
  <c r="L288" i="5"/>
  <c r="L108" i="5"/>
  <c r="L314" i="5"/>
  <c r="L199" i="5"/>
  <c r="L342" i="5"/>
  <c r="L45" i="5"/>
  <c r="L343" i="5"/>
  <c r="L99" i="5"/>
  <c r="L328" i="5"/>
  <c r="L70" i="5"/>
  <c r="L295" i="5"/>
  <c r="L148" i="5"/>
  <c r="L294" i="5"/>
  <c r="L157" i="5"/>
  <c r="L334" i="5"/>
  <c r="L200" i="5"/>
  <c r="L32" i="5"/>
  <c r="L83" i="5"/>
  <c r="L266" i="5"/>
  <c r="L168" i="5"/>
  <c r="L152" i="5"/>
  <c r="L183" i="5"/>
  <c r="L46" i="5"/>
  <c r="L201" i="5"/>
  <c r="L269" i="5"/>
  <c r="L352" i="5"/>
  <c r="L66" i="5"/>
  <c r="L285" i="5"/>
  <c r="L302" i="5"/>
  <c r="L74" i="5"/>
  <c r="L25" i="5"/>
  <c r="L335" i="5"/>
  <c r="L282" i="5"/>
  <c r="L142" i="5"/>
  <c r="L188" i="5"/>
  <c r="L40" i="5"/>
  <c r="L30" i="5"/>
  <c r="L175" i="5"/>
  <c r="L123" i="5"/>
  <c r="L89" i="5"/>
  <c r="L20" i="5"/>
  <c r="L100" i="5"/>
  <c r="L84" i="5"/>
  <c r="L333" i="5"/>
  <c r="L94" i="5"/>
  <c r="L18" i="5"/>
  <c r="L190" i="5"/>
  <c r="L109" i="5"/>
  <c r="L146" i="5"/>
  <c r="L138" i="5"/>
  <c r="L162" i="5"/>
  <c r="L24" i="5"/>
  <c r="L166" i="5"/>
  <c r="L275" i="5"/>
  <c r="L321" i="5"/>
  <c r="L127" i="5"/>
  <c r="L337" i="5"/>
  <c r="L69" i="5"/>
  <c r="L261" i="5"/>
  <c r="L313" i="5"/>
  <c r="L355" i="5"/>
  <c r="L171" i="5"/>
  <c r="L110" i="5"/>
  <c r="L270" i="5"/>
  <c r="L96" i="5"/>
  <c r="L191" i="5"/>
  <c r="L22" i="5"/>
  <c r="L194" i="5"/>
  <c r="L67" i="5"/>
  <c r="L317" i="5"/>
  <c r="L186" i="5"/>
  <c r="L155" i="5"/>
  <c r="L154" i="5"/>
  <c r="L360" i="5"/>
  <c r="L325" i="5"/>
  <c r="L344" i="5"/>
  <c r="L92" i="5"/>
  <c r="L29" i="5"/>
  <c r="L301" i="5"/>
  <c r="L181" i="5"/>
  <c r="L147" i="5"/>
  <c r="L339" i="5"/>
  <c r="L324" i="5"/>
  <c r="L264" i="5"/>
  <c r="L47" i="5"/>
  <c r="L279" i="5"/>
  <c r="L283" i="5"/>
  <c r="L126" i="5"/>
  <c r="L112" i="5"/>
  <c r="L132" i="5"/>
  <c r="L278" i="5"/>
  <c r="L87" i="5"/>
  <c r="L101" i="5"/>
  <c r="L287" i="5"/>
  <c r="L353" i="5"/>
  <c r="L62" i="5"/>
  <c r="L177" i="5"/>
  <c r="L75" i="5"/>
  <c r="L179" i="5"/>
  <c r="L78" i="5"/>
  <c r="L193" i="5"/>
  <c r="L90" i="5"/>
  <c r="L105" i="5"/>
  <c r="L259" i="5"/>
  <c r="L198" i="5"/>
  <c r="L268" i="5"/>
  <c r="L63" i="5"/>
  <c r="L136" i="5"/>
  <c r="L85" i="5"/>
  <c r="L356" i="5"/>
  <c r="L140" i="5"/>
  <c r="L272" i="5"/>
  <c r="L159" i="5"/>
  <c r="L169" i="5"/>
  <c r="L322" i="5"/>
  <c r="L36" i="5"/>
  <c r="L292" i="5"/>
  <c r="L349" i="5"/>
  <c r="L165" i="5"/>
  <c r="L139" i="5"/>
  <c r="L172" i="5"/>
  <c r="L280" i="5"/>
  <c r="L38" i="5"/>
  <c r="L130" i="5"/>
  <c r="L192" i="5"/>
  <c r="L271" i="5"/>
  <c r="L60" i="5"/>
  <c r="L348" i="5"/>
  <c r="L180" i="5"/>
  <c r="L104" i="5"/>
  <c r="L363" i="5"/>
  <c r="L284" i="5"/>
  <c r="L27" i="5"/>
  <c r="L23" i="5"/>
  <c r="L49" i="5"/>
  <c r="L42" i="5"/>
  <c r="L299" i="5"/>
  <c r="L158" i="5"/>
  <c r="L330" i="5"/>
  <c r="L95" i="5"/>
  <c r="L111" i="5"/>
  <c r="L44" i="5"/>
  <c r="L26" i="5"/>
  <c r="L129" i="5"/>
  <c r="L338" i="5"/>
  <c r="L41" i="5"/>
  <c r="L125" i="5"/>
  <c r="L293" i="5"/>
  <c r="L68" i="5"/>
  <c r="L300" i="5"/>
  <c r="L296" i="5"/>
  <c r="L43" i="5"/>
  <c r="L189" i="5"/>
  <c r="L97" i="5"/>
  <c r="L359" i="5"/>
  <c r="L298" i="5"/>
  <c r="L144" i="5"/>
  <c r="L50" i="5"/>
  <c r="L161" i="5"/>
  <c r="L107" i="5"/>
  <c r="L260" i="5"/>
  <c r="L185" i="5"/>
  <c r="L326" i="5"/>
  <c r="L124" i="5"/>
  <c r="L91" i="5"/>
  <c r="L351" i="5"/>
  <c r="L80" i="5"/>
  <c r="L134" i="5"/>
  <c r="L323" i="5"/>
  <c r="L19" i="5"/>
  <c r="L131" i="5"/>
  <c r="L128" i="5"/>
  <c r="L184" i="5"/>
  <c r="L281" i="5"/>
  <c r="L72" i="5"/>
  <c r="L133" i="5"/>
  <c r="L289" i="5"/>
  <c r="L135" i="5"/>
  <c r="L61" i="5"/>
  <c r="L340" i="5"/>
  <c r="L358" i="5"/>
  <c r="L332" i="5"/>
  <c r="L273" i="5"/>
  <c r="L263" i="5"/>
  <c r="L277" i="5"/>
  <c r="L81" i="5"/>
  <c r="L113" i="5"/>
  <c r="L79" i="5"/>
  <c r="L103" i="5"/>
  <c r="L345" i="5"/>
  <c r="L82" i="5"/>
  <c r="L361" i="5"/>
  <c r="L88" i="5"/>
  <c r="L102" i="5"/>
  <c r="L34" i="5"/>
  <c r="L64" i="5"/>
  <c r="L354" i="5"/>
  <c r="L262" i="5"/>
  <c r="L174" i="5"/>
  <c r="L187" i="5"/>
  <c r="L267" i="5"/>
  <c r="L48" i="5"/>
  <c r="L319" i="5"/>
  <c r="L143" i="5"/>
  <c r="L93" i="5"/>
  <c r="L77" i="5"/>
  <c r="L365" i="5"/>
  <c r="L316" i="5"/>
  <c r="L173" i="5"/>
  <c r="L164" i="5"/>
  <c r="L350" i="5"/>
  <c r="L196" i="5"/>
  <c r="L33" i="5"/>
  <c r="L265" i="5"/>
  <c r="L35" i="5"/>
  <c r="L357" i="5"/>
  <c r="L71" i="5"/>
  <c r="L73" i="5"/>
  <c r="L170" i="5"/>
  <c r="L150" i="5"/>
  <c r="L347" i="5"/>
  <c r="L160" i="5"/>
  <c r="L176" i="5"/>
  <c r="L178" i="5"/>
  <c r="F11" i="3"/>
  <c r="AB358" i="5"/>
  <c r="AB299" i="5"/>
  <c r="AB171" i="5"/>
  <c r="AB24" i="5"/>
  <c r="AB86" i="5"/>
  <c r="AB40" i="5"/>
  <c r="AB131" i="5"/>
  <c r="AB19" i="5"/>
  <c r="AB356" i="5"/>
  <c r="AB103" i="5"/>
  <c r="AB193" i="5"/>
  <c r="AB112" i="5"/>
  <c r="AB277" i="5"/>
  <c r="AB73" i="5"/>
  <c r="AB294" i="5"/>
  <c r="AB347" i="5"/>
  <c r="AB72" i="5"/>
  <c r="AB327" i="5"/>
  <c r="AB88" i="5"/>
  <c r="AB178" i="5"/>
  <c r="AB281" i="5"/>
  <c r="AB282" i="5"/>
  <c r="AB194" i="5"/>
  <c r="AB332" i="5"/>
  <c r="AB69" i="5"/>
  <c r="AB336" i="5"/>
  <c r="AB140" i="5"/>
  <c r="AB361" i="5"/>
  <c r="AB331" i="5"/>
  <c r="AB316" i="5"/>
  <c r="AB44" i="5"/>
  <c r="AB36" i="5"/>
  <c r="AB133" i="5"/>
  <c r="AB34" i="5"/>
  <c r="AB163" i="5"/>
  <c r="AB298" i="5"/>
  <c r="AB351" i="5"/>
  <c r="AB23" i="5"/>
  <c r="AB273" i="5"/>
  <c r="AB22" i="5"/>
  <c r="AB263" i="5"/>
  <c r="AB191" i="5"/>
  <c r="AB70" i="5"/>
  <c r="AB328" i="5"/>
  <c r="AB129" i="5"/>
  <c r="AB29" i="5"/>
  <c r="AB172" i="5"/>
  <c r="AB125" i="5"/>
  <c r="AB320" i="5"/>
  <c r="AB127" i="5"/>
  <c r="AB330" i="5"/>
  <c r="AB156" i="5"/>
  <c r="AB291" i="5"/>
  <c r="AB35" i="5"/>
  <c r="AB47" i="5"/>
  <c r="AB366" i="5"/>
  <c r="AB91" i="5"/>
  <c r="AB284" i="5"/>
  <c r="AB102" i="5"/>
  <c r="AB64" i="5"/>
  <c r="AB155" i="5"/>
  <c r="AB289" i="5"/>
  <c r="AB32" i="5"/>
  <c r="AB297" i="5"/>
  <c r="AB187" i="5"/>
  <c r="AB269" i="5"/>
  <c r="AB49" i="5"/>
  <c r="AB363" i="5"/>
  <c r="AB280" i="5"/>
  <c r="AB329" i="5"/>
  <c r="AB303" i="5"/>
  <c r="AB170" i="5"/>
  <c r="AB286" i="5"/>
  <c r="AB92" i="5"/>
  <c r="AB340" i="5"/>
  <c r="AB355" i="5"/>
  <c r="AB315" i="5"/>
  <c r="AB326" i="5"/>
  <c r="AB338" i="5"/>
  <c r="AB128" i="5"/>
  <c r="AB192" i="5"/>
  <c r="AB357" i="5"/>
  <c r="AB287" i="5"/>
  <c r="AB359" i="5"/>
  <c r="AB28" i="5"/>
  <c r="AB61" i="5"/>
  <c r="AB198" i="5"/>
  <c r="AB185" i="5"/>
  <c r="AB143" i="5"/>
  <c r="AB145" i="5"/>
  <c r="AB98" i="5"/>
  <c r="AB349" i="5"/>
  <c r="AB183" i="5"/>
  <c r="AB266" i="5"/>
  <c r="AB71" i="5"/>
  <c r="AB80" i="5"/>
  <c r="AB319" i="5"/>
  <c r="AB132" i="5"/>
  <c r="AB333" i="5"/>
  <c r="AB141" i="5"/>
  <c r="AB190" i="5"/>
  <c r="AB164" i="5"/>
  <c r="AB108" i="5"/>
  <c r="AB18" i="5"/>
  <c r="AB50" i="5"/>
  <c r="AB296" i="5"/>
  <c r="AB352" i="5"/>
  <c r="AB345" i="5"/>
  <c r="AB365" i="5"/>
  <c r="AB153" i="5"/>
  <c r="AB26" i="5"/>
  <c r="AB181" i="5"/>
  <c r="AB37" i="5"/>
  <c r="AB176" i="5"/>
  <c r="AB339" i="5"/>
  <c r="AB293" i="5"/>
  <c r="AB261" i="5"/>
  <c r="AB275" i="5"/>
  <c r="AB162" i="5"/>
  <c r="AB100" i="5"/>
  <c r="AB335" i="5"/>
  <c r="AB201" i="5"/>
  <c r="AB167" i="5"/>
  <c r="AB39" i="5"/>
  <c r="AB81" i="5"/>
  <c r="AB151" i="5"/>
  <c r="AB285" i="5"/>
  <c r="AB197" i="5"/>
  <c r="AB321" i="5"/>
  <c r="AB166" i="5"/>
  <c r="AB195" i="5"/>
  <c r="AB168" i="5"/>
  <c r="AB274" i="5"/>
  <c r="AB159" i="5"/>
  <c r="AB318" i="5"/>
  <c r="AB189" i="5"/>
  <c r="AB334" i="5"/>
  <c r="AB188" i="5"/>
  <c r="AB33" i="5"/>
  <c r="AB276" i="5"/>
  <c r="AB130" i="5"/>
  <c r="AB113" i="5"/>
  <c r="AB31" i="5"/>
  <c r="AB260" i="5"/>
  <c r="AB66" i="5"/>
  <c r="AB337" i="5"/>
  <c r="AB186" i="5"/>
  <c r="AB74" i="5"/>
  <c r="AB295" i="5"/>
  <c r="AB353" i="5"/>
  <c r="AB288" i="5"/>
  <c r="AB93" i="5"/>
  <c r="AB105" i="5"/>
  <c r="AB77" i="5"/>
  <c r="AB323" i="5"/>
  <c r="AB104" i="5"/>
  <c r="AB68" i="5"/>
  <c r="AB135" i="5"/>
  <c r="AB267" i="5"/>
  <c r="AB200" i="5"/>
  <c r="AB341" i="5"/>
  <c r="AB360" i="5"/>
  <c r="AB272" i="5"/>
  <c r="AB42" i="5"/>
  <c r="AB169" i="5"/>
  <c r="AB82" i="5"/>
  <c r="AB158" i="5"/>
  <c r="AB350" i="5"/>
  <c r="AB354" i="5"/>
  <c r="AB107" i="5"/>
  <c r="AB126" i="5"/>
  <c r="AB160" i="5"/>
  <c r="AB196" i="5"/>
  <c r="AB110" i="5"/>
  <c r="AB313" i="5"/>
  <c r="AB99" i="5"/>
  <c r="AB324" i="5"/>
  <c r="AB76" i="5"/>
  <c r="AB142" i="5"/>
  <c r="AB161" i="5"/>
  <c r="AB270" i="5"/>
  <c r="AB154" i="5"/>
  <c r="AB346" i="5"/>
  <c r="AB364" i="5"/>
  <c r="AB173" i="5"/>
  <c r="AB63" i="5"/>
  <c r="AB152" i="5"/>
  <c r="AB283" i="5"/>
  <c r="AB136" i="5"/>
  <c r="AB94" i="5"/>
  <c r="AB314" i="5"/>
  <c r="AB111" i="5"/>
  <c r="AB21" i="5"/>
  <c r="AB278" i="5"/>
  <c r="AB342" i="5"/>
  <c r="AB30" i="5"/>
  <c r="AB60" i="5"/>
  <c r="AB322" i="5"/>
  <c r="AB62" i="5"/>
  <c r="AB38" i="5"/>
  <c r="AB79" i="5"/>
  <c r="AB292" i="5"/>
  <c r="AB146" i="5"/>
  <c r="AB165" i="5"/>
  <c r="AB83" i="5"/>
  <c r="AB157" i="5"/>
  <c r="AB362" i="5"/>
  <c r="AB302" i="5"/>
  <c r="AB348" i="5"/>
  <c r="AB177" i="5"/>
  <c r="AB124" i="5"/>
  <c r="AB123" i="5"/>
  <c r="AB85" i="5"/>
  <c r="AB109" i="5"/>
  <c r="AB317" i="5"/>
  <c r="AB75" i="5"/>
  <c r="AB46" i="5"/>
  <c r="AB25" i="5"/>
  <c r="AB96" i="5"/>
  <c r="AB175" i="5"/>
  <c r="AB43" i="5"/>
  <c r="AB134" i="5"/>
  <c r="AB139" i="5"/>
  <c r="AB150" i="5"/>
  <c r="AB300" i="5"/>
  <c r="AB106" i="5"/>
  <c r="AB344" i="5"/>
  <c r="AB264" i="5"/>
  <c r="AB149" i="5"/>
  <c r="AB262" i="5"/>
  <c r="AB199" i="5"/>
  <c r="AB67" i="5"/>
  <c r="AB144" i="5"/>
  <c r="AB301" i="5"/>
  <c r="AB48" i="5"/>
  <c r="AB179" i="5"/>
  <c r="AB148" i="5"/>
  <c r="AB137" i="5"/>
  <c r="AB45" i="5"/>
  <c r="AB174" i="5"/>
  <c r="AB78" i="5"/>
  <c r="AB271" i="5"/>
  <c r="AB147" i="5"/>
  <c r="AB95" i="5"/>
  <c r="AB41" i="5"/>
  <c r="AB138" i="5"/>
  <c r="AB97" i="5"/>
  <c r="AB265" i="5"/>
  <c r="AB268" i="5"/>
  <c r="AB343" i="5"/>
  <c r="AB89" i="5"/>
  <c r="AB101" i="5"/>
  <c r="AB182" i="5"/>
  <c r="AB20" i="5"/>
  <c r="AB27" i="5"/>
  <c r="AB180" i="5"/>
  <c r="AB65" i="5"/>
  <c r="AB90" i="5"/>
  <c r="AB279" i="5"/>
  <c r="AB87" i="5"/>
  <c r="AB290" i="5"/>
  <c r="AB84" i="5"/>
  <c r="AB259" i="5"/>
  <c r="AB325" i="5"/>
  <c r="AB184" i="5"/>
  <c r="H168" i="1"/>
  <c r="H686" i="1"/>
  <c r="H716" i="1"/>
  <c r="K7" i="5"/>
  <c r="K8" i="5"/>
  <c r="AA8" i="5"/>
  <c r="AA7" i="5"/>
  <c r="AG10" i="1"/>
  <c r="AG12" i="1"/>
  <c r="W8" i="5"/>
  <c r="W7" i="5"/>
  <c r="C6" i="5"/>
  <c r="C4" i="5"/>
  <c r="F6" i="3"/>
  <c r="H332" i="5"/>
  <c r="H158" i="5"/>
  <c r="H341" i="5"/>
  <c r="H178" i="5"/>
  <c r="H31" i="5"/>
  <c r="H95" i="5"/>
  <c r="H329" i="5"/>
  <c r="H46" i="5"/>
  <c r="H125" i="5"/>
  <c r="H303" i="5"/>
  <c r="H276" i="5"/>
  <c r="H274" i="5"/>
  <c r="H365" i="5"/>
  <c r="H272" i="5"/>
  <c r="H109" i="5"/>
  <c r="H105" i="5"/>
  <c r="H344" i="5"/>
  <c r="H334" i="5"/>
  <c r="H280" i="5"/>
  <c r="H149" i="5"/>
  <c r="H18" i="5"/>
  <c r="H330" i="5"/>
  <c r="H159" i="5"/>
  <c r="H50" i="5"/>
  <c r="H366" i="5"/>
  <c r="H315" i="5"/>
  <c r="H87" i="5"/>
  <c r="H184" i="5"/>
  <c r="H172" i="5"/>
  <c r="H300" i="5"/>
  <c r="H104" i="5"/>
  <c r="H127" i="5"/>
  <c r="H286" i="5"/>
  <c r="H291" i="5"/>
  <c r="H79" i="5"/>
  <c r="H301" i="5"/>
  <c r="H75" i="5"/>
  <c r="H263" i="5"/>
  <c r="H361" i="5"/>
  <c r="H273" i="5"/>
  <c r="H364" i="5"/>
  <c r="H62" i="5"/>
  <c r="H156" i="5"/>
  <c r="H41" i="5"/>
  <c r="H145" i="5"/>
  <c r="H150" i="5"/>
  <c r="H183" i="5"/>
  <c r="H48" i="5"/>
  <c r="H111" i="5"/>
  <c r="H101" i="5"/>
  <c r="H351" i="5"/>
  <c r="H126" i="5"/>
  <c r="H28" i="5"/>
  <c r="H85" i="5"/>
  <c r="H196" i="5"/>
  <c r="H277" i="5"/>
  <c r="H140" i="5"/>
  <c r="H36" i="5"/>
  <c r="H110" i="5"/>
  <c r="H45" i="5"/>
  <c r="H268" i="5"/>
  <c r="H292" i="5"/>
  <c r="H34" i="5"/>
  <c r="H88" i="5"/>
  <c r="H21" i="5"/>
  <c r="H176" i="5"/>
  <c r="H182" i="5"/>
  <c r="H295" i="5"/>
  <c r="H70" i="5"/>
  <c r="H180" i="5"/>
  <c r="H65" i="5"/>
  <c r="H260" i="5"/>
  <c r="H38" i="5"/>
  <c r="H33" i="5"/>
  <c r="H112" i="5"/>
  <c r="H93" i="5"/>
  <c r="H107" i="5"/>
  <c r="H279" i="5"/>
  <c r="H297" i="5"/>
  <c r="H197" i="5"/>
  <c r="H314" i="5"/>
  <c r="H39" i="5"/>
  <c r="H198" i="5"/>
  <c r="H102" i="5"/>
  <c r="H131" i="5"/>
  <c r="H293" i="5"/>
  <c r="H287" i="5"/>
  <c r="H357" i="5"/>
  <c r="H345" i="5"/>
  <c r="H61" i="5"/>
  <c r="H137" i="5"/>
  <c r="H266" i="5"/>
  <c r="H90" i="5"/>
  <c r="H103" i="5"/>
  <c r="H35" i="5"/>
  <c r="H171" i="5"/>
  <c r="H283" i="5"/>
  <c r="H275" i="5"/>
  <c r="H352" i="5"/>
  <c r="H134" i="5"/>
  <c r="H181" i="5"/>
  <c r="H340" i="5"/>
  <c r="H30" i="5"/>
  <c r="H353" i="5"/>
  <c r="H187" i="5"/>
  <c r="H192" i="5"/>
  <c r="H169" i="5"/>
  <c r="H335" i="5"/>
  <c r="H37" i="5"/>
  <c r="H288" i="5"/>
  <c r="H113" i="5"/>
  <c r="H360" i="5"/>
  <c r="H191" i="5"/>
  <c r="H81" i="5"/>
  <c r="H44" i="5"/>
  <c r="H151" i="5"/>
  <c r="H328" i="5"/>
  <c r="H322" i="5"/>
  <c r="H333" i="5"/>
  <c r="H97" i="5"/>
  <c r="H89" i="5"/>
  <c r="H92" i="5"/>
  <c r="H259" i="5"/>
  <c r="H336" i="5"/>
  <c r="H82" i="5"/>
  <c r="H174" i="5"/>
  <c r="H324" i="5"/>
  <c r="H19" i="5"/>
  <c r="H68" i="5"/>
  <c r="H108" i="5"/>
  <c r="H32" i="5"/>
  <c r="H193" i="5"/>
  <c r="H290" i="5"/>
  <c r="H343" i="5"/>
  <c r="H163" i="5"/>
  <c r="H67" i="5"/>
  <c r="H267" i="5"/>
  <c r="H20" i="5"/>
  <c r="H25" i="5"/>
  <c r="H29" i="5"/>
  <c r="H346" i="5"/>
  <c r="H74" i="5"/>
  <c r="H124" i="5"/>
  <c r="H129" i="5"/>
  <c r="H69" i="5"/>
  <c r="H168" i="5"/>
  <c r="H135" i="5"/>
  <c r="H165" i="5"/>
  <c r="H66" i="5"/>
  <c r="H154" i="5"/>
  <c r="H349" i="5"/>
  <c r="H326" i="5"/>
  <c r="H94" i="5"/>
  <c r="H22" i="5"/>
  <c r="H179" i="5"/>
  <c r="H148" i="5"/>
  <c r="H339" i="5"/>
  <c r="H80" i="5"/>
  <c r="H278" i="5"/>
  <c r="H175" i="5"/>
  <c r="H348" i="5"/>
  <c r="H47" i="5"/>
  <c r="H146" i="5"/>
  <c r="H359" i="5"/>
  <c r="H64" i="5"/>
  <c r="H128" i="5"/>
  <c r="H86" i="5"/>
  <c r="H161" i="5"/>
  <c r="H347" i="5"/>
  <c r="H186" i="5"/>
  <c r="H284" i="5"/>
  <c r="H325" i="5"/>
  <c r="H313" i="5"/>
  <c r="H294" i="5"/>
  <c r="H96" i="5"/>
  <c r="H164" i="5"/>
  <c r="H195" i="5"/>
  <c r="H155" i="5"/>
  <c r="H71" i="5"/>
  <c r="H138" i="5"/>
  <c r="H265" i="5"/>
  <c r="H77" i="5"/>
  <c r="H358" i="5"/>
  <c r="H63" i="5"/>
  <c r="H201" i="5"/>
  <c r="H281" i="5"/>
  <c r="H338" i="5"/>
  <c r="H153" i="5"/>
  <c r="H60" i="5"/>
  <c r="H264" i="5"/>
  <c r="H123" i="5"/>
  <c r="H24" i="5"/>
  <c r="H185" i="5"/>
  <c r="H133" i="5"/>
  <c r="H160" i="5"/>
  <c r="H320" i="5"/>
  <c r="H289" i="5"/>
  <c r="H136" i="5"/>
  <c r="H200" i="5"/>
  <c r="H302" i="5"/>
  <c r="H139" i="5"/>
  <c r="H270" i="5"/>
  <c r="H337" i="5"/>
  <c r="H106" i="5"/>
  <c r="H285" i="5"/>
  <c r="H42" i="5"/>
  <c r="H189" i="5"/>
  <c r="H194" i="5"/>
  <c r="H162" i="5"/>
  <c r="H157" i="5"/>
  <c r="H144" i="5"/>
  <c r="H91" i="5"/>
  <c r="H147" i="5"/>
  <c r="H152" i="5"/>
  <c r="H170" i="5"/>
  <c r="H78" i="5"/>
  <c r="H363" i="5"/>
  <c r="H323" i="5"/>
  <c r="H296" i="5"/>
  <c r="H23" i="5"/>
  <c r="H177" i="5"/>
  <c r="H199" i="5"/>
  <c r="H143" i="5"/>
  <c r="H362" i="5"/>
  <c r="H317" i="5"/>
  <c r="H262" i="5"/>
  <c r="H132" i="5"/>
  <c r="H316" i="5"/>
  <c r="H99" i="5"/>
  <c r="H269" i="5"/>
  <c r="H26" i="5"/>
  <c r="H43" i="5"/>
  <c r="H130" i="5"/>
  <c r="H299" i="5"/>
  <c r="H142" i="5"/>
  <c r="H319" i="5"/>
  <c r="H83" i="5"/>
  <c r="H318" i="5"/>
  <c r="H342" i="5"/>
  <c r="H27" i="5"/>
  <c r="H188" i="5"/>
  <c r="H261" i="5"/>
  <c r="H167" i="5"/>
  <c r="H76" i="5"/>
  <c r="H173" i="5"/>
  <c r="H282" i="5"/>
  <c r="H73" i="5"/>
  <c r="H355" i="5"/>
  <c r="H331" i="5"/>
  <c r="H271" i="5"/>
  <c r="H100" i="5"/>
  <c r="H327" i="5"/>
  <c r="H72" i="5"/>
  <c r="H356" i="5"/>
  <c r="H321" i="5"/>
  <c r="H166" i="5"/>
  <c r="H98" i="5"/>
  <c r="H350" i="5"/>
  <c r="H190" i="5"/>
  <c r="H40" i="5"/>
  <c r="H354" i="5"/>
  <c r="H141" i="5"/>
  <c r="H84" i="5"/>
  <c r="H298" i="5"/>
  <c r="H49" i="5"/>
  <c r="O10" i="1"/>
  <c r="O12" i="1"/>
  <c r="F10" i="3"/>
  <c r="X74" i="5"/>
  <c r="X334" i="5"/>
  <c r="X126" i="5"/>
  <c r="X319" i="5"/>
  <c r="X97" i="5"/>
  <c r="X293" i="5"/>
  <c r="X184" i="5"/>
  <c r="X152" i="5"/>
  <c r="X18" i="5"/>
  <c r="X66" i="5"/>
  <c r="X101" i="5"/>
  <c r="X287" i="5"/>
  <c r="X331" i="5"/>
  <c r="X192" i="5"/>
  <c r="X345" i="5"/>
  <c r="X181" i="5"/>
  <c r="X174" i="5"/>
  <c r="X280" i="5"/>
  <c r="X323" i="5"/>
  <c r="X313" i="5"/>
  <c r="X354" i="5"/>
  <c r="X155" i="5"/>
  <c r="X75" i="5"/>
  <c r="X262" i="5"/>
  <c r="X162" i="5"/>
  <c r="X281" i="5"/>
  <c r="X67" i="5"/>
  <c r="X34" i="5"/>
  <c r="X137" i="5"/>
  <c r="X23" i="5"/>
  <c r="X132" i="5"/>
  <c r="X72" i="5"/>
  <c r="X197" i="5"/>
  <c r="X347" i="5"/>
  <c r="X294" i="5"/>
  <c r="X35" i="5"/>
  <c r="X182" i="5"/>
  <c r="X352" i="5"/>
  <c r="X50" i="5"/>
  <c r="X188" i="5"/>
  <c r="X134" i="5"/>
  <c r="X36" i="5"/>
  <c r="X277" i="5"/>
  <c r="X146" i="5"/>
  <c r="X169" i="5"/>
  <c r="X90" i="5"/>
  <c r="X356" i="5"/>
  <c r="X44" i="5"/>
  <c r="X327" i="5"/>
  <c r="X296" i="5"/>
  <c r="X129" i="5"/>
  <c r="X41" i="5"/>
  <c r="X322" i="5"/>
  <c r="X31" i="5"/>
  <c r="X78" i="5"/>
  <c r="X332" i="5"/>
  <c r="X147" i="5"/>
  <c r="X112" i="5"/>
  <c r="X315" i="5"/>
  <c r="X266" i="5"/>
  <c r="X344" i="5"/>
  <c r="X283" i="5"/>
  <c r="X42" i="5"/>
  <c r="X336" i="5"/>
  <c r="X76" i="5"/>
  <c r="X142" i="5"/>
  <c r="X163" i="5"/>
  <c r="X292" i="5"/>
  <c r="X87" i="5"/>
  <c r="X359" i="5"/>
  <c r="X60" i="5"/>
  <c r="X178" i="5"/>
  <c r="X29" i="5"/>
  <c r="X191" i="5"/>
  <c r="X271" i="5"/>
  <c r="X91" i="5"/>
  <c r="X364" i="5"/>
  <c r="X288" i="5"/>
  <c r="X272" i="5"/>
  <c r="X326" i="5"/>
  <c r="X165" i="5"/>
  <c r="X89" i="5"/>
  <c r="X365" i="5"/>
  <c r="X79" i="5"/>
  <c r="X273" i="5"/>
  <c r="X125" i="5"/>
  <c r="X95" i="5"/>
  <c r="X338" i="5"/>
  <c r="X199" i="5"/>
  <c r="X100" i="5"/>
  <c r="X337" i="5"/>
  <c r="X124" i="5"/>
  <c r="X32" i="5"/>
  <c r="X187" i="5"/>
  <c r="X96" i="5"/>
  <c r="X168" i="5"/>
  <c r="X290" i="5"/>
  <c r="X340" i="5"/>
  <c r="X107" i="5"/>
  <c r="X20" i="5"/>
  <c r="X314" i="5"/>
  <c r="X300" i="5"/>
  <c r="X183" i="5"/>
  <c r="X298" i="5"/>
  <c r="X85" i="5"/>
  <c r="X196" i="5"/>
  <c r="X175" i="5"/>
  <c r="X131" i="5"/>
  <c r="X43" i="5"/>
  <c r="X93" i="5"/>
  <c r="X324" i="5"/>
  <c r="X154" i="5"/>
  <c r="X339" i="5"/>
  <c r="X342" i="5"/>
  <c r="X177" i="5"/>
  <c r="X278" i="5"/>
  <c r="X201" i="5"/>
  <c r="X128" i="5"/>
  <c r="X24" i="5"/>
  <c r="X86" i="5"/>
  <c r="X358" i="5"/>
  <c r="X321" i="5"/>
  <c r="X179" i="5"/>
  <c r="X353" i="5"/>
  <c r="X164" i="5"/>
  <c r="X127" i="5"/>
  <c r="X194" i="5"/>
  <c r="X302" i="5"/>
  <c r="X346" i="5"/>
  <c r="X82" i="5"/>
  <c r="X333" i="5"/>
  <c r="X343" i="5"/>
  <c r="X170" i="5"/>
  <c r="X48" i="5"/>
  <c r="X136" i="5"/>
  <c r="X143" i="5"/>
  <c r="X68" i="5"/>
  <c r="X265" i="5"/>
  <c r="X159" i="5"/>
  <c r="X156" i="5"/>
  <c r="X295" i="5"/>
  <c r="X39" i="5"/>
  <c r="X70" i="5"/>
  <c r="X366" i="5"/>
  <c r="X167" i="5"/>
  <c r="X45" i="5"/>
  <c r="X363" i="5"/>
  <c r="X193" i="5"/>
  <c r="X19" i="5"/>
  <c r="X110" i="5"/>
  <c r="X172" i="5"/>
  <c r="X297" i="5"/>
  <c r="X139" i="5"/>
  <c r="X103" i="5"/>
  <c r="X282" i="5"/>
  <c r="X30" i="5"/>
  <c r="X145" i="5"/>
  <c r="X351" i="5"/>
  <c r="X260" i="5"/>
  <c r="X69" i="5"/>
  <c r="X133" i="5"/>
  <c r="X62" i="5"/>
  <c r="X109" i="5"/>
  <c r="X173" i="5"/>
  <c r="X189" i="5"/>
  <c r="X284" i="5"/>
  <c r="X84" i="5"/>
  <c r="X286" i="5"/>
  <c r="X106" i="5"/>
  <c r="X263" i="5"/>
  <c r="X276" i="5"/>
  <c r="X186" i="5"/>
  <c r="X61" i="5"/>
  <c r="X40" i="5"/>
  <c r="X64" i="5"/>
  <c r="X267" i="5"/>
  <c r="X46" i="5"/>
  <c r="X81" i="5"/>
  <c r="X195" i="5"/>
  <c r="X317" i="5"/>
  <c r="X135" i="5"/>
  <c r="X92" i="5"/>
  <c r="X140" i="5"/>
  <c r="X274" i="5"/>
  <c r="X113" i="5"/>
  <c r="X138" i="5"/>
  <c r="X171" i="5"/>
  <c r="X261" i="5"/>
  <c r="X320" i="5"/>
  <c r="X264" i="5"/>
  <c r="X104" i="5"/>
  <c r="X335" i="5"/>
  <c r="X22" i="5"/>
  <c r="X26" i="5"/>
  <c r="X180" i="5"/>
  <c r="X98" i="5"/>
  <c r="X37" i="5"/>
  <c r="X102" i="5"/>
  <c r="X355" i="5"/>
  <c r="X80" i="5"/>
  <c r="X38" i="5"/>
  <c r="X289" i="5"/>
  <c r="X362" i="5"/>
  <c r="X270" i="5"/>
  <c r="X161" i="5"/>
  <c r="X176" i="5"/>
  <c r="X123" i="5"/>
  <c r="X330" i="5"/>
  <c r="X360" i="5"/>
  <c r="X27" i="5"/>
  <c r="X329" i="5"/>
  <c r="X130" i="5"/>
  <c r="X99" i="5"/>
  <c r="X144" i="5"/>
  <c r="X153" i="5"/>
  <c r="X108" i="5"/>
  <c r="X200" i="5"/>
  <c r="X157" i="5"/>
  <c r="X94" i="5"/>
  <c r="X303" i="5"/>
  <c r="X325" i="5"/>
  <c r="X49" i="5"/>
  <c r="X316" i="5"/>
  <c r="X149" i="5"/>
  <c r="X141" i="5"/>
  <c r="X361" i="5"/>
  <c r="X269" i="5"/>
  <c r="X158" i="5"/>
  <c r="X160" i="5"/>
  <c r="X21" i="5"/>
  <c r="X348" i="5"/>
  <c r="X148" i="5"/>
  <c r="X88" i="5"/>
  <c r="X47" i="5"/>
  <c r="X268" i="5"/>
  <c r="X285" i="5"/>
  <c r="X77" i="5"/>
  <c r="X279" i="5"/>
  <c r="X259" i="5"/>
  <c r="X198" i="5"/>
  <c r="X299" i="5"/>
  <c r="X150" i="5"/>
  <c r="X28" i="5"/>
  <c r="X349" i="5"/>
  <c r="X190" i="5"/>
  <c r="X25" i="5"/>
  <c r="X83" i="5"/>
  <c r="X275" i="5"/>
  <c r="X318" i="5"/>
  <c r="X357" i="5"/>
  <c r="X185" i="5"/>
  <c r="X166" i="5"/>
  <c r="X65" i="5"/>
  <c r="X291" i="5"/>
  <c r="X350" i="5"/>
  <c r="X328" i="5"/>
  <c r="X63" i="5"/>
  <c r="X301" i="5"/>
  <c r="X341" i="5"/>
  <c r="X105" i="5"/>
  <c r="X71" i="5"/>
  <c r="X151" i="5"/>
  <c r="X33" i="5"/>
  <c r="X111" i="5"/>
  <c r="X73" i="5"/>
  <c r="P348" i="5"/>
  <c r="O7" i="5"/>
  <c r="O8" i="5"/>
  <c r="H198" i="1"/>
  <c r="H1021" i="1"/>
  <c r="H441" i="1"/>
  <c r="C12" i="1"/>
  <c r="C10" i="1"/>
  <c r="G7" i="5"/>
  <c r="G8" i="5"/>
  <c r="F8" i="3"/>
  <c r="P300" i="5"/>
  <c r="P194" i="5"/>
  <c r="P154" i="5"/>
  <c r="P149" i="5"/>
  <c r="P191" i="5"/>
  <c r="P170" i="5"/>
  <c r="P291" i="5"/>
  <c r="P164" i="5"/>
  <c r="P172" i="5"/>
  <c r="P155" i="5"/>
  <c r="P34" i="5"/>
  <c r="P278" i="5"/>
  <c r="P187" i="5"/>
  <c r="P361" i="5"/>
  <c r="P131" i="5"/>
  <c r="P362" i="5"/>
  <c r="P145" i="5"/>
  <c r="P279" i="5"/>
  <c r="P104" i="5"/>
  <c r="P343" i="5"/>
  <c r="P162" i="5"/>
  <c r="P189" i="5"/>
  <c r="P280" i="5"/>
  <c r="P67" i="5"/>
  <c r="P113" i="5"/>
  <c r="P273" i="5"/>
  <c r="P62" i="5"/>
  <c r="P61" i="5"/>
  <c r="P317" i="5"/>
  <c r="P259" i="5"/>
  <c r="P50" i="5"/>
  <c r="P328" i="5"/>
  <c r="P112" i="5"/>
  <c r="P322" i="5"/>
  <c r="P346" i="5"/>
  <c r="P126" i="5"/>
  <c r="P133" i="5"/>
  <c r="P320" i="5"/>
  <c r="P318" i="5"/>
  <c r="P111" i="5"/>
  <c r="P184" i="5"/>
  <c r="P45" i="5"/>
  <c r="P108" i="5"/>
  <c r="P69" i="5"/>
  <c r="P262" i="5"/>
  <c r="P281" i="5"/>
  <c r="P60" i="5"/>
  <c r="P129" i="5"/>
  <c r="P160" i="5"/>
  <c r="P359" i="5"/>
  <c r="P19" i="5"/>
  <c r="P40" i="5"/>
  <c r="P344" i="5"/>
  <c r="P201" i="5"/>
  <c r="P293" i="5"/>
  <c r="P161" i="5"/>
  <c r="P285" i="5"/>
  <c r="P94" i="5"/>
  <c r="P275" i="5"/>
  <c r="P134" i="5"/>
  <c r="P143" i="5"/>
  <c r="P351" i="5"/>
  <c r="P347" i="5"/>
  <c r="P70" i="5"/>
  <c r="P72" i="5"/>
  <c r="P138" i="5"/>
  <c r="P101" i="5"/>
  <c r="P321" i="5"/>
  <c r="P301" i="5"/>
  <c r="P91" i="5"/>
  <c r="P22" i="5"/>
  <c r="P89" i="5"/>
  <c r="P96" i="5"/>
  <c r="P99" i="5"/>
  <c r="P319" i="5"/>
  <c r="P148" i="5"/>
  <c r="P330" i="5"/>
  <c r="P48" i="5"/>
  <c r="P66" i="5"/>
  <c r="P28" i="5"/>
  <c r="P265" i="5"/>
  <c r="P292" i="5"/>
  <c r="P81" i="5"/>
  <c r="P336" i="5"/>
  <c r="P132" i="5"/>
  <c r="P150" i="5"/>
  <c r="P360" i="5"/>
  <c r="P337" i="5"/>
  <c r="P78" i="5"/>
  <c r="P29" i="5"/>
  <c r="P324" i="5"/>
  <c r="P100" i="5"/>
  <c r="P139" i="5"/>
  <c r="P180" i="5"/>
  <c r="P299" i="5"/>
  <c r="P345" i="5"/>
  <c r="P38" i="5"/>
  <c r="P364" i="5"/>
  <c r="P186" i="5"/>
  <c r="P107" i="5"/>
  <c r="P151" i="5"/>
  <c r="P141" i="5"/>
  <c r="P316" i="5"/>
  <c r="P153" i="5"/>
  <c r="P90" i="5"/>
  <c r="P44" i="5"/>
  <c r="P25" i="5"/>
  <c r="P68" i="5"/>
  <c r="P42" i="5"/>
  <c r="P106" i="5"/>
  <c r="P49" i="5"/>
  <c r="P35" i="5"/>
  <c r="P21" i="5"/>
  <c r="P183" i="5"/>
  <c r="P287" i="5"/>
  <c r="P332" i="5"/>
  <c r="P157" i="5"/>
  <c r="P147" i="5"/>
  <c r="P85" i="5"/>
  <c r="P185" i="5"/>
  <c r="P71" i="5"/>
  <c r="P86" i="5"/>
  <c r="P95" i="5"/>
  <c r="P313" i="5"/>
  <c r="P302" i="5"/>
  <c r="P282" i="5"/>
  <c r="P65" i="5"/>
  <c r="P283" i="5"/>
  <c r="P37" i="5"/>
  <c r="P125" i="5"/>
  <c r="P182" i="5"/>
  <c r="P296" i="5"/>
  <c r="P195" i="5"/>
  <c r="P197" i="5"/>
  <c r="P200" i="5"/>
  <c r="P277" i="5"/>
  <c r="P298" i="5"/>
  <c r="P340" i="5"/>
  <c r="P269" i="5"/>
  <c r="P165" i="5"/>
  <c r="P32" i="5"/>
  <c r="P179" i="5"/>
  <c r="P264" i="5"/>
  <c r="P135" i="5"/>
  <c r="P128" i="5"/>
  <c r="P159" i="5"/>
  <c r="P181" i="5"/>
  <c r="P80" i="5"/>
  <c r="P136" i="5"/>
  <c r="P272" i="5"/>
  <c r="P174" i="5"/>
  <c r="P73" i="5"/>
  <c r="P190" i="5"/>
  <c r="P31" i="5"/>
  <c r="P295" i="5"/>
  <c r="P92" i="5"/>
  <c r="P297" i="5"/>
  <c r="P88" i="5"/>
  <c r="P354" i="5"/>
  <c r="P358" i="5"/>
  <c r="P270" i="5"/>
  <c r="P84" i="5"/>
  <c r="P130" i="5"/>
  <c r="P356" i="5"/>
  <c r="P176" i="5"/>
  <c r="P127" i="5"/>
  <c r="P260" i="5"/>
  <c r="P178" i="5"/>
  <c r="P173" i="5"/>
  <c r="P290" i="5"/>
  <c r="P349" i="5"/>
  <c r="P363" i="5"/>
  <c r="P303" i="5"/>
  <c r="P268" i="5"/>
  <c r="P146" i="5"/>
  <c r="P267" i="5"/>
  <c r="P105" i="5"/>
  <c r="P77" i="5"/>
  <c r="P23" i="5"/>
  <c r="P76" i="5"/>
  <c r="P357" i="5"/>
  <c r="P98" i="5"/>
  <c r="P329" i="5"/>
  <c r="P355" i="5"/>
  <c r="P199" i="5"/>
  <c r="P163" i="5"/>
  <c r="P271" i="5"/>
  <c r="P284" i="5"/>
  <c r="P93" i="5"/>
  <c r="P47" i="5"/>
  <c r="P123" i="5"/>
  <c r="P20" i="5"/>
  <c r="P27" i="5"/>
  <c r="P83" i="5"/>
  <c r="P36" i="5"/>
  <c r="P168" i="5"/>
  <c r="P323" i="5"/>
  <c r="P140" i="5"/>
  <c r="P82" i="5"/>
  <c r="P327" i="5"/>
  <c r="P46" i="5"/>
  <c r="P97" i="5"/>
  <c r="P142" i="5"/>
  <c r="P169" i="5"/>
  <c r="P39" i="5"/>
  <c r="P263" i="5"/>
  <c r="P331" i="5"/>
  <c r="P166" i="5"/>
  <c r="P198" i="5"/>
  <c r="P276" i="5"/>
  <c r="P294" i="5"/>
  <c r="P167" i="5"/>
  <c r="P41" i="5"/>
  <c r="P64" i="5"/>
  <c r="P339" i="5"/>
  <c r="P342" i="5"/>
  <c r="P334" i="5"/>
  <c r="P33" i="5"/>
  <c r="P196" i="5"/>
  <c r="P177" i="5"/>
  <c r="P79" i="5"/>
  <c r="P266" i="5"/>
  <c r="P326" i="5"/>
  <c r="P110" i="5"/>
  <c r="P288" i="5"/>
  <c r="P365" i="5"/>
  <c r="P171" i="5"/>
  <c r="P18" i="5"/>
  <c r="P261" i="5"/>
  <c r="P103" i="5"/>
  <c r="P152" i="5"/>
  <c r="P274" i="5"/>
  <c r="P30" i="5"/>
  <c r="P102" i="5"/>
  <c r="P156" i="5"/>
  <c r="P335" i="5"/>
  <c r="P366" i="5"/>
  <c r="P338" i="5"/>
  <c r="P24" i="5"/>
  <c r="P315" i="5"/>
  <c r="P158" i="5"/>
  <c r="P26" i="5"/>
  <c r="P193" i="5"/>
  <c r="P188" i="5"/>
  <c r="P341" i="5"/>
  <c r="P43" i="5"/>
  <c r="P74" i="5"/>
  <c r="P333" i="5"/>
  <c r="P87" i="5"/>
  <c r="P124" i="5"/>
  <c r="P75" i="5"/>
  <c r="P289" i="5"/>
  <c r="P325" i="5"/>
  <c r="P286" i="5"/>
  <c r="P63" i="5"/>
  <c r="P109" i="5"/>
  <c r="P314" i="5"/>
  <c r="P144" i="5"/>
  <c r="P353" i="5"/>
  <c r="P350" i="5"/>
  <c r="P175" i="5"/>
  <c r="P192" i="5"/>
  <c r="P352" i="5"/>
  <c r="P137" i="5"/>
  <c r="H533" i="1"/>
  <c r="H899" i="1"/>
  <c r="H321" i="1"/>
  <c r="AA10" i="1"/>
  <c r="AA12" i="1"/>
  <c r="H413" i="1"/>
  <c r="H563" i="1"/>
  <c r="H1082" i="1"/>
  <c r="F12" i="3"/>
  <c r="AF336" i="5"/>
  <c r="AF328" i="5"/>
  <c r="AF141" i="5"/>
  <c r="AF110" i="5"/>
  <c r="AF265" i="5"/>
  <c r="AF289" i="5"/>
  <c r="AF84" i="5"/>
  <c r="AF75" i="5"/>
  <c r="AF73" i="5"/>
  <c r="AF63" i="5"/>
  <c r="AF30" i="5"/>
  <c r="AF106" i="5"/>
  <c r="AF45" i="5"/>
  <c r="AF193" i="5"/>
  <c r="AF127" i="5"/>
  <c r="AF286" i="5"/>
  <c r="AF18" i="5"/>
  <c r="AF351" i="5"/>
  <c r="AF67" i="5"/>
  <c r="AF161" i="5"/>
  <c r="AF270" i="5"/>
  <c r="AF61" i="5"/>
  <c r="AF277" i="5"/>
  <c r="AF280" i="5"/>
  <c r="AF74" i="5"/>
  <c r="AF322" i="5"/>
  <c r="AF146" i="5"/>
  <c r="AF340" i="5"/>
  <c r="AF69" i="5"/>
  <c r="AF356" i="5"/>
  <c r="AF269" i="5"/>
  <c r="AF86" i="5"/>
  <c r="AF358" i="5"/>
  <c r="AF173" i="5"/>
  <c r="AF281" i="5"/>
  <c r="AF159" i="5"/>
  <c r="AF47" i="5"/>
  <c r="AF191" i="5"/>
  <c r="AF178" i="5"/>
  <c r="AF299" i="5"/>
  <c r="AF273" i="5"/>
  <c r="AF276" i="5"/>
  <c r="AF167" i="5"/>
  <c r="AF169" i="5"/>
  <c r="AF343" i="5"/>
  <c r="AF274" i="5"/>
  <c r="AF338" i="5"/>
  <c r="AF288" i="5"/>
  <c r="AF71" i="5"/>
  <c r="AF266" i="5"/>
  <c r="AF129" i="5"/>
  <c r="AF283" i="5"/>
  <c r="AF139" i="5"/>
  <c r="AF364" i="5"/>
  <c r="AF79" i="5"/>
  <c r="AF130" i="5"/>
  <c r="AF359" i="5"/>
  <c r="AF324" i="5"/>
  <c r="AF292" i="5"/>
  <c r="AF297" i="5"/>
  <c r="AF68" i="5"/>
  <c r="AF98" i="5"/>
  <c r="AF195" i="5"/>
  <c r="AF125" i="5"/>
  <c r="AF163" i="5"/>
  <c r="AF314" i="5"/>
  <c r="AF135" i="5"/>
  <c r="AF361" i="5"/>
  <c r="AF78" i="5"/>
  <c r="AF183" i="5"/>
  <c r="AF198" i="5"/>
  <c r="AF262" i="5"/>
  <c r="AF184" i="5"/>
  <c r="AF348" i="5"/>
  <c r="AF190" i="5"/>
  <c r="AF259" i="5"/>
  <c r="AF87" i="5"/>
  <c r="AF160" i="5"/>
  <c r="AF302" i="5"/>
  <c r="AF321" i="5"/>
  <c r="AF354" i="5"/>
  <c r="AF347" i="5"/>
  <c r="AF95" i="5"/>
  <c r="AF168" i="5"/>
  <c r="AF41" i="5"/>
  <c r="AF333" i="5"/>
  <c r="AF96" i="5"/>
  <c r="AF175" i="5"/>
  <c r="AF192" i="5"/>
  <c r="AF37" i="5"/>
  <c r="AF350" i="5"/>
  <c r="AF334" i="5"/>
  <c r="AF36" i="5"/>
  <c r="AF315" i="5"/>
  <c r="AF293" i="5"/>
  <c r="AF165" i="5"/>
  <c r="AF164" i="5"/>
  <c r="AF89" i="5"/>
  <c r="AF124" i="5"/>
  <c r="AF94" i="5"/>
  <c r="AF20" i="5"/>
  <c r="AF65" i="5"/>
  <c r="AF279" i="5"/>
  <c r="AF260" i="5"/>
  <c r="AF317" i="5"/>
  <c r="AF362" i="5"/>
  <c r="AF19" i="5"/>
  <c r="AF294" i="5"/>
  <c r="AF88" i="5"/>
  <c r="AF155" i="5"/>
  <c r="AF352" i="5"/>
  <c r="AF32" i="5"/>
  <c r="AF42" i="5"/>
  <c r="AF201" i="5"/>
  <c r="AF344" i="5"/>
  <c r="AF26" i="5"/>
  <c r="AF24" i="5"/>
  <c r="AF337" i="5"/>
  <c r="AF181" i="5"/>
  <c r="AF172" i="5"/>
  <c r="AF186" i="5"/>
  <c r="AF126" i="5"/>
  <c r="AF278" i="5"/>
  <c r="AF284" i="5"/>
  <c r="AF187" i="5"/>
  <c r="AF46" i="5"/>
  <c r="AF29" i="5"/>
  <c r="AF35" i="5"/>
  <c r="AF40" i="5"/>
  <c r="AF145" i="5"/>
  <c r="AF107" i="5"/>
  <c r="AF194" i="5"/>
  <c r="AF142" i="5"/>
  <c r="AF64" i="5"/>
  <c r="AF360" i="5"/>
  <c r="AF199" i="5"/>
  <c r="AF291" i="5"/>
  <c r="AF303" i="5"/>
  <c r="AF300" i="5"/>
  <c r="AF72" i="5"/>
  <c r="AF366" i="5"/>
  <c r="AF331" i="5"/>
  <c r="AF353" i="5"/>
  <c r="AF170" i="5"/>
  <c r="AF182" i="5"/>
  <c r="AF80" i="5"/>
  <c r="AF345" i="5"/>
  <c r="AF101" i="5"/>
  <c r="AF157" i="5"/>
  <c r="AF323" i="5"/>
  <c r="AF339" i="5"/>
  <c r="AF91" i="5"/>
  <c r="AF140" i="5"/>
  <c r="AF295" i="5"/>
  <c r="AF150" i="5"/>
  <c r="AF363" i="5"/>
  <c r="AF271" i="5"/>
  <c r="AF156" i="5"/>
  <c r="AF44" i="5"/>
  <c r="AF34" i="5"/>
  <c r="AF287" i="5"/>
  <c r="AF62" i="5"/>
  <c r="AF272" i="5"/>
  <c r="AF179" i="5"/>
  <c r="AF188" i="5"/>
  <c r="AF147" i="5"/>
  <c r="AF335" i="5"/>
  <c r="AF285" i="5"/>
  <c r="AF152" i="5"/>
  <c r="AF81" i="5"/>
  <c r="AF48" i="5"/>
  <c r="AF158" i="5"/>
  <c r="AF22" i="5"/>
  <c r="AF275" i="5"/>
  <c r="AF296" i="5"/>
  <c r="AF154" i="5"/>
  <c r="AF112" i="5"/>
  <c r="AF196" i="5"/>
  <c r="AF341" i="5"/>
  <c r="AF346" i="5"/>
  <c r="AF355" i="5"/>
  <c r="AF316" i="5"/>
  <c r="AF123" i="5"/>
  <c r="AF174" i="5"/>
  <c r="AF83" i="5"/>
  <c r="AF38" i="5"/>
  <c r="AF108" i="5"/>
  <c r="AF102" i="5"/>
  <c r="AF263" i="5"/>
  <c r="AF104" i="5"/>
  <c r="AF162" i="5"/>
  <c r="AF318" i="5"/>
  <c r="AF197" i="5"/>
  <c r="AF267" i="5"/>
  <c r="AF149" i="5"/>
  <c r="AF189" i="5"/>
  <c r="AF82" i="5"/>
  <c r="AF177" i="5"/>
  <c r="AF97" i="5"/>
  <c r="AF105" i="5"/>
  <c r="AF49" i="5"/>
  <c r="AF326" i="5"/>
  <c r="AF100" i="5"/>
  <c r="AF39" i="5"/>
  <c r="AF43" i="5"/>
  <c r="AF134" i="5"/>
  <c r="AF93" i="5"/>
  <c r="AF313" i="5"/>
  <c r="AF325" i="5"/>
  <c r="AF320" i="5"/>
  <c r="AF90" i="5"/>
  <c r="AF349" i="5"/>
  <c r="AF50" i="5"/>
  <c r="AF136" i="5"/>
  <c r="AF144" i="5"/>
  <c r="AF357" i="5"/>
  <c r="AF319" i="5"/>
  <c r="AF301" i="5"/>
  <c r="AF133" i="5"/>
  <c r="AF180" i="5"/>
  <c r="AF33" i="5"/>
  <c r="AF31" i="5"/>
  <c r="AF113" i="5"/>
  <c r="AF268" i="5"/>
  <c r="AF99" i="5"/>
  <c r="AF28" i="5"/>
  <c r="AF23" i="5"/>
  <c r="AF128" i="5"/>
  <c r="AF342" i="5"/>
  <c r="AF153" i="5"/>
  <c r="AF185" i="5"/>
  <c r="AF92" i="5"/>
  <c r="AF330" i="5"/>
  <c r="AF66" i="5"/>
  <c r="AF290" i="5"/>
  <c r="AF85" i="5"/>
  <c r="AF151" i="5"/>
  <c r="AF166" i="5"/>
  <c r="AF77" i="5"/>
  <c r="AF365" i="5"/>
  <c r="AF21" i="5"/>
  <c r="AF282" i="5"/>
  <c r="AF298" i="5"/>
  <c r="AF111" i="5"/>
  <c r="AF137" i="5"/>
  <c r="AF261" i="5"/>
  <c r="AF332" i="5"/>
  <c r="AF329" i="5"/>
  <c r="AF132" i="5"/>
  <c r="AF143" i="5"/>
  <c r="AF60" i="5"/>
  <c r="AF327" i="5"/>
  <c r="AF148" i="5"/>
  <c r="AF176" i="5"/>
  <c r="AF27" i="5"/>
  <c r="AF171" i="5"/>
  <c r="AF103" i="5"/>
  <c r="AF25" i="5"/>
  <c r="AF109" i="5"/>
  <c r="AF264" i="5"/>
  <c r="AF70" i="5"/>
  <c r="AF200" i="5"/>
  <c r="AF76" i="5"/>
  <c r="AF131" i="5"/>
  <c r="AF138" i="5"/>
  <c r="F9" i="3"/>
  <c r="T297" i="5"/>
  <c r="T96" i="5"/>
  <c r="T159" i="5"/>
  <c r="T87" i="5"/>
  <c r="T339" i="5"/>
  <c r="T298" i="5"/>
  <c r="T148" i="5"/>
  <c r="T126" i="5"/>
  <c r="T358" i="5"/>
  <c r="T322" i="5"/>
  <c r="T262" i="5"/>
  <c r="T45" i="5"/>
  <c r="T323" i="5"/>
  <c r="T335" i="5"/>
  <c r="T191" i="5"/>
  <c r="T27" i="5"/>
  <c r="T70" i="5"/>
  <c r="T182" i="5"/>
  <c r="T50" i="5"/>
  <c r="T292" i="5"/>
  <c r="T167" i="5"/>
  <c r="T103" i="5"/>
  <c r="T43" i="5"/>
  <c r="T108" i="5"/>
  <c r="T198" i="5"/>
  <c r="T295" i="5"/>
  <c r="T136" i="5"/>
  <c r="T195" i="5"/>
  <c r="T19" i="5"/>
  <c r="T364" i="5"/>
  <c r="T360" i="5"/>
  <c r="T263" i="5"/>
  <c r="T365" i="5"/>
  <c r="T110" i="5"/>
  <c r="T21" i="5"/>
  <c r="T49" i="5"/>
  <c r="T274" i="5"/>
  <c r="T105" i="5"/>
  <c r="T357" i="5"/>
  <c r="T128" i="5"/>
  <c r="T344" i="5"/>
  <c r="T166" i="5"/>
  <c r="T138" i="5"/>
  <c r="T342" i="5"/>
  <c r="T132" i="5"/>
  <c r="T337" i="5"/>
  <c r="T273" i="5"/>
  <c r="T133" i="5"/>
  <c r="T187" i="5"/>
  <c r="T268" i="5"/>
  <c r="T83" i="5"/>
  <c r="T175" i="5"/>
  <c r="T301" i="5"/>
  <c r="T155" i="5"/>
  <c r="T291" i="5"/>
  <c r="T177" i="5"/>
  <c r="T303" i="5"/>
  <c r="T46" i="5"/>
  <c r="T348" i="5"/>
  <c r="T154" i="5"/>
  <c r="T151" i="5"/>
  <c r="T200" i="5"/>
  <c r="T189" i="5"/>
  <c r="T199" i="5"/>
  <c r="T179" i="5"/>
  <c r="T76" i="5"/>
  <c r="T331" i="5"/>
  <c r="T123" i="5"/>
  <c r="T336" i="5"/>
  <c r="T61" i="5"/>
  <c r="T193" i="5"/>
  <c r="T40" i="5"/>
  <c r="T18" i="5"/>
  <c r="T34" i="5"/>
  <c r="T38" i="5"/>
  <c r="T171" i="5"/>
  <c r="T353" i="5"/>
  <c r="T328" i="5"/>
  <c r="T144" i="5"/>
  <c r="T201" i="5"/>
  <c r="T137" i="5"/>
  <c r="T74" i="5"/>
  <c r="T39" i="5"/>
  <c r="T347" i="5"/>
  <c r="T345" i="5"/>
  <c r="T48" i="5"/>
  <c r="T302" i="5"/>
  <c r="T37" i="5"/>
  <c r="T157" i="5"/>
  <c r="T91" i="5"/>
  <c r="T79" i="5"/>
  <c r="T294" i="5"/>
  <c r="T104" i="5"/>
  <c r="T93" i="5"/>
  <c r="T28" i="5"/>
  <c r="T94" i="5"/>
  <c r="T77" i="5"/>
  <c r="T158" i="5"/>
  <c r="T362" i="5"/>
  <c r="T111" i="5"/>
  <c r="T316" i="5"/>
  <c r="T183" i="5"/>
  <c r="T147" i="5"/>
  <c r="T106" i="5"/>
  <c r="T153" i="5"/>
  <c r="T329" i="5"/>
  <c r="T23" i="5"/>
  <c r="T112" i="5"/>
  <c r="T164" i="5"/>
  <c r="T359" i="5"/>
  <c r="T190" i="5"/>
  <c r="T176" i="5"/>
  <c r="T289" i="5"/>
  <c r="T313" i="5"/>
  <c r="T290" i="5"/>
  <c r="T84" i="5"/>
  <c r="T99" i="5"/>
  <c r="T72" i="5"/>
  <c r="T139" i="5"/>
  <c r="T26" i="5"/>
  <c r="T163" i="5"/>
  <c r="T279" i="5"/>
  <c r="T317" i="5"/>
  <c r="T81" i="5"/>
  <c r="T125" i="5"/>
  <c r="T181" i="5"/>
  <c r="T75" i="5"/>
  <c r="T170" i="5"/>
  <c r="T351" i="5"/>
  <c r="T330" i="5"/>
  <c r="T71" i="5"/>
  <c r="T338" i="5"/>
  <c r="T141" i="5"/>
  <c r="T42" i="5"/>
  <c r="T22" i="5"/>
  <c r="T69" i="5"/>
  <c r="T130" i="5"/>
  <c r="T168" i="5"/>
  <c r="T152" i="5"/>
  <c r="T282" i="5"/>
  <c r="T188" i="5"/>
  <c r="T30" i="5"/>
  <c r="T90" i="5"/>
  <c r="T197" i="5"/>
  <c r="T269" i="5"/>
  <c r="T29" i="5"/>
  <c r="T346" i="5"/>
  <c r="T165" i="5"/>
  <c r="T349" i="5"/>
  <c r="T124" i="5"/>
  <c r="T350" i="5"/>
  <c r="T32" i="5"/>
  <c r="T288" i="5"/>
  <c r="T321" i="5"/>
  <c r="T333" i="5"/>
  <c r="T341" i="5"/>
  <c r="T44" i="5"/>
  <c r="T340" i="5"/>
  <c r="T185" i="5"/>
  <c r="T196" i="5"/>
  <c r="T41" i="5"/>
  <c r="T363" i="5"/>
  <c r="T162" i="5"/>
  <c r="T156" i="5"/>
  <c r="T174" i="5"/>
  <c r="T314" i="5"/>
  <c r="T264" i="5"/>
  <c r="T299" i="5"/>
  <c r="T278" i="5"/>
  <c r="T300" i="5"/>
  <c r="T296" i="5"/>
  <c r="T194" i="5"/>
  <c r="T356" i="5"/>
  <c r="T327" i="5"/>
  <c r="T361" i="5"/>
  <c r="T355" i="5"/>
  <c r="T287" i="5"/>
  <c r="T20" i="5"/>
  <c r="T78" i="5"/>
  <c r="T324" i="5"/>
  <c r="T33" i="5"/>
  <c r="T67" i="5"/>
  <c r="T129" i="5"/>
  <c r="T142" i="5"/>
  <c r="T161" i="5"/>
  <c r="T265" i="5"/>
  <c r="T145" i="5"/>
  <c r="T47" i="5"/>
  <c r="T68" i="5"/>
  <c r="T285" i="5"/>
  <c r="T36" i="5"/>
  <c r="T319" i="5"/>
  <c r="T334" i="5"/>
  <c r="T146" i="5"/>
  <c r="T267" i="5"/>
  <c r="T134" i="5"/>
  <c r="T186" i="5"/>
  <c r="T35" i="5"/>
  <c r="T143" i="5"/>
  <c r="T266" i="5"/>
  <c r="T261" i="5"/>
  <c r="T284" i="5"/>
  <c r="T113" i="5"/>
  <c r="T173" i="5"/>
  <c r="T95" i="5"/>
  <c r="T180" i="5"/>
  <c r="T100" i="5"/>
  <c r="T320" i="5"/>
  <c r="T102" i="5"/>
  <c r="T192" i="5"/>
  <c r="T260" i="5"/>
  <c r="T275" i="5"/>
  <c r="T86" i="5"/>
  <c r="T63" i="5"/>
  <c r="T271" i="5"/>
  <c r="T98" i="5"/>
  <c r="T66" i="5"/>
  <c r="T272" i="5"/>
  <c r="T24" i="5"/>
  <c r="T65" i="5"/>
  <c r="T343" i="5"/>
  <c r="T286" i="5"/>
  <c r="T101" i="5"/>
  <c r="T283" i="5"/>
  <c r="T88" i="5"/>
  <c r="T82" i="5"/>
  <c r="T281" i="5"/>
  <c r="T293" i="5"/>
  <c r="T85" i="5"/>
  <c r="T60" i="5"/>
  <c r="T150" i="5"/>
  <c r="T109" i="5"/>
  <c r="T178" i="5"/>
  <c r="T277" i="5"/>
  <c r="T64" i="5"/>
  <c r="T270" i="5"/>
  <c r="T80" i="5"/>
  <c r="T25" i="5"/>
  <c r="T325" i="5"/>
  <c r="T172" i="5"/>
  <c r="T280" i="5"/>
  <c r="T160" i="5"/>
  <c r="T352" i="5"/>
  <c r="T318" i="5"/>
  <c r="T140" i="5"/>
  <c r="T107" i="5"/>
  <c r="T315" i="5"/>
  <c r="T332" i="5"/>
  <c r="T62" i="5"/>
  <c r="T92" i="5"/>
  <c r="T354" i="5"/>
  <c r="T326" i="5"/>
  <c r="T366" i="5"/>
  <c r="T97" i="5"/>
  <c r="T31" i="5"/>
  <c r="T169" i="5"/>
  <c r="T259" i="5"/>
  <c r="T127" i="5"/>
  <c r="T131" i="5"/>
  <c r="T184" i="5"/>
  <c r="T149" i="5"/>
  <c r="T135" i="5"/>
  <c r="T276" i="5"/>
  <c r="T73" i="5"/>
  <c r="T89" i="5"/>
  <c r="K12" i="1"/>
  <c r="K10" i="1"/>
  <c r="S12" i="1"/>
  <c r="S10" i="1"/>
  <c r="AE7" i="5"/>
  <c r="AE8" i="5"/>
  <c r="S8" i="5"/>
  <c r="S7" i="5"/>
  <c r="H807" i="1"/>
  <c r="H1052" i="1"/>
  <c r="H290" i="1"/>
  <c r="W10" i="1"/>
  <c r="W12" i="1"/>
  <c r="H776" i="1"/>
  <c r="H1076" i="1"/>
  <c r="H1000" i="1"/>
  <c r="H286" i="1"/>
  <c r="H437" i="1"/>
  <c r="H806" i="1"/>
  <c r="H818" i="1"/>
  <c r="H667" i="1"/>
  <c r="H334" i="1"/>
  <c r="H415" i="1"/>
  <c r="H767" i="1"/>
  <c r="H1077" i="1"/>
  <c r="H843" i="1"/>
  <c r="H688" i="1"/>
  <c r="H769" i="1"/>
  <c r="H826" i="1"/>
  <c r="H179" i="1"/>
  <c r="H653" i="1"/>
  <c r="H836" i="1"/>
  <c r="H417" i="1"/>
  <c r="H496" i="1"/>
  <c r="H1073" i="1"/>
  <c r="H892" i="1"/>
  <c r="H763" i="1"/>
  <c r="H691" i="1"/>
  <c r="H1003" i="1"/>
  <c r="H887" i="1"/>
  <c r="H770" i="1"/>
  <c r="H694" i="1"/>
  <c r="H433" i="1"/>
  <c r="H1005" i="1"/>
  <c r="H281" i="1"/>
  <c r="H692" i="1"/>
  <c r="H269" i="1"/>
  <c r="H147" i="1"/>
  <c r="H438" i="1"/>
  <c r="H728" i="1"/>
  <c r="H273" i="1"/>
  <c r="H150" i="1"/>
  <c r="H431" i="1"/>
  <c r="H451" i="1"/>
  <c r="H266" i="1"/>
  <c r="H874" i="1"/>
  <c r="H492" i="1"/>
  <c r="H191" i="1"/>
  <c r="H837" i="1"/>
  <c r="H548" i="1"/>
  <c r="H330" i="1"/>
  <c r="H521" i="1"/>
  <c r="H761" i="1"/>
  <c r="H1032" i="1"/>
  <c r="H357" i="1"/>
  <c r="H555" i="1"/>
  <c r="H816" i="1"/>
  <c r="H183" i="1"/>
  <c r="H464" i="1"/>
  <c r="H650" i="1"/>
  <c r="H914" i="1"/>
  <c r="H295" i="1"/>
  <c r="H505" i="1"/>
  <c r="H697" i="1"/>
  <c r="H990" i="1"/>
  <c r="H353" i="1"/>
  <c r="H493" i="1"/>
  <c r="H645" i="1"/>
  <c r="H844" i="1"/>
  <c r="H203" i="1"/>
  <c r="H408" i="1"/>
  <c r="H633" i="1"/>
  <c r="H832" i="1"/>
  <c r="H1064" i="1"/>
  <c r="H390" i="1"/>
  <c r="H527" i="1"/>
  <c r="H693" i="1"/>
  <c r="H866" i="1"/>
  <c r="H298" i="1"/>
  <c r="H535" i="1"/>
  <c r="H1057" i="1"/>
  <c r="H474" i="1"/>
  <c r="H750" i="1"/>
  <c r="H885" i="1"/>
  <c r="H193" i="1"/>
  <c r="H536" i="1"/>
  <c r="H913" i="1"/>
  <c r="H404" i="1"/>
  <c r="H343" i="1"/>
  <c r="H362" i="1"/>
  <c r="H1091" i="1"/>
  <c r="H862" i="1"/>
  <c r="H709" i="1"/>
  <c r="H537" i="1"/>
  <c r="H388" i="1"/>
  <c r="H922" i="1"/>
  <c r="H659" i="1"/>
  <c r="H409" i="1"/>
  <c r="H930" i="1"/>
  <c r="H699" i="1"/>
  <c r="H297" i="1"/>
  <c r="H459" i="1"/>
  <c r="H503" i="1"/>
  <c r="H512" i="1"/>
  <c r="H490" i="1"/>
  <c r="H1065" i="1"/>
  <c r="H880" i="1"/>
  <c r="H755" i="1"/>
  <c r="H687" i="1"/>
  <c r="H995" i="1"/>
  <c r="H883" i="1"/>
  <c r="H762" i="1"/>
  <c r="H682" i="1"/>
  <c r="H429" i="1"/>
  <c r="H917" i="1"/>
  <c r="H270" i="1"/>
  <c r="H564" i="1"/>
  <c r="H997" i="1"/>
  <c r="H202" i="1"/>
  <c r="H1009" i="1"/>
  <c r="H427" i="1"/>
  <c r="H656" i="1"/>
  <c r="H262" i="1"/>
  <c r="H142" i="1"/>
  <c r="H182" i="1"/>
  <c r="H435" i="1"/>
  <c r="H318" i="1"/>
  <c r="H1070" i="1"/>
  <c r="H554" i="1"/>
  <c r="H282" i="1"/>
  <c r="H845" i="1"/>
  <c r="H815" i="1"/>
  <c r="H336" i="1"/>
  <c r="H547" i="1"/>
  <c r="H795" i="1"/>
  <c r="H1059" i="1"/>
  <c r="H392" i="1"/>
  <c r="H561" i="1"/>
  <c r="H822" i="1"/>
  <c r="H332" i="1"/>
  <c r="H498" i="1"/>
  <c r="H663" i="1"/>
  <c r="H1002" i="1"/>
  <c r="H320" i="1"/>
  <c r="H518" i="1"/>
  <c r="H777" i="1"/>
  <c r="H1016" i="1"/>
  <c r="H366" i="1"/>
  <c r="H506" i="1"/>
  <c r="H658" i="1"/>
  <c r="H858" i="1"/>
  <c r="H291" i="1"/>
  <c r="H494" i="1"/>
  <c r="H646" i="1"/>
  <c r="H1083" i="1"/>
  <c r="H396" i="1"/>
  <c r="H725" i="1"/>
  <c r="H898" i="1"/>
  <c r="H567" i="1"/>
  <c r="H731" i="1"/>
  <c r="H473" i="1"/>
  <c r="H194" i="1"/>
  <c r="H877" i="1"/>
  <c r="H889" i="1"/>
  <c r="H201" i="1"/>
  <c r="H430" i="1"/>
  <c r="H648" i="1"/>
  <c r="H861" i="1"/>
  <c r="H808" i="1"/>
  <c r="H630" i="1"/>
  <c r="H511" i="1"/>
  <c r="H333" i="1"/>
  <c r="H1022" i="1"/>
  <c r="H685" i="1"/>
  <c r="H507" i="1"/>
  <c r="H1096" i="1"/>
  <c r="H773" i="1"/>
  <c r="G13" i="1"/>
  <c r="H1023" i="1"/>
  <c r="H449" i="1"/>
  <c r="H327" i="1"/>
  <c r="H809" i="1"/>
  <c r="H876" i="1"/>
  <c r="H879" i="1"/>
  <c r="H304" i="1"/>
  <c r="H500" i="1"/>
  <c r="H197" i="1"/>
  <c r="H1078" i="1"/>
  <c r="H1086" i="1"/>
  <c r="H152" i="1"/>
  <c r="H553" i="1"/>
  <c r="H405" i="1"/>
  <c r="H345" i="1"/>
  <c r="H1028" i="1"/>
  <c r="H792" i="1"/>
  <c r="H519" i="1"/>
  <c r="H322" i="1"/>
  <c r="H878" i="1"/>
  <c r="H559" i="1"/>
  <c r="H775" i="1"/>
  <c r="H272" i="1"/>
  <c r="H385" i="1"/>
  <c r="H1020" i="1"/>
  <c r="H802" i="1"/>
  <c r="H701" i="1"/>
  <c r="H1045" i="1"/>
  <c r="H872" i="1"/>
  <c r="H727" i="1"/>
  <c r="H1035" i="1"/>
  <c r="H927" i="1"/>
  <c r="H875" i="1"/>
  <c r="H726" i="1"/>
  <c r="H469" i="1"/>
  <c r="H296" i="1"/>
  <c r="H760" i="1"/>
  <c r="H479" i="1"/>
  <c r="H752" i="1"/>
  <c r="H184" i="1"/>
  <c r="H857" i="1"/>
  <c r="H188" i="1"/>
  <c r="H504" i="1"/>
  <c r="H174" i="1"/>
  <c r="H881" i="1"/>
  <c r="H1025" i="1"/>
  <c r="H403" i="1"/>
  <c r="H452" i="1"/>
  <c r="H1094" i="1"/>
  <c r="H781" i="1"/>
  <c r="H398" i="1"/>
  <c r="H337" i="1"/>
  <c r="H1026" i="1"/>
  <c r="H397" i="1"/>
  <c r="H566" i="1"/>
  <c r="H814" i="1"/>
  <c r="H267" i="1"/>
  <c r="H476" i="1"/>
  <c r="H643" i="1"/>
  <c r="H926" i="1"/>
  <c r="H358" i="1"/>
  <c r="H517" i="1"/>
  <c r="H804" i="1"/>
  <c r="H1034" i="1"/>
  <c r="H346" i="1"/>
  <c r="H798" i="1"/>
  <c r="H1056" i="1"/>
  <c r="H401" i="1"/>
  <c r="H525" i="1"/>
  <c r="H765" i="1"/>
  <c r="H1004" i="1"/>
  <c r="H328" i="1"/>
  <c r="H513" i="1"/>
  <c r="H665" i="1"/>
  <c r="H910" i="1"/>
  <c r="H199" i="1"/>
  <c r="H456" i="1"/>
  <c r="H565" i="1"/>
  <c r="H794" i="1"/>
  <c r="H1012" i="1"/>
  <c r="H1090" i="1"/>
  <c r="H1085" i="1"/>
  <c r="H347" i="1"/>
  <c r="H158" i="1"/>
  <c r="H644" i="1"/>
  <c r="H1060" i="1"/>
  <c r="H1013" i="1"/>
  <c r="H834" i="1"/>
  <c r="H924" i="1"/>
  <c r="H719" i="1"/>
  <c r="H1031" i="1"/>
  <c r="H919" i="1"/>
  <c r="H863" i="1"/>
  <c r="H722" i="1"/>
  <c r="H465" i="1"/>
  <c r="H284" i="1"/>
  <c r="H640" i="1"/>
  <c r="H897" i="1"/>
  <c r="H450" i="1"/>
  <c r="H704" i="1"/>
  <c r="H171" i="1"/>
  <c r="H764" i="1"/>
  <c r="H933" i="1"/>
  <c r="H166" i="1"/>
  <c r="H756" i="1"/>
  <c r="H905" i="1"/>
  <c r="H355" i="1"/>
  <c r="H522" i="1"/>
  <c r="H160" i="1"/>
  <c r="H828" i="1"/>
  <c r="H508" i="1"/>
  <c r="H391" i="1"/>
  <c r="H1050" i="1"/>
  <c r="H410" i="1"/>
  <c r="H635" i="1"/>
  <c r="H840" i="1"/>
  <c r="H283" i="1"/>
  <c r="H491" i="1"/>
  <c r="H662" i="1"/>
  <c r="H1008" i="1"/>
  <c r="H364" i="1"/>
  <c r="H543" i="1"/>
  <c r="H810" i="1"/>
  <c r="H1055" i="1"/>
  <c r="H365" i="1"/>
  <c r="H811" i="1"/>
  <c r="H1075" i="1"/>
  <c r="H414" i="1"/>
  <c r="H551" i="1"/>
  <c r="H799" i="1"/>
  <c r="H1010" i="1"/>
  <c r="H341" i="1"/>
  <c r="H526" i="1"/>
  <c r="H705" i="1"/>
  <c r="H992" i="1"/>
  <c r="H329" i="1"/>
  <c r="H480" i="1"/>
  <c r="H634" i="1"/>
  <c r="H1018" i="1"/>
  <c r="H912" i="1"/>
  <c r="H706" i="1"/>
  <c r="H159" i="1"/>
  <c r="H1066" i="1"/>
  <c r="H141" i="1"/>
  <c r="H331" i="1"/>
  <c r="H1054" i="1"/>
  <c r="H916" i="1"/>
  <c r="H860" i="1"/>
  <c r="H707" i="1"/>
  <c r="H1027" i="1"/>
  <c r="H915" i="1"/>
  <c r="H782" i="1"/>
  <c r="H714" i="1"/>
  <c r="H461" i="1"/>
  <c r="H276" i="1"/>
  <c r="H302" i="1"/>
  <c r="H865" i="1"/>
  <c r="H434" i="1"/>
  <c r="H359" i="1"/>
  <c r="H163" i="1"/>
  <c r="H829" i="1"/>
  <c r="H319" i="1"/>
  <c r="H162" i="1"/>
  <c r="H708" i="1"/>
  <c r="H873" i="1"/>
  <c r="H323" i="1"/>
  <c r="H560" i="1"/>
  <c r="H169" i="1"/>
  <c r="H906" i="1"/>
  <c r="H524" i="1"/>
  <c r="H407" i="1"/>
  <c r="H195" i="1"/>
  <c r="H416" i="1"/>
  <c r="H641" i="1"/>
  <c r="H918" i="1"/>
  <c r="H299" i="1"/>
  <c r="H497" i="1"/>
  <c r="H721" i="1"/>
  <c r="H1014" i="1"/>
  <c r="H393" i="1"/>
  <c r="H562" i="1"/>
  <c r="H823" i="1"/>
  <c r="H1068" i="1"/>
  <c r="H400" i="1"/>
  <c r="H638" i="1"/>
  <c r="H824" i="1"/>
  <c r="H1088" i="1"/>
  <c r="H444" i="1"/>
  <c r="H557" i="1"/>
  <c r="H812" i="1"/>
  <c r="H1063" i="1"/>
  <c r="H354" i="1"/>
  <c r="H539" i="1"/>
  <c r="H753" i="1"/>
  <c r="H1024" i="1"/>
  <c r="H342" i="1"/>
  <c r="H495" i="1"/>
  <c r="H647" i="1"/>
  <c r="H820" i="1"/>
  <c r="H148" i="1"/>
  <c r="H907" i="1"/>
  <c r="H825" i="1"/>
  <c r="H797" i="1"/>
  <c r="H666" i="1"/>
  <c r="H819" i="1"/>
  <c r="H831" i="1"/>
  <c r="H902" i="1"/>
  <c r="H842" i="1"/>
  <c r="H803" i="1"/>
  <c r="H713" i="1"/>
  <c r="H821" i="1"/>
  <c r="H156" i="1"/>
  <c r="H294" i="1"/>
  <c r="H264" i="1"/>
  <c r="H908" i="1"/>
  <c r="H514" i="1"/>
  <c r="H627" i="1"/>
  <c r="H639" i="1"/>
  <c r="H657" i="1"/>
  <c r="H637" i="1"/>
  <c r="H542" i="1"/>
  <c r="H157" i="1"/>
  <c r="H732" i="1"/>
  <c r="H443" i="1"/>
  <c r="H702" i="1"/>
  <c r="H161" i="1"/>
  <c r="H501" i="1"/>
  <c r="H545" i="1"/>
  <c r="H626" i="1"/>
  <c r="H651" i="1"/>
  <c r="H631" i="1"/>
  <c r="H523" i="1"/>
  <c r="H468" i="1"/>
  <c r="H1079" i="1"/>
  <c r="H780" i="1"/>
  <c r="H151" i="1"/>
  <c r="H774" i="1"/>
  <c r="H363" i="1"/>
  <c r="H1084" i="1"/>
  <c r="H361" i="1"/>
  <c r="H389" i="1"/>
  <c r="H499" i="1"/>
  <c r="H448" i="1"/>
  <c r="H338" i="1"/>
  <c r="H303" i="1"/>
  <c r="H350" i="1"/>
  <c r="H442" i="1"/>
  <c r="H895" i="1"/>
  <c r="H339" i="1"/>
  <c r="H1071" i="1"/>
  <c r="H348" i="1"/>
  <c r="H360" i="1"/>
  <c r="H460" i="1"/>
  <c r="H412" i="1"/>
  <c r="H325" i="1"/>
  <c r="H287" i="1"/>
  <c r="H335" i="1"/>
  <c r="H315" i="1"/>
  <c r="H1015" i="1"/>
  <c r="H458" i="1"/>
  <c r="H839" i="1"/>
  <c r="H1051" i="1"/>
  <c r="H1095" i="1"/>
  <c r="H340" i="1"/>
  <c r="H279" i="1"/>
  <c r="H1067" i="1"/>
  <c r="H1006" i="1"/>
  <c r="H509" i="1"/>
  <c r="H733" i="1"/>
  <c r="H154" i="1"/>
  <c r="H772" i="1"/>
  <c r="H695" i="1"/>
  <c r="G14" i="1"/>
  <c r="H528" i="1"/>
  <c r="H541" i="1"/>
  <c r="H801" i="1"/>
  <c r="H173" i="1"/>
  <c r="H520" i="1"/>
  <c r="H186" i="1"/>
  <c r="H411" i="1"/>
  <c r="H1062" i="1"/>
  <c r="H1069" i="1"/>
  <c r="H928" i="1"/>
  <c r="H896" i="1"/>
  <c r="H864" i="1"/>
  <c r="H759" i="1"/>
  <c r="H711" i="1"/>
  <c r="H478" i="1"/>
  <c r="H1019" i="1"/>
  <c r="H931" i="1"/>
  <c r="H867" i="1"/>
  <c r="H766" i="1"/>
  <c r="H718" i="1"/>
  <c r="H453" i="1"/>
  <c r="H300" i="1"/>
  <c r="H268" i="1"/>
  <c r="H680" i="1"/>
  <c r="H265" i="1"/>
  <c r="H793" i="1"/>
  <c r="H455" i="1"/>
  <c r="H1029" i="1"/>
  <c r="H301" i="1"/>
  <c r="H175" i="1"/>
  <c r="H143" i="1"/>
  <c r="H471" i="1"/>
  <c r="H696" i="1"/>
  <c r="H305" i="1"/>
  <c r="H178" i="1"/>
  <c r="H146" i="1"/>
  <c r="H463" i="1"/>
  <c r="H1046" i="1"/>
  <c r="H462" i="1"/>
  <c r="H190" i="1"/>
  <c r="H436" i="1"/>
  <c r="H796" i="1"/>
  <c r="H144" i="1"/>
  <c r="H664" i="1"/>
  <c r="H164" i="1"/>
  <c r="H516" i="1"/>
  <c r="H145" i="1"/>
  <c r="H540" i="1"/>
  <c r="H1058" i="1"/>
  <c r="H349" i="1"/>
  <c r="H515" i="1"/>
  <c r="H654" i="1"/>
  <c r="H827" i="1"/>
  <c r="H1072" i="1"/>
  <c r="H344" i="1"/>
  <c r="H510" i="1"/>
  <c r="H649" i="1"/>
  <c r="H835" i="1"/>
  <c r="H1080" i="1"/>
  <c r="H406" i="1"/>
  <c r="H530" i="1"/>
  <c r="H669" i="1"/>
  <c r="H882" i="1"/>
  <c r="H1087" i="1"/>
  <c r="H352" i="1"/>
  <c r="H531" i="1"/>
  <c r="H670" i="1"/>
  <c r="H830" i="1"/>
  <c r="H165" i="1"/>
  <c r="H636" i="1"/>
  <c r="H153" i="1"/>
  <c r="H817" i="1"/>
  <c r="H293" i="1"/>
  <c r="H661" i="1"/>
  <c r="H660" i="1"/>
  <c r="H544" i="1"/>
  <c r="H1093" i="1"/>
  <c r="H1061" i="1"/>
  <c r="H920" i="1"/>
  <c r="H888" i="1"/>
  <c r="H856" i="1"/>
  <c r="H751" i="1"/>
  <c r="H703" i="1"/>
  <c r="H470" i="1"/>
  <c r="H1011" i="1"/>
  <c r="H923" i="1"/>
  <c r="H891" i="1"/>
  <c r="H859" i="1"/>
  <c r="H758" i="1"/>
  <c r="H710" i="1"/>
  <c r="H477" i="1"/>
  <c r="H445" i="1"/>
  <c r="H292" i="1"/>
  <c r="H467" i="1"/>
  <c r="H185" i="1"/>
  <c r="H724" i="1"/>
  <c r="H439" i="1"/>
  <c r="H909" i="1"/>
  <c r="H285" i="1"/>
  <c r="H167" i="1"/>
  <c r="H921" i="1"/>
  <c r="H454" i="1"/>
  <c r="H901" i="1"/>
  <c r="H568" i="1"/>
  <c r="H289" i="1"/>
  <c r="H170" i="1"/>
  <c r="H1033" i="1"/>
  <c r="H447" i="1"/>
  <c r="H993" i="1"/>
  <c r="H446" i="1"/>
  <c r="H1098" i="1"/>
  <c r="H475" i="1"/>
  <c r="H1047" i="1"/>
  <c r="H176" i="1"/>
  <c r="H805" i="1"/>
  <c r="H261" i="1"/>
  <c r="H642" i="1"/>
  <c r="H177" i="1"/>
  <c r="H556" i="1"/>
  <c r="H271" i="1"/>
  <c r="H368" i="1"/>
  <c r="H534" i="1"/>
  <c r="H681" i="1"/>
  <c r="H886" i="1"/>
  <c r="H187" i="1"/>
  <c r="H386" i="1"/>
  <c r="H529" i="1"/>
  <c r="H689" i="1"/>
  <c r="H894" i="1"/>
  <c r="H326" i="1"/>
  <c r="H432" i="1"/>
  <c r="H549" i="1"/>
  <c r="H757" i="1"/>
  <c r="H996" i="1"/>
  <c r="H263" i="1"/>
  <c r="H394" i="1"/>
  <c r="H550" i="1"/>
  <c r="H729" i="1"/>
  <c r="H870" i="1"/>
  <c r="H428" i="1"/>
  <c r="H538" i="1"/>
  <c r="H717" i="1"/>
  <c r="H890" i="1"/>
  <c r="H275" i="1"/>
  <c r="H402" i="1"/>
  <c r="H558" i="1"/>
  <c r="H800" i="1"/>
  <c r="H998" i="1"/>
  <c r="H316" i="1"/>
  <c r="H440" i="1"/>
  <c r="H546" i="1"/>
  <c r="H317" i="1"/>
  <c r="H720" i="1"/>
  <c r="H994" i="1"/>
  <c r="H367" i="1"/>
  <c r="H813" i="1"/>
  <c r="H652" i="1"/>
  <c r="H632" i="1"/>
  <c r="H149" i="1"/>
  <c r="H700" i="1"/>
  <c r="H196" i="1"/>
  <c r="H1001" i="1"/>
  <c r="H192" i="1"/>
  <c r="H399" i="1"/>
  <c r="H869" i="1"/>
  <c r="H684" i="1"/>
  <c r="H155" i="1"/>
  <c r="H274" i="1"/>
  <c r="H189" i="1"/>
  <c r="H532" i="1"/>
  <c r="H1017" i="1"/>
  <c r="H712" i="1"/>
  <c r="H280" i="1"/>
  <c r="H690" i="1"/>
  <c r="H730" i="1"/>
  <c r="H855" i="1"/>
  <c r="H903" i="1"/>
  <c r="H999" i="1"/>
  <c r="H466" i="1"/>
  <c r="H715" i="1"/>
  <c r="H771" i="1"/>
  <c r="H884" i="1"/>
  <c r="H932" i="1"/>
  <c r="H1081" i="1"/>
  <c r="H552" i="1"/>
  <c r="H1092" i="1"/>
  <c r="H387" i="1"/>
  <c r="H925" i="1"/>
  <c r="H1074" i="1"/>
  <c r="H277" i="1"/>
  <c r="H200" i="1"/>
  <c r="H288" i="1"/>
  <c r="H457" i="1"/>
  <c r="H698" i="1"/>
  <c r="H754" i="1"/>
  <c r="H871" i="1"/>
  <c r="H911" i="1"/>
  <c r="H1007" i="1"/>
  <c r="H683" i="1"/>
  <c r="H723" i="1"/>
  <c r="H779" i="1"/>
  <c r="H900" i="1"/>
  <c r="H1049" i="1"/>
  <c r="H1089" i="1"/>
  <c r="H395" i="1"/>
  <c r="H841" i="1"/>
  <c r="H324" i="1"/>
  <c r="H668" i="1"/>
  <c r="H893" i="1"/>
  <c r="H172" i="1"/>
  <c r="H904" i="1"/>
  <c r="H1053" i="1"/>
  <c r="H1097" i="1"/>
  <c r="H356" i="1"/>
  <c r="H833" i="1"/>
  <c r="H180" i="1"/>
  <c r="H629" i="1"/>
  <c r="H768" i="1"/>
  <c r="H140" i="1"/>
  <c r="H628" i="1"/>
  <c r="H139" i="1"/>
  <c r="H138" i="1"/>
  <c r="O14" i="1" l="1"/>
  <c r="O13" i="1"/>
  <c r="AG14" i="1"/>
  <c r="AG13" i="1"/>
  <c r="P868" i="1"/>
  <c r="P351" i="1"/>
  <c r="P518" i="1"/>
  <c r="P540" i="1"/>
  <c r="P399" i="1"/>
  <c r="P393" i="1"/>
  <c r="P563" i="1"/>
  <c r="P413" i="1"/>
  <c r="P899" i="1"/>
  <c r="P807" i="1"/>
  <c r="P472" i="1"/>
  <c r="P556" i="1"/>
  <c r="P415" i="1"/>
  <c r="P809" i="1"/>
  <c r="P533" i="1"/>
  <c r="P991" i="1"/>
  <c r="P282" i="1"/>
  <c r="P732" i="1"/>
  <c r="P887" i="1"/>
  <c r="P817" i="1"/>
  <c r="P290" i="1"/>
  <c r="P1021" i="1"/>
  <c r="P502" i="1"/>
  <c r="P315" i="1"/>
  <c r="P642" i="1"/>
  <c r="P1060" i="1"/>
  <c r="P264" i="1"/>
  <c r="P778" i="1"/>
  <c r="P1082" i="1"/>
  <c r="P838" i="1"/>
  <c r="P441" i="1"/>
  <c r="P318" i="1"/>
  <c r="P300" i="1"/>
  <c r="P925" i="1"/>
  <c r="P648" i="1"/>
  <c r="P716" i="1"/>
  <c r="P929" i="1"/>
  <c r="P444" i="1"/>
  <c r="P327" i="1"/>
  <c r="P664" i="1"/>
  <c r="P1098" i="1"/>
  <c r="P321" i="1"/>
  <c r="P548" i="1"/>
  <c r="P341" i="1"/>
  <c r="P1052" i="1"/>
  <c r="P655" i="1"/>
  <c r="P686" i="1"/>
  <c r="P451" i="1"/>
  <c r="P504" i="1"/>
  <c r="P801" i="1"/>
  <c r="P407" i="1"/>
  <c r="P1066" i="1"/>
  <c r="P496" i="1"/>
  <c r="P855" i="1"/>
  <c r="P1008" i="1"/>
  <c r="P920" i="1"/>
  <c r="P888" i="1"/>
  <c r="P779" i="1"/>
  <c r="P731" i="1"/>
  <c r="P699" i="1"/>
  <c r="P466" i="1"/>
  <c r="P1087" i="1"/>
  <c r="P1055" i="1"/>
  <c r="P818" i="1"/>
  <c r="P665" i="1"/>
  <c r="P633" i="1"/>
  <c r="P541" i="1"/>
  <c r="P813" i="1"/>
  <c r="P438" i="1"/>
  <c r="P344" i="1"/>
  <c r="P865" i="1"/>
  <c r="P285" i="1"/>
  <c r="P442" i="1"/>
  <c r="P334" i="1"/>
  <c r="P889" i="1"/>
  <c r="P447" i="1"/>
  <c r="P829" i="1"/>
  <c r="P459" i="1"/>
  <c r="P363" i="1"/>
  <c r="P913" i="1"/>
  <c r="P332" i="1"/>
  <c r="P873" i="1"/>
  <c r="P445" i="1"/>
  <c r="P726" i="1"/>
  <c r="P296" i="1"/>
  <c r="P520" i="1"/>
  <c r="P1007" i="1"/>
  <c r="P410" i="1"/>
  <c r="P667" i="1"/>
  <c r="P1094" i="1"/>
  <c r="P508" i="1"/>
  <c r="P906" i="1"/>
  <c r="P434" i="1"/>
  <c r="P768" i="1"/>
  <c r="P428" i="1"/>
  <c r="P815" i="1"/>
  <c r="P886" i="1"/>
  <c r="P283" i="1"/>
  <c r="P503" i="1"/>
  <c r="P702" i="1"/>
  <c r="P862" i="1"/>
  <c r="P1048" i="1"/>
  <c r="P453" i="1"/>
  <c r="P663" i="1"/>
  <c r="P836" i="1"/>
  <c r="P1034" i="1"/>
  <c r="P401" i="1"/>
  <c r="P550" i="1"/>
  <c r="P777" i="1"/>
  <c r="P915" i="1"/>
  <c r="P271" i="1"/>
  <c r="P461" i="1"/>
  <c r="P639" i="1"/>
  <c r="P812" i="1"/>
  <c r="P1010" i="1"/>
  <c r="P365" i="1"/>
  <c r="P539" i="1"/>
  <c r="P766" i="1"/>
  <c r="P923" i="1"/>
  <c r="P263" i="1"/>
  <c r="P456" i="1"/>
  <c r="P647" i="1"/>
  <c r="P268" i="1"/>
  <c r="P517" i="1"/>
  <c r="P893" i="1"/>
  <c r="P1004" i="1"/>
  <c r="P916" i="1"/>
  <c r="P884" i="1"/>
  <c r="P775" i="1"/>
  <c r="P727" i="1"/>
  <c r="P695" i="1"/>
  <c r="P462" i="1"/>
  <c r="P1083" i="1"/>
  <c r="P1051" i="1"/>
  <c r="P814" i="1"/>
  <c r="P661" i="1"/>
  <c r="P629" i="1"/>
  <c r="P537" i="1"/>
  <c r="P760" i="1"/>
  <c r="P427" i="1"/>
  <c r="P335" i="1"/>
  <c r="P772" i="1"/>
  <c r="P1029" i="1"/>
  <c r="P431" i="1"/>
  <c r="P320" i="1"/>
  <c r="P857" i="1"/>
  <c r="P324" i="1"/>
  <c r="P797" i="1"/>
  <c r="P435" i="1"/>
  <c r="P352" i="1"/>
  <c r="P881" i="1"/>
  <c r="P301" i="1"/>
  <c r="P833" i="1"/>
  <c r="P491" i="1"/>
  <c r="P733" i="1"/>
  <c r="P302" i="1"/>
  <c r="P535" i="1"/>
  <c r="P1054" i="1"/>
  <c r="P439" i="1"/>
  <c r="P713" i="1"/>
  <c r="P544" i="1"/>
  <c r="P273" i="1"/>
  <c r="P463" i="1"/>
  <c r="P821" i="1"/>
  <c r="P457" i="1"/>
  <c r="P861" i="1"/>
  <c r="P918" i="1"/>
  <c r="P337" i="1"/>
  <c r="P519" i="1"/>
  <c r="P721" i="1"/>
  <c r="P875" i="1"/>
  <c r="P1061" i="1"/>
  <c r="P498" i="1"/>
  <c r="P690" i="1"/>
  <c r="P863" i="1"/>
  <c r="P1049" i="1"/>
  <c r="P417" i="1"/>
  <c r="P638" i="1"/>
  <c r="P792" i="1"/>
  <c r="P990" i="1"/>
  <c r="P303" i="1"/>
  <c r="P480" i="1"/>
  <c r="P658" i="1"/>
  <c r="P831" i="1"/>
  <c r="P1023" i="1"/>
  <c r="P397" i="1"/>
  <c r="P558" i="1"/>
  <c r="P800" i="1"/>
  <c r="P998" i="1"/>
  <c r="P295" i="1"/>
  <c r="P469" i="1"/>
  <c r="P666" i="1"/>
  <c r="P866" i="1"/>
  <c r="P1065" i="1"/>
  <c r="P274" i="1"/>
  <c r="P532" i="1"/>
  <c r="P1032" i="1"/>
  <c r="P1000" i="1"/>
  <c r="P912" i="1"/>
  <c r="P880" i="1"/>
  <c r="P771" i="1"/>
  <c r="P723" i="1"/>
  <c r="P691" i="1"/>
  <c r="P458" i="1"/>
  <c r="P1079" i="1"/>
  <c r="P1047" i="1"/>
  <c r="P810" i="1"/>
  <c r="P657" i="1"/>
  <c r="P565" i="1"/>
  <c r="P1090" i="1"/>
  <c r="P712" i="1"/>
  <c r="P408" i="1"/>
  <c r="P326" i="1"/>
  <c r="P724" i="1"/>
  <c r="P997" i="1"/>
  <c r="P412" i="1"/>
  <c r="P298" i="1"/>
  <c r="P764" i="1"/>
  <c r="P293" i="1"/>
  <c r="P776" i="1"/>
  <c r="P430" i="1"/>
  <c r="P347" i="1"/>
  <c r="P756" i="1"/>
  <c r="P269" i="1"/>
  <c r="P270" i="1"/>
  <c r="P512" i="1"/>
  <c r="P795" i="1"/>
  <c r="P323" i="1"/>
  <c r="P628" i="1"/>
  <c r="P1062" i="1"/>
  <c r="P477" i="1"/>
  <c r="P720" i="1"/>
  <c r="P278" i="1"/>
  <c r="P567" i="1"/>
  <c r="P279" i="1"/>
  <c r="P501" i="1"/>
  <c r="P837" i="1"/>
  <c r="P464" i="1"/>
  <c r="P1026" i="1"/>
  <c r="P931" i="1"/>
  <c r="P357" i="1"/>
  <c r="P542" i="1"/>
  <c r="P750" i="1"/>
  <c r="P894" i="1"/>
  <c r="P1080" i="1"/>
  <c r="P514" i="1"/>
  <c r="P709" i="1"/>
  <c r="P882" i="1"/>
  <c r="P1068" i="1"/>
  <c r="P436" i="1"/>
  <c r="P651" i="1"/>
  <c r="P811" i="1"/>
  <c r="P1003" i="1"/>
  <c r="P325" i="1"/>
  <c r="P494" i="1"/>
  <c r="P685" i="1"/>
  <c r="P844" i="1"/>
  <c r="P1057" i="1"/>
  <c r="P432" i="1"/>
  <c r="P627" i="1"/>
  <c r="P819" i="1"/>
  <c r="P1011" i="1"/>
  <c r="P317" i="1"/>
  <c r="P490" i="1"/>
  <c r="P693" i="1"/>
  <c r="P287" i="1"/>
  <c r="P547" i="1"/>
  <c r="P1028" i="1"/>
  <c r="P996" i="1"/>
  <c r="P908" i="1"/>
  <c r="P876" i="1"/>
  <c r="P767" i="1"/>
  <c r="P719" i="1"/>
  <c r="P687" i="1"/>
  <c r="P454" i="1"/>
  <c r="P1075" i="1"/>
  <c r="P842" i="1"/>
  <c r="P806" i="1"/>
  <c r="P653" i="1"/>
  <c r="P561" i="1"/>
  <c r="P1058" i="1"/>
  <c r="P680" i="1"/>
  <c r="P403" i="1"/>
  <c r="P304" i="1"/>
  <c r="P692" i="1"/>
  <c r="P909" i="1"/>
  <c r="P396" i="1"/>
  <c r="P289" i="1"/>
  <c r="P684" i="1"/>
  <c r="P261" i="1"/>
  <c r="P728" i="1"/>
  <c r="P416" i="1"/>
  <c r="P342" i="1"/>
  <c r="P708" i="1"/>
  <c r="P1078" i="1"/>
  <c r="P276" i="1"/>
  <c r="P534" i="1"/>
  <c r="P825" i="1"/>
  <c r="P330" i="1"/>
  <c r="P636" i="1"/>
  <c r="P500" i="1"/>
  <c r="P774" i="1"/>
  <c r="P291" i="1"/>
  <c r="P660" i="1"/>
  <c r="P292" i="1"/>
  <c r="P516" i="1"/>
  <c r="P994" i="1"/>
  <c r="P524" i="1"/>
  <c r="P1050" i="1"/>
  <c r="P1006" i="1"/>
  <c r="P389" i="1"/>
  <c r="P555" i="1"/>
  <c r="P769" i="1"/>
  <c r="P907" i="1"/>
  <c r="P1093" i="1"/>
  <c r="P530" i="1"/>
  <c r="P722" i="1"/>
  <c r="P895" i="1"/>
  <c r="P1081" i="1"/>
  <c r="P460" i="1"/>
  <c r="P670" i="1"/>
  <c r="P824" i="1"/>
  <c r="P294" i="1"/>
  <c r="P694" i="1"/>
  <c r="P1024" i="1"/>
  <c r="P992" i="1"/>
  <c r="P904" i="1"/>
  <c r="P872" i="1"/>
  <c r="P763" i="1"/>
  <c r="P715" i="1"/>
  <c r="P683" i="1"/>
  <c r="P450" i="1"/>
  <c r="P1071" i="1"/>
  <c r="P834" i="1"/>
  <c r="P802" i="1"/>
  <c r="P649" i="1"/>
  <c r="P557" i="1"/>
  <c r="P1005" i="1"/>
  <c r="P640" i="1"/>
  <c r="P392" i="1"/>
  <c r="P281" i="1"/>
  <c r="P521" i="1"/>
  <c r="P877" i="1"/>
  <c r="P364" i="1"/>
  <c r="P280" i="1"/>
  <c r="P525" i="1"/>
  <c r="P1074" i="1"/>
  <c r="P696" i="1"/>
  <c r="P411" i="1"/>
  <c r="P328" i="1"/>
  <c r="P529" i="1"/>
  <c r="P1046" i="1"/>
  <c r="P288" i="1"/>
  <c r="P564" i="1"/>
  <c r="P841" i="1"/>
  <c r="P336" i="1"/>
  <c r="P644" i="1"/>
  <c r="P265" i="1"/>
  <c r="P507" i="1"/>
  <c r="P781" i="1"/>
  <c r="P297" i="1"/>
  <c r="P668" i="1"/>
  <c r="P339" i="1"/>
  <c r="P523" i="1"/>
  <c r="P262" i="1"/>
  <c r="P554" i="1"/>
  <c r="P1073" i="1"/>
  <c r="P1019" i="1"/>
  <c r="P405" i="1"/>
  <c r="P630" i="1"/>
  <c r="P782" i="1"/>
  <c r="P926" i="1"/>
  <c r="P333" i="1"/>
  <c r="P543" i="1"/>
  <c r="P757" i="1"/>
  <c r="P914" i="1"/>
  <c r="P275" i="1"/>
  <c r="P473" i="1"/>
  <c r="P697" i="1"/>
  <c r="P843" i="1"/>
  <c r="P1035" i="1"/>
  <c r="P386" i="1"/>
  <c r="P526" i="1"/>
  <c r="P717" i="1"/>
  <c r="P871" i="1"/>
  <c r="P1089" i="1"/>
  <c r="P468" i="1"/>
  <c r="P659" i="1"/>
  <c r="P859" i="1"/>
  <c r="P1045" i="1"/>
  <c r="P366" i="1"/>
  <c r="P522" i="1"/>
  <c r="P305" i="1"/>
  <c r="P340" i="1"/>
  <c r="P701" i="1"/>
  <c r="P1020" i="1"/>
  <c r="P932" i="1"/>
  <c r="P900" i="1"/>
  <c r="P864" i="1"/>
  <c r="P759" i="1"/>
  <c r="P711" i="1"/>
  <c r="P478" i="1"/>
  <c r="P446" i="1"/>
  <c r="P1067" i="1"/>
  <c r="P830" i="1"/>
  <c r="P798" i="1"/>
  <c r="P645" i="1"/>
  <c r="P553" i="1"/>
  <c r="P917" i="1"/>
  <c r="P552" i="1"/>
  <c r="P387" i="1"/>
  <c r="P272" i="1"/>
  <c r="P505" i="1"/>
  <c r="P752" i="1"/>
  <c r="P359" i="1"/>
  <c r="P266" i="1"/>
  <c r="P509" i="1"/>
  <c r="P933" i="1"/>
  <c r="P656" i="1"/>
  <c r="P400" i="1"/>
  <c r="P319" i="1"/>
  <c r="P513" i="1"/>
  <c r="P1025" i="1"/>
  <c r="P322" i="1"/>
  <c r="P635" i="1"/>
  <c r="P919" i="1"/>
  <c r="P409" i="1"/>
  <c r="P682" i="1"/>
  <c r="P277" i="1"/>
  <c r="P528" i="1"/>
  <c r="P874" i="1"/>
  <c r="P331" i="1"/>
  <c r="P714" i="1"/>
  <c r="P346" i="1"/>
  <c r="P560" i="1"/>
  <c r="P286" i="1"/>
  <c r="P632" i="1"/>
  <c r="P827" i="1"/>
  <c r="P1053" i="1"/>
  <c r="P440" i="1"/>
  <c r="P643" i="1"/>
  <c r="P803" i="1"/>
  <c r="P995" i="1"/>
  <c r="P358" i="1"/>
  <c r="P562" i="1"/>
  <c r="P770" i="1"/>
  <c r="P927" i="1"/>
  <c r="P329" i="1"/>
  <c r="P499" i="1"/>
  <c r="P710" i="1"/>
  <c r="P870" i="1"/>
  <c r="P1056" i="1"/>
  <c r="P402" i="1"/>
  <c r="P538" i="1"/>
  <c r="P730" i="1"/>
  <c r="P890" i="1"/>
  <c r="P267" i="1"/>
  <c r="P495" i="1"/>
  <c r="P705" i="1"/>
  <c r="P878" i="1"/>
  <c r="P1064" i="1"/>
  <c r="P398" i="1"/>
  <c r="P546" i="1"/>
  <c r="P754" i="1"/>
  <c r="P930" i="1"/>
  <c r="P362" i="1"/>
  <c r="P793" i="1"/>
  <c r="P1016" i="1"/>
  <c r="P928" i="1"/>
  <c r="P896" i="1"/>
  <c r="P860" i="1"/>
  <c r="P755" i="1"/>
  <c r="P707" i="1"/>
  <c r="P474" i="1"/>
  <c r="P1095" i="1"/>
  <c r="P1063" i="1"/>
  <c r="P826" i="1"/>
  <c r="P794" i="1"/>
  <c r="P641" i="1"/>
  <c r="P549" i="1"/>
  <c r="P885" i="1"/>
  <c r="P475" i="1"/>
  <c r="P360" i="1"/>
  <c r="P1017" i="1"/>
  <c r="P455" i="1"/>
  <c r="P704" i="1"/>
  <c r="P348" i="1"/>
  <c r="P1009" i="1"/>
  <c r="P493" i="1"/>
  <c r="P901" i="1"/>
  <c r="P568" i="1"/>
  <c r="P395" i="1"/>
  <c r="P1033" i="1"/>
  <c r="P497" i="1"/>
  <c r="P993" i="1"/>
  <c r="P356" i="1"/>
  <c r="P681" i="1"/>
  <c r="P1013" i="1"/>
  <c r="P476" i="1"/>
  <c r="P780" i="1"/>
  <c r="P284" i="1"/>
  <c r="P566" i="1"/>
  <c r="P1070" i="1"/>
  <c r="P338" i="1"/>
  <c r="P805" i="1"/>
  <c r="P367" i="1"/>
  <c r="P654" i="1"/>
  <c r="P361" i="1"/>
  <c r="P700" i="1"/>
  <c r="P840" i="1"/>
  <c r="P1072" i="1"/>
  <c r="P452" i="1"/>
  <c r="P662" i="1"/>
  <c r="P816" i="1"/>
  <c r="P1014" i="1"/>
  <c r="P390" i="1"/>
  <c r="P631" i="1"/>
  <c r="P804" i="1"/>
  <c r="P1002" i="1"/>
  <c r="P353" i="1"/>
  <c r="P515" i="1"/>
  <c r="P729" i="1"/>
  <c r="P883" i="1"/>
  <c r="P1069" i="1"/>
  <c r="P437" i="1"/>
  <c r="P551" i="1"/>
  <c r="P765" i="1"/>
  <c r="P903" i="1"/>
  <c r="P299" i="1"/>
  <c r="P511" i="1"/>
  <c r="P718" i="1"/>
  <c r="P891" i="1"/>
  <c r="P1077" i="1"/>
  <c r="P414" i="1"/>
  <c r="P559" i="1"/>
  <c r="P429" i="1"/>
  <c r="P808" i="1"/>
  <c r="P1012" i="1"/>
  <c r="P924" i="1"/>
  <c r="P892" i="1"/>
  <c r="P856" i="1"/>
  <c r="P751" i="1"/>
  <c r="P703" i="1"/>
  <c r="P470" i="1"/>
  <c r="P1091" i="1"/>
  <c r="P1059" i="1"/>
  <c r="P822" i="1"/>
  <c r="P669" i="1"/>
  <c r="P637" i="1"/>
  <c r="P545" i="1"/>
  <c r="P845" i="1"/>
  <c r="P443" i="1"/>
  <c r="P355" i="1"/>
  <c r="P897" i="1"/>
  <c r="P316" i="1"/>
  <c r="P467" i="1"/>
  <c r="P343" i="1"/>
  <c r="P921" i="1"/>
  <c r="P479" i="1"/>
  <c r="P869" i="1"/>
  <c r="P536" i="1"/>
  <c r="P368" i="1"/>
  <c r="P1001" i="1"/>
  <c r="P471" i="1"/>
  <c r="P905" i="1"/>
  <c r="P394" i="1"/>
  <c r="P688" i="1"/>
  <c r="P1092" i="1"/>
  <c r="P492" i="1"/>
  <c r="P1086" i="1"/>
  <c r="P1085" i="1"/>
  <c r="P1015" i="1"/>
  <c r="P448" i="1"/>
  <c r="P349" i="1"/>
  <c r="P1096" i="1"/>
  <c r="P820" i="1"/>
  <c r="P1084" i="1"/>
  <c r="P345" i="1"/>
  <c r="P465" i="1"/>
  <c r="P385" i="1"/>
  <c r="P510" i="1"/>
  <c r="P449" i="1"/>
  <c r="P350" i="1"/>
  <c r="P839" i="1"/>
  <c r="P1097" i="1"/>
  <c r="P828" i="1"/>
  <c r="P689" i="1"/>
  <c r="P531" i="1"/>
  <c r="P626" i="1"/>
  <c r="P527" i="1"/>
  <c r="P433" i="1"/>
  <c r="P879" i="1"/>
  <c r="P404" i="1"/>
  <c r="P835" i="1"/>
  <c r="P758" i="1"/>
  <c r="P698" i="1"/>
  <c r="P646" i="1"/>
  <c r="P506" i="1"/>
  <c r="P898" i="1"/>
  <c r="P761" i="1"/>
  <c r="P1027" i="1"/>
  <c r="P902" i="1"/>
  <c r="P799" i="1"/>
  <c r="P753" i="1"/>
  <c r="P634" i="1"/>
  <c r="P911" i="1"/>
  <c r="P796" i="1"/>
  <c r="P391" i="1"/>
  <c r="P406" i="1"/>
  <c r="P1022" i="1"/>
  <c r="P858" i="1"/>
  <c r="P832" i="1"/>
  <c r="P706" i="1"/>
  <c r="P999" i="1"/>
  <c r="P388" i="1"/>
  <c r="P762" i="1"/>
  <c r="P650" i="1"/>
  <c r="P1088" i="1"/>
  <c r="P922" i="1"/>
  <c r="P910" i="1"/>
  <c r="P725" i="1"/>
  <c r="P1018" i="1"/>
  <c r="P652" i="1"/>
  <c r="P867" i="1"/>
  <c r="P823" i="1"/>
  <c r="P354" i="1"/>
  <c r="P1076" i="1"/>
  <c r="P1030" i="1"/>
  <c r="P773" i="1"/>
  <c r="P1031" i="1"/>
  <c r="AH838" i="1"/>
  <c r="AH1021" i="1"/>
  <c r="AH1082" i="1"/>
  <c r="AH716" i="1"/>
  <c r="AH868" i="1"/>
  <c r="AH929" i="1"/>
  <c r="AH1052" i="1"/>
  <c r="AH655" i="1"/>
  <c r="AH563" i="1"/>
  <c r="AH899" i="1"/>
  <c r="AH502" i="1"/>
  <c r="AH413" i="1"/>
  <c r="AH991" i="1"/>
  <c r="AH686" i="1"/>
  <c r="AH533" i="1"/>
  <c r="AH778" i="1"/>
  <c r="AH807" i="1"/>
  <c r="AH441" i="1"/>
  <c r="AH472" i="1"/>
  <c r="AH1093" i="1"/>
  <c r="AH1061" i="1"/>
  <c r="AH643" i="1"/>
  <c r="AH551" i="1"/>
  <c r="AH519" i="1"/>
  <c r="AH414" i="1"/>
  <c r="AH1012" i="1"/>
  <c r="AH924" i="1"/>
  <c r="AH1089" i="1"/>
  <c r="AH1057" i="1"/>
  <c r="AH639" i="1"/>
  <c r="AH547" i="1"/>
  <c r="AH515" i="1"/>
  <c r="AH410" i="1"/>
  <c r="AH1008" i="1"/>
  <c r="AH1085" i="1"/>
  <c r="AH1053" i="1"/>
  <c r="AH635" i="1"/>
  <c r="AH1081" i="1"/>
  <c r="AH1049" i="1"/>
  <c r="AH631" i="1"/>
  <c r="AH539" i="1"/>
  <c r="AH507" i="1"/>
  <c r="AH1077" i="1"/>
  <c r="AH1045" i="1"/>
  <c r="AH627" i="1"/>
  <c r="AH535" i="1"/>
  <c r="AH503" i="1"/>
  <c r="AH1028" i="1"/>
  <c r="AH996" i="1"/>
  <c r="AH1073" i="1"/>
  <c r="AH659" i="1"/>
  <c r="AH567" i="1"/>
  <c r="AH531" i="1"/>
  <c r="AH499" i="1"/>
  <c r="AH1024" i="1"/>
  <c r="AH543" i="1"/>
  <c r="AH1020" i="1"/>
  <c r="AH916" i="1"/>
  <c r="AH884" i="1"/>
  <c r="AH775" i="1"/>
  <c r="AH727" i="1"/>
  <c r="AH695" i="1"/>
  <c r="AH462" i="1"/>
  <c r="AH430" i="1"/>
  <c r="AH1067" i="1"/>
  <c r="AH830" i="1"/>
  <c r="AH798" i="1"/>
  <c r="AH645" i="1"/>
  <c r="AH553" i="1"/>
  <c r="AH517" i="1"/>
  <c r="AH1030" i="1"/>
  <c r="AH998" i="1"/>
  <c r="AH910" i="1"/>
  <c r="AH878" i="1"/>
  <c r="AH773" i="1"/>
  <c r="AH725" i="1"/>
  <c r="AH693" i="1"/>
  <c r="AH460" i="1"/>
  <c r="AH428" i="1"/>
  <c r="AH471" i="1"/>
  <c r="AH756" i="1"/>
  <c r="AH688" i="1"/>
  <c r="AH780" i="1"/>
  <c r="AH997" i="1"/>
  <c r="AH1009" i="1"/>
  <c r="AH435" i="1"/>
  <c r="AH684" i="1"/>
  <c r="AH1098" i="1"/>
  <c r="AH933" i="1"/>
  <c r="AH833" i="1"/>
  <c r="AH407" i="1"/>
  <c r="AH550" i="1"/>
  <c r="AH670" i="1"/>
  <c r="AH832" i="1"/>
  <c r="AH429" i="1"/>
  <c r="AH544" i="1"/>
  <c r="AH664" i="1"/>
  <c r="AH403" i="1"/>
  <c r="AH819" i="1"/>
  <c r="AH1068" i="1"/>
  <c r="AH498" i="1"/>
  <c r="AH562" i="1"/>
  <c r="AH726" i="1"/>
  <c r="AH844" i="1"/>
  <c r="AH457" i="1"/>
  <c r="AH821" i="1"/>
  <c r="AH1046" i="1"/>
  <c r="AH405" i="1"/>
  <c r="AH532" i="1"/>
  <c r="AH652" i="1"/>
  <c r="AH1019" i="1"/>
  <c r="AH815" i="1"/>
  <c r="AH1048" i="1"/>
  <c r="AH1097" i="1"/>
  <c r="AH527" i="1"/>
  <c r="AH1016" i="1"/>
  <c r="AH912" i="1"/>
  <c r="AH880" i="1"/>
  <c r="AH771" i="1"/>
  <c r="AH723" i="1"/>
  <c r="AH691" i="1"/>
  <c r="AH458" i="1"/>
  <c r="AH1095" i="1"/>
  <c r="AH1063" i="1"/>
  <c r="AH826" i="1"/>
  <c r="AH794" i="1"/>
  <c r="AH641" i="1"/>
  <c r="AH549" i="1"/>
  <c r="AH513" i="1"/>
  <c r="AH1026" i="1"/>
  <c r="AH994" i="1"/>
  <c r="AH906" i="1"/>
  <c r="AH874" i="1"/>
  <c r="AH769" i="1"/>
  <c r="AH721" i="1"/>
  <c r="AH689" i="1"/>
  <c r="AH456" i="1"/>
  <c r="AH1013" i="1"/>
  <c r="AH439" i="1"/>
  <c r="AH708" i="1"/>
  <c r="AH463" i="1"/>
  <c r="AH732" i="1"/>
  <c r="AH909" i="1"/>
  <c r="AH921" i="1"/>
  <c r="AH408" i="1"/>
  <c r="AH459" i="1"/>
  <c r="AH473" i="1"/>
  <c r="AH704" i="1"/>
  <c r="AH390" i="1"/>
  <c r="AH841" i="1"/>
  <c r="AH453" i="1"/>
  <c r="AH558" i="1"/>
  <c r="AH710" i="1"/>
  <c r="AH840" i="1"/>
  <c r="AH461" i="1"/>
  <c r="AH552" i="1"/>
  <c r="AH718" i="1"/>
  <c r="AH409" i="1"/>
  <c r="AH827" i="1"/>
  <c r="AH1076" i="1"/>
  <c r="AH506" i="1"/>
  <c r="AH626" i="1"/>
  <c r="AH774" i="1"/>
  <c r="AH859" i="1"/>
  <c r="AH667" i="1"/>
  <c r="AH829" i="1"/>
  <c r="AH1054" i="1"/>
  <c r="AH445" i="1"/>
  <c r="AH540" i="1"/>
  <c r="AH660" i="1"/>
  <c r="AH395" i="1"/>
  <c r="AH823" i="1"/>
  <c r="AH1056" i="1"/>
  <c r="AH1069" i="1"/>
  <c r="AH523" i="1"/>
  <c r="AH1004" i="1"/>
  <c r="AH908" i="1"/>
  <c r="AH876" i="1"/>
  <c r="AH767" i="1"/>
  <c r="AH719" i="1"/>
  <c r="AH687" i="1"/>
  <c r="AH454" i="1"/>
  <c r="AH1091" i="1"/>
  <c r="AH1059" i="1"/>
  <c r="AH822" i="1"/>
  <c r="AH669" i="1"/>
  <c r="AH637" i="1"/>
  <c r="AH545" i="1"/>
  <c r="AH509" i="1"/>
  <c r="AH1022" i="1"/>
  <c r="AH990" i="1"/>
  <c r="AH902" i="1"/>
  <c r="AH870" i="1"/>
  <c r="AH765" i="1"/>
  <c r="AH717" i="1"/>
  <c r="AH685" i="1"/>
  <c r="AH452" i="1"/>
  <c r="AH925" i="1"/>
  <c r="AH412" i="1"/>
  <c r="AH451" i="1"/>
  <c r="AH431" i="1"/>
  <c r="AH700" i="1"/>
  <c r="AH877" i="1"/>
  <c r="AH889" i="1"/>
  <c r="AH402" i="1"/>
  <c r="AH427" i="1"/>
  <c r="AH869" i="1"/>
  <c r="AH863" i="1"/>
  <c r="AH730" i="1"/>
  <c r="AH927" i="1"/>
  <c r="AH494" i="1"/>
  <c r="AH566" i="1"/>
  <c r="AH758" i="1"/>
  <c r="AH875" i="1"/>
  <c r="AH496" i="1"/>
  <c r="AH560" i="1"/>
  <c r="AH766" i="1"/>
  <c r="AH449" i="1"/>
  <c r="AH835" i="1"/>
  <c r="AH1084" i="1"/>
  <c r="AH514" i="1"/>
  <c r="AH634" i="1"/>
  <c r="AH796" i="1"/>
  <c r="AH891" i="1"/>
  <c r="AH682" i="1"/>
  <c r="AH837" i="1"/>
  <c r="AH1062" i="1"/>
  <c r="AH477" i="1"/>
  <c r="AH548" i="1"/>
  <c r="AH668" i="1"/>
  <c r="AH433" i="1"/>
  <c r="AH831" i="1"/>
  <c r="AH1064" i="1"/>
  <c r="AH1065" i="1"/>
  <c r="AH511" i="1"/>
  <c r="AH1000" i="1"/>
  <c r="AH904" i="1"/>
  <c r="AH872" i="1"/>
  <c r="AH763" i="1"/>
  <c r="AH715" i="1"/>
  <c r="AH683" i="1"/>
  <c r="AH450" i="1"/>
  <c r="AH1087" i="1"/>
  <c r="AH1055" i="1"/>
  <c r="AH818" i="1"/>
  <c r="AH665" i="1"/>
  <c r="AH633" i="1"/>
  <c r="AH541" i="1"/>
  <c r="AH505" i="1"/>
  <c r="AH1018" i="1"/>
  <c r="AH930" i="1"/>
  <c r="AH898" i="1"/>
  <c r="AH866" i="1"/>
  <c r="AH761" i="1"/>
  <c r="AH713" i="1"/>
  <c r="AH681" i="1"/>
  <c r="AH448" i="1"/>
  <c r="AH893" i="1"/>
  <c r="AH400" i="1"/>
  <c r="AH1005" i="1"/>
  <c r="AH404" i="1"/>
  <c r="AH475" i="1"/>
  <c r="AH760" i="1"/>
  <c r="AH857" i="1"/>
  <c r="AH1033" i="1"/>
  <c r="AH386" i="1"/>
  <c r="AH1050" i="1"/>
  <c r="AH901" i="1"/>
  <c r="AH793" i="1"/>
  <c r="AH391" i="1"/>
  <c r="AH510" i="1"/>
  <c r="AH630" i="1"/>
  <c r="AH792" i="1"/>
  <c r="AH907" i="1"/>
  <c r="AH504" i="1"/>
  <c r="AH568" i="1"/>
  <c r="AH883" i="1"/>
  <c r="AH706" i="1"/>
  <c r="AH843" i="1"/>
  <c r="AH1092" i="1"/>
  <c r="AH522" i="1"/>
  <c r="AH642" i="1"/>
  <c r="AH804" i="1"/>
  <c r="AH923" i="1"/>
  <c r="AH714" i="1"/>
  <c r="AH845" i="1"/>
  <c r="AH1070" i="1"/>
  <c r="AH492" i="1"/>
  <c r="AH556" i="1"/>
  <c r="AH702" i="1"/>
  <c r="AH465" i="1"/>
  <c r="AH839" i="1"/>
  <c r="AH1072" i="1"/>
  <c r="AH651" i="1"/>
  <c r="AH495" i="1"/>
  <c r="AH992" i="1"/>
  <c r="AH900" i="1"/>
  <c r="AH864" i="1"/>
  <c r="AH759" i="1"/>
  <c r="AH711" i="1"/>
  <c r="AH478" i="1"/>
  <c r="AH446" i="1"/>
  <c r="AH1083" i="1"/>
  <c r="AH1051" i="1"/>
  <c r="AH814" i="1"/>
  <c r="AH661" i="1"/>
  <c r="AH629" i="1"/>
  <c r="AH537" i="1"/>
  <c r="AH501" i="1"/>
  <c r="AH1014" i="1"/>
  <c r="AH926" i="1"/>
  <c r="AH894" i="1"/>
  <c r="AH862" i="1"/>
  <c r="AH757" i="1"/>
  <c r="AH709" i="1"/>
  <c r="AH480" i="1"/>
  <c r="AH444" i="1"/>
  <c r="AH861" i="1"/>
  <c r="AH1025" i="1"/>
  <c r="AH917" i="1"/>
  <c r="AH388" i="1"/>
  <c r="AH443" i="1"/>
  <c r="AH712" i="1"/>
  <c r="AH772" i="1"/>
  <c r="AH1001" i="1"/>
  <c r="AH394" i="1"/>
  <c r="AH1058" i="1"/>
  <c r="AH396" i="1"/>
  <c r="AH801" i="1"/>
  <c r="AH1015" i="1"/>
  <c r="AH518" i="1"/>
  <c r="AH638" i="1"/>
  <c r="AH800" i="1"/>
  <c r="AH995" i="1"/>
  <c r="AH512" i="1"/>
  <c r="AH632" i="1"/>
  <c r="AH915" i="1"/>
  <c r="AH754" i="1"/>
  <c r="AH871" i="1"/>
  <c r="AH393" i="1"/>
  <c r="AH530" i="1"/>
  <c r="AH650" i="1"/>
  <c r="AH812" i="1"/>
  <c r="AH1011" i="1"/>
  <c r="AH762" i="1"/>
  <c r="AH879" i="1"/>
  <c r="AH1078" i="1"/>
  <c r="AH500" i="1"/>
  <c r="AH564" i="1"/>
  <c r="AH750" i="1"/>
  <c r="AH690" i="1"/>
  <c r="AH855" i="1"/>
  <c r="AH1080" i="1"/>
  <c r="AH647" i="1"/>
  <c r="AH491" i="1"/>
  <c r="AH932" i="1"/>
  <c r="AH896" i="1"/>
  <c r="AH860" i="1"/>
  <c r="AH755" i="1"/>
  <c r="AH707" i="1"/>
  <c r="AH474" i="1"/>
  <c r="AH442" i="1"/>
  <c r="AH1079" i="1"/>
  <c r="AH1047" i="1"/>
  <c r="AH810" i="1"/>
  <c r="AH657" i="1"/>
  <c r="AH565" i="1"/>
  <c r="AH529" i="1"/>
  <c r="AH497" i="1"/>
  <c r="AH1010" i="1"/>
  <c r="AH922" i="1"/>
  <c r="AH890" i="1"/>
  <c r="AH858" i="1"/>
  <c r="AH753" i="1"/>
  <c r="AH705" i="1"/>
  <c r="AH476" i="1"/>
  <c r="AH440" i="1"/>
  <c r="AH776" i="1"/>
  <c r="AH993" i="1"/>
  <c r="AH885" i="1"/>
  <c r="AH1017" i="1"/>
  <c r="AH416" i="1"/>
  <c r="AH680" i="1"/>
  <c r="AH724" i="1"/>
  <c r="AH913" i="1"/>
  <c r="AH479" i="1"/>
  <c r="AH1066" i="1"/>
  <c r="AH698" i="1"/>
  <c r="AH809" i="1"/>
  <c r="AH447" i="1"/>
  <c r="AH526" i="1"/>
  <c r="AH646" i="1"/>
  <c r="AH808" i="1"/>
  <c r="AH1027" i="1"/>
  <c r="AH520" i="1"/>
  <c r="AH640" i="1"/>
  <c r="AH1003" i="1"/>
  <c r="AH795" i="1"/>
  <c r="AH903" i="1"/>
  <c r="AH437" i="1"/>
  <c r="AH538" i="1"/>
  <c r="AH658" i="1"/>
  <c r="AH820" i="1"/>
  <c r="AH399" i="1"/>
  <c r="AH797" i="1"/>
  <c r="AH911" i="1"/>
  <c r="AH1086" i="1"/>
  <c r="AH508" i="1"/>
  <c r="AH628" i="1"/>
  <c r="AH782" i="1"/>
  <c r="AH722" i="1"/>
  <c r="AH887" i="1"/>
  <c r="AH1088" i="1"/>
  <c r="AH559" i="1"/>
  <c r="AH406" i="1"/>
  <c r="AH928" i="1"/>
  <c r="AH892" i="1"/>
  <c r="AH856" i="1"/>
  <c r="AH751" i="1"/>
  <c r="AH703" i="1"/>
  <c r="AH470" i="1"/>
  <c r="AH438" i="1"/>
  <c r="AH1075" i="1"/>
  <c r="AH842" i="1"/>
  <c r="AH806" i="1"/>
  <c r="AH653" i="1"/>
  <c r="AH561" i="1"/>
  <c r="AH525" i="1"/>
  <c r="AH493" i="1"/>
  <c r="AH1006" i="1"/>
  <c r="AH918" i="1"/>
  <c r="AH886" i="1"/>
  <c r="AH781" i="1"/>
  <c r="AH733" i="1"/>
  <c r="AH701" i="1"/>
  <c r="AH468" i="1"/>
  <c r="AH436" i="1"/>
  <c r="AH728" i="1"/>
  <c r="AH905" i="1"/>
  <c r="AH768" i="1"/>
  <c r="AH897" i="1"/>
  <c r="AH398" i="1"/>
  <c r="AH455" i="1"/>
  <c r="AH692" i="1"/>
  <c r="AH881" i="1"/>
  <c r="AH663" i="1"/>
  <c r="AH1074" i="1"/>
  <c r="AH752" i="1"/>
  <c r="AH817" i="1"/>
  <c r="AH385" i="1"/>
  <c r="AH534" i="1"/>
  <c r="AH654" i="1"/>
  <c r="AH816" i="1"/>
  <c r="AH397" i="1"/>
  <c r="AH528" i="1"/>
  <c r="AH648" i="1"/>
  <c r="AH1035" i="1"/>
  <c r="AH803" i="1"/>
  <c r="AH1023" i="1"/>
  <c r="AH469" i="1"/>
  <c r="AH546" i="1"/>
  <c r="AH666" i="1"/>
  <c r="AH828" i="1"/>
  <c r="AH411" i="1"/>
  <c r="AH805" i="1"/>
  <c r="AH999" i="1"/>
  <c r="AH1094" i="1"/>
  <c r="AH516" i="1"/>
  <c r="AH636" i="1"/>
  <c r="AH867" i="1"/>
  <c r="AH770" i="1"/>
  <c r="AH919" i="1"/>
  <c r="AH1096" i="1"/>
  <c r="AH555" i="1"/>
  <c r="AH1032" i="1"/>
  <c r="AH920" i="1"/>
  <c r="AH888" i="1"/>
  <c r="AH779" i="1"/>
  <c r="AH731" i="1"/>
  <c r="AH699" i="1"/>
  <c r="AH466" i="1"/>
  <c r="AH434" i="1"/>
  <c r="AH1071" i="1"/>
  <c r="AH834" i="1"/>
  <c r="AH802" i="1"/>
  <c r="AH649" i="1"/>
  <c r="AH557" i="1"/>
  <c r="AH521" i="1"/>
  <c r="AH1034" i="1"/>
  <c r="AH1002" i="1"/>
  <c r="AH914" i="1"/>
  <c r="AH882" i="1"/>
  <c r="AH777" i="1"/>
  <c r="AH729" i="1"/>
  <c r="AH697" i="1"/>
  <c r="AH464" i="1"/>
  <c r="AH432" i="1"/>
  <c r="AH696" i="1"/>
  <c r="AH873" i="1"/>
  <c r="AH720" i="1"/>
  <c r="AH865" i="1"/>
  <c r="AH1029" i="1"/>
  <c r="AH392" i="1"/>
  <c r="AH467" i="1"/>
  <c r="AH764" i="1"/>
  <c r="AH1090" i="1"/>
  <c r="AH895" i="1"/>
  <c r="AH825" i="1"/>
  <c r="AH401" i="1"/>
  <c r="AH542" i="1"/>
  <c r="AH662" i="1"/>
  <c r="AH824" i="1"/>
  <c r="AH415" i="1"/>
  <c r="AH536" i="1"/>
  <c r="AH656" i="1"/>
  <c r="AH387" i="1"/>
  <c r="AH811" i="1"/>
  <c r="AH1060" i="1"/>
  <c r="AH490" i="1"/>
  <c r="AH554" i="1"/>
  <c r="AH694" i="1"/>
  <c r="AH836" i="1"/>
  <c r="AH417" i="1"/>
  <c r="AH813" i="1"/>
  <c r="AH1031" i="1"/>
  <c r="AH389" i="1"/>
  <c r="AH524" i="1"/>
  <c r="AH644" i="1"/>
  <c r="AH931" i="1"/>
  <c r="AH799" i="1"/>
  <c r="AH1007" i="1"/>
  <c r="W14" i="1"/>
  <c r="W13" i="1"/>
  <c r="X686" i="1"/>
  <c r="X991" i="1"/>
  <c r="X929" i="1"/>
  <c r="X899" i="1"/>
  <c r="X1052" i="1"/>
  <c r="X388" i="1"/>
  <c r="X391" i="1"/>
  <c r="X437" i="1"/>
  <c r="X757" i="1"/>
  <c r="X838" i="1"/>
  <c r="X778" i="1"/>
  <c r="X693" i="1"/>
  <c r="X773" i="1"/>
  <c r="X1082" i="1"/>
  <c r="X389" i="1"/>
  <c r="X386" i="1"/>
  <c r="X504" i="1"/>
  <c r="X701" i="1"/>
  <c r="X781" i="1"/>
  <c r="X413" i="1"/>
  <c r="X385" i="1"/>
  <c r="X384" i="1"/>
  <c r="X394" i="1"/>
  <c r="X543" i="1"/>
  <c r="X709" i="1"/>
  <c r="X655" i="1"/>
  <c r="X716" i="1"/>
  <c r="X1021" i="1"/>
  <c r="X407" i="1"/>
  <c r="X725" i="1"/>
  <c r="X502" i="1"/>
  <c r="X807" i="1"/>
  <c r="X441" i="1"/>
  <c r="X563" i="1"/>
  <c r="X868" i="1"/>
  <c r="X828" i="1"/>
  <c r="X733" i="1"/>
  <c r="X387" i="1"/>
  <c r="X458" i="1"/>
  <c r="X393" i="1"/>
  <c r="X685" i="1"/>
  <c r="X717" i="1"/>
  <c r="X533" i="1"/>
  <c r="X472" i="1"/>
  <c r="X390" i="1"/>
  <c r="X392" i="1"/>
  <c r="X765" i="1"/>
  <c r="X1086" i="1"/>
  <c r="X1053" i="1"/>
  <c r="X1023" i="1"/>
  <c r="X1078" i="1"/>
  <c r="X471" i="1"/>
  <c r="X638" i="1"/>
  <c r="X1008" i="1"/>
  <c r="X403" i="1"/>
  <c r="X454" i="1"/>
  <c r="X551" i="1"/>
  <c r="X823" i="1"/>
  <c r="X897" i="1"/>
  <c r="X1025" i="1"/>
  <c r="X932" i="1"/>
  <c r="X900" i="1"/>
  <c r="X864" i="1"/>
  <c r="X759" i="1"/>
  <c r="X711" i="1"/>
  <c r="X1096" i="1"/>
  <c r="X1064" i="1"/>
  <c r="X827" i="1"/>
  <c r="X903" i="1"/>
  <c r="X867" i="1"/>
  <c r="X762" i="1"/>
  <c r="X714" i="1"/>
  <c r="X1087" i="1"/>
  <c r="X1055" i="1"/>
  <c r="X818" i="1"/>
  <c r="X665" i="1"/>
  <c r="X633" i="1"/>
  <c r="X541" i="1"/>
  <c r="X505" i="1"/>
  <c r="X732" i="1"/>
  <c r="X696" i="1"/>
  <c r="X439" i="1"/>
  <c r="X479" i="1"/>
  <c r="X564" i="1"/>
  <c r="X811" i="1"/>
  <c r="X402" i="1"/>
  <c r="X1031" i="1"/>
  <c r="X470" i="1"/>
  <c r="X492" i="1"/>
  <c r="X644" i="1"/>
  <c r="X1016" i="1"/>
  <c r="X408" i="1"/>
  <c r="X460" i="1"/>
  <c r="X626" i="1"/>
  <c r="X829" i="1"/>
  <c r="X905" i="1"/>
  <c r="X1033" i="1"/>
  <c r="X928" i="1"/>
  <c r="X896" i="1"/>
  <c r="X860" i="1"/>
  <c r="X755" i="1"/>
  <c r="X707" i="1"/>
  <c r="X1092" i="1"/>
  <c r="X1060" i="1"/>
  <c r="X931" i="1"/>
  <c r="X895" i="1"/>
  <c r="X863" i="1"/>
  <c r="X758" i="1"/>
  <c r="X710" i="1"/>
  <c r="X1083" i="1"/>
  <c r="X1051" i="1"/>
  <c r="X814" i="1"/>
  <c r="X661" i="1"/>
  <c r="X629" i="1"/>
  <c r="X537" i="1"/>
  <c r="X501" i="1"/>
  <c r="X728" i="1"/>
  <c r="X692" i="1"/>
  <c r="X435" i="1"/>
  <c r="X494" i="1"/>
  <c r="X627" i="1"/>
  <c r="X817" i="1"/>
  <c r="X906" i="1"/>
  <c r="X1026" i="1"/>
  <c r="X415" i="1"/>
  <c r="X514" i="1"/>
  <c r="X647" i="1"/>
  <c r="X729" i="1"/>
  <c r="X837" i="1"/>
  <c r="X445" i="1"/>
  <c r="X432" i="1"/>
  <c r="X461" i="1"/>
  <c r="X1046" i="1"/>
  <c r="X412" i="1"/>
  <c r="X499" i="1"/>
  <c r="X651" i="1"/>
  <c r="X1024" i="1"/>
  <c r="X414" i="1"/>
  <c r="X478" i="1"/>
  <c r="X632" i="1"/>
  <c r="X836" i="1"/>
  <c r="X913" i="1"/>
  <c r="X1054" i="1"/>
  <c r="X924" i="1"/>
  <c r="X892" i="1"/>
  <c r="X856" i="1"/>
  <c r="X751" i="1"/>
  <c r="X703" i="1"/>
  <c r="X1088" i="1"/>
  <c r="X1056" i="1"/>
  <c r="X927" i="1"/>
  <c r="X891" i="1"/>
  <c r="X859" i="1"/>
  <c r="X754" i="1"/>
  <c r="X706" i="1"/>
  <c r="X1079" i="1"/>
  <c r="X1047" i="1"/>
  <c r="X810" i="1"/>
  <c r="X657" i="1"/>
  <c r="X565" i="1"/>
  <c r="X529" i="1"/>
  <c r="X497" i="1"/>
  <c r="X724" i="1"/>
  <c r="X688" i="1"/>
  <c r="X431" i="1"/>
  <c r="X500" i="1"/>
  <c r="X646" i="1"/>
  <c r="X824" i="1"/>
  <c r="X914" i="1"/>
  <c r="X1034" i="1"/>
  <c r="X498" i="1"/>
  <c r="X453" i="1"/>
  <c r="X562" i="1"/>
  <c r="X1085" i="1"/>
  <c r="X442" i="1"/>
  <c r="X518" i="1"/>
  <c r="X670" i="1"/>
  <c r="X1032" i="1"/>
  <c r="X428" i="1"/>
  <c r="X506" i="1"/>
  <c r="X639" i="1"/>
  <c r="X857" i="1"/>
  <c r="X921" i="1"/>
  <c r="X1061" i="1"/>
  <c r="X920" i="1"/>
  <c r="X888" i="1"/>
  <c r="X779" i="1"/>
  <c r="X731" i="1"/>
  <c r="X699" i="1"/>
  <c r="X1084" i="1"/>
  <c r="X1048" i="1"/>
  <c r="X923" i="1"/>
  <c r="X887" i="1"/>
  <c r="X855" i="1"/>
  <c r="X750" i="1"/>
  <c r="X702" i="1"/>
  <c r="X536" i="1"/>
  <c r="X530" i="1"/>
  <c r="X656" i="1"/>
  <c r="X396" i="1"/>
  <c r="X464" i="1"/>
  <c r="X524" i="1"/>
  <c r="X803" i="1"/>
  <c r="X1066" i="1"/>
  <c r="X433" i="1"/>
  <c r="X512" i="1"/>
  <c r="X658" i="1"/>
  <c r="X865" i="1"/>
  <c r="X993" i="1"/>
  <c r="X1093" i="1"/>
  <c r="X916" i="1"/>
  <c r="X884" i="1"/>
  <c r="X775" i="1"/>
  <c r="X727" i="1"/>
  <c r="X695" i="1"/>
  <c r="X1080" i="1"/>
  <c r="X843" i="1"/>
  <c r="X919" i="1"/>
  <c r="X883" i="1"/>
  <c r="X782" i="1"/>
  <c r="X730" i="1"/>
  <c r="X698" i="1"/>
  <c r="X1071" i="1"/>
  <c r="X834" i="1"/>
  <c r="X802" i="1"/>
  <c r="X649" i="1"/>
  <c r="X557" i="1"/>
  <c r="X521" i="1"/>
  <c r="X764" i="1"/>
  <c r="X712" i="1"/>
  <c r="X680" i="1"/>
  <c r="X429" i="1"/>
  <c r="X631" i="1"/>
  <c r="X568" i="1"/>
  <c r="X999" i="1"/>
  <c r="X448" i="1"/>
  <c r="X397" i="1"/>
  <c r="X531" i="1"/>
  <c r="X809" i="1"/>
  <c r="X1073" i="1"/>
  <c r="X438" i="1"/>
  <c r="X519" i="1"/>
  <c r="X664" i="1"/>
  <c r="X873" i="1"/>
  <c r="X1001" i="1"/>
  <c r="X1000" i="1"/>
  <c r="X912" i="1"/>
  <c r="X880" i="1"/>
  <c r="X771" i="1"/>
  <c r="X723" i="1"/>
  <c r="X691" i="1"/>
  <c r="X1076" i="1"/>
  <c r="X839" i="1"/>
  <c r="X915" i="1"/>
  <c r="X879" i="1"/>
  <c r="X774" i="1"/>
  <c r="X726" i="1"/>
  <c r="X694" i="1"/>
  <c r="X1067" i="1"/>
  <c r="X830" i="1"/>
  <c r="X798" i="1"/>
  <c r="X645" i="1"/>
  <c r="X553" i="1"/>
  <c r="X517" i="1"/>
  <c r="X760" i="1"/>
  <c r="X708" i="1"/>
  <c r="X451" i="1"/>
  <c r="X455" i="1"/>
  <c r="X532" i="1"/>
  <c r="X768" i="1"/>
  <c r="X874" i="1"/>
  <c r="X994" i="1"/>
  <c r="X1081" i="1"/>
  <c r="X456" i="1"/>
  <c r="X552" i="1"/>
  <c r="X697" i="1"/>
  <c r="X777" i="1"/>
  <c r="X511" i="1"/>
  <c r="X821" i="1"/>
  <c r="X663" i="1"/>
  <c r="X1007" i="1"/>
  <c r="X477" i="1"/>
  <c r="X459" i="1"/>
  <c r="X550" i="1"/>
  <c r="X816" i="1"/>
  <c r="X1098" i="1"/>
  <c r="X444" i="1"/>
  <c r="X538" i="1"/>
  <c r="X797" i="1"/>
  <c r="X881" i="1"/>
  <c r="X1009" i="1"/>
  <c r="X996" i="1"/>
  <c r="X908" i="1"/>
  <c r="X876" i="1"/>
  <c r="X767" i="1"/>
  <c r="X719" i="1"/>
  <c r="X687" i="1"/>
  <c r="X1072" i="1"/>
  <c r="X835" i="1"/>
  <c r="X911" i="1"/>
  <c r="X875" i="1"/>
  <c r="X770" i="1"/>
  <c r="X722" i="1"/>
  <c r="X690" i="1"/>
  <c r="X1063" i="1"/>
  <c r="X826" i="1"/>
  <c r="X794" i="1"/>
  <c r="X641" i="1"/>
  <c r="X549" i="1"/>
  <c r="X513" i="1"/>
  <c r="X756" i="1"/>
  <c r="X704" i="1"/>
  <c r="X447" i="1"/>
  <c r="X466" i="1"/>
  <c r="X539" i="1"/>
  <c r="X776" i="1"/>
  <c r="X882" i="1"/>
  <c r="X1002" i="1"/>
  <c r="X399" i="1"/>
  <c r="X796" i="1"/>
  <c r="X1091" i="1"/>
  <c r="X815" i="1"/>
  <c r="X1015" i="1"/>
  <c r="X650" i="1"/>
  <c r="X465" i="1"/>
  <c r="X556" i="1"/>
  <c r="X841" i="1"/>
  <c r="X398" i="1"/>
  <c r="X449" i="1"/>
  <c r="X544" i="1"/>
  <c r="X804" i="1"/>
  <c r="X889" i="1"/>
  <c r="X1017" i="1"/>
  <c r="X992" i="1"/>
  <c r="X904" i="1"/>
  <c r="X872" i="1"/>
  <c r="X763" i="1"/>
  <c r="X715" i="1"/>
  <c r="X683" i="1"/>
  <c r="X1068" i="1"/>
  <c r="X831" i="1"/>
  <c r="X718" i="1"/>
  <c r="X653" i="1"/>
  <c r="X720" i="1"/>
  <c r="X526" i="1"/>
  <c r="X898" i="1"/>
  <c r="X410" i="1"/>
  <c r="X527" i="1"/>
  <c r="X705" i="1"/>
  <c r="X812" i="1"/>
  <c r="X1062" i="1"/>
  <c r="X534" i="1"/>
  <c r="X667" i="1"/>
  <c r="X1020" i="1"/>
  <c r="X406" i="1"/>
  <c r="X462" i="1"/>
  <c r="X535" i="1"/>
  <c r="X845" i="1"/>
  <c r="X917" i="1"/>
  <c r="X1070" i="1"/>
  <c r="X516" i="1"/>
  <c r="X662" i="1"/>
  <c r="X840" i="1"/>
  <c r="X918" i="1"/>
  <c r="X1058" i="1"/>
  <c r="X682" i="1"/>
  <c r="X637" i="1"/>
  <c r="X700" i="1"/>
  <c r="X558" i="1"/>
  <c r="X922" i="1"/>
  <c r="X434" i="1"/>
  <c r="X546" i="1"/>
  <c r="X713" i="1"/>
  <c r="X844" i="1"/>
  <c r="X1069" i="1"/>
  <c r="X540" i="1"/>
  <c r="X793" i="1"/>
  <c r="X1028" i="1"/>
  <c r="X411" i="1"/>
  <c r="X469" i="1"/>
  <c r="X554" i="1"/>
  <c r="X861" i="1"/>
  <c r="X925" i="1"/>
  <c r="X1077" i="1"/>
  <c r="X523" i="1"/>
  <c r="X668" i="1"/>
  <c r="X862" i="1"/>
  <c r="X926" i="1"/>
  <c r="X1065" i="1"/>
  <c r="X1075" i="1"/>
  <c r="X561" i="1"/>
  <c r="X684" i="1"/>
  <c r="X652" i="1"/>
  <c r="X930" i="1"/>
  <c r="X440" i="1"/>
  <c r="X559" i="1"/>
  <c r="X721" i="1"/>
  <c r="X995" i="1"/>
  <c r="X1094" i="1"/>
  <c r="X547" i="1"/>
  <c r="X800" i="1"/>
  <c r="X1050" i="1"/>
  <c r="X416" i="1"/>
  <c r="X475" i="1"/>
  <c r="X560" i="1"/>
  <c r="X869" i="1"/>
  <c r="X933" i="1"/>
  <c r="X401" i="1"/>
  <c r="X542" i="1"/>
  <c r="X772" i="1"/>
  <c r="X870" i="1"/>
  <c r="X990" i="1"/>
  <c r="X1090" i="1"/>
  <c r="X1059" i="1"/>
  <c r="X545" i="1"/>
  <c r="X443" i="1"/>
  <c r="X659" i="1"/>
  <c r="X1010" i="1"/>
  <c r="X450" i="1"/>
  <c r="X634" i="1"/>
  <c r="X753" i="1"/>
  <c r="X1003" i="1"/>
  <c r="X405" i="1"/>
  <c r="X566" i="1"/>
  <c r="X819" i="1"/>
  <c r="X1057" i="1"/>
  <c r="X430" i="1"/>
  <c r="X490" i="1"/>
  <c r="X567" i="1"/>
  <c r="X877" i="1"/>
  <c r="X997" i="1"/>
  <c r="X417" i="1"/>
  <c r="X548" i="1"/>
  <c r="X780" i="1"/>
  <c r="X878" i="1"/>
  <c r="X998" i="1"/>
  <c r="X1097" i="1"/>
  <c r="X842" i="1"/>
  <c r="X525" i="1"/>
  <c r="X427" i="1"/>
  <c r="X792" i="1"/>
  <c r="X1018" i="1"/>
  <c r="X467" i="1"/>
  <c r="X640" i="1"/>
  <c r="X761" i="1"/>
  <c r="X1011" i="1"/>
  <c r="X468" i="1"/>
  <c r="X628" i="1"/>
  <c r="X825" i="1"/>
  <c r="X1089" i="1"/>
  <c r="X436" i="1"/>
  <c r="X496" i="1"/>
  <c r="X642" i="1"/>
  <c r="X885" i="1"/>
  <c r="X1005" i="1"/>
  <c r="X463" i="1"/>
  <c r="X555" i="1"/>
  <c r="X795" i="1"/>
  <c r="X886" i="1"/>
  <c r="X1006" i="1"/>
  <c r="X907" i="1"/>
  <c r="X822" i="1"/>
  <c r="X509" i="1"/>
  <c r="X409" i="1"/>
  <c r="X858" i="1"/>
  <c r="X1049" i="1"/>
  <c r="X480" i="1"/>
  <c r="X666" i="1"/>
  <c r="X769" i="1"/>
  <c r="X1019" i="1"/>
  <c r="X474" i="1"/>
  <c r="X635" i="1"/>
  <c r="X832" i="1"/>
  <c r="X1095" i="1"/>
  <c r="X446" i="1"/>
  <c r="X503" i="1"/>
  <c r="X648" i="1"/>
  <c r="X893" i="1"/>
  <c r="X1013" i="1"/>
  <c r="X476" i="1"/>
  <c r="X630" i="1"/>
  <c r="X801" i="1"/>
  <c r="X894" i="1"/>
  <c r="X1014" i="1"/>
  <c r="X871" i="1"/>
  <c r="X806" i="1"/>
  <c r="X493" i="1"/>
  <c r="X473" i="1"/>
  <c r="X866" i="1"/>
  <c r="X1074" i="1"/>
  <c r="X495" i="1"/>
  <c r="X681" i="1"/>
  <c r="X799" i="1"/>
  <c r="X1027" i="1"/>
  <c r="X508" i="1"/>
  <c r="X654" i="1"/>
  <c r="X1004" i="1"/>
  <c r="X395" i="1"/>
  <c r="X452" i="1"/>
  <c r="X522" i="1"/>
  <c r="X813" i="1"/>
  <c r="X901" i="1"/>
  <c r="X1029" i="1"/>
  <c r="X491" i="1"/>
  <c r="X636" i="1"/>
  <c r="X808" i="1"/>
  <c r="X902" i="1"/>
  <c r="X1022" i="1"/>
  <c r="X766" i="1"/>
  <c r="X669" i="1"/>
  <c r="X752" i="1"/>
  <c r="X507" i="1"/>
  <c r="X890" i="1"/>
  <c r="X404" i="1"/>
  <c r="X520" i="1"/>
  <c r="X689" i="1"/>
  <c r="X805" i="1"/>
  <c r="X1035" i="1"/>
  <c r="X515" i="1"/>
  <c r="X660" i="1"/>
  <c r="X1012" i="1"/>
  <c r="X400" i="1"/>
  <c r="X457" i="1"/>
  <c r="X528" i="1"/>
  <c r="X820" i="1"/>
  <c r="X909" i="1"/>
  <c r="X1045" i="1"/>
  <c r="X510" i="1"/>
  <c r="X643" i="1"/>
  <c r="X833" i="1"/>
  <c r="X910" i="1"/>
  <c r="X1030" i="1"/>
  <c r="T868" i="1"/>
  <c r="T351" i="1"/>
  <c r="T470" i="1"/>
  <c r="T825" i="1"/>
  <c r="T503" i="1"/>
  <c r="T291" i="1"/>
  <c r="T348" i="1"/>
  <c r="T472" i="1"/>
  <c r="T290" i="1"/>
  <c r="T807" i="1"/>
  <c r="T511" i="1"/>
  <c r="T409" i="1"/>
  <c r="T567" i="1"/>
  <c r="T403" i="1"/>
  <c r="T303" i="1"/>
  <c r="T321" i="1"/>
  <c r="T778" i="1"/>
  <c r="T502" i="1"/>
  <c r="T991" i="1"/>
  <c r="T535" i="1"/>
  <c r="T801" i="1"/>
  <c r="T631" i="1"/>
  <c r="T287" i="1"/>
  <c r="T519" i="1"/>
  <c r="T441" i="1"/>
  <c r="T1082" i="1"/>
  <c r="T413" i="1"/>
  <c r="T686" i="1"/>
  <c r="T262" i="1"/>
  <c r="T559" i="1"/>
  <c r="T833" i="1"/>
  <c r="T361" i="1"/>
  <c r="T551" i="1"/>
  <c r="T543" i="1"/>
  <c r="T899" i="1"/>
  <c r="T1021" i="1"/>
  <c r="T390" i="1"/>
  <c r="T271" i="1"/>
  <c r="T275" i="1"/>
  <c r="T793" i="1"/>
  <c r="T461" i="1"/>
  <c r="T716" i="1"/>
  <c r="T438" i="1"/>
  <c r="T752" i="1"/>
  <c r="T479" i="1"/>
  <c r="T283" i="1"/>
  <c r="T841" i="1"/>
  <c r="T933" i="1"/>
  <c r="T929" i="1"/>
  <c r="T663" i="1"/>
  <c r="T809" i="1"/>
  <c r="T563" i="1"/>
  <c r="T266" i="1"/>
  <c r="T527" i="1"/>
  <c r="T838" i="1"/>
  <c r="T655" i="1"/>
  <c r="T817" i="1"/>
  <c r="T533" i="1"/>
  <c r="T342" i="1"/>
  <c r="T639" i="1"/>
  <c r="T1052" i="1"/>
  <c r="T495" i="1"/>
  <c r="T396" i="1"/>
  <c r="T647" i="1"/>
  <c r="T323" i="1"/>
  <c r="T869" i="1"/>
  <c r="T1050" i="1"/>
  <c r="T1024" i="1"/>
  <c r="T992" i="1"/>
  <c r="T904" i="1"/>
  <c r="T872" i="1"/>
  <c r="T763" i="1"/>
  <c r="T715" i="1"/>
  <c r="T683" i="1"/>
  <c r="T1007" i="1"/>
  <c r="T915" i="1"/>
  <c r="T879" i="1"/>
  <c r="T774" i="1"/>
  <c r="T726" i="1"/>
  <c r="T694" i="1"/>
  <c r="T1075" i="1"/>
  <c r="T842" i="1"/>
  <c r="T806" i="1"/>
  <c r="T653" i="1"/>
  <c r="T561" i="1"/>
  <c r="T525" i="1"/>
  <c r="T493" i="1"/>
  <c r="T1006" i="1"/>
  <c r="T918" i="1"/>
  <c r="T886" i="1"/>
  <c r="T781" i="1"/>
  <c r="T733" i="1"/>
  <c r="T701" i="1"/>
  <c r="T468" i="1"/>
  <c r="T436" i="1"/>
  <c r="T728" i="1"/>
  <c r="T340" i="1"/>
  <c r="T993" i="1"/>
  <c r="T427" i="1"/>
  <c r="T720" i="1"/>
  <c r="T364" i="1"/>
  <c r="T281" i="1"/>
  <c r="T865" i="1"/>
  <c r="T392" i="1"/>
  <c r="T680" i="1"/>
  <c r="T324" i="1"/>
  <c r="T276" i="1"/>
  <c r="T772" i="1"/>
  <c r="T416" i="1"/>
  <c r="T474" i="1"/>
  <c r="T274" i="1"/>
  <c r="T295" i="1"/>
  <c r="T367" i="1"/>
  <c r="T534" i="1"/>
  <c r="T654" i="1"/>
  <c r="T832" i="1"/>
  <c r="T1097" i="1"/>
  <c r="T410" i="1"/>
  <c r="T552" i="1"/>
  <c r="T318" i="1"/>
  <c r="T417" i="1"/>
  <c r="T1060" i="1"/>
  <c r="T357" i="1"/>
  <c r="T522" i="1"/>
  <c r="T642" i="1"/>
  <c r="T828" i="1"/>
  <c r="T1085" i="1"/>
  <c r="T406" i="1"/>
  <c r="T547" i="1"/>
  <c r="T797" i="1"/>
  <c r="T1054" i="1"/>
  <c r="T346" i="1"/>
  <c r="T516" i="1"/>
  <c r="T636" i="1"/>
  <c r="T353" i="1"/>
  <c r="T831" i="1"/>
  <c r="T1096" i="1"/>
  <c r="T1058" i="1"/>
  <c r="T1020" i="1"/>
  <c r="T932" i="1"/>
  <c r="T900" i="1"/>
  <c r="T864" i="1"/>
  <c r="T759" i="1"/>
  <c r="T711" i="1"/>
  <c r="T1035" i="1"/>
  <c r="T1003" i="1"/>
  <c r="T911" i="1"/>
  <c r="T875" i="1"/>
  <c r="T770" i="1"/>
  <c r="T722" i="1"/>
  <c r="T690" i="1"/>
  <c r="T1071" i="1"/>
  <c r="T834" i="1"/>
  <c r="T802" i="1"/>
  <c r="T649" i="1"/>
  <c r="T557" i="1"/>
  <c r="T521" i="1"/>
  <c r="T1034" i="1"/>
  <c r="T1002" i="1"/>
  <c r="T914" i="1"/>
  <c r="T882" i="1"/>
  <c r="T777" i="1"/>
  <c r="T729" i="1"/>
  <c r="T697" i="1"/>
  <c r="T464" i="1"/>
  <c r="T432" i="1"/>
  <c r="T696" i="1"/>
  <c r="T302" i="1"/>
  <c r="T905" i="1"/>
  <c r="T400" i="1"/>
  <c r="T688" i="1"/>
  <c r="T332" i="1"/>
  <c r="T277" i="1"/>
  <c r="T780" i="1"/>
  <c r="T344" i="1"/>
  <c r="T471" i="1"/>
  <c r="T304" i="1"/>
  <c r="T272" i="1"/>
  <c r="T724" i="1"/>
  <c r="T368" i="1"/>
  <c r="T465" i="1"/>
  <c r="T299" i="1"/>
  <c r="T316" i="1"/>
  <c r="T389" i="1"/>
  <c r="T542" i="1"/>
  <c r="T662" i="1"/>
  <c r="T840" i="1"/>
  <c r="T317" i="1"/>
  <c r="T496" i="1"/>
  <c r="T560" i="1"/>
  <c r="T331" i="1"/>
  <c r="T795" i="1"/>
  <c r="T1068" i="1"/>
  <c r="T386" i="1"/>
  <c r="T530" i="1"/>
  <c r="T650" i="1"/>
  <c r="T836" i="1"/>
  <c r="T1093" i="1"/>
  <c r="T491" i="1"/>
  <c r="T555" i="1"/>
  <c r="T805" i="1"/>
  <c r="T1062" i="1"/>
  <c r="T359" i="1"/>
  <c r="T524" i="1"/>
  <c r="T644" i="1"/>
  <c r="T366" i="1"/>
  <c r="T839" i="1"/>
  <c r="T1066" i="1"/>
  <c r="T1016" i="1"/>
  <c r="T928" i="1"/>
  <c r="T896" i="1"/>
  <c r="T860" i="1"/>
  <c r="T755" i="1"/>
  <c r="T707" i="1"/>
  <c r="T1031" i="1"/>
  <c r="T999" i="1"/>
  <c r="T907" i="1"/>
  <c r="T871" i="1"/>
  <c r="T766" i="1"/>
  <c r="T718" i="1"/>
  <c r="T682" i="1"/>
  <c r="T1067" i="1"/>
  <c r="T830" i="1"/>
  <c r="T798" i="1"/>
  <c r="T645" i="1"/>
  <c r="T553" i="1"/>
  <c r="T517" i="1"/>
  <c r="T1030" i="1"/>
  <c r="T998" i="1"/>
  <c r="T910" i="1"/>
  <c r="T878" i="1"/>
  <c r="T773" i="1"/>
  <c r="T725" i="1"/>
  <c r="T693" i="1"/>
  <c r="T460" i="1"/>
  <c r="T428" i="1"/>
  <c r="T478" i="1"/>
  <c r="T298" i="1"/>
  <c r="T873" i="1"/>
  <c r="T352" i="1"/>
  <c r="T477" i="1"/>
  <c r="T305" i="1"/>
  <c r="T273" i="1"/>
  <c r="T732" i="1"/>
  <c r="T1029" i="1"/>
  <c r="T462" i="1"/>
  <c r="T300" i="1"/>
  <c r="T268" i="1"/>
  <c r="T692" i="1"/>
  <c r="T1033" i="1"/>
  <c r="T451" i="1"/>
  <c r="T329" i="1"/>
  <c r="T355" i="1"/>
  <c r="T402" i="1"/>
  <c r="T550" i="1"/>
  <c r="T670" i="1"/>
  <c r="T1049" i="1"/>
  <c r="T330" i="1"/>
  <c r="T504" i="1"/>
  <c r="T568" i="1"/>
  <c r="T337" i="1"/>
  <c r="T803" i="1"/>
  <c r="T1076" i="1"/>
  <c r="T399" i="1"/>
  <c r="T538" i="1"/>
  <c r="T658" i="1"/>
  <c r="T844" i="1"/>
  <c r="T326" i="1"/>
  <c r="T499" i="1"/>
  <c r="T627" i="1"/>
  <c r="T813" i="1"/>
  <c r="T1070" i="1"/>
  <c r="T365" i="1"/>
  <c r="T532" i="1"/>
  <c r="T652" i="1"/>
  <c r="T395" i="1"/>
  <c r="T1048" i="1"/>
  <c r="T1074" i="1"/>
  <c r="T1012" i="1"/>
  <c r="T924" i="1"/>
  <c r="T892" i="1"/>
  <c r="T856" i="1"/>
  <c r="T751" i="1"/>
  <c r="T703" i="1"/>
  <c r="T1027" i="1"/>
  <c r="T995" i="1"/>
  <c r="T903" i="1"/>
  <c r="T867" i="1"/>
  <c r="T762" i="1"/>
  <c r="T714" i="1"/>
  <c r="T1095" i="1"/>
  <c r="T1063" i="1"/>
  <c r="T826" i="1"/>
  <c r="T794" i="1"/>
  <c r="T641" i="1"/>
  <c r="T549" i="1"/>
  <c r="T513" i="1"/>
  <c r="T1026" i="1"/>
  <c r="T994" i="1"/>
  <c r="T906" i="1"/>
  <c r="T874" i="1"/>
  <c r="T769" i="1"/>
  <c r="T721" i="1"/>
  <c r="T689" i="1"/>
  <c r="T456" i="1"/>
  <c r="T1013" i="1"/>
  <c r="T469" i="1"/>
  <c r="T294" i="1"/>
  <c r="T756" i="1"/>
  <c r="T320" i="1"/>
  <c r="T463" i="1"/>
  <c r="T301" i="1"/>
  <c r="T269" i="1"/>
  <c r="T700" i="1"/>
  <c r="T997" i="1"/>
  <c r="T453" i="1"/>
  <c r="T296" i="1"/>
  <c r="T264" i="1"/>
  <c r="T475" i="1"/>
  <c r="T1001" i="1"/>
  <c r="T442" i="1"/>
  <c r="T704" i="1"/>
  <c r="T447" i="1"/>
  <c r="T415" i="1"/>
  <c r="T558" i="1"/>
  <c r="T792" i="1"/>
  <c r="T1057" i="1"/>
  <c r="T343" i="1"/>
  <c r="T512" i="1"/>
  <c r="T632" i="1"/>
  <c r="T350" i="1"/>
  <c r="T811" i="1"/>
  <c r="T1084" i="1"/>
  <c r="T405" i="1"/>
  <c r="T546" i="1"/>
  <c r="T666" i="1"/>
  <c r="T1045" i="1"/>
  <c r="T339" i="1"/>
  <c r="T507" i="1"/>
  <c r="T635" i="1"/>
  <c r="T821" i="1"/>
  <c r="T1078" i="1"/>
  <c r="T394" i="1"/>
  <c r="T540" i="1"/>
  <c r="T660" i="1"/>
  <c r="T401" i="1"/>
  <c r="T1056" i="1"/>
  <c r="T279" i="1"/>
  <c r="T1090" i="1"/>
  <c r="T1008" i="1"/>
  <c r="T920" i="1"/>
  <c r="T888" i="1"/>
  <c r="T779" i="1"/>
  <c r="T731" i="1"/>
  <c r="T699" i="1"/>
  <c r="T1023" i="1"/>
  <c r="T931" i="1"/>
  <c r="T895" i="1"/>
  <c r="T863" i="1"/>
  <c r="T758" i="1"/>
  <c r="T710" i="1"/>
  <c r="T1091" i="1"/>
  <c r="T1059" i="1"/>
  <c r="T822" i="1"/>
  <c r="T669" i="1"/>
  <c r="T637" i="1"/>
  <c r="T545" i="1"/>
  <c r="T509" i="1"/>
  <c r="T1022" i="1"/>
  <c r="T990" i="1"/>
  <c r="T902" i="1"/>
  <c r="T870" i="1"/>
  <c r="T765" i="1"/>
  <c r="T717" i="1"/>
  <c r="T685" i="1"/>
  <c r="T452" i="1"/>
  <c r="T925" i="1"/>
  <c r="T455" i="1"/>
  <c r="T286" i="1"/>
  <c r="T708" i="1"/>
  <c r="T1005" i="1"/>
  <c r="T454" i="1"/>
  <c r="T297" i="1"/>
  <c r="T265" i="1"/>
  <c r="T467" i="1"/>
  <c r="T909" i="1"/>
  <c r="T439" i="1"/>
  <c r="T292" i="1"/>
  <c r="T1009" i="1"/>
  <c r="T466" i="1"/>
  <c r="T913" i="1"/>
  <c r="T433" i="1"/>
  <c r="T901" i="1"/>
  <c r="T322" i="1"/>
  <c r="T494" i="1"/>
  <c r="T566" i="1"/>
  <c r="T800" i="1"/>
  <c r="T1065" i="1"/>
  <c r="T349" i="1"/>
  <c r="T520" i="1"/>
  <c r="T640" i="1"/>
  <c r="T363" i="1"/>
  <c r="T819" i="1"/>
  <c r="T1092" i="1"/>
  <c r="T490" i="1"/>
  <c r="T554" i="1"/>
  <c r="T796" i="1"/>
  <c r="T1053" i="1"/>
  <c r="T345" i="1"/>
  <c r="T515" i="1"/>
  <c r="T643" i="1"/>
  <c r="T829" i="1"/>
  <c r="T1086" i="1"/>
  <c r="T407" i="1"/>
  <c r="T548" i="1"/>
  <c r="T668" i="1"/>
  <c r="T414" i="1"/>
  <c r="T1064" i="1"/>
  <c r="T328" i="1"/>
  <c r="T1098" i="1"/>
  <c r="T1004" i="1"/>
  <c r="T916" i="1"/>
  <c r="T884" i="1"/>
  <c r="T775" i="1"/>
  <c r="T727" i="1"/>
  <c r="T695" i="1"/>
  <c r="T1019" i="1"/>
  <c r="T927" i="1"/>
  <c r="T891" i="1"/>
  <c r="T859" i="1"/>
  <c r="T754" i="1"/>
  <c r="T706" i="1"/>
  <c r="T1087" i="1"/>
  <c r="T1055" i="1"/>
  <c r="T818" i="1"/>
  <c r="T665" i="1"/>
  <c r="T633" i="1"/>
  <c r="T541" i="1"/>
  <c r="T505" i="1"/>
  <c r="T1018" i="1"/>
  <c r="T930" i="1"/>
  <c r="T898" i="1"/>
  <c r="T866" i="1"/>
  <c r="T761" i="1"/>
  <c r="T713" i="1"/>
  <c r="T681" i="1"/>
  <c r="T448" i="1"/>
  <c r="T893" i="1"/>
  <c r="T446" i="1"/>
  <c r="T282" i="1"/>
  <c r="T473" i="1"/>
  <c r="T917" i="1"/>
  <c r="T445" i="1"/>
  <c r="T293" i="1"/>
  <c r="T261" i="1"/>
  <c r="T458" i="1"/>
  <c r="T877" i="1"/>
  <c r="T430" i="1"/>
  <c r="T288" i="1"/>
  <c r="T921" i="1"/>
  <c r="T457" i="1"/>
  <c r="T881" i="1"/>
  <c r="T408" i="1"/>
  <c r="T335" i="1"/>
  <c r="T510" i="1"/>
  <c r="T630" i="1"/>
  <c r="T808" i="1"/>
  <c r="T1073" i="1"/>
  <c r="T362" i="1"/>
  <c r="T528" i="1"/>
  <c r="T648" i="1"/>
  <c r="T385" i="1"/>
  <c r="T827" i="1"/>
  <c r="T319" i="1"/>
  <c r="T498" i="1"/>
  <c r="T562" i="1"/>
  <c r="T804" i="1"/>
  <c r="T1061" i="1"/>
  <c r="T358" i="1"/>
  <c r="T523" i="1"/>
  <c r="T651" i="1"/>
  <c r="T837" i="1"/>
  <c r="T1094" i="1"/>
  <c r="T492" i="1"/>
  <c r="T556" i="1"/>
  <c r="T315" i="1"/>
  <c r="T799" i="1"/>
  <c r="T1072" i="1"/>
  <c r="T336" i="1"/>
  <c r="T1032" i="1"/>
  <c r="T1000" i="1"/>
  <c r="T912" i="1"/>
  <c r="T880" i="1"/>
  <c r="T771" i="1"/>
  <c r="T723" i="1"/>
  <c r="T691" i="1"/>
  <c r="T1015" i="1"/>
  <c r="T923" i="1"/>
  <c r="T887" i="1"/>
  <c r="T855" i="1"/>
  <c r="T750" i="1"/>
  <c r="T702" i="1"/>
  <c r="T1083" i="1"/>
  <c r="T1051" i="1"/>
  <c r="T814" i="1"/>
  <c r="T661" i="1"/>
  <c r="T629" i="1"/>
  <c r="T537" i="1"/>
  <c r="T501" i="1"/>
  <c r="T1014" i="1"/>
  <c r="T926" i="1"/>
  <c r="T894" i="1"/>
  <c r="T862" i="1"/>
  <c r="T757" i="1"/>
  <c r="T709" i="1"/>
  <c r="T480" i="1"/>
  <c r="T444" i="1"/>
  <c r="T861" i="1"/>
  <c r="T437" i="1"/>
  <c r="T278" i="1"/>
  <c r="T459" i="1"/>
  <c r="T885" i="1"/>
  <c r="T431" i="1"/>
  <c r="T289" i="1"/>
  <c r="T1017" i="1"/>
  <c r="T449" i="1"/>
  <c r="T760" i="1"/>
  <c r="T404" i="1"/>
  <c r="T284" i="1"/>
  <c r="T889" i="1"/>
  <c r="T443" i="1"/>
  <c r="T764" i="1"/>
  <c r="T360" i="1"/>
  <c r="T263" i="1"/>
  <c r="T341" i="1"/>
  <c r="T518" i="1"/>
  <c r="T638" i="1"/>
  <c r="T816" i="1"/>
  <c r="T1081" i="1"/>
  <c r="T391" i="1"/>
  <c r="T536" i="1"/>
  <c r="T656" i="1"/>
  <c r="T398" i="1"/>
  <c r="T835" i="1"/>
  <c r="T325" i="1"/>
  <c r="T506" i="1"/>
  <c r="T626" i="1"/>
  <c r="T812" i="1"/>
  <c r="T1069" i="1"/>
  <c r="T387" i="1"/>
  <c r="T531" i="1"/>
  <c r="T659" i="1"/>
  <c r="T845" i="1"/>
  <c r="T327" i="1"/>
  <c r="T500" i="1"/>
  <c r="T564" i="1"/>
  <c r="T334" i="1"/>
  <c r="T815" i="1"/>
  <c r="T1080" i="1"/>
  <c r="T429" i="1"/>
  <c r="T1028" i="1"/>
  <c r="T996" i="1"/>
  <c r="T908" i="1"/>
  <c r="T876" i="1"/>
  <c r="T767" i="1"/>
  <c r="T719" i="1"/>
  <c r="T687" i="1"/>
  <c r="T1011" i="1"/>
  <c r="T919" i="1"/>
  <c r="T883" i="1"/>
  <c r="T782" i="1"/>
  <c r="T730" i="1"/>
  <c r="T698" i="1"/>
  <c r="T1079" i="1"/>
  <c r="T1047" i="1"/>
  <c r="T810" i="1"/>
  <c r="T657" i="1"/>
  <c r="T565" i="1"/>
  <c r="T529" i="1"/>
  <c r="T497" i="1"/>
  <c r="T1010" i="1"/>
  <c r="T922" i="1"/>
  <c r="T890" i="1"/>
  <c r="T858" i="1"/>
  <c r="T753" i="1"/>
  <c r="T705" i="1"/>
  <c r="T476" i="1"/>
  <c r="T440" i="1"/>
  <c r="T776" i="1"/>
  <c r="T388" i="1"/>
  <c r="T1025" i="1"/>
  <c r="T450" i="1"/>
  <c r="T768" i="1"/>
  <c r="T412" i="1"/>
  <c r="T285" i="1"/>
  <c r="T897" i="1"/>
  <c r="T435" i="1"/>
  <c r="T712" i="1"/>
  <c r="T356" i="1"/>
  <c r="T280" i="1"/>
  <c r="T857" i="1"/>
  <c r="T434" i="1"/>
  <c r="T684" i="1"/>
  <c r="T267" i="1"/>
  <c r="T270" i="1"/>
  <c r="T354" i="1"/>
  <c r="T526" i="1"/>
  <c r="T646" i="1"/>
  <c r="T824" i="1"/>
  <c r="T1089" i="1"/>
  <c r="T397" i="1"/>
  <c r="T544" i="1"/>
  <c r="T664" i="1"/>
  <c r="T411" i="1"/>
  <c r="T843" i="1"/>
  <c r="T338" i="1"/>
  <c r="T514" i="1"/>
  <c r="T634" i="1"/>
  <c r="T820" i="1"/>
  <c r="T1077" i="1"/>
  <c r="T393" i="1"/>
  <c r="T539" i="1"/>
  <c r="T667" i="1"/>
  <c r="T1046" i="1"/>
  <c r="T333" i="1"/>
  <c r="T508" i="1"/>
  <c r="T628" i="1"/>
  <c r="T347" i="1"/>
  <c r="T823" i="1"/>
  <c r="T1088" i="1"/>
  <c r="S14" i="1"/>
  <c r="S13" i="1"/>
  <c r="D195" i="5"/>
  <c r="F5" i="3"/>
  <c r="D339" i="5"/>
  <c r="D303" i="5"/>
  <c r="D313" i="5"/>
  <c r="D102" i="5"/>
  <c r="D300" i="5"/>
  <c r="D346" i="5"/>
  <c r="D189" i="5"/>
  <c r="D100" i="5"/>
  <c r="D354" i="5"/>
  <c r="D296" i="5"/>
  <c r="D126" i="5"/>
  <c r="D36" i="5"/>
  <c r="D66" i="5"/>
  <c r="D297" i="5"/>
  <c r="D168" i="5"/>
  <c r="D282" i="5"/>
  <c r="D176" i="5"/>
  <c r="D79" i="5"/>
  <c r="D277" i="5"/>
  <c r="D129" i="5"/>
  <c r="D96" i="5"/>
  <c r="D326" i="5"/>
  <c r="D151" i="5"/>
  <c r="D315" i="5"/>
  <c r="D146" i="5"/>
  <c r="D288" i="5"/>
  <c r="D37" i="5"/>
  <c r="D155" i="5"/>
  <c r="D299" i="5"/>
  <c r="D321" i="5"/>
  <c r="D22" i="5"/>
  <c r="D180" i="5"/>
  <c r="D78" i="5"/>
  <c r="D364" i="5"/>
  <c r="D323" i="5"/>
  <c r="D145" i="5"/>
  <c r="D97" i="5"/>
  <c r="D157" i="5"/>
  <c r="D108" i="5"/>
  <c r="D289" i="5"/>
  <c r="D21" i="5"/>
  <c r="D292" i="5"/>
  <c r="D74" i="5"/>
  <c r="D104" i="5"/>
  <c r="D198" i="5"/>
  <c r="D338" i="5"/>
  <c r="D262" i="5"/>
  <c r="D141" i="5"/>
  <c r="D50" i="5"/>
  <c r="D88" i="5"/>
  <c r="D47" i="5"/>
  <c r="D83" i="5"/>
  <c r="D164" i="5"/>
  <c r="D291" i="5"/>
  <c r="D194" i="5"/>
  <c r="D32" i="5"/>
  <c r="D24" i="5"/>
  <c r="D287" i="5"/>
  <c r="D49" i="5"/>
  <c r="D173" i="5"/>
  <c r="D131" i="5"/>
  <c r="D154" i="5"/>
  <c r="D45" i="5"/>
  <c r="D295" i="5"/>
  <c r="D281" i="5"/>
  <c r="D356" i="5"/>
  <c r="D89" i="5"/>
  <c r="D80" i="5"/>
  <c r="D159" i="5"/>
  <c r="D302" i="5"/>
  <c r="D359" i="5"/>
  <c r="D322" i="5"/>
  <c r="D125" i="5"/>
  <c r="D197" i="5"/>
  <c r="D28" i="5"/>
  <c r="D266" i="5"/>
  <c r="D273" i="5"/>
  <c r="D149" i="5"/>
  <c r="D333" i="5"/>
  <c r="D84" i="5"/>
  <c r="D73" i="5"/>
  <c r="D72" i="5"/>
  <c r="D143" i="5"/>
  <c r="D294" i="5"/>
  <c r="D340" i="5"/>
  <c r="D334" i="5"/>
  <c r="D105" i="5"/>
  <c r="D280" i="5"/>
  <c r="D318" i="5"/>
  <c r="D20" i="5"/>
  <c r="D77" i="5"/>
  <c r="D186" i="5"/>
  <c r="D344" i="5"/>
  <c r="D38" i="5"/>
  <c r="D274" i="5"/>
  <c r="D172" i="5"/>
  <c r="D187" i="5"/>
  <c r="D363" i="5"/>
  <c r="D351" i="5"/>
  <c r="D130" i="5"/>
  <c r="D182" i="5"/>
  <c r="D156" i="5"/>
  <c r="D71" i="5"/>
  <c r="D179" i="5"/>
  <c r="D103" i="5"/>
  <c r="D279" i="5"/>
  <c r="D193" i="5"/>
  <c r="D107" i="5"/>
  <c r="D30" i="5"/>
  <c r="D284" i="5"/>
  <c r="D33" i="5"/>
  <c r="D23" i="5"/>
  <c r="D183" i="5"/>
  <c r="D92" i="5"/>
  <c r="D265" i="5"/>
  <c r="D352" i="5"/>
  <c r="D357" i="5"/>
  <c r="D348" i="5"/>
  <c r="D81" i="5"/>
  <c r="D330" i="5"/>
  <c r="D272" i="5"/>
  <c r="D276" i="5"/>
  <c r="D134" i="5"/>
  <c r="D263" i="5"/>
  <c r="D365" i="5"/>
  <c r="D171" i="5"/>
  <c r="D140" i="5"/>
  <c r="D85" i="5"/>
  <c r="D350" i="5"/>
  <c r="D196" i="5"/>
  <c r="D135" i="5"/>
  <c r="D93" i="5"/>
  <c r="D42" i="5"/>
  <c r="D152" i="5"/>
  <c r="D267" i="5"/>
  <c r="D63" i="5"/>
  <c r="D190" i="5"/>
  <c r="D87" i="5"/>
  <c r="D269" i="5"/>
  <c r="D110" i="5"/>
  <c r="D360" i="5"/>
  <c r="D86" i="5"/>
  <c r="D62" i="5"/>
  <c r="D99" i="5"/>
  <c r="D69" i="5"/>
  <c r="D139" i="5"/>
  <c r="D138" i="5"/>
  <c r="D160" i="5"/>
  <c r="D163" i="5"/>
  <c r="D147" i="5"/>
  <c r="D35" i="5"/>
  <c r="D199" i="5"/>
  <c r="D366" i="5"/>
  <c r="D19" i="5"/>
  <c r="D26" i="5"/>
  <c r="D185" i="5"/>
  <c r="D136" i="5"/>
  <c r="D358" i="5"/>
  <c r="D18" i="5"/>
  <c r="D177" i="5"/>
  <c r="D48" i="5"/>
  <c r="D70" i="5"/>
  <c r="D264" i="5"/>
  <c r="D174" i="5"/>
  <c r="D144" i="5"/>
  <c r="D67" i="5"/>
  <c r="D201" i="5"/>
  <c r="D123" i="5"/>
  <c r="D268" i="5"/>
  <c r="D191" i="5"/>
  <c r="D137" i="5"/>
  <c r="D43" i="5"/>
  <c r="D325" i="5"/>
  <c r="D113" i="5"/>
  <c r="D167" i="5"/>
  <c r="D46" i="5"/>
  <c r="D150" i="5"/>
  <c r="D316" i="5"/>
  <c r="D343" i="5"/>
  <c r="D148" i="5"/>
  <c r="D106" i="5"/>
  <c r="D317" i="5"/>
  <c r="D76" i="5"/>
  <c r="D34" i="5"/>
  <c r="D169" i="5"/>
  <c r="D29" i="5"/>
  <c r="D355" i="5"/>
  <c r="D275" i="5"/>
  <c r="D314" i="5"/>
  <c r="D166" i="5"/>
  <c r="D68" i="5"/>
  <c r="D90" i="5"/>
  <c r="D345" i="5"/>
  <c r="D128" i="5"/>
  <c r="D75" i="5"/>
  <c r="D132" i="5"/>
  <c r="D331" i="5"/>
  <c r="D162" i="5"/>
  <c r="D320" i="5"/>
  <c r="D319" i="5"/>
  <c r="D329" i="5"/>
  <c r="D188" i="5"/>
  <c r="D127" i="5"/>
  <c r="D341" i="5"/>
  <c r="D293" i="5"/>
  <c r="D342" i="5"/>
  <c r="D353" i="5"/>
  <c r="D94" i="5"/>
  <c r="D170" i="5"/>
  <c r="D324" i="5"/>
  <c r="D65" i="5"/>
  <c r="D336" i="5"/>
  <c r="D285" i="5"/>
  <c r="D332" i="5"/>
  <c r="D361" i="5"/>
  <c r="D111" i="5"/>
  <c r="D60" i="5"/>
  <c r="D362" i="5"/>
  <c r="D270" i="5"/>
  <c r="D124" i="5"/>
  <c r="D347" i="5"/>
  <c r="D200" i="5"/>
  <c r="D260" i="5"/>
  <c r="D261" i="5"/>
  <c r="D290" i="5"/>
  <c r="D301" i="5"/>
  <c r="D44" i="5"/>
  <c r="D41" i="5"/>
  <c r="D184" i="5"/>
  <c r="D64" i="5"/>
  <c r="D328" i="5"/>
  <c r="D259" i="5"/>
  <c r="D82" i="5"/>
  <c r="D337" i="5"/>
  <c r="D283" i="5"/>
  <c r="D95" i="5"/>
  <c r="D39" i="5"/>
  <c r="D286" i="5"/>
  <c r="D192" i="5"/>
  <c r="D278" i="5"/>
  <c r="D161" i="5"/>
  <c r="D112" i="5"/>
  <c r="D181" i="5"/>
  <c r="D101" i="5"/>
  <c r="D178" i="5"/>
  <c r="D109" i="5"/>
  <c r="D349" i="5"/>
  <c r="D327" i="5"/>
  <c r="D175" i="5"/>
  <c r="D158" i="5"/>
  <c r="D25" i="5"/>
  <c r="D40" i="5"/>
  <c r="D27" i="5"/>
  <c r="D271" i="5"/>
  <c r="D335" i="5"/>
  <c r="D98" i="5"/>
  <c r="D91" i="5"/>
  <c r="D165" i="5"/>
  <c r="D31" i="5"/>
  <c r="D133" i="5"/>
  <c r="D142" i="5"/>
  <c r="D153" i="5"/>
  <c r="D298" i="5"/>
  <c r="D61" i="5"/>
  <c r="L838" i="1"/>
  <c r="L563" i="1"/>
  <c r="L413" i="1"/>
  <c r="L533" i="1"/>
  <c r="L441" i="1"/>
  <c r="L716" i="1"/>
  <c r="L460" i="1"/>
  <c r="L1021" i="1"/>
  <c r="L351" i="1"/>
  <c r="L929" i="1"/>
  <c r="L868" i="1"/>
  <c r="L476" i="1"/>
  <c r="L655" i="1"/>
  <c r="L472" i="1"/>
  <c r="L1052" i="1"/>
  <c r="L502" i="1"/>
  <c r="L991" i="1"/>
  <c r="L778" i="1"/>
  <c r="L686" i="1"/>
  <c r="L1082" i="1"/>
  <c r="L899" i="1"/>
  <c r="L807" i="1"/>
  <c r="L290" i="1"/>
  <c r="L321" i="1"/>
  <c r="L444" i="1"/>
  <c r="L1093" i="1"/>
  <c r="L1061" i="1"/>
  <c r="L346" i="1"/>
  <c r="L1026" i="1"/>
  <c r="L1077" i="1"/>
  <c r="L1045" i="1"/>
  <c r="L330" i="1"/>
  <c r="L1081" i="1"/>
  <c r="L354" i="1"/>
  <c r="L1032" i="1"/>
  <c r="L1000" i="1"/>
  <c r="L912" i="1"/>
  <c r="L880" i="1"/>
  <c r="L771" i="1"/>
  <c r="L723" i="1"/>
  <c r="L691" i="1"/>
  <c r="L1076" i="1"/>
  <c r="L494" i="1"/>
  <c r="L270" i="1"/>
  <c r="L866" i="1"/>
  <c r="L520" i="1"/>
  <c r="L399" i="1"/>
  <c r="L500" i="1"/>
  <c r="L837" i="1"/>
  <c r="L391" i="1"/>
  <c r="L492" i="1"/>
  <c r="L1002" i="1"/>
  <c r="L568" i="1"/>
  <c r="L429" i="1"/>
  <c r="L668" i="1"/>
  <c r="L280" i="1"/>
  <c r="L268" i="1"/>
  <c r="L1046" i="1"/>
  <c r="L295" i="1"/>
  <c r="L407" i="1"/>
  <c r="L263" i="1"/>
  <c r="L470" i="1"/>
  <c r="L814" i="1"/>
  <c r="L265" i="1"/>
  <c r="L878" i="1"/>
  <c r="L438" i="1"/>
  <c r="L802" i="1"/>
  <c r="L281" i="1"/>
  <c r="L697" i="1"/>
  <c r="L329" i="1"/>
  <c r="L862" i="1"/>
  <c r="L667" i="1"/>
  <c r="L881" i="1"/>
  <c r="L414" i="1"/>
  <c r="L297" i="1"/>
  <c r="L729" i="1"/>
  <c r="L341" i="1"/>
  <c r="L491" i="1"/>
  <c r="L630" i="1"/>
  <c r="L776" i="1"/>
  <c r="L901" i="1"/>
  <c r="L390" i="1"/>
  <c r="L530" i="1"/>
  <c r="L669" i="1"/>
  <c r="L823" i="1"/>
  <c r="L927" i="1"/>
  <c r="L368" i="1"/>
  <c r="L499" i="1"/>
  <c r="L657" i="1"/>
  <c r="L811" i="1"/>
  <c r="L997" i="1"/>
  <c r="L324" i="1"/>
  <c r="L447" i="1"/>
  <c r="L551" i="1"/>
  <c r="L724" i="1"/>
  <c r="L865" i="1"/>
  <c r="L325" i="1"/>
  <c r="L474" i="1"/>
  <c r="L633" i="1"/>
  <c r="L766" i="1"/>
  <c r="L917" i="1"/>
  <c r="L305" i="1"/>
  <c r="L427" i="1"/>
  <c r="L546" i="1"/>
  <c r="L706" i="1"/>
  <c r="L873" i="1"/>
  <c r="L1071" i="1"/>
  <c r="L475" i="1"/>
  <c r="L780" i="1"/>
  <c r="L911" i="1"/>
  <c r="L826" i="1"/>
  <c r="L1073" i="1"/>
  <c r="L350" i="1"/>
  <c r="L1028" i="1"/>
  <c r="L996" i="1"/>
  <c r="L908" i="1"/>
  <c r="L876" i="1"/>
  <c r="L767" i="1"/>
  <c r="L719" i="1"/>
  <c r="L687" i="1"/>
  <c r="L1072" i="1"/>
  <c r="L302" i="1"/>
  <c r="L266" i="1"/>
  <c r="L845" i="1"/>
  <c r="L480" i="1"/>
  <c r="L319" i="1"/>
  <c r="L411" i="1"/>
  <c r="L805" i="1"/>
  <c r="L343" i="1"/>
  <c r="L403" i="1"/>
  <c r="L914" i="1"/>
  <c r="L536" i="1"/>
  <c r="L415" i="1"/>
  <c r="L636" i="1"/>
  <c r="L264" i="1"/>
  <c r="L1098" i="1"/>
  <c r="L648" i="1"/>
  <c r="L1078" i="1"/>
  <c r="L300" i="1"/>
  <c r="L299" i="1"/>
  <c r="L515" i="1"/>
  <c r="L890" i="1"/>
  <c r="L316" i="1"/>
  <c r="L893" i="1"/>
  <c r="L452" i="1"/>
  <c r="L840" i="1"/>
  <c r="L333" i="1"/>
  <c r="L765" i="1"/>
  <c r="L1030" i="1"/>
  <c r="L275" i="1"/>
  <c r="L682" i="1"/>
  <c r="L926" i="1"/>
  <c r="L509" i="1"/>
  <c r="L320" i="1"/>
  <c r="L828" i="1"/>
  <c r="L360" i="1"/>
  <c r="L497" i="1"/>
  <c r="L643" i="1"/>
  <c r="L782" i="1"/>
  <c r="L907" i="1"/>
  <c r="L396" i="1"/>
  <c r="L543" i="1"/>
  <c r="L684" i="1"/>
  <c r="L836" i="1"/>
  <c r="L1009" i="1"/>
  <c r="L397" i="1"/>
  <c r="L505" i="1"/>
  <c r="L670" i="1"/>
  <c r="L824" i="1"/>
  <c r="L1003" i="1"/>
  <c r="L337" i="1"/>
  <c r="L463" i="1"/>
  <c r="L557" i="1"/>
  <c r="L730" i="1"/>
  <c r="L871" i="1"/>
  <c r="L344" i="1"/>
  <c r="L507" i="1"/>
  <c r="L646" i="1"/>
  <c r="L800" i="1"/>
  <c r="L923" i="1"/>
  <c r="L332" i="1"/>
  <c r="L443" i="1"/>
  <c r="L559" i="1"/>
  <c r="L732" i="1"/>
  <c r="L879" i="1"/>
  <c r="L994" i="1"/>
  <c r="L1069" i="1"/>
  <c r="L342" i="1"/>
  <c r="L1024" i="1"/>
  <c r="L992" i="1"/>
  <c r="L904" i="1"/>
  <c r="L872" i="1"/>
  <c r="L763" i="1"/>
  <c r="L715" i="1"/>
  <c r="L683" i="1"/>
  <c r="L1068" i="1"/>
  <c r="L298" i="1"/>
  <c r="L262" i="1"/>
  <c r="L813" i="1"/>
  <c r="L469" i="1"/>
  <c r="L1070" i="1"/>
  <c r="L363" i="1"/>
  <c r="L664" i="1"/>
  <c r="L1094" i="1"/>
  <c r="L355" i="1"/>
  <c r="L882" i="1"/>
  <c r="L504" i="1"/>
  <c r="L367" i="1"/>
  <c r="L548" i="1"/>
  <c r="L1066" i="1"/>
  <c r="L508" i="1"/>
  <c r="L761" i="1"/>
  <c r="L886" i="1"/>
  <c r="L279" i="1"/>
  <c r="L685" i="1"/>
  <c r="L553" i="1"/>
  <c r="L913" i="1"/>
  <c r="L400" i="1"/>
  <c r="L931" i="1"/>
  <c r="L534" i="1"/>
  <c r="L894" i="1"/>
  <c r="L340" i="1"/>
  <c r="L796" i="1"/>
  <c r="L271" i="1"/>
  <c r="L303" i="1"/>
  <c r="L705" i="1"/>
  <c r="L990" i="1"/>
  <c r="L641" i="1"/>
  <c r="L365" i="1"/>
  <c r="L867" i="1"/>
  <c r="L389" i="1"/>
  <c r="L510" i="1"/>
  <c r="L649" i="1"/>
  <c r="L803" i="1"/>
  <c r="L933" i="1"/>
  <c r="L409" i="1"/>
  <c r="L549" i="1"/>
  <c r="L690" i="1"/>
  <c r="L842" i="1"/>
  <c r="L1015" i="1"/>
  <c r="L410" i="1"/>
  <c r="L518" i="1"/>
  <c r="L704" i="1"/>
  <c r="L830" i="1"/>
  <c r="L1029" i="1"/>
  <c r="L356" i="1"/>
  <c r="L479" i="1"/>
  <c r="L626" i="1"/>
  <c r="L772" i="1"/>
  <c r="L897" i="1"/>
  <c r="L357" i="1"/>
  <c r="L513" i="1"/>
  <c r="L659" i="1"/>
  <c r="L806" i="1"/>
  <c r="L1005" i="1"/>
  <c r="L345" i="1"/>
  <c r="L459" i="1"/>
  <c r="L565" i="1"/>
  <c r="L754" i="1"/>
  <c r="L905" i="1"/>
  <c r="L701" i="1"/>
  <c r="L1065" i="1"/>
  <c r="L338" i="1"/>
  <c r="L1020" i="1"/>
  <c r="L932" i="1"/>
  <c r="L900" i="1"/>
  <c r="L864" i="1"/>
  <c r="L759" i="1"/>
  <c r="L711" i="1"/>
  <c r="L1096" i="1"/>
  <c r="L1064" i="1"/>
  <c r="L294" i="1"/>
  <c r="L1090" i="1"/>
  <c r="L773" i="1"/>
  <c r="L464" i="1"/>
  <c r="L825" i="1"/>
  <c r="L331" i="1"/>
  <c r="L632" i="1"/>
  <c r="L1062" i="1"/>
  <c r="L323" i="1"/>
  <c r="L829" i="1"/>
  <c r="L477" i="1"/>
  <c r="L335" i="1"/>
  <c r="L516" i="1"/>
  <c r="L874" i="1"/>
  <c r="L449" i="1"/>
  <c r="L359" i="1"/>
  <c r="L496" i="1"/>
  <c r="L906" i="1"/>
  <c r="L777" i="1"/>
  <c r="L654" i="1"/>
  <c r="L1014" i="1"/>
  <c r="L503" i="1"/>
  <c r="L1047" i="1"/>
  <c r="L541" i="1"/>
  <c r="L902" i="1"/>
  <c r="L394" i="1"/>
  <c r="L887" i="1"/>
  <c r="L353" i="1"/>
  <c r="L454" i="1"/>
  <c r="L720" i="1"/>
  <c r="L352" i="1"/>
  <c r="L808" i="1"/>
  <c r="L388" i="1"/>
  <c r="L919" i="1"/>
  <c r="L402" i="1"/>
  <c r="L523" i="1"/>
  <c r="L662" i="1"/>
  <c r="L816" i="1"/>
  <c r="L995" i="1"/>
  <c r="L435" i="1"/>
  <c r="L562" i="1"/>
  <c r="L722" i="1"/>
  <c r="L857" i="1"/>
  <c r="L1055" i="1"/>
  <c r="L416" i="1"/>
  <c r="L531" i="1"/>
  <c r="L710" i="1"/>
  <c r="L843" i="1"/>
  <c r="L1035" i="1"/>
  <c r="L385" i="1"/>
  <c r="L493" i="1"/>
  <c r="L639" i="1"/>
  <c r="L799" i="1"/>
  <c r="L903" i="1"/>
  <c r="L386" i="1"/>
  <c r="L526" i="1"/>
  <c r="L665" i="1"/>
  <c r="L819" i="1"/>
  <c r="L1011" i="1"/>
  <c r="L358" i="1"/>
  <c r="L634" i="1"/>
  <c r="L733" i="1"/>
  <c r="L1057" i="1"/>
  <c r="L334" i="1"/>
  <c r="L1016" i="1"/>
  <c r="L928" i="1"/>
  <c r="L896" i="1"/>
  <c r="L860" i="1"/>
  <c r="L755" i="1"/>
  <c r="L707" i="1"/>
  <c r="L1092" i="1"/>
  <c r="L1060" i="1"/>
  <c r="L286" i="1"/>
  <c r="L1058" i="1"/>
  <c r="L725" i="1"/>
  <c r="L453" i="1"/>
  <c r="L793" i="1"/>
  <c r="L304" i="1"/>
  <c r="L544" i="1"/>
  <c r="L817" i="1"/>
  <c r="L292" i="1"/>
  <c r="L797" i="1"/>
  <c r="L461" i="1"/>
  <c r="L1086" i="1"/>
  <c r="L395" i="1"/>
  <c r="L713" i="1"/>
  <c r="L918" i="1"/>
  <c r="L284" i="1"/>
  <c r="L339" i="1"/>
  <c r="L1006" i="1"/>
  <c r="L1091" i="1"/>
  <c r="L661" i="1"/>
  <c r="L1022" i="1"/>
  <c r="L642" i="1"/>
  <c r="L554" i="1"/>
  <c r="L635" i="1"/>
  <c r="L1010" i="1"/>
  <c r="L439" i="1"/>
  <c r="L910" i="1"/>
  <c r="L436" i="1"/>
  <c r="L468" i="1"/>
  <c r="L774" i="1"/>
  <c r="L708" i="1"/>
  <c r="L870" i="1"/>
  <c r="L455" i="1"/>
  <c r="L998" i="1"/>
  <c r="L408" i="1"/>
  <c r="L529" i="1"/>
  <c r="L696" i="1"/>
  <c r="L822" i="1"/>
  <c r="L1027" i="1"/>
  <c r="L451" i="1"/>
  <c r="L631" i="1"/>
  <c r="L764" i="1"/>
  <c r="L863" i="1"/>
  <c r="L1087" i="1"/>
  <c r="L430" i="1"/>
  <c r="L537" i="1"/>
  <c r="L752" i="1"/>
  <c r="L877" i="1"/>
  <c r="L1075" i="1"/>
  <c r="L398" i="1"/>
  <c r="L506" i="1"/>
  <c r="L645" i="1"/>
  <c r="L812" i="1"/>
  <c r="L1017" i="1"/>
  <c r="L392" i="1"/>
  <c r="L539" i="1"/>
  <c r="L680" i="1"/>
  <c r="L832" i="1"/>
  <c r="L1051" i="1"/>
  <c r="L364" i="1"/>
  <c r="L495" i="1"/>
  <c r="L647" i="1"/>
  <c r="L794" i="1"/>
  <c r="L993" i="1"/>
  <c r="L1031" i="1"/>
  <c r="L1097" i="1"/>
  <c r="L1053" i="1"/>
  <c r="L326" i="1"/>
  <c r="L1012" i="1"/>
  <c r="L924" i="1"/>
  <c r="L892" i="1"/>
  <c r="L856" i="1"/>
  <c r="L751" i="1"/>
  <c r="L703" i="1"/>
  <c r="L1088" i="1"/>
  <c r="L1056" i="1"/>
  <c r="L282" i="1"/>
  <c r="L1018" i="1"/>
  <c r="L693" i="1"/>
  <c r="L448" i="1"/>
  <c r="L652" i="1"/>
  <c r="L288" i="1"/>
  <c r="L512" i="1"/>
  <c r="L644" i="1"/>
  <c r="L276" i="1"/>
  <c r="L757" i="1"/>
  <c r="L456" i="1"/>
  <c r="L1054" i="1"/>
  <c r="L347" i="1"/>
  <c r="L660" i="1"/>
  <c r="L781" i="1"/>
  <c r="L833" i="1"/>
  <c r="L801" i="1"/>
  <c r="L821" i="1"/>
  <c r="L269" i="1"/>
  <c r="L714" i="1"/>
  <c r="L769" i="1"/>
  <c r="L717" i="1"/>
  <c r="L287" i="1"/>
  <c r="L688" i="1"/>
  <c r="L1033" i="1"/>
  <c r="L490" i="1"/>
  <c r="L925" i="1"/>
  <c r="L547" i="1"/>
  <c r="L521" i="1"/>
  <c r="L827" i="1"/>
  <c r="L815" i="1"/>
  <c r="L922" i="1"/>
  <c r="L522" i="1"/>
  <c r="L1013" i="1"/>
  <c r="L434" i="1"/>
  <c r="L542" i="1"/>
  <c r="L702" i="1"/>
  <c r="L835" i="1"/>
  <c r="L1067" i="1"/>
  <c r="L467" i="1"/>
  <c r="L637" i="1"/>
  <c r="L770" i="1"/>
  <c r="L889" i="1"/>
  <c r="L317" i="1"/>
  <c r="L446" i="1"/>
  <c r="L550" i="1"/>
  <c r="L758" i="1"/>
  <c r="L883" i="1"/>
  <c r="L261" i="1"/>
  <c r="L404" i="1"/>
  <c r="L519" i="1"/>
  <c r="L658" i="1"/>
  <c r="L818" i="1"/>
  <c r="L1023" i="1"/>
  <c r="L405" i="1"/>
  <c r="L545" i="1"/>
  <c r="L712" i="1"/>
  <c r="L859" i="1"/>
  <c r="L1083" i="1"/>
  <c r="L393" i="1"/>
  <c r="L501" i="1"/>
  <c r="L653" i="1"/>
  <c r="L820" i="1"/>
  <c r="L999" i="1"/>
  <c r="L1063" i="1"/>
  <c r="L718" i="1"/>
  <c r="L273" i="1"/>
  <c r="L514" i="1"/>
  <c r="L666" i="1"/>
  <c r="L1089" i="1"/>
  <c r="L1049" i="1"/>
  <c r="L322" i="1"/>
  <c r="L1008" i="1"/>
  <c r="L920" i="1"/>
  <c r="L888" i="1"/>
  <c r="L779" i="1"/>
  <c r="L731" i="1"/>
  <c r="L699" i="1"/>
  <c r="L1084" i="1"/>
  <c r="L1048" i="1"/>
  <c r="L278" i="1"/>
  <c r="L930" i="1"/>
  <c r="L640" i="1"/>
  <c r="L437" i="1"/>
  <c r="L564" i="1"/>
  <c r="L272" i="1"/>
  <c r="L473" i="1"/>
  <c r="L556" i="1"/>
  <c r="L1074" i="1"/>
  <c r="L709" i="1"/>
  <c r="L445" i="1"/>
  <c r="L841" i="1"/>
  <c r="L315" i="1"/>
  <c r="L433" i="1"/>
  <c r="L528" i="1"/>
  <c r="L681" i="1"/>
  <c r="L540" i="1"/>
  <c r="L560" i="1"/>
  <c r="L291" i="1"/>
  <c r="L753" i="1"/>
  <c r="L1007" i="1"/>
  <c r="L756" i="1"/>
  <c r="L301" i="1"/>
  <c r="L726" i="1"/>
  <c r="L471" i="1"/>
  <c r="L535" i="1"/>
  <c r="L1019" i="1"/>
  <c r="L694" i="1"/>
  <c r="L566" i="1"/>
  <c r="L834" i="1"/>
  <c r="L861" i="1"/>
  <c r="L1001" i="1"/>
  <c r="L567" i="1"/>
  <c r="L1059" i="1"/>
  <c r="L450" i="1"/>
  <c r="L555" i="1"/>
  <c r="L728" i="1"/>
  <c r="L869" i="1"/>
  <c r="L348" i="1"/>
  <c r="L511" i="1"/>
  <c r="L650" i="1"/>
  <c r="L804" i="1"/>
  <c r="L895" i="1"/>
  <c r="L336" i="1"/>
  <c r="L462" i="1"/>
  <c r="L638" i="1"/>
  <c r="L792" i="1"/>
  <c r="L909" i="1"/>
  <c r="L277" i="1"/>
  <c r="L417" i="1"/>
  <c r="L525" i="1"/>
  <c r="L692" i="1"/>
  <c r="L831" i="1"/>
  <c r="L442" i="1"/>
  <c r="L558" i="1"/>
  <c r="L885" i="1"/>
  <c r="L406" i="1"/>
  <c r="L1025" i="1"/>
  <c r="L1085" i="1"/>
  <c r="L362" i="1"/>
  <c r="L318" i="1"/>
  <c r="L1004" i="1"/>
  <c r="L916" i="1"/>
  <c r="L884" i="1"/>
  <c r="L775" i="1"/>
  <c r="L727" i="1"/>
  <c r="L695" i="1"/>
  <c r="L1080" i="1"/>
  <c r="L498" i="1"/>
  <c r="L274" i="1"/>
  <c r="L898" i="1"/>
  <c r="L552" i="1"/>
  <c r="L432" i="1"/>
  <c r="L532" i="1"/>
  <c r="L1050" i="1"/>
  <c r="L457" i="1"/>
  <c r="L524" i="1"/>
  <c r="L1034" i="1"/>
  <c r="L656" i="1"/>
  <c r="L440" i="1"/>
  <c r="L809" i="1"/>
  <c r="L296" i="1"/>
  <c r="L327" i="1"/>
  <c r="L387" i="1"/>
  <c r="L628" i="1"/>
  <c r="L465" i="1"/>
  <c r="L428" i="1"/>
  <c r="L366" i="1"/>
  <c r="L768" i="1"/>
  <c r="L855" i="1"/>
  <c r="L401" i="1"/>
  <c r="L795" i="1"/>
  <c r="L267" i="1"/>
  <c r="L689" i="1"/>
  <c r="L1079" i="1"/>
  <c r="L762" i="1"/>
  <c r="L629" i="1"/>
  <c r="L858" i="1"/>
  <c r="L285" i="1"/>
  <c r="L283" i="1"/>
  <c r="L721" i="1"/>
  <c r="L328" i="1"/>
  <c r="L466" i="1"/>
  <c r="L561" i="1"/>
  <c r="L750" i="1"/>
  <c r="L875" i="1"/>
  <c r="L361" i="1"/>
  <c r="L517" i="1"/>
  <c r="L663" i="1"/>
  <c r="L810" i="1"/>
  <c r="L921" i="1"/>
  <c r="L349" i="1"/>
  <c r="L478" i="1"/>
  <c r="L651" i="1"/>
  <c r="L798" i="1"/>
  <c r="L915" i="1"/>
  <c r="L293" i="1"/>
  <c r="L431" i="1"/>
  <c r="L538" i="1"/>
  <c r="L698" i="1"/>
  <c r="L844" i="1"/>
  <c r="L1095" i="1"/>
  <c r="L458" i="1"/>
  <c r="L627" i="1"/>
  <c r="L760" i="1"/>
  <c r="L891" i="1"/>
  <c r="L289" i="1"/>
  <c r="L412" i="1"/>
  <c r="L527" i="1"/>
  <c r="L700" i="1"/>
  <c r="L839" i="1"/>
  <c r="C8" i="5"/>
  <c r="C7" i="5"/>
  <c r="K13" i="1"/>
  <c r="K14" i="1"/>
  <c r="AA14" i="1"/>
  <c r="AA13" i="1"/>
  <c r="D137" i="1"/>
  <c r="D168" i="1"/>
  <c r="D441" i="1"/>
  <c r="D290" i="1"/>
  <c r="D107" i="1"/>
  <c r="D533" i="1"/>
  <c r="D497" i="1"/>
  <c r="D82" i="1"/>
  <c r="D401" i="1"/>
  <c r="D130" i="1"/>
  <c r="D35" i="1"/>
  <c r="D115" i="1"/>
  <c r="D187" i="1"/>
  <c r="D315" i="1"/>
  <c r="D537" i="1"/>
  <c r="D409" i="1"/>
  <c r="D46" i="1"/>
  <c r="D126" i="1"/>
  <c r="D190" i="1"/>
  <c r="D326" i="1"/>
  <c r="D806" i="1"/>
  <c r="D718" i="1"/>
  <c r="D891" i="1"/>
  <c r="D1049" i="1"/>
  <c r="D355" i="1"/>
  <c r="D548" i="1"/>
  <c r="D476" i="1"/>
  <c r="D404" i="1"/>
  <c r="D73" i="1"/>
  <c r="D153" i="1"/>
  <c r="D79" i="1"/>
  <c r="D151" i="1"/>
  <c r="D36" i="1"/>
  <c r="D132" i="1"/>
  <c r="D838" i="1"/>
  <c r="D778" i="1"/>
  <c r="D413" i="1"/>
  <c r="D686" i="1"/>
  <c r="D472" i="1"/>
  <c r="D807" i="1"/>
  <c r="D417" i="1"/>
  <c r="D146" i="1"/>
  <c r="D641" i="1"/>
  <c r="D50" i="1"/>
  <c r="D154" i="1"/>
  <c r="D51" i="1"/>
  <c r="D139" i="1"/>
  <c r="D203" i="1"/>
  <c r="D331" i="1"/>
  <c r="D473" i="1"/>
  <c r="D669" i="1"/>
  <c r="D70" i="1"/>
  <c r="D142" i="1"/>
  <c r="D270" i="1"/>
  <c r="D342" i="1"/>
  <c r="D782" i="1"/>
  <c r="D702" i="1"/>
  <c r="D875" i="1"/>
  <c r="D1025" i="1"/>
  <c r="D652" i="1"/>
  <c r="D532" i="1"/>
  <c r="D460" i="1"/>
  <c r="D191" i="1"/>
  <c r="D89" i="1"/>
  <c r="D23" i="1"/>
  <c r="D95" i="1"/>
  <c r="D899" i="1"/>
  <c r="D351" i="1"/>
  <c r="D716" i="1"/>
  <c r="D655" i="1"/>
  <c r="D76" i="1"/>
  <c r="D868" i="1"/>
  <c r="D666" i="1"/>
  <c r="D170" i="1"/>
  <c r="D561" i="1"/>
  <c r="D66" i="1"/>
  <c r="D162" i="1"/>
  <c r="D67" i="1"/>
  <c r="D147" i="1"/>
  <c r="D267" i="1"/>
  <c r="D339" i="1"/>
  <c r="D393" i="1"/>
  <c r="D78" i="1"/>
  <c r="D150" i="1"/>
  <c r="D278" i="1"/>
  <c r="D350" i="1"/>
  <c r="D774" i="1"/>
  <c r="D694" i="1"/>
  <c r="D867" i="1"/>
  <c r="D1064" i="1"/>
  <c r="D644" i="1"/>
  <c r="D524" i="1"/>
  <c r="D452" i="1"/>
  <c r="D25" i="1"/>
  <c r="D1082" i="1"/>
  <c r="D198" i="1"/>
  <c r="D929" i="1"/>
  <c r="D991" i="1"/>
  <c r="D1021" i="1"/>
  <c r="D194" i="1"/>
  <c r="D529" i="1"/>
  <c r="D74" i="1"/>
  <c r="D178" i="1"/>
  <c r="D75" i="1"/>
  <c r="D155" i="1"/>
  <c r="D275" i="1"/>
  <c r="D657" i="1"/>
  <c r="D86" i="1"/>
  <c r="D158" i="1"/>
  <c r="D286" i="1"/>
  <c r="D358" i="1"/>
  <c r="D661" i="1"/>
  <c r="D766" i="1"/>
  <c r="D931" i="1"/>
  <c r="D1020" i="1"/>
  <c r="D1052" i="1"/>
  <c r="D563" i="1"/>
  <c r="D502" i="1"/>
  <c r="D649" i="1"/>
  <c r="D26" i="1"/>
  <c r="D274" i="1"/>
  <c r="D465" i="1"/>
  <c r="D98" i="1"/>
  <c r="D202" i="1"/>
  <c r="D91" i="1"/>
  <c r="D171" i="1"/>
  <c r="D291" i="1"/>
  <c r="D521" i="1"/>
  <c r="D30" i="1"/>
  <c r="D102" i="1"/>
  <c r="D174" i="1"/>
  <c r="D302" i="1"/>
  <c r="D822" i="1"/>
  <c r="D750" i="1"/>
  <c r="D915" i="1"/>
  <c r="D1004" i="1"/>
  <c r="D48" i="1"/>
  <c r="D321" i="1"/>
  <c r="D545" i="1"/>
  <c r="D42" i="1"/>
  <c r="D282" i="1"/>
  <c r="D433" i="1"/>
  <c r="D114" i="1"/>
  <c r="D27" i="1"/>
  <c r="D99" i="1"/>
  <c r="D179" i="1"/>
  <c r="D299" i="1"/>
  <c r="D633" i="1"/>
  <c r="D457" i="1"/>
  <c r="D38" i="1"/>
  <c r="D110" i="1"/>
  <c r="D182" i="1"/>
  <c r="D318" i="1"/>
  <c r="D814" i="1"/>
  <c r="D726" i="1"/>
  <c r="D907" i="1"/>
  <c r="D996" i="1"/>
  <c r="D347" i="1"/>
  <c r="D266" i="1"/>
  <c r="D83" i="1"/>
  <c r="D553" i="1"/>
  <c r="D294" i="1"/>
  <c r="D830" i="1"/>
  <c r="D1090" i="1"/>
  <c r="D540" i="1"/>
  <c r="D428" i="1"/>
  <c r="D97" i="1"/>
  <c r="D47" i="1"/>
  <c r="D143" i="1"/>
  <c r="D44" i="1"/>
  <c r="D148" i="1"/>
  <c r="D85" i="1"/>
  <c r="D157" i="1"/>
  <c r="D779" i="1"/>
  <c r="D699" i="1"/>
  <c r="D888" i="1"/>
  <c r="D1054" i="1"/>
  <c r="D1095" i="1"/>
  <c r="D560" i="1"/>
  <c r="D416" i="1"/>
  <c r="D818" i="1"/>
  <c r="D722" i="1"/>
  <c r="D911" i="1"/>
  <c r="D1008" i="1"/>
  <c r="D1086" i="1"/>
  <c r="D335" i="1"/>
  <c r="D536" i="1"/>
  <c r="D32" i="1"/>
  <c r="D112" i="1"/>
  <c r="D192" i="1"/>
  <c r="D320" i="1"/>
  <c r="D647" i="1"/>
  <c r="D527" i="1"/>
  <c r="D281" i="1"/>
  <c r="D361" i="1"/>
  <c r="D550" i="1"/>
  <c r="D470" i="1"/>
  <c r="D398" i="1"/>
  <c r="D808" i="1"/>
  <c r="D720" i="1"/>
  <c r="D917" i="1"/>
  <c r="D1014" i="1"/>
  <c r="D1058" i="1"/>
  <c r="D196" i="1"/>
  <c r="D332" i="1"/>
  <c r="D635" i="1"/>
  <c r="D507" i="1"/>
  <c r="D435" i="1"/>
  <c r="D837" i="1"/>
  <c r="D765" i="1"/>
  <c r="D685" i="1"/>
  <c r="D874" i="1"/>
  <c r="D1032" i="1"/>
  <c r="D173" i="1"/>
  <c r="D293" i="1"/>
  <c r="D365" i="1"/>
  <c r="D546" i="1"/>
  <c r="D474" i="1"/>
  <c r="D394" i="1"/>
  <c r="D804" i="1"/>
  <c r="D708" i="1"/>
  <c r="D889" i="1"/>
  <c r="D1055" i="1"/>
  <c r="D1096" i="1"/>
  <c r="D455" i="1"/>
  <c r="D664" i="1"/>
  <c r="D793" i="1"/>
  <c r="D705" i="1"/>
  <c r="D894" i="1"/>
  <c r="D1028" i="1"/>
  <c r="D322" i="1"/>
  <c r="D645" i="1"/>
  <c r="D517" i="1"/>
  <c r="D445" i="1"/>
  <c r="D505" i="1"/>
  <c r="D163" i="1"/>
  <c r="D22" i="1"/>
  <c r="D366" i="1"/>
  <c r="D758" i="1"/>
  <c r="D1098" i="1"/>
  <c r="D508" i="1"/>
  <c r="D396" i="1"/>
  <c r="D113" i="1"/>
  <c r="D71" i="1"/>
  <c r="D167" i="1"/>
  <c r="D68" i="1"/>
  <c r="D21" i="1"/>
  <c r="D101" i="1"/>
  <c r="D835" i="1"/>
  <c r="D763" i="1"/>
  <c r="D683" i="1"/>
  <c r="D872" i="1"/>
  <c r="D1030" i="1"/>
  <c r="D287" i="1"/>
  <c r="D528" i="1"/>
  <c r="D400" i="1"/>
  <c r="D802" i="1"/>
  <c r="D706" i="1"/>
  <c r="D895" i="1"/>
  <c r="D992" i="1"/>
  <c r="D1070" i="1"/>
  <c r="D359" i="1"/>
  <c r="D504" i="1"/>
  <c r="D64" i="1"/>
  <c r="D136" i="1"/>
  <c r="D264" i="1"/>
  <c r="D336" i="1"/>
  <c r="D631" i="1"/>
  <c r="D177" i="1"/>
  <c r="D297" i="1"/>
  <c r="D654" i="1"/>
  <c r="D534" i="1"/>
  <c r="D454" i="1"/>
  <c r="D663" i="1"/>
  <c r="D792" i="1"/>
  <c r="D704" i="1"/>
  <c r="D901" i="1"/>
  <c r="D998" i="1"/>
  <c r="D1076" i="1"/>
  <c r="D276" i="1"/>
  <c r="D348" i="1"/>
  <c r="D555" i="1"/>
  <c r="D491" i="1"/>
  <c r="D411" i="1"/>
  <c r="D821" i="1"/>
  <c r="D733" i="1"/>
  <c r="D922" i="1"/>
  <c r="D1019" i="1"/>
  <c r="D1063" i="1"/>
  <c r="D189" i="1"/>
  <c r="D317" i="1"/>
  <c r="D650" i="1"/>
  <c r="D530" i="1"/>
  <c r="D458" i="1"/>
  <c r="D860" i="1"/>
  <c r="D780" i="1"/>
  <c r="D692" i="1"/>
  <c r="D873" i="1"/>
  <c r="D1031" i="1"/>
  <c r="D511" i="1"/>
  <c r="D439" i="1"/>
  <c r="D841" i="1"/>
  <c r="D769" i="1"/>
  <c r="D689" i="1"/>
  <c r="D878" i="1"/>
  <c r="D1059" i="1"/>
  <c r="D338" i="1"/>
  <c r="D34" i="1"/>
  <c r="D195" i="1"/>
  <c r="D62" i="1"/>
  <c r="D710" i="1"/>
  <c r="D363" i="1"/>
  <c r="D500" i="1"/>
  <c r="D33" i="1"/>
  <c r="D129" i="1"/>
  <c r="D87" i="1"/>
  <c r="D175" i="1"/>
  <c r="D84" i="1"/>
  <c r="D29" i="1"/>
  <c r="D109" i="1"/>
  <c r="D827" i="1"/>
  <c r="D755" i="1"/>
  <c r="D928" i="1"/>
  <c r="D864" i="1"/>
  <c r="D1022" i="1"/>
  <c r="D303" i="1"/>
  <c r="D512" i="1"/>
  <c r="D665" i="1"/>
  <c r="D794" i="1"/>
  <c r="D698" i="1"/>
  <c r="D887" i="1"/>
  <c r="D1053" i="1"/>
  <c r="D1094" i="1"/>
  <c r="D388" i="1"/>
  <c r="D480" i="1"/>
  <c r="D72" i="1"/>
  <c r="D144" i="1"/>
  <c r="D272" i="1"/>
  <c r="D344" i="1"/>
  <c r="D567" i="1"/>
  <c r="D185" i="1"/>
  <c r="D305" i="1"/>
  <c r="D646" i="1"/>
  <c r="D526" i="1"/>
  <c r="D446" i="1"/>
  <c r="D856" i="1"/>
  <c r="D776" i="1"/>
  <c r="D696" i="1"/>
  <c r="D893" i="1"/>
  <c r="D990" i="1"/>
  <c r="D1092" i="1"/>
  <c r="D284" i="1"/>
  <c r="D356" i="1"/>
  <c r="D547" i="1"/>
  <c r="D475" i="1"/>
  <c r="D403" i="1"/>
  <c r="D813" i="1"/>
  <c r="D725" i="1"/>
  <c r="D914" i="1"/>
  <c r="D1011" i="1"/>
  <c r="D1089" i="1"/>
  <c r="D197" i="1"/>
  <c r="D325" i="1"/>
  <c r="D642" i="1"/>
  <c r="D522" i="1"/>
  <c r="D450" i="1"/>
  <c r="D844" i="1"/>
  <c r="D772" i="1"/>
  <c r="D684" i="1"/>
  <c r="D865" i="1"/>
  <c r="D1023" i="1"/>
  <c r="D503" i="1"/>
  <c r="D431" i="1"/>
  <c r="D833" i="1"/>
  <c r="D761" i="1"/>
  <c r="D681" i="1"/>
  <c r="D449" i="1"/>
  <c r="D90" i="1"/>
  <c r="D283" i="1"/>
  <c r="D94" i="1"/>
  <c r="D923" i="1"/>
  <c r="D636" i="1"/>
  <c r="D492" i="1"/>
  <c r="D41" i="1"/>
  <c r="D145" i="1"/>
  <c r="D103" i="1"/>
  <c r="D183" i="1"/>
  <c r="D92" i="1"/>
  <c r="D37" i="1"/>
  <c r="D125" i="1"/>
  <c r="D819" i="1"/>
  <c r="D731" i="1"/>
  <c r="D920" i="1"/>
  <c r="D1017" i="1"/>
  <c r="D1061" i="1"/>
  <c r="D327" i="1"/>
  <c r="D496" i="1"/>
  <c r="D858" i="1"/>
  <c r="D770" i="1"/>
  <c r="D690" i="1"/>
  <c r="D879" i="1"/>
  <c r="D1045" i="1"/>
  <c r="D271" i="1"/>
  <c r="D648" i="1"/>
  <c r="D464" i="1"/>
  <c r="D80" i="1"/>
  <c r="D152" i="1"/>
  <c r="D280" i="1"/>
  <c r="D352" i="1"/>
  <c r="D559" i="1"/>
  <c r="D193" i="1"/>
  <c r="D329" i="1"/>
  <c r="D638" i="1"/>
  <c r="D518" i="1"/>
  <c r="D438" i="1"/>
  <c r="D840" i="1"/>
  <c r="D768" i="1"/>
  <c r="D688" i="1"/>
  <c r="D885" i="1"/>
  <c r="D1051" i="1"/>
  <c r="D164" i="1"/>
  <c r="D292" i="1"/>
  <c r="D364" i="1"/>
  <c r="D539" i="1"/>
  <c r="D467" i="1"/>
  <c r="D395" i="1"/>
  <c r="D805" i="1"/>
  <c r="D717" i="1"/>
  <c r="D906" i="1"/>
  <c r="D1003" i="1"/>
  <c r="D1081" i="1"/>
  <c r="D261" i="1"/>
  <c r="D333" i="1"/>
  <c r="D634" i="1"/>
  <c r="D514" i="1"/>
  <c r="D442" i="1"/>
  <c r="D836" i="1"/>
  <c r="D764" i="1"/>
  <c r="D921" i="1"/>
  <c r="D1018" i="1"/>
  <c r="D1062" i="1"/>
  <c r="D495" i="1"/>
  <c r="D415" i="1"/>
  <c r="D825" i="1"/>
  <c r="D753" i="1"/>
  <c r="D926" i="1"/>
  <c r="D862" i="1"/>
  <c r="D1077" i="1"/>
  <c r="D354" i="1"/>
  <c r="D557" i="1"/>
  <c r="D477" i="1"/>
  <c r="D186" i="1"/>
  <c r="D166" i="1"/>
  <c r="D1012" i="1"/>
  <c r="D564" i="1"/>
  <c r="D444" i="1"/>
  <c r="D65" i="1"/>
  <c r="D31" i="1"/>
  <c r="D127" i="1"/>
  <c r="D20" i="1"/>
  <c r="D108" i="1"/>
  <c r="D69" i="1"/>
  <c r="D141" i="1"/>
  <c r="D803" i="1"/>
  <c r="D715" i="1"/>
  <c r="D904" i="1"/>
  <c r="D1001" i="1"/>
  <c r="D1079" i="1"/>
  <c r="D656" i="1"/>
  <c r="D440" i="1"/>
  <c r="D834" i="1"/>
  <c r="D754" i="1"/>
  <c r="D927" i="1"/>
  <c r="D863" i="1"/>
  <c r="D1068" i="1"/>
  <c r="D295" i="1"/>
  <c r="D568" i="1"/>
  <c r="D392" i="1"/>
  <c r="D96" i="1"/>
  <c r="D176" i="1"/>
  <c r="D296" i="1"/>
  <c r="D368" i="1"/>
  <c r="D543" i="1"/>
  <c r="D265" i="1"/>
  <c r="D345" i="1"/>
  <c r="D566" i="1"/>
  <c r="D494" i="1"/>
  <c r="D414" i="1"/>
  <c r="D824" i="1"/>
  <c r="D752" i="1"/>
  <c r="D933" i="1"/>
  <c r="D869" i="1"/>
  <c r="D1027" i="1"/>
  <c r="D180" i="1"/>
  <c r="D316" i="1"/>
  <c r="D651" i="1"/>
  <c r="D523" i="1"/>
  <c r="D451" i="1"/>
  <c r="D660" i="1"/>
  <c r="D781" i="1"/>
  <c r="D701" i="1"/>
  <c r="D890" i="1"/>
  <c r="D1056" i="1"/>
  <c r="D1097" i="1"/>
  <c r="D277" i="1"/>
  <c r="D349" i="1"/>
  <c r="D562" i="1"/>
  <c r="D498" i="1"/>
  <c r="D410" i="1"/>
  <c r="D820" i="1"/>
  <c r="D732" i="1"/>
  <c r="D905" i="1"/>
  <c r="D1002" i="1"/>
  <c r="D1080" i="1"/>
  <c r="D471" i="1"/>
  <c r="D399" i="1"/>
  <c r="D809" i="1"/>
  <c r="D721" i="1"/>
  <c r="D910" i="1"/>
  <c r="D1007" i="1"/>
  <c r="D1093" i="1"/>
  <c r="D385" i="1"/>
  <c r="D106" i="1"/>
  <c r="D43" i="1"/>
  <c r="D513" i="1"/>
  <c r="D262" i="1"/>
  <c r="D1033" i="1"/>
  <c r="D556" i="1"/>
  <c r="D436" i="1"/>
  <c r="D81" i="1"/>
  <c r="D39" i="1"/>
  <c r="D135" i="1"/>
  <c r="D28" i="1"/>
  <c r="D140" i="1"/>
  <c r="D77" i="1"/>
  <c r="D149" i="1"/>
  <c r="D795" i="1"/>
  <c r="D707" i="1"/>
  <c r="D896" i="1"/>
  <c r="D993" i="1"/>
  <c r="D1071" i="1"/>
  <c r="D640" i="1"/>
  <c r="D432" i="1"/>
  <c r="D826" i="1"/>
  <c r="D730" i="1"/>
  <c r="D919" i="1"/>
  <c r="D1016" i="1"/>
  <c r="D1060" i="1"/>
  <c r="D319" i="1"/>
  <c r="D552" i="1"/>
  <c r="D24" i="1"/>
  <c r="D104" i="1"/>
  <c r="D184" i="1"/>
  <c r="D304" i="1"/>
  <c r="D387" i="1"/>
  <c r="D535" i="1"/>
  <c r="D273" i="1"/>
  <c r="D353" i="1"/>
  <c r="D558" i="1"/>
  <c r="D478" i="1"/>
  <c r="D406" i="1"/>
  <c r="D816" i="1"/>
  <c r="D728" i="1"/>
  <c r="D925" i="1"/>
  <c r="D861" i="1"/>
  <c r="D1066" i="1"/>
  <c r="D188" i="1"/>
  <c r="D324" i="1"/>
  <c r="D643" i="1"/>
  <c r="D515" i="1"/>
  <c r="D443" i="1"/>
  <c r="D845" i="1"/>
  <c r="D773" i="1"/>
  <c r="D693" i="1"/>
  <c r="D882" i="1"/>
  <c r="D1048" i="1"/>
  <c r="D165" i="1"/>
  <c r="D285" i="1"/>
  <c r="D357" i="1"/>
  <c r="D554" i="1"/>
  <c r="D490" i="1"/>
  <c r="D402" i="1"/>
  <c r="D812" i="1"/>
  <c r="D724" i="1"/>
  <c r="D897" i="1"/>
  <c r="D994" i="1"/>
  <c r="D1072" i="1"/>
  <c r="D463" i="1"/>
  <c r="D391" i="1"/>
  <c r="D801" i="1"/>
  <c r="D713" i="1"/>
  <c r="D902" i="1"/>
  <c r="D323" i="1"/>
  <c r="D628" i="1"/>
  <c r="D111" i="1"/>
  <c r="D133" i="1"/>
  <c r="D1009" i="1"/>
  <c r="D842" i="1"/>
  <c r="D1029" i="1"/>
  <c r="D88" i="1"/>
  <c r="D551" i="1"/>
  <c r="D510" i="1"/>
  <c r="D680" i="1"/>
  <c r="D300" i="1"/>
  <c r="D668" i="1"/>
  <c r="D995" i="1"/>
  <c r="D626" i="1"/>
  <c r="D756" i="1"/>
  <c r="D479" i="1"/>
  <c r="D918" i="1"/>
  <c r="D298" i="1"/>
  <c r="D549" i="1"/>
  <c r="D453" i="1"/>
  <c r="D839" i="1"/>
  <c r="D751" i="1"/>
  <c r="D924" i="1"/>
  <c r="D1005" i="1"/>
  <c r="D1075" i="1"/>
  <c r="D859" i="1"/>
  <c r="D516" i="1"/>
  <c r="D159" i="1"/>
  <c r="D843" i="1"/>
  <c r="D1046" i="1"/>
  <c r="D810" i="1"/>
  <c r="D1078" i="1"/>
  <c r="D128" i="1"/>
  <c r="D169" i="1"/>
  <c r="D462" i="1"/>
  <c r="D909" i="1"/>
  <c r="D340" i="1"/>
  <c r="D829" i="1"/>
  <c r="D1024" i="1"/>
  <c r="D538" i="1"/>
  <c r="D700" i="1"/>
  <c r="D447" i="1"/>
  <c r="D886" i="1"/>
  <c r="D330" i="1"/>
  <c r="D541" i="1"/>
  <c r="D437" i="1"/>
  <c r="D831" i="1"/>
  <c r="D727" i="1"/>
  <c r="D916" i="1"/>
  <c r="D997" i="1"/>
  <c r="D1091" i="1"/>
  <c r="D134" i="1"/>
  <c r="D468" i="1"/>
  <c r="D199" i="1"/>
  <c r="D811" i="1"/>
  <c r="D1087" i="1"/>
  <c r="D762" i="1"/>
  <c r="D279" i="1"/>
  <c r="D160" i="1"/>
  <c r="D201" i="1"/>
  <c r="D430" i="1"/>
  <c r="D877" i="1"/>
  <c r="D659" i="1"/>
  <c r="D797" i="1"/>
  <c r="D1073" i="1"/>
  <c r="D506" i="1"/>
  <c r="D913" i="1"/>
  <c r="D407" i="1"/>
  <c r="D870" i="1"/>
  <c r="D346" i="1"/>
  <c r="D525" i="1"/>
  <c r="D429" i="1"/>
  <c r="D823" i="1"/>
  <c r="D719" i="1"/>
  <c r="D908" i="1"/>
  <c r="D1050" i="1"/>
  <c r="D334" i="1"/>
  <c r="D412" i="1"/>
  <c r="D52" i="1"/>
  <c r="D771" i="1"/>
  <c r="D263" i="1"/>
  <c r="D714" i="1"/>
  <c r="D343" i="1"/>
  <c r="D200" i="1"/>
  <c r="D289" i="1"/>
  <c r="D390" i="1"/>
  <c r="D1006" i="1"/>
  <c r="D627" i="1"/>
  <c r="D757" i="1"/>
  <c r="D181" i="1"/>
  <c r="D466" i="1"/>
  <c r="D881" i="1"/>
  <c r="D857" i="1"/>
  <c r="D1015" i="1"/>
  <c r="D362" i="1"/>
  <c r="D509" i="1"/>
  <c r="D405" i="1"/>
  <c r="D815" i="1"/>
  <c r="D711" i="1"/>
  <c r="D900" i="1"/>
  <c r="D1034" i="1"/>
  <c r="D49" i="1"/>
  <c r="D100" i="1"/>
  <c r="D723" i="1"/>
  <c r="D367" i="1"/>
  <c r="D682" i="1"/>
  <c r="D632" i="1"/>
  <c r="D288" i="1"/>
  <c r="D337" i="1"/>
  <c r="D832" i="1"/>
  <c r="D1035" i="1"/>
  <c r="D531" i="1"/>
  <c r="D709" i="1"/>
  <c r="D269" i="1"/>
  <c r="D434" i="1"/>
  <c r="D1010" i="1"/>
  <c r="D817" i="1"/>
  <c r="D999" i="1"/>
  <c r="D653" i="1"/>
  <c r="D501" i="1"/>
  <c r="D397" i="1"/>
  <c r="D799" i="1"/>
  <c r="D703" i="1"/>
  <c r="D892" i="1"/>
  <c r="D1026" i="1"/>
  <c r="D389" i="1"/>
  <c r="D798" i="1"/>
  <c r="D105" i="1"/>
  <c r="D156" i="1"/>
  <c r="D691" i="1"/>
  <c r="D544" i="1"/>
  <c r="D903" i="1"/>
  <c r="D520" i="1"/>
  <c r="D328" i="1"/>
  <c r="D386" i="1"/>
  <c r="D800" i="1"/>
  <c r="D1084" i="1"/>
  <c r="D499" i="1"/>
  <c r="D930" i="1"/>
  <c r="D301" i="1"/>
  <c r="D667" i="1"/>
  <c r="D1047" i="1"/>
  <c r="D777" i="1"/>
  <c r="D1067" i="1"/>
  <c r="D637" i="1"/>
  <c r="D493" i="1"/>
  <c r="D670" i="1"/>
  <c r="D775" i="1"/>
  <c r="D695" i="1"/>
  <c r="D884" i="1"/>
  <c r="D1065" i="1"/>
  <c r="D138" i="1"/>
  <c r="D883" i="1"/>
  <c r="D161" i="1"/>
  <c r="D45" i="1"/>
  <c r="D912" i="1"/>
  <c r="D456" i="1"/>
  <c r="D871" i="1"/>
  <c r="D448" i="1"/>
  <c r="D360" i="1"/>
  <c r="D630" i="1"/>
  <c r="D760" i="1"/>
  <c r="D172" i="1"/>
  <c r="D459" i="1"/>
  <c r="D898" i="1"/>
  <c r="D341" i="1"/>
  <c r="D828" i="1"/>
  <c r="D1088" i="1"/>
  <c r="D729" i="1"/>
  <c r="D1085" i="1"/>
  <c r="D629" i="1"/>
  <c r="D469" i="1"/>
  <c r="D662" i="1"/>
  <c r="D767" i="1"/>
  <c r="D687" i="1"/>
  <c r="D876" i="1"/>
  <c r="D1057" i="1"/>
  <c r="D131" i="1"/>
  <c r="D1074" i="1"/>
  <c r="D63" i="1"/>
  <c r="D93" i="1"/>
  <c r="D880" i="1"/>
  <c r="D408" i="1"/>
  <c r="D1000" i="1"/>
  <c r="D40" i="1"/>
  <c r="D639" i="1"/>
  <c r="D542" i="1"/>
  <c r="D712" i="1"/>
  <c r="D268" i="1"/>
  <c r="D427" i="1"/>
  <c r="D866" i="1"/>
  <c r="D658" i="1"/>
  <c r="D796" i="1"/>
  <c r="D519" i="1"/>
  <c r="D697" i="1"/>
  <c r="D1069" i="1"/>
  <c r="D565" i="1"/>
  <c r="D461" i="1"/>
  <c r="D855" i="1"/>
  <c r="D759" i="1"/>
  <c r="D932" i="1"/>
  <c r="D1013" i="1"/>
  <c r="D1083" i="1"/>
  <c r="AB1082" i="1"/>
  <c r="AB655" i="1"/>
  <c r="AB413" i="1"/>
  <c r="AB807" i="1"/>
  <c r="AB387" i="1"/>
  <c r="AB533" i="1"/>
  <c r="AB991" i="1"/>
  <c r="AB1021" i="1"/>
  <c r="AB716" i="1"/>
  <c r="AB502" i="1"/>
  <c r="AB472" i="1"/>
  <c r="AB563" i="1"/>
  <c r="AB868" i="1"/>
  <c r="AB686" i="1"/>
  <c r="AB441" i="1"/>
  <c r="AB899" i="1"/>
  <c r="AB1052" i="1"/>
  <c r="AB838" i="1"/>
  <c r="AB929" i="1"/>
  <c r="AB778" i="1"/>
  <c r="AB478" i="1"/>
  <c r="AB1065" i="1"/>
  <c r="AB825" i="1"/>
  <c r="AB1025" i="1"/>
  <c r="AB490" i="1"/>
  <c r="AB554" i="1"/>
  <c r="AB1050" i="1"/>
  <c r="AB809" i="1"/>
  <c r="AB1017" i="1"/>
  <c r="AB507" i="1"/>
  <c r="AB635" i="1"/>
  <c r="AB819" i="1"/>
  <c r="AB406" i="1"/>
  <c r="AB477" i="1"/>
  <c r="AB548" i="1"/>
  <c r="AB668" i="1"/>
  <c r="AB804" i="1"/>
  <c r="AB1076" i="1"/>
  <c r="AB805" i="1"/>
  <c r="AB877" i="1"/>
  <c r="AB997" i="1"/>
  <c r="AB1077" i="1"/>
  <c r="AB494" i="1"/>
  <c r="AB566" i="1"/>
  <c r="AB1054" i="1"/>
  <c r="AB1024" i="1"/>
  <c r="AB992" i="1"/>
  <c r="AB904" i="1"/>
  <c r="AB872" i="1"/>
  <c r="AB763" i="1"/>
  <c r="AB715" i="1"/>
  <c r="AB683" i="1"/>
  <c r="AB1007" i="1"/>
  <c r="AB915" i="1"/>
  <c r="AB879" i="1"/>
  <c r="AB774" i="1"/>
  <c r="AB726" i="1"/>
  <c r="AB694" i="1"/>
  <c r="AB1055" i="1"/>
  <c r="AB818" i="1"/>
  <c r="AB665" i="1"/>
  <c r="AB633" i="1"/>
  <c r="AB541" i="1"/>
  <c r="AB505" i="1"/>
  <c r="AB400" i="1"/>
  <c r="AB1018" i="1"/>
  <c r="AB930" i="1"/>
  <c r="AB898" i="1"/>
  <c r="AB866" i="1"/>
  <c r="AB761" i="1"/>
  <c r="AB713" i="1"/>
  <c r="AB681" i="1"/>
  <c r="AB448" i="1"/>
  <c r="AB708" i="1"/>
  <c r="AB479" i="1"/>
  <c r="AB447" i="1"/>
  <c r="AB401" i="1"/>
  <c r="AB535" i="1"/>
  <c r="AB663" i="1"/>
  <c r="AB1095" i="1"/>
  <c r="AB458" i="1"/>
  <c r="AB536" i="1"/>
  <c r="AB656" i="1"/>
  <c r="AB800" i="1"/>
  <c r="AB1064" i="1"/>
  <c r="AB1073" i="1"/>
  <c r="AB841" i="1"/>
  <c r="AB1049" i="1"/>
  <c r="AB498" i="1"/>
  <c r="AB562" i="1"/>
  <c r="AB1058" i="1"/>
  <c r="AB833" i="1"/>
  <c r="AB1033" i="1"/>
  <c r="AB515" i="1"/>
  <c r="AB643" i="1"/>
  <c r="AB827" i="1"/>
  <c r="AB414" i="1"/>
  <c r="AB492" i="1"/>
  <c r="AB556" i="1"/>
  <c r="AB724" i="1"/>
  <c r="AB812" i="1"/>
  <c r="AB1084" i="1"/>
  <c r="AB813" i="1"/>
  <c r="AB885" i="1"/>
  <c r="AB1005" i="1"/>
  <c r="AB1085" i="1"/>
  <c r="AB510" i="1"/>
  <c r="AB630" i="1"/>
  <c r="AB1062" i="1"/>
  <c r="AB1020" i="1"/>
  <c r="AB932" i="1"/>
  <c r="AB900" i="1"/>
  <c r="AB864" i="1"/>
  <c r="AB759" i="1"/>
  <c r="AB711" i="1"/>
  <c r="AB1035" i="1"/>
  <c r="AB1003" i="1"/>
  <c r="AB911" i="1"/>
  <c r="AB875" i="1"/>
  <c r="AB770" i="1"/>
  <c r="AB722" i="1"/>
  <c r="AB690" i="1"/>
  <c r="AB1051" i="1"/>
  <c r="AB814" i="1"/>
  <c r="AB661" i="1"/>
  <c r="AB629" i="1"/>
  <c r="AB537" i="1"/>
  <c r="AB501" i="1"/>
  <c r="AB396" i="1"/>
  <c r="AB1014" i="1"/>
  <c r="AB926" i="1"/>
  <c r="AB894" i="1"/>
  <c r="AB862" i="1"/>
  <c r="AB757" i="1"/>
  <c r="AB709" i="1"/>
  <c r="AB480" i="1"/>
  <c r="AB444" i="1"/>
  <c r="AB704" i="1"/>
  <c r="AB475" i="1"/>
  <c r="AB443" i="1"/>
  <c r="AB409" i="1"/>
  <c r="AB543" i="1"/>
  <c r="AB799" i="1"/>
  <c r="AB386" i="1"/>
  <c r="AB469" i="1"/>
  <c r="AB544" i="1"/>
  <c r="AB664" i="1"/>
  <c r="AB808" i="1"/>
  <c r="AB1072" i="1"/>
  <c r="AB1081" i="1"/>
  <c r="AB865" i="1"/>
  <c r="AB433" i="1"/>
  <c r="AB506" i="1"/>
  <c r="AB626" i="1"/>
  <c r="AB1066" i="1"/>
  <c r="AB857" i="1"/>
  <c r="AB1097" i="1"/>
  <c r="AB523" i="1"/>
  <c r="AB651" i="1"/>
  <c r="AB835" i="1"/>
  <c r="AB429" i="1"/>
  <c r="AB500" i="1"/>
  <c r="AB564" i="1"/>
  <c r="AB732" i="1"/>
  <c r="AB820" i="1"/>
  <c r="AB1092" i="1"/>
  <c r="AB821" i="1"/>
  <c r="AB893" i="1"/>
  <c r="AB1013" i="1"/>
  <c r="AB1093" i="1"/>
  <c r="AB518" i="1"/>
  <c r="AB638" i="1"/>
  <c r="AB1070" i="1"/>
  <c r="AB1016" i="1"/>
  <c r="AB928" i="1"/>
  <c r="AB896" i="1"/>
  <c r="AB860" i="1"/>
  <c r="AB755" i="1"/>
  <c r="AB707" i="1"/>
  <c r="AB1031" i="1"/>
  <c r="AB999" i="1"/>
  <c r="AB907" i="1"/>
  <c r="AB871" i="1"/>
  <c r="AB766" i="1"/>
  <c r="AB718" i="1"/>
  <c r="AB682" i="1"/>
  <c r="AB1047" i="1"/>
  <c r="AB810" i="1"/>
  <c r="AB657" i="1"/>
  <c r="AB565" i="1"/>
  <c r="AB529" i="1"/>
  <c r="AB497" i="1"/>
  <c r="AB392" i="1"/>
  <c r="AB1010" i="1"/>
  <c r="AB922" i="1"/>
  <c r="AB890" i="1"/>
  <c r="AB858" i="1"/>
  <c r="AB753" i="1"/>
  <c r="AB705" i="1"/>
  <c r="AB476" i="1"/>
  <c r="AB440" i="1"/>
  <c r="AB700" i="1"/>
  <c r="AB471" i="1"/>
  <c r="AB439" i="1"/>
  <c r="AB417" i="1"/>
  <c r="AB551" i="1"/>
  <c r="AB815" i="1"/>
  <c r="AB394" i="1"/>
  <c r="AB474" i="1"/>
  <c r="AB552" i="1"/>
  <c r="AB728" i="1"/>
  <c r="AB816" i="1"/>
  <c r="AB1080" i="1"/>
  <c r="AB1089" i="1"/>
  <c r="AB881" i="1"/>
  <c r="AB438" i="1"/>
  <c r="AB514" i="1"/>
  <c r="AB634" i="1"/>
  <c r="AB1074" i="1"/>
  <c r="AB873" i="1"/>
  <c r="AB389" i="1"/>
  <c r="AB531" i="1"/>
  <c r="AB659" i="1"/>
  <c r="AB843" i="1"/>
  <c r="AB434" i="1"/>
  <c r="AB508" i="1"/>
  <c r="AB628" i="1"/>
  <c r="AB756" i="1"/>
  <c r="AB828" i="1"/>
  <c r="AB391" i="1"/>
  <c r="AB829" i="1"/>
  <c r="AB901" i="1"/>
  <c r="AB1029" i="1"/>
  <c r="AB430" i="1"/>
  <c r="AB526" i="1"/>
  <c r="AB646" i="1"/>
  <c r="AB1078" i="1"/>
  <c r="AB1012" i="1"/>
  <c r="AB924" i="1"/>
  <c r="AB892" i="1"/>
  <c r="AB856" i="1"/>
  <c r="AB751" i="1"/>
  <c r="AB703" i="1"/>
  <c r="AB1027" i="1"/>
  <c r="AB995" i="1"/>
  <c r="AB903" i="1"/>
  <c r="AB867" i="1"/>
  <c r="AB762" i="1"/>
  <c r="AB714" i="1"/>
  <c r="AB1075" i="1"/>
  <c r="AB842" i="1"/>
  <c r="AB806" i="1"/>
  <c r="AB653" i="1"/>
  <c r="AB561" i="1"/>
  <c r="AB525" i="1"/>
  <c r="AB493" i="1"/>
  <c r="AB388" i="1"/>
  <c r="AB1006" i="1"/>
  <c r="AB918" i="1"/>
  <c r="AB886" i="1"/>
  <c r="AB781" i="1"/>
  <c r="AB733" i="1"/>
  <c r="AB701" i="1"/>
  <c r="AB468" i="1"/>
  <c r="AB436" i="1"/>
  <c r="AB696" i="1"/>
  <c r="AB467" i="1"/>
  <c r="AB435" i="1"/>
  <c r="AB495" i="1"/>
  <c r="AB559" i="1"/>
  <c r="AB823" i="1"/>
  <c r="AB402" i="1"/>
  <c r="AB496" i="1"/>
  <c r="AB560" i="1"/>
  <c r="AB752" i="1"/>
  <c r="AB824" i="1"/>
  <c r="AB1088" i="1"/>
  <c r="AB395" i="1"/>
  <c r="AB897" i="1"/>
  <c r="AB449" i="1"/>
  <c r="AB522" i="1"/>
  <c r="AB642" i="1"/>
  <c r="AB1090" i="1"/>
  <c r="AB889" i="1"/>
  <c r="AB397" i="1"/>
  <c r="AB539" i="1"/>
  <c r="AB667" i="1"/>
  <c r="AB1083" i="1"/>
  <c r="AB445" i="1"/>
  <c r="AB516" i="1"/>
  <c r="AB636" i="1"/>
  <c r="AB764" i="1"/>
  <c r="AB836" i="1"/>
  <c r="AB399" i="1"/>
  <c r="AB837" i="1"/>
  <c r="AB909" i="1"/>
  <c r="AB1045" i="1"/>
  <c r="AB446" i="1"/>
  <c r="AB534" i="1"/>
  <c r="AB654" i="1"/>
  <c r="AB1086" i="1"/>
  <c r="AB1008" i="1"/>
  <c r="AB920" i="1"/>
  <c r="AB888" i="1"/>
  <c r="AB779" i="1"/>
  <c r="AB731" i="1"/>
  <c r="AB699" i="1"/>
  <c r="AB1023" i="1"/>
  <c r="AB931" i="1"/>
  <c r="AB895" i="1"/>
  <c r="AB863" i="1"/>
  <c r="AB758" i="1"/>
  <c r="AB710" i="1"/>
  <c r="AB1071" i="1"/>
  <c r="AB834" i="1"/>
  <c r="AB802" i="1"/>
  <c r="AB649" i="1"/>
  <c r="AB557" i="1"/>
  <c r="AB521" i="1"/>
  <c r="AB416" i="1"/>
  <c r="AB1034" i="1"/>
  <c r="AB1002" i="1"/>
  <c r="AB914" i="1"/>
  <c r="AB882" i="1"/>
  <c r="AB777" i="1"/>
  <c r="AB729" i="1"/>
  <c r="AB697" i="1"/>
  <c r="AB464" i="1"/>
  <c r="AB432" i="1"/>
  <c r="AB692" i="1"/>
  <c r="AB463" i="1"/>
  <c r="AB431" i="1"/>
  <c r="AB503" i="1"/>
  <c r="AB567" i="1"/>
  <c r="AB831" i="1"/>
  <c r="AB410" i="1"/>
  <c r="AB504" i="1"/>
  <c r="AB568" i="1"/>
  <c r="AB760" i="1"/>
  <c r="AB832" i="1"/>
  <c r="AB1096" i="1"/>
  <c r="AB403" i="1"/>
  <c r="AB913" i="1"/>
  <c r="AB454" i="1"/>
  <c r="AB530" i="1"/>
  <c r="AB650" i="1"/>
  <c r="AB1098" i="1"/>
  <c r="AB905" i="1"/>
  <c r="AB405" i="1"/>
  <c r="AB547" i="1"/>
  <c r="AB795" i="1"/>
  <c r="AB1091" i="1"/>
  <c r="AB450" i="1"/>
  <c r="AB524" i="1"/>
  <c r="AB644" i="1"/>
  <c r="AB772" i="1"/>
  <c r="AB844" i="1"/>
  <c r="AB407" i="1"/>
  <c r="AB845" i="1"/>
  <c r="AB917" i="1"/>
  <c r="AB1053" i="1"/>
  <c r="AB457" i="1"/>
  <c r="AB542" i="1"/>
  <c r="AB662" i="1"/>
  <c r="AB1094" i="1"/>
  <c r="AB1004" i="1"/>
  <c r="AB916" i="1"/>
  <c r="AB884" i="1"/>
  <c r="AB775" i="1"/>
  <c r="AB727" i="1"/>
  <c r="AB695" i="1"/>
  <c r="AB1019" i="1"/>
  <c r="AB927" i="1"/>
  <c r="AB891" i="1"/>
  <c r="AB859" i="1"/>
  <c r="AB754" i="1"/>
  <c r="AB706" i="1"/>
  <c r="AB1067" i="1"/>
  <c r="AB830" i="1"/>
  <c r="AB798" i="1"/>
  <c r="AB645" i="1"/>
  <c r="AB553" i="1"/>
  <c r="AB517" i="1"/>
  <c r="AB412" i="1"/>
  <c r="AB1030" i="1"/>
  <c r="AB998" i="1"/>
  <c r="AB910" i="1"/>
  <c r="AB878" i="1"/>
  <c r="AB773" i="1"/>
  <c r="AB725" i="1"/>
  <c r="AB693" i="1"/>
  <c r="AB460" i="1"/>
  <c r="AB428" i="1"/>
  <c r="AB688" i="1"/>
  <c r="AB459" i="1"/>
  <c r="AB427" i="1"/>
  <c r="AB511" i="1"/>
  <c r="AB631" i="1"/>
  <c r="AB839" i="1"/>
  <c r="AB437" i="1"/>
  <c r="AB512" i="1"/>
  <c r="AB632" i="1"/>
  <c r="AB768" i="1"/>
  <c r="AB840" i="1"/>
  <c r="AB801" i="1"/>
  <c r="AB993" i="1"/>
  <c r="AB465" i="1"/>
  <c r="AB538" i="1"/>
  <c r="AB658" i="1"/>
  <c r="AB411" i="1"/>
  <c r="AB921" i="1"/>
  <c r="AB491" i="1"/>
  <c r="AB555" i="1"/>
  <c r="AB803" i="1"/>
  <c r="AB390" i="1"/>
  <c r="AB461" i="1"/>
  <c r="AB532" i="1"/>
  <c r="AB652" i="1"/>
  <c r="AB780" i="1"/>
  <c r="AB1060" i="1"/>
  <c r="AB415" i="1"/>
  <c r="AB861" i="1"/>
  <c r="AB925" i="1"/>
  <c r="AB1061" i="1"/>
  <c r="AB462" i="1"/>
  <c r="AB550" i="1"/>
  <c r="AB670" i="1"/>
  <c r="AB1032" i="1"/>
  <c r="AB1000" i="1"/>
  <c r="AB912" i="1"/>
  <c r="AB880" i="1"/>
  <c r="AB771" i="1"/>
  <c r="AB723" i="1"/>
  <c r="AB691" i="1"/>
  <c r="AB1015" i="1"/>
  <c r="AB923" i="1"/>
  <c r="AB887" i="1"/>
  <c r="AB855" i="1"/>
  <c r="AB750" i="1"/>
  <c r="AB702" i="1"/>
  <c r="AB1063" i="1"/>
  <c r="AB826" i="1"/>
  <c r="AB794" i="1"/>
  <c r="AB641" i="1"/>
  <c r="AB549" i="1"/>
  <c r="AB513" i="1"/>
  <c r="AB408" i="1"/>
  <c r="AB1026" i="1"/>
  <c r="AB994" i="1"/>
  <c r="AB906" i="1"/>
  <c r="AB874" i="1"/>
  <c r="AB769" i="1"/>
  <c r="AB721" i="1"/>
  <c r="AB689" i="1"/>
  <c r="AB456" i="1"/>
  <c r="AB720" i="1"/>
  <c r="AB684" i="1"/>
  <c r="AB455" i="1"/>
  <c r="AB385" i="1"/>
  <c r="AB519" i="1"/>
  <c r="AB639" i="1"/>
  <c r="AB1079" i="1"/>
  <c r="AB442" i="1"/>
  <c r="AB520" i="1"/>
  <c r="AB640" i="1"/>
  <c r="AB776" i="1"/>
  <c r="AB1048" i="1"/>
  <c r="AB1057" i="1"/>
  <c r="AB817" i="1"/>
  <c r="AB1009" i="1"/>
  <c r="AB470" i="1"/>
  <c r="AB546" i="1"/>
  <c r="AB666" i="1"/>
  <c r="AB793" i="1"/>
  <c r="AB1001" i="1"/>
  <c r="AB499" i="1"/>
  <c r="AB627" i="1"/>
  <c r="AB811" i="1"/>
  <c r="AB398" i="1"/>
  <c r="AB466" i="1"/>
  <c r="AB540" i="1"/>
  <c r="AB660" i="1"/>
  <c r="AB796" i="1"/>
  <c r="AB1068" i="1"/>
  <c r="AB797" i="1"/>
  <c r="AB869" i="1"/>
  <c r="AB933" i="1"/>
  <c r="AB1069" i="1"/>
  <c r="AB473" i="1"/>
  <c r="AB558" i="1"/>
  <c r="AB1046" i="1"/>
  <c r="AB1028" i="1"/>
  <c r="AB996" i="1"/>
  <c r="AB908" i="1"/>
  <c r="AB876" i="1"/>
  <c r="AB767" i="1"/>
  <c r="AB719" i="1"/>
  <c r="AB687" i="1"/>
  <c r="AB1011" i="1"/>
  <c r="AB919" i="1"/>
  <c r="AB883" i="1"/>
  <c r="AB782" i="1"/>
  <c r="AB730" i="1"/>
  <c r="AB698" i="1"/>
  <c r="AB1059" i="1"/>
  <c r="AB822" i="1"/>
  <c r="AB669" i="1"/>
  <c r="AB637" i="1"/>
  <c r="AB545" i="1"/>
  <c r="AB509" i="1"/>
  <c r="AB404" i="1"/>
  <c r="AB1022" i="1"/>
  <c r="AB990" i="1"/>
  <c r="AB902" i="1"/>
  <c r="AB870" i="1"/>
  <c r="AB765" i="1"/>
  <c r="AB717" i="1"/>
  <c r="AB685" i="1"/>
  <c r="AB452" i="1"/>
  <c r="AB712" i="1"/>
  <c r="AB680" i="1"/>
  <c r="AB451" i="1"/>
  <c r="AB393" i="1"/>
  <c r="AB527" i="1"/>
  <c r="AB647" i="1"/>
  <c r="AB1087" i="1"/>
  <c r="AB453" i="1"/>
  <c r="AB528" i="1"/>
  <c r="AB648" i="1"/>
  <c r="AB792" i="1"/>
  <c r="AB1056" i="1"/>
  <c r="C13" i="1"/>
  <c r="C14" i="1"/>
  <c r="D13" i="3"/>
  <c r="D20" i="3"/>
  <c r="D14" i="3"/>
  <c r="D16" i="3"/>
  <c r="D22" i="3"/>
  <c r="BW8" i="1"/>
  <c r="BW12" i="1" s="1"/>
  <c r="AK8" i="1"/>
  <c r="AK12" i="1" s="1"/>
  <c r="BO8" i="1"/>
  <c r="BO12" i="1" s="1"/>
  <c r="BO14" i="1" s="1"/>
  <c r="BS2" i="5"/>
  <c r="BS4" i="5" s="1"/>
  <c r="F22" i="3" s="1"/>
  <c r="AW8" i="1"/>
  <c r="AW12" i="1" s="1"/>
  <c r="AW13" i="1" s="1"/>
  <c r="BG8" i="1"/>
  <c r="BG12" i="1" s="1"/>
  <c r="BG13" i="1" s="1"/>
  <c r="D18" i="3"/>
  <c r="BK2" i="5"/>
  <c r="BK6" i="5" s="1"/>
  <c r="AI2" i="5"/>
  <c r="AI4" i="5" s="1"/>
  <c r="BC2" i="5"/>
  <c r="BC6" i="5" s="1"/>
  <c r="BC8" i="5" s="1"/>
  <c r="AU2" i="5"/>
  <c r="AU6" i="5" s="1"/>
  <c r="AM2" i="5"/>
  <c r="AM6" i="5" s="1"/>
  <c r="AM8" i="5" s="1"/>
  <c r="AO8" i="1"/>
  <c r="AO12" i="1" s="1"/>
  <c r="AO13" i="1" s="1"/>
  <c r="AI6" i="5" l="1"/>
  <c r="AI8" i="5" s="1"/>
  <c r="BW10" i="1"/>
  <c r="BX922" i="1" s="1"/>
  <c r="BG14" i="1"/>
  <c r="BS6" i="5"/>
  <c r="BS8" i="5" s="1"/>
  <c r="BO13" i="1"/>
  <c r="AU4" i="5"/>
  <c r="AV336" i="5" s="1"/>
  <c r="AW14" i="1"/>
  <c r="AU8" i="5"/>
  <c r="AU7" i="5"/>
  <c r="AK13" i="1"/>
  <c r="AK14" i="1"/>
  <c r="AM4" i="5"/>
  <c r="AN18" i="5" s="1"/>
  <c r="BC7" i="5"/>
  <c r="AO14" i="1"/>
  <c r="BC4" i="5"/>
  <c r="BD169" i="5" s="1"/>
  <c r="AK10" i="1"/>
  <c r="AL700" i="1" s="1"/>
  <c r="AW10" i="1"/>
  <c r="AX845" i="1" s="1"/>
  <c r="BX919" i="1"/>
  <c r="BW13" i="1"/>
  <c r="AM7" i="5"/>
  <c r="BG10" i="1"/>
  <c r="AN182" i="5"/>
  <c r="AN184" i="5"/>
  <c r="AN317" i="5"/>
  <c r="AN361" i="5"/>
  <c r="AN127" i="5"/>
  <c r="AN151" i="5"/>
  <c r="BK4" i="5"/>
  <c r="BK7" i="5"/>
  <c r="BK8" i="5"/>
  <c r="BD174" i="5"/>
  <c r="BD62" i="5"/>
  <c r="BD284" i="5"/>
  <c r="BD93" i="5"/>
  <c r="BD25" i="5"/>
  <c r="BD198" i="5"/>
  <c r="BD361" i="5"/>
  <c r="BD175" i="5"/>
  <c r="BD362" i="5"/>
  <c r="BD300" i="5"/>
  <c r="BD337" i="5"/>
  <c r="BW14" i="1"/>
  <c r="BX892" i="1"/>
  <c r="BX1009" i="1"/>
  <c r="BX1069" i="1"/>
  <c r="BX1073" i="1"/>
  <c r="BX904" i="1"/>
  <c r="BX1080" i="1"/>
  <c r="BX1094" i="1"/>
  <c r="BX845" i="1"/>
  <c r="BX1003" i="1"/>
  <c r="BX995" i="1"/>
  <c r="BX920" i="1"/>
  <c r="BX1059" i="1"/>
  <c r="BX1050" i="1"/>
  <c r="BX1098" i="1"/>
  <c r="BX894" i="1"/>
  <c r="BX1052" i="1"/>
  <c r="BX1054" i="1"/>
  <c r="BX1015" i="1"/>
  <c r="BX1060" i="1"/>
  <c r="BX876" i="1"/>
  <c r="BX1024" i="1"/>
  <c r="BX1074" i="1"/>
  <c r="BX865" i="1"/>
  <c r="BX1082" i="1"/>
  <c r="BX903" i="1"/>
  <c r="BS7" i="5"/>
  <c r="BT171" i="5"/>
  <c r="BT154" i="5"/>
  <c r="BT329" i="5"/>
  <c r="BT43" i="5"/>
  <c r="BT45" i="5"/>
  <c r="BT133" i="5"/>
  <c r="BT175" i="5"/>
  <c r="BT265" i="5"/>
  <c r="BX855" i="1"/>
  <c r="BX890" i="1"/>
  <c r="BX1002" i="1"/>
  <c r="BX1045" i="1"/>
  <c r="BX990" i="1"/>
  <c r="AJ48" i="5"/>
  <c r="AJ184" i="5"/>
  <c r="AJ167" i="5"/>
  <c r="AJ293" i="5"/>
  <c r="AJ355" i="5"/>
  <c r="AJ81" i="5"/>
  <c r="AJ106" i="5"/>
  <c r="AJ358" i="5"/>
  <c r="AJ77" i="5"/>
  <c r="AJ314" i="5"/>
  <c r="AJ68" i="5"/>
  <c r="AJ154" i="5"/>
  <c r="AJ91" i="5"/>
  <c r="AJ189" i="5"/>
  <c r="AJ133" i="5"/>
  <c r="AJ94" i="5"/>
  <c r="AJ301" i="5"/>
  <c r="AJ21" i="5"/>
  <c r="AJ345" i="5"/>
  <c r="AJ40" i="5"/>
  <c r="AJ113" i="5"/>
  <c r="AJ80" i="5"/>
  <c r="AJ340" i="5"/>
  <c r="AJ76" i="5"/>
  <c r="AJ132" i="5"/>
  <c r="AJ129" i="5"/>
  <c r="AJ179" i="5"/>
  <c r="AJ33" i="5"/>
  <c r="AJ73" i="5"/>
  <c r="AJ60" i="5"/>
  <c r="AJ101" i="5"/>
  <c r="AJ180" i="5"/>
  <c r="AJ281" i="5"/>
  <c r="AJ130" i="5"/>
  <c r="AJ195" i="5"/>
  <c r="AJ267" i="5"/>
  <c r="AJ265" i="5"/>
  <c r="AJ158" i="5"/>
  <c r="AJ46" i="5"/>
  <c r="AJ280" i="5"/>
  <c r="AJ108" i="5"/>
  <c r="AJ284" i="5"/>
  <c r="AJ300" i="5"/>
  <c r="AJ35" i="5"/>
  <c r="AJ198" i="5"/>
  <c r="AJ350" i="5"/>
  <c r="AJ85" i="5"/>
  <c r="AJ319" i="5"/>
  <c r="AJ29" i="5"/>
  <c r="AJ126" i="5"/>
  <c r="AJ178" i="5"/>
  <c r="AJ330" i="5"/>
  <c r="AJ176" i="5"/>
  <c r="AJ289" i="5"/>
  <c r="AJ135" i="5"/>
  <c r="AJ200" i="5"/>
  <c r="AJ361" i="5"/>
  <c r="AJ145" i="5"/>
  <c r="AJ349" i="5"/>
  <c r="AJ177" i="5"/>
  <c r="AJ296" i="5"/>
  <c r="AJ316" i="5"/>
  <c r="AJ327" i="5"/>
  <c r="AJ143" i="5"/>
  <c r="AJ288" i="5"/>
  <c r="AJ22" i="5"/>
  <c r="AJ149" i="5"/>
  <c r="AJ99" i="5"/>
  <c r="AJ336" i="5"/>
  <c r="AJ155" i="5"/>
  <c r="AJ95" i="5"/>
  <c r="AJ175" i="5"/>
  <c r="AJ356" i="5"/>
  <c r="AJ72" i="5"/>
  <c r="AJ105" i="5"/>
  <c r="AJ62" i="5"/>
  <c r="AJ111" i="5"/>
  <c r="AJ65" i="5"/>
  <c r="AJ317" i="5"/>
  <c r="AJ102" i="5"/>
  <c r="AJ140" i="5"/>
  <c r="AJ49" i="5"/>
  <c r="AJ98" i="5"/>
  <c r="AJ67" i="5"/>
  <c r="AJ190" i="5"/>
  <c r="AJ263" i="5"/>
  <c r="AJ166" i="5"/>
  <c r="AJ26" i="5"/>
  <c r="AJ283" i="5"/>
  <c r="AJ347" i="5"/>
  <c r="AJ201" i="5"/>
  <c r="AJ344" i="5"/>
  <c r="AJ353" i="5"/>
  <c r="AJ61" i="5"/>
  <c r="AJ78" i="5"/>
  <c r="F13" i="3"/>
  <c r="BX1053" i="1"/>
  <c r="BX1016" i="1"/>
  <c r="BX906" i="1"/>
  <c r="BX1012" i="1"/>
  <c r="BX1008" i="1"/>
  <c r="BX1093" i="1"/>
  <c r="BX1034" i="1"/>
  <c r="BT345" i="5"/>
  <c r="BT314" i="5"/>
  <c r="BT328" i="5"/>
  <c r="BT358" i="5"/>
  <c r="BT349" i="5"/>
  <c r="BT80" i="5"/>
  <c r="BT159" i="5"/>
  <c r="BT200" i="5"/>
  <c r="BT90" i="5"/>
  <c r="BT294" i="5"/>
  <c r="BT267" i="5"/>
  <c r="BT274" i="5"/>
  <c r="BT342" i="5"/>
  <c r="BT126" i="5"/>
  <c r="BT365" i="5"/>
  <c r="BT350" i="5"/>
  <c r="BT184" i="5"/>
  <c r="BT182" i="5"/>
  <c r="BT158" i="5"/>
  <c r="BT278" i="5"/>
  <c r="BT143" i="5"/>
  <c r="BT104" i="5"/>
  <c r="BT135" i="5"/>
  <c r="BT109" i="5"/>
  <c r="BT178" i="5"/>
  <c r="BT333" i="5"/>
  <c r="BT199" i="5"/>
  <c r="BT187" i="5"/>
  <c r="BT195" i="5"/>
  <c r="BT68" i="5"/>
  <c r="BT108" i="5"/>
  <c r="BT100" i="5"/>
  <c r="BT277" i="5"/>
  <c r="BT260" i="5"/>
  <c r="BT49" i="5"/>
  <c r="BT177" i="5"/>
  <c r="BT176" i="5"/>
  <c r="BT19" i="5"/>
  <c r="BT88" i="5"/>
  <c r="BT20" i="5"/>
  <c r="BT281" i="5"/>
  <c r="BT87" i="5"/>
  <c r="BT286" i="5"/>
  <c r="BT190" i="5"/>
  <c r="BT287" i="5"/>
  <c r="BT137" i="5"/>
  <c r="BT42" i="5"/>
  <c r="BT150" i="5"/>
  <c r="BT18" i="5"/>
  <c r="BT352" i="5"/>
  <c r="BT172" i="5"/>
  <c r="BT170" i="5"/>
  <c r="BT357" i="5"/>
  <c r="BT21" i="5"/>
  <c r="BT84" i="5"/>
  <c r="BT98" i="5"/>
  <c r="BT134" i="5"/>
  <c r="BT173" i="5"/>
  <c r="BT66" i="5"/>
  <c r="BT69" i="5"/>
  <c r="BT128" i="5"/>
  <c r="BT125" i="5"/>
  <c r="BT112" i="5"/>
  <c r="BT362" i="5"/>
  <c r="BT124" i="5"/>
  <c r="BT44" i="5"/>
  <c r="BT284" i="5"/>
  <c r="BT164" i="5"/>
  <c r="BT79" i="5"/>
  <c r="BT107" i="5"/>
  <c r="BT129" i="5"/>
  <c r="BT30" i="5"/>
  <c r="BT132" i="5"/>
  <c r="BT130" i="5"/>
  <c r="BT272" i="5"/>
  <c r="BT38" i="5"/>
  <c r="BT361" i="5"/>
  <c r="BT180" i="5"/>
  <c r="BT146" i="5"/>
  <c r="BT288" i="5"/>
  <c r="BT83" i="5"/>
  <c r="BT183" i="5"/>
  <c r="BT103" i="5"/>
  <c r="BT78" i="5"/>
  <c r="BT23" i="5"/>
  <c r="BT192" i="5"/>
  <c r="BT353" i="5"/>
  <c r="BT316" i="5"/>
  <c r="BT28" i="5"/>
  <c r="BT275" i="5"/>
  <c r="BT359" i="5"/>
  <c r="BT319" i="5"/>
  <c r="BT50" i="5"/>
  <c r="BT181" i="5"/>
  <c r="BT153" i="5"/>
  <c r="BT196" i="5"/>
  <c r="BT259" i="5"/>
  <c r="BT290" i="5"/>
  <c r="BT303" i="5"/>
  <c r="BT351" i="5"/>
  <c r="BT93" i="5"/>
  <c r="BT321" i="5"/>
  <c r="BT76" i="5"/>
  <c r="BT356" i="5"/>
  <c r="BT185" i="5"/>
  <c r="BT151" i="5"/>
  <c r="BT140" i="5"/>
  <c r="BT364" i="5"/>
  <c r="BT65" i="5"/>
  <c r="BT363" i="5"/>
  <c r="BT106" i="5"/>
  <c r="BT71" i="5"/>
  <c r="BT111" i="5"/>
  <c r="BT346" i="5"/>
  <c r="BT186" i="5"/>
  <c r="BT99" i="5"/>
  <c r="BT197" i="5"/>
  <c r="BT63" i="5"/>
  <c r="BT262" i="5"/>
  <c r="BT29" i="5"/>
  <c r="BT26" i="5"/>
  <c r="BT138" i="5"/>
  <c r="BT282" i="5"/>
  <c r="BT271" i="5"/>
  <c r="BT149" i="5"/>
  <c r="BT48" i="5"/>
  <c r="BT320" i="5"/>
  <c r="BT296" i="5"/>
  <c r="BT156" i="5"/>
  <c r="BT293" i="5"/>
  <c r="BT152" i="5"/>
  <c r="BT299" i="5"/>
  <c r="BT335" i="5"/>
  <c r="BT101" i="5"/>
  <c r="BT179" i="5"/>
  <c r="BT292" i="5"/>
  <c r="BT92" i="5"/>
  <c r="BT327" i="5"/>
  <c r="BT147" i="5"/>
  <c r="BT301" i="5"/>
  <c r="BT198" i="5"/>
  <c r="BT32" i="5"/>
  <c r="BT148" i="5"/>
  <c r="BT343" i="5"/>
  <c r="BT338" i="5"/>
  <c r="BT317" i="5"/>
  <c r="BT295" i="5"/>
  <c r="BT41" i="5"/>
  <c r="BT285" i="5"/>
  <c r="BT162" i="5"/>
  <c r="BT169" i="5"/>
  <c r="BT354" i="5"/>
  <c r="BT283" i="5"/>
  <c r="BT348" i="5"/>
  <c r="BT276" i="5"/>
  <c r="BT127" i="5"/>
  <c r="BT157" i="5"/>
  <c r="BT62" i="5"/>
  <c r="BT193" i="5"/>
  <c r="BT330" i="5"/>
  <c r="BT64" i="5"/>
  <c r="BT323" i="5"/>
  <c r="BT291" i="5"/>
  <c r="BT94" i="5"/>
  <c r="BT161" i="5"/>
  <c r="BT165" i="5"/>
  <c r="BT280" i="5"/>
  <c r="BT263" i="5"/>
  <c r="BT142" i="5"/>
  <c r="BT95" i="5"/>
  <c r="BT298" i="5"/>
  <c r="BT155" i="5"/>
  <c r="BT331" i="5"/>
  <c r="BT334" i="5"/>
  <c r="BT24" i="5"/>
  <c r="BT167" i="5"/>
  <c r="BT34" i="5"/>
  <c r="BT27" i="5"/>
  <c r="BT273" i="5"/>
  <c r="BT279" i="5"/>
  <c r="BT168" i="5"/>
  <c r="BT35" i="5"/>
  <c r="BT39" i="5"/>
  <c r="BT344" i="5"/>
  <c r="BT201" i="5"/>
  <c r="BT339" i="5"/>
  <c r="BT266" i="5"/>
  <c r="BT189" i="5"/>
  <c r="BT160" i="5"/>
  <c r="BT31" i="5"/>
  <c r="BT91" i="5"/>
  <c r="BT313" i="5"/>
  <c r="BT37" i="5"/>
  <c r="BT360" i="5"/>
  <c r="BT123" i="5"/>
  <c r="BT36" i="5"/>
  <c r="BT60" i="5"/>
  <c r="BT102" i="5"/>
  <c r="BT33" i="5"/>
  <c r="BT188" i="5"/>
  <c r="BT297" i="5"/>
  <c r="BT332" i="5"/>
  <c r="BT322" i="5"/>
  <c r="BT145" i="5"/>
  <c r="BT141" i="5"/>
  <c r="BT341" i="5"/>
  <c r="BT300" i="5"/>
  <c r="BT89" i="5"/>
  <c r="BT337" i="5"/>
  <c r="BT40" i="5"/>
  <c r="BT340" i="5"/>
  <c r="BO10" i="1"/>
  <c r="BT97" i="5"/>
  <c r="BT22" i="5"/>
  <c r="BT191" i="5"/>
  <c r="BT264" i="5"/>
  <c r="BT81" i="5"/>
  <c r="BT166" i="5"/>
  <c r="AO10" i="1"/>
  <c r="BT366" i="5"/>
  <c r="BT302" i="5"/>
  <c r="BT105" i="5"/>
  <c r="BT86" i="5"/>
  <c r="BT82" i="5"/>
  <c r="BT174" i="5"/>
  <c r="BT46" i="5"/>
  <c r="BX889" i="1" l="1"/>
  <c r="AJ42" i="5"/>
  <c r="AJ69" i="5"/>
  <c r="AJ148" i="5"/>
  <c r="AJ285" i="5"/>
  <c r="AJ86" i="5"/>
  <c r="AJ320" i="5"/>
  <c r="AJ272" i="5"/>
  <c r="AJ337" i="5"/>
  <c r="AJ31" i="5"/>
  <c r="AJ261" i="5"/>
  <c r="AJ131" i="5"/>
  <c r="AJ107" i="5"/>
  <c r="AJ36" i="5"/>
  <c r="AJ264" i="5"/>
  <c r="AJ109" i="5"/>
  <c r="AJ287" i="5"/>
  <c r="AJ186" i="5"/>
  <c r="AJ290" i="5"/>
  <c r="AJ170" i="5"/>
  <c r="BX1029" i="1"/>
  <c r="BX1092" i="1"/>
  <c r="BX1032" i="1"/>
  <c r="BX921" i="1"/>
  <c r="BX875" i="1"/>
  <c r="BX996" i="1"/>
  <c r="AJ348" i="5"/>
  <c r="AJ183" i="5"/>
  <c r="AJ97" i="5"/>
  <c r="AJ20" i="5"/>
  <c r="AJ125" i="5"/>
  <c r="AJ70" i="5"/>
  <c r="AJ194" i="5"/>
  <c r="AJ328" i="5"/>
  <c r="AJ318" i="5"/>
  <c r="AJ302" i="5"/>
  <c r="AJ338" i="5"/>
  <c r="AJ271" i="5"/>
  <c r="AJ147" i="5"/>
  <c r="AJ93" i="5"/>
  <c r="AJ282" i="5"/>
  <c r="AJ156" i="5"/>
  <c r="AJ333" i="5"/>
  <c r="BX1084" i="1"/>
  <c r="BX1046" i="1"/>
  <c r="BX998" i="1"/>
  <c r="BX911" i="1"/>
  <c r="BX861" i="1"/>
  <c r="BX902" i="1"/>
  <c r="AI7" i="5"/>
  <c r="BX1010" i="1"/>
  <c r="AJ19" i="5"/>
  <c r="AJ343" i="5"/>
  <c r="AJ169" i="5"/>
  <c r="AJ112" i="5"/>
  <c r="AJ266" i="5"/>
  <c r="AJ128" i="5"/>
  <c r="AJ196" i="5"/>
  <c r="AJ110" i="5"/>
  <c r="AJ262" i="5"/>
  <c r="AJ168" i="5"/>
  <c r="AJ89" i="5"/>
  <c r="AJ326" i="5"/>
  <c r="AJ44" i="5"/>
  <c r="AJ193" i="5"/>
  <c r="AJ174" i="5"/>
  <c r="AJ39" i="5"/>
  <c r="AJ90" i="5"/>
  <c r="AJ323" i="5"/>
  <c r="AJ153" i="5"/>
  <c r="BX864" i="1"/>
  <c r="BX1028" i="1"/>
  <c r="BX1065" i="1"/>
  <c r="BX1067" i="1"/>
  <c r="BX1027" i="1"/>
  <c r="BX1019" i="1"/>
  <c r="BD339" i="5"/>
  <c r="AN187" i="5"/>
  <c r="AJ359" i="5"/>
  <c r="AJ25" i="5"/>
  <c r="AJ363" i="5"/>
  <c r="AJ138" i="5"/>
  <c r="AJ45" i="5"/>
  <c r="AJ88" i="5"/>
  <c r="AJ275" i="5"/>
  <c r="AJ315" i="5"/>
  <c r="BX1097" i="1"/>
  <c r="BX874" i="1"/>
  <c r="BX1051" i="1"/>
  <c r="BX1081" i="1"/>
  <c r="BX842" i="1"/>
  <c r="BX1018" i="1"/>
  <c r="BX863" i="1"/>
  <c r="BX1021" i="1"/>
  <c r="BD98" i="5"/>
  <c r="BD277" i="5"/>
  <c r="AV276" i="5"/>
  <c r="BX930" i="1"/>
  <c r="AJ362" i="5"/>
  <c r="AJ334" i="5"/>
  <c r="AJ84" i="5"/>
  <c r="AJ38" i="5"/>
  <c r="AJ37" i="5"/>
  <c r="AJ295" i="5"/>
  <c r="AJ274" i="5"/>
  <c r="BX872" i="1"/>
  <c r="BX1062" i="1"/>
  <c r="BX1095" i="1"/>
  <c r="BX1025" i="1"/>
  <c r="BX932" i="1"/>
  <c r="BX910" i="1"/>
  <c r="BX916" i="1"/>
  <c r="BD158" i="5"/>
  <c r="AX913" i="1"/>
  <c r="BX1077" i="1"/>
  <c r="BX1072" i="1"/>
  <c r="AV182" i="5"/>
  <c r="AV352" i="5"/>
  <c r="AV48" i="5"/>
  <c r="AV277" i="5"/>
  <c r="AV86" i="5"/>
  <c r="AV87" i="5"/>
  <c r="AV50" i="5"/>
  <c r="AV106" i="5"/>
  <c r="BD130" i="5"/>
  <c r="BD179" i="5"/>
  <c r="BD92" i="5"/>
  <c r="BD159" i="5"/>
  <c r="BD178" i="5"/>
  <c r="BD89" i="5"/>
  <c r="BD133" i="5"/>
  <c r="BD87" i="5"/>
  <c r="BD129" i="5"/>
  <c r="BD29" i="5"/>
  <c r="BD294" i="5"/>
  <c r="BD259" i="5"/>
  <c r="BD22" i="5"/>
  <c r="AL556" i="1"/>
  <c r="BD94" i="5"/>
  <c r="BD138" i="5"/>
  <c r="BD349" i="5"/>
  <c r="BD19" i="5"/>
  <c r="BD340" i="5"/>
  <c r="BD301" i="5"/>
  <c r="BD153" i="5"/>
  <c r="BD293" i="5"/>
  <c r="BD321" i="5"/>
  <c r="AV348" i="5"/>
  <c r="AL876" i="1"/>
  <c r="BD296" i="5"/>
  <c r="BD134" i="5"/>
  <c r="BD135" i="5"/>
  <c r="BD101" i="5"/>
  <c r="BD137" i="5"/>
  <c r="BD314" i="5"/>
  <c r="BD335" i="5"/>
  <c r="BD46" i="5"/>
  <c r="BD290" i="5"/>
  <c r="BD140" i="5"/>
  <c r="BD88" i="5"/>
  <c r="BD24" i="5"/>
  <c r="BD366" i="5"/>
  <c r="BD70" i="5"/>
  <c r="BD63" i="5"/>
  <c r="BD289" i="5"/>
  <c r="BD41" i="5"/>
  <c r="BD165" i="5"/>
  <c r="AV150" i="5"/>
  <c r="BD275" i="5"/>
  <c r="BD60" i="5"/>
  <c r="BD126" i="5"/>
  <c r="BD139" i="5"/>
  <c r="BD201" i="5"/>
  <c r="BD302" i="5"/>
  <c r="BD110" i="5"/>
  <c r="BD48" i="5"/>
  <c r="BD350" i="5"/>
  <c r="BD30" i="5"/>
  <c r="BD85" i="5"/>
  <c r="BD66" i="5"/>
  <c r="BD73" i="5"/>
  <c r="BD156" i="5"/>
  <c r="BD132" i="5"/>
  <c r="BD91" i="5"/>
  <c r="BD268" i="5"/>
  <c r="BD318" i="5"/>
  <c r="BD352" i="5"/>
  <c r="BD47" i="5"/>
  <c r="AV78" i="5"/>
  <c r="BT113" i="5"/>
  <c r="BT144" i="5"/>
  <c r="BT73" i="5"/>
  <c r="BT96" i="5"/>
  <c r="BT85" i="5"/>
  <c r="BT131" i="5"/>
  <c r="BT318" i="5"/>
  <c r="BT355" i="5"/>
  <c r="BT74" i="5"/>
  <c r="BT47" i="5"/>
  <c r="BT289" i="5"/>
  <c r="BT315" i="5"/>
  <c r="BT72" i="5"/>
  <c r="BX866" i="1"/>
  <c r="AJ43" i="5"/>
  <c r="AJ277" i="5"/>
  <c r="AJ71" i="5"/>
  <c r="AJ150" i="5"/>
  <c r="AJ181" i="5"/>
  <c r="AJ299" i="5"/>
  <c r="AJ34" i="5"/>
  <c r="AJ351" i="5"/>
  <c r="AJ32" i="5"/>
  <c r="AJ30" i="5"/>
  <c r="AJ331" i="5"/>
  <c r="AJ124" i="5"/>
  <c r="AJ23" i="5"/>
  <c r="AJ322" i="5"/>
  <c r="AJ104" i="5"/>
  <c r="AJ83" i="5"/>
  <c r="AJ357" i="5"/>
  <c r="AJ159" i="5"/>
  <c r="AJ342" i="5"/>
  <c r="AJ187" i="5"/>
  <c r="AJ47" i="5"/>
  <c r="AJ79" i="5"/>
  <c r="AJ136" i="5"/>
  <c r="AJ321" i="5"/>
  <c r="AJ144" i="5"/>
  <c r="AJ185" i="5"/>
  <c r="AJ163" i="5"/>
  <c r="AJ366" i="5"/>
  <c r="AJ172" i="5"/>
  <c r="AJ162" i="5"/>
  <c r="AJ292" i="5"/>
  <c r="AJ152" i="5"/>
  <c r="AJ273" i="5"/>
  <c r="BX913" i="1"/>
  <c r="BT77" i="5"/>
  <c r="BT324" i="5"/>
  <c r="BX877" i="1"/>
  <c r="BX991" i="1"/>
  <c r="BX1031" i="1"/>
  <c r="BX862" i="1"/>
  <c r="BX879" i="1"/>
  <c r="BX923" i="1"/>
  <c r="BX1007" i="1"/>
  <c r="BX883" i="1"/>
  <c r="BX882" i="1"/>
  <c r="BX859" i="1"/>
  <c r="BX1013" i="1"/>
  <c r="AL877" i="1"/>
  <c r="BX925" i="1"/>
  <c r="AN360" i="5"/>
  <c r="BX908" i="1"/>
  <c r="BT70" i="5"/>
  <c r="BT67" i="5"/>
  <c r="BX1071" i="1"/>
  <c r="AJ139" i="5"/>
  <c r="AJ313" i="5"/>
  <c r="AJ64" i="5"/>
  <c r="AJ146" i="5"/>
  <c r="AJ260" i="5"/>
  <c r="AJ41" i="5"/>
  <c r="AJ96" i="5"/>
  <c r="AJ82" i="5"/>
  <c r="AJ188" i="5"/>
  <c r="AJ259" i="5"/>
  <c r="AJ276" i="5"/>
  <c r="AJ66" i="5"/>
  <c r="AJ182" i="5"/>
  <c r="AJ24" i="5"/>
  <c r="AJ134" i="5"/>
  <c r="AJ291" i="5"/>
  <c r="AJ87" i="5"/>
  <c r="AJ354" i="5"/>
  <c r="AJ352" i="5"/>
  <c r="AJ192" i="5"/>
  <c r="AJ197" i="5"/>
  <c r="AJ92" i="5"/>
  <c r="AJ63" i="5"/>
  <c r="AJ297" i="5"/>
  <c r="AJ346" i="5"/>
  <c r="AJ137" i="5"/>
  <c r="AJ325" i="5"/>
  <c r="AJ74" i="5"/>
  <c r="AJ27" i="5"/>
  <c r="AJ298" i="5"/>
  <c r="AJ157" i="5"/>
  <c r="AJ160" i="5"/>
  <c r="AJ127" i="5"/>
  <c r="AJ294" i="5"/>
  <c r="BX917" i="1"/>
  <c r="BT261" i="5"/>
  <c r="BT136" i="5"/>
  <c r="BX841" i="1"/>
  <c r="BX914" i="1"/>
  <c r="BX873" i="1"/>
  <c r="BX899" i="1"/>
  <c r="BX896" i="1"/>
  <c r="BX1026" i="1"/>
  <c r="BX897" i="1"/>
  <c r="BX1022" i="1"/>
  <c r="BX1011" i="1"/>
  <c r="BX881" i="1"/>
  <c r="BX1091" i="1"/>
  <c r="AL926" i="1"/>
  <c r="AN43" i="5"/>
  <c r="AL799" i="1"/>
  <c r="BX857" i="1"/>
  <c r="BT336" i="5"/>
  <c r="BT110" i="5"/>
  <c r="BT347" i="5"/>
  <c r="BT75" i="5"/>
  <c r="BT61" i="5"/>
  <c r="BT25" i="5"/>
  <c r="BT163" i="5"/>
  <c r="BT325" i="5"/>
  <c r="BT270" i="5"/>
  <c r="BT269" i="5"/>
  <c r="BT139" i="5"/>
  <c r="BT268" i="5"/>
  <c r="BX915" i="1"/>
  <c r="BX1096" i="1"/>
  <c r="AJ103" i="5"/>
  <c r="AJ329" i="5"/>
  <c r="AJ165" i="5"/>
  <c r="AJ28" i="5"/>
  <c r="AJ270" i="5"/>
  <c r="AJ332" i="5"/>
  <c r="AJ279" i="5"/>
  <c r="AJ286" i="5"/>
  <c r="AJ269" i="5"/>
  <c r="AJ199" i="5"/>
  <c r="AJ142" i="5"/>
  <c r="AJ164" i="5"/>
  <c r="AJ335" i="5"/>
  <c r="AJ341" i="5"/>
  <c r="AJ268" i="5"/>
  <c r="AJ141" i="5"/>
  <c r="AJ303" i="5"/>
  <c r="AJ123" i="5"/>
  <c r="AJ365" i="5"/>
  <c r="AJ191" i="5"/>
  <c r="AJ151" i="5"/>
  <c r="AJ173" i="5"/>
  <c r="AJ278" i="5"/>
  <c r="AJ18" i="5"/>
  <c r="AJ364" i="5"/>
  <c r="AJ75" i="5"/>
  <c r="AJ324" i="5"/>
  <c r="AJ161" i="5"/>
  <c r="AJ50" i="5"/>
  <c r="AJ360" i="5"/>
  <c r="AJ171" i="5"/>
  <c r="AJ100" i="5"/>
  <c r="AJ339" i="5"/>
  <c r="BX856" i="1"/>
  <c r="BX891" i="1"/>
  <c r="BT194" i="5"/>
  <c r="BT326" i="5"/>
  <c r="BX928" i="1"/>
  <c r="BX839" i="1"/>
  <c r="BX1020" i="1"/>
  <c r="BX1005" i="1"/>
  <c r="BX1086" i="1"/>
  <c r="BX1087" i="1"/>
  <c r="BX1076" i="1"/>
  <c r="BX1075" i="1"/>
  <c r="BX900" i="1"/>
  <c r="BX878" i="1"/>
  <c r="BX1064" i="1"/>
  <c r="AN28" i="5"/>
  <c r="AV145" i="5"/>
  <c r="AV21" i="5"/>
  <c r="AL520" i="1"/>
  <c r="AL825" i="1"/>
  <c r="AL914" i="1"/>
  <c r="AL907" i="1"/>
  <c r="AL800" i="1"/>
  <c r="AL729" i="1"/>
  <c r="AL568" i="1"/>
  <c r="AL706" i="1"/>
  <c r="AL1094" i="1"/>
  <c r="AL856" i="1"/>
  <c r="AL641" i="1"/>
  <c r="AL760" i="1"/>
  <c r="AL902" i="1"/>
  <c r="BD28" i="5"/>
  <c r="BD35" i="5"/>
  <c r="BD341" i="5"/>
  <c r="BD155" i="5"/>
  <c r="BD65" i="5"/>
  <c r="BD332" i="5"/>
  <c r="BD23" i="5"/>
  <c r="BD324" i="5"/>
  <c r="BD325" i="5"/>
  <c r="BD68" i="5"/>
  <c r="BD105" i="5"/>
  <c r="BD184" i="5"/>
  <c r="BD151" i="5"/>
  <c r="BD21" i="5"/>
  <c r="BD269" i="5"/>
  <c r="BD359" i="5"/>
  <c r="BD299" i="5"/>
  <c r="BD127" i="5"/>
  <c r="BD194" i="5"/>
  <c r="BD82" i="5"/>
  <c r="BD356" i="5"/>
  <c r="BD161" i="5"/>
  <c r="BD346" i="5"/>
  <c r="BD188" i="5"/>
  <c r="BD193" i="5"/>
  <c r="AN21" i="5"/>
  <c r="AN364" i="5"/>
  <c r="AN106" i="5"/>
  <c r="AL530" i="1"/>
  <c r="AL928" i="1"/>
  <c r="AL1008" i="1"/>
  <c r="AL645" i="1"/>
  <c r="AL463" i="1"/>
  <c r="AL503" i="1"/>
  <c r="BD317" i="5"/>
  <c r="BD33" i="5"/>
  <c r="BD96" i="5"/>
  <c r="BD288" i="5"/>
  <c r="BD358" i="5"/>
  <c r="BD266" i="5"/>
  <c r="BD177" i="5"/>
  <c r="BD168" i="5"/>
  <c r="BD44" i="5"/>
  <c r="BD286" i="5"/>
  <c r="BD18" i="5"/>
  <c r="BD176" i="5"/>
  <c r="BD37" i="5"/>
  <c r="BD123" i="5"/>
  <c r="BD141" i="5"/>
  <c r="BD49" i="5"/>
  <c r="BD298" i="5"/>
  <c r="BD39" i="5"/>
  <c r="BD263" i="5"/>
  <c r="BD348" i="5"/>
  <c r="BD67" i="5"/>
  <c r="BD157" i="5"/>
  <c r="BD357" i="5"/>
  <c r="BD113" i="5"/>
  <c r="BD326" i="5"/>
  <c r="AN25" i="5"/>
  <c r="AN108" i="5"/>
  <c r="AN325" i="5"/>
  <c r="AN200" i="5"/>
  <c r="AL559" i="1"/>
  <c r="AL532" i="1"/>
  <c r="AL1054" i="1"/>
  <c r="AL859" i="1"/>
  <c r="AL518" i="1"/>
  <c r="AL803" i="1"/>
  <c r="AL551" i="1"/>
  <c r="AL781" i="1"/>
  <c r="AL804" i="1"/>
  <c r="AL1061" i="1"/>
  <c r="AL769" i="1"/>
  <c r="AL1058" i="1"/>
  <c r="BD108" i="5"/>
  <c r="BD199" i="5"/>
  <c r="BD261" i="5"/>
  <c r="BD86" i="5"/>
  <c r="BD274" i="5"/>
  <c r="BD26" i="5"/>
  <c r="BD181" i="5"/>
  <c r="BD173" i="5"/>
  <c r="BD354" i="5"/>
  <c r="BD182" i="5"/>
  <c r="BD107" i="5"/>
  <c r="BD330" i="5"/>
  <c r="BD136" i="5"/>
  <c r="BD172" i="5"/>
  <c r="BD183" i="5"/>
  <c r="BD345" i="5"/>
  <c r="BD167" i="5"/>
  <c r="BD364" i="5"/>
  <c r="BD103" i="5"/>
  <c r="BD355" i="5"/>
  <c r="BD131" i="5"/>
  <c r="BD36" i="5"/>
  <c r="BD189" i="5"/>
  <c r="BD343" i="5"/>
  <c r="BD162" i="5"/>
  <c r="AN132" i="5"/>
  <c r="AN130" i="5"/>
  <c r="AN344" i="5"/>
  <c r="AN353" i="5"/>
  <c r="AL642" i="1"/>
  <c r="AL780" i="1"/>
  <c r="AL932" i="1"/>
  <c r="AL527" i="1"/>
  <c r="AL828" i="1"/>
  <c r="BD190" i="5"/>
  <c r="BD285" i="5"/>
  <c r="BD323" i="5"/>
  <c r="BD329" i="5"/>
  <c r="BD297" i="5"/>
  <c r="BD124" i="5"/>
  <c r="BD154" i="5"/>
  <c r="BD77" i="5"/>
  <c r="BD64" i="5"/>
  <c r="BD196" i="5"/>
  <c r="BD152" i="5"/>
  <c r="BD100" i="5"/>
  <c r="BD192" i="5"/>
  <c r="BD75" i="5"/>
  <c r="BD76" i="5"/>
  <c r="BD260" i="5"/>
  <c r="BD334" i="5"/>
  <c r="BD164" i="5"/>
  <c r="BD272" i="5"/>
  <c r="BD353" i="5"/>
  <c r="BD316" i="5"/>
  <c r="BD111" i="5"/>
  <c r="BD160" i="5"/>
  <c r="BD264" i="5"/>
  <c r="AN302" i="5"/>
  <c r="AN71" i="5"/>
  <c r="AN100" i="5"/>
  <c r="AN260" i="5"/>
  <c r="AL1023" i="1"/>
  <c r="AL628" i="1"/>
  <c r="AL836" i="1"/>
  <c r="AL562" i="1"/>
  <c r="AL529" i="1"/>
  <c r="AL1030" i="1"/>
  <c r="F18" i="3"/>
  <c r="BD144" i="5"/>
  <c r="BD333" i="5"/>
  <c r="BD320" i="5"/>
  <c r="BD265" i="5"/>
  <c r="BD142" i="5"/>
  <c r="BD146" i="5"/>
  <c r="BD34" i="5"/>
  <c r="BD80" i="5"/>
  <c r="BD273" i="5"/>
  <c r="BD171" i="5"/>
  <c r="BD81" i="5"/>
  <c r="BD315" i="5"/>
  <c r="BD128" i="5"/>
  <c r="BD106" i="5"/>
  <c r="BD74" i="5"/>
  <c r="BD40" i="5"/>
  <c r="BD102" i="5"/>
  <c r="BD97" i="5"/>
  <c r="BD278" i="5"/>
  <c r="BD281" i="5"/>
  <c r="BD319" i="5"/>
  <c r="BD197" i="5"/>
  <c r="BD280" i="5"/>
  <c r="AN329" i="5"/>
  <c r="AN322" i="5"/>
  <c r="AN320" i="5"/>
  <c r="AN321" i="5"/>
  <c r="AL633" i="1"/>
  <c r="AL820" i="1"/>
  <c r="AL1006" i="1"/>
  <c r="AL753" i="1"/>
  <c r="AL1003" i="1"/>
  <c r="AL874" i="1"/>
  <c r="AL1035" i="1"/>
  <c r="AL1020" i="1"/>
  <c r="AL450" i="1"/>
  <c r="AL1045" i="1"/>
  <c r="AL927" i="1"/>
  <c r="AL514" i="1"/>
  <c r="AL816" i="1"/>
  <c r="AL499" i="1"/>
  <c r="AL652" i="1"/>
  <c r="AL718" i="1"/>
  <c r="AL1072" i="1"/>
  <c r="AL862" i="1"/>
  <c r="AL915" i="1"/>
  <c r="AL461" i="1"/>
  <c r="AL513" i="1"/>
  <c r="AL1019" i="1"/>
  <c r="AL478" i="1"/>
  <c r="AL646" i="1"/>
  <c r="AL453" i="1"/>
  <c r="AL754" i="1"/>
  <c r="AL1070" i="1"/>
  <c r="AL756" i="1"/>
  <c r="AL640" i="1"/>
  <c r="AL865" i="1"/>
  <c r="AL1063" i="1"/>
  <c r="AL495" i="1"/>
  <c r="AL755" i="1"/>
  <c r="AL561" i="1"/>
  <c r="AL717" i="1"/>
  <c r="AL805" i="1"/>
  <c r="AL923" i="1"/>
  <c r="AL443" i="1"/>
  <c r="AL811" i="1"/>
  <c r="AL819" i="1"/>
  <c r="AL821" i="1"/>
  <c r="AL491" i="1"/>
  <c r="AL993" i="1"/>
  <c r="AL909" i="1"/>
  <c r="AL857" i="1"/>
  <c r="AL548" i="1"/>
  <c r="AL911" i="1"/>
  <c r="BX1066" i="1"/>
  <c r="AN113" i="5"/>
  <c r="AN365" i="5"/>
  <c r="AN74" i="5"/>
  <c r="AN155" i="5"/>
  <c r="AN265" i="5"/>
  <c r="AN280" i="5"/>
  <c r="BX1014" i="1"/>
  <c r="AV92" i="5"/>
  <c r="AV109" i="5"/>
  <c r="AV315" i="5"/>
  <c r="AV129" i="5"/>
  <c r="BX893" i="1"/>
  <c r="AX755" i="1"/>
  <c r="AL918" i="1"/>
  <c r="AL504" i="1"/>
  <c r="AL444" i="1"/>
  <c r="AL1080" i="1"/>
  <c r="AL762" i="1"/>
  <c r="AL901" i="1"/>
  <c r="AL1025" i="1"/>
  <c r="AL714" i="1"/>
  <c r="AL929" i="1"/>
  <c r="AL1004" i="1"/>
  <c r="AL668" i="1"/>
  <c r="AL824" i="1"/>
  <c r="AL657" i="1"/>
  <c r="AL567" i="1"/>
  <c r="AL474" i="1"/>
  <c r="AL480" i="1"/>
  <c r="AL469" i="1"/>
  <c r="AL1084" i="1"/>
  <c r="AL528" i="1"/>
  <c r="AL498" i="1"/>
  <c r="AL497" i="1"/>
  <c r="AL517" i="1"/>
  <c r="AL992" i="1"/>
  <c r="AL494" i="1"/>
  <c r="AL722" i="1"/>
  <c r="AL476" i="1"/>
  <c r="AL550" i="1"/>
  <c r="AL531" i="1"/>
  <c r="AL523" i="1"/>
  <c r="AL462" i="1"/>
  <c r="AL691" i="1"/>
  <c r="AL546" i="1"/>
  <c r="AL564" i="1"/>
  <c r="AL858" i="1"/>
  <c r="AL758" i="1"/>
  <c r="AL768" i="1"/>
  <c r="AL997" i="1"/>
  <c r="AL882" i="1"/>
  <c r="AL1051" i="1"/>
  <c r="AL713" i="1"/>
  <c r="AL636" i="1"/>
  <c r="AL456" i="1"/>
  <c r="AL1011" i="1"/>
  <c r="AL730" i="1"/>
  <c r="AL506" i="1"/>
  <c r="AL751" i="1"/>
  <c r="AL442" i="1"/>
  <c r="AL663" i="1"/>
  <c r="AL681" i="1"/>
  <c r="AL655" i="1"/>
  <c r="AL549" i="1"/>
  <c r="AL1097" i="1"/>
  <c r="AL890" i="1"/>
  <c r="AL1085" i="1"/>
  <c r="AL703" i="1"/>
  <c r="AL815" i="1"/>
  <c r="AL1078" i="1"/>
  <c r="AL1005" i="1"/>
  <c r="AL1073" i="1"/>
  <c r="AL534" i="1"/>
  <c r="AL1002" i="1"/>
  <c r="AL1076" i="1"/>
  <c r="AL917" i="1"/>
  <c r="AL630" i="1"/>
  <c r="AL726" i="1"/>
  <c r="AL861" i="1"/>
  <c r="AL683" i="1"/>
  <c r="AL460" i="1"/>
  <c r="AL1089" i="1"/>
  <c r="AL878" i="1"/>
  <c r="AL680" i="1"/>
  <c r="AL1012" i="1"/>
  <c r="AL682" i="1"/>
  <c r="AL840" i="1"/>
  <c r="AL555" i="1"/>
  <c r="AL544" i="1"/>
  <c r="AL891" i="1"/>
  <c r="AL889" i="1"/>
  <c r="AL867" i="1"/>
  <c r="AL994" i="1"/>
  <c r="AL887" i="1"/>
  <c r="AL879" i="1"/>
  <c r="AL629" i="1"/>
  <c r="AL516" i="1"/>
  <c r="AL1096" i="1"/>
  <c r="AL565" i="1"/>
  <c r="AL817" i="1"/>
  <c r="AL501" i="1"/>
  <c r="AL893" i="1"/>
  <c r="AL1064" i="1"/>
  <c r="AL637" i="1"/>
  <c r="AL843" i="1"/>
  <c r="AL835" i="1"/>
  <c r="AL694" i="1"/>
  <c r="AL446" i="1"/>
  <c r="AL863" i="1"/>
  <c r="AN294" i="5"/>
  <c r="AN172" i="5"/>
  <c r="AN348" i="5"/>
  <c r="AN160" i="5"/>
  <c r="AN89" i="5"/>
  <c r="AN335" i="5"/>
  <c r="F16" i="3"/>
  <c r="AV41" i="5"/>
  <c r="AV161" i="5"/>
  <c r="AV332" i="5"/>
  <c r="AV142" i="5"/>
  <c r="BX909" i="1"/>
  <c r="AL632" i="1"/>
  <c r="AL648" i="1"/>
  <c r="AL665" i="1"/>
  <c r="AL554" i="1"/>
  <c r="AL511" i="1"/>
  <c r="AL658" i="1"/>
  <c r="AL908" i="1"/>
  <c r="AL1032" i="1"/>
  <c r="AL894" i="1"/>
  <c r="AL724" i="1"/>
  <c r="AL1021" i="1"/>
  <c r="AL457" i="1"/>
  <c r="AL1014" i="1"/>
  <c r="AL812" i="1"/>
  <c r="AL924" i="1"/>
  <c r="AL827" i="1"/>
  <c r="AL919" i="1"/>
  <c r="AL533" i="1"/>
  <c r="AL536" i="1"/>
  <c r="AL777" i="1"/>
  <c r="AL1057" i="1"/>
  <c r="AL695" i="1"/>
  <c r="AL464" i="1"/>
  <c r="AL445" i="1"/>
  <c r="AL759" i="1"/>
  <c r="AL525" i="1"/>
  <c r="AL502" i="1"/>
  <c r="AL654" i="1"/>
  <c r="AL767" i="1"/>
  <c r="AL723" i="1"/>
  <c r="AL538" i="1"/>
  <c r="AL1055" i="1"/>
  <c r="AL727" i="1"/>
  <c r="AL814" i="1"/>
  <c r="AL563" i="1"/>
  <c r="AL1048" i="1"/>
  <c r="AL656" i="1"/>
  <c r="AL468" i="1"/>
  <c r="AL466" i="1"/>
  <c r="AL898" i="1"/>
  <c r="AL896" i="1"/>
  <c r="AL557" i="1"/>
  <c r="AL1074" i="1"/>
  <c r="AL1093" i="1"/>
  <c r="AL763" i="1"/>
  <c r="AL899" i="1"/>
  <c r="AL866" i="1"/>
  <c r="AL558" i="1"/>
  <c r="BX1058" i="1"/>
  <c r="AV280" i="5"/>
  <c r="AV341" i="5"/>
  <c r="AV131" i="5"/>
  <c r="AV338" i="5"/>
  <c r="AV330" i="5"/>
  <c r="BX887" i="1"/>
  <c r="BX912" i="1"/>
  <c r="AL779" i="1"/>
  <c r="AL1065" i="1"/>
  <c r="AL1081" i="1"/>
  <c r="AL697" i="1"/>
  <c r="AL1024" i="1"/>
  <c r="AL496" i="1"/>
  <c r="AL669" i="1"/>
  <c r="AL1077" i="1"/>
  <c r="AL1018" i="1"/>
  <c r="AL796" i="1"/>
  <c r="AL705" i="1"/>
  <c r="AL912" i="1"/>
  <c r="AL686" i="1"/>
  <c r="AL1091" i="1"/>
  <c r="AL1098" i="1"/>
  <c r="AL1079" i="1"/>
  <c r="AL467" i="1"/>
  <c r="AL903" i="1"/>
  <c r="AL1059" i="1"/>
  <c r="AL512" i="1"/>
  <c r="AL761" i="1"/>
  <c r="AL447" i="1"/>
  <c r="AL490" i="1"/>
  <c r="AL1068" i="1"/>
  <c r="AL873" i="1"/>
  <c r="AL883" i="1"/>
  <c r="AL685" i="1"/>
  <c r="AL807" i="1"/>
  <c r="AL684" i="1"/>
  <c r="AL667" i="1"/>
  <c r="AL1086" i="1"/>
  <c r="AL1088" i="1"/>
  <c r="AL452" i="1"/>
  <c r="AL998" i="1"/>
  <c r="AL539" i="1"/>
  <c r="AL1066" i="1"/>
  <c r="AL810" i="1"/>
  <c r="AL886" i="1"/>
  <c r="AL875" i="1"/>
  <c r="AL693" i="1"/>
  <c r="AL774" i="1"/>
  <c r="AL660" i="1"/>
  <c r="AL776" i="1"/>
  <c r="AL933" i="1"/>
  <c r="AL649" i="1"/>
  <c r="AL1071" i="1"/>
  <c r="AL910" i="1"/>
  <c r="AL493" i="1"/>
  <c r="BX1085" i="1"/>
  <c r="AN176" i="5"/>
  <c r="AN358" i="5"/>
  <c r="AN30" i="5"/>
  <c r="AN27" i="5"/>
  <c r="AN282" i="5"/>
  <c r="AN23" i="5"/>
  <c r="AV272" i="5"/>
  <c r="AV65" i="5"/>
  <c r="AV187" i="5"/>
  <c r="AV180" i="5"/>
  <c r="AV123" i="5"/>
  <c r="BX1001" i="1"/>
  <c r="BX992" i="1"/>
  <c r="AL1007" i="1"/>
  <c r="AL1083" i="1"/>
  <c r="AL651" i="1"/>
  <c r="AL920" i="1"/>
  <c r="AL1009" i="1"/>
  <c r="AL479" i="1"/>
  <c r="AL661" i="1"/>
  <c r="AL931" i="1"/>
  <c r="AL647" i="1"/>
  <c r="AL829" i="1"/>
  <c r="AL838" i="1"/>
  <c r="AL1053" i="1"/>
  <c r="AL884" i="1"/>
  <c r="AL635" i="1"/>
  <c r="AL1022" i="1"/>
  <c r="AL839" i="1"/>
  <c r="AL996" i="1"/>
  <c r="AL721" i="1"/>
  <c r="AL897" i="1"/>
  <c r="AL1087" i="1"/>
  <c r="AL708" i="1"/>
  <c r="AL560" i="1"/>
  <c r="AL778" i="1"/>
  <c r="AL826" i="1"/>
  <c r="AL687" i="1"/>
  <c r="AL880" i="1"/>
  <c r="AL793" i="1"/>
  <c r="AL505" i="1"/>
  <c r="AL543" i="1"/>
  <c r="AL526" i="1"/>
  <c r="AL540" i="1"/>
  <c r="AL547" i="1"/>
  <c r="AL709" i="1"/>
  <c r="AL552" i="1"/>
  <c r="AL895" i="1"/>
  <c r="AL868" i="1"/>
  <c r="AL752" i="1"/>
  <c r="AL1046" i="1"/>
  <c r="AL644" i="1"/>
  <c r="AL1028" i="1"/>
  <c r="AL696" i="1"/>
  <c r="AL794" i="1"/>
  <c r="AL770" i="1"/>
  <c r="AL553" i="1"/>
  <c r="AL522" i="1"/>
  <c r="AL775" i="1"/>
  <c r="AL881" i="1"/>
  <c r="AL773" i="1"/>
  <c r="AL1027" i="1"/>
  <c r="AL472" i="1"/>
  <c r="AL905" i="1"/>
  <c r="AL1049" i="1"/>
  <c r="AL715" i="1"/>
  <c r="AL542" i="1"/>
  <c r="AL990" i="1"/>
  <c r="AL841" i="1"/>
  <c r="AL537" i="1"/>
  <c r="AL1026" i="1"/>
  <c r="AL712" i="1"/>
  <c r="AL454" i="1"/>
  <c r="AL837" i="1"/>
  <c r="AL764" i="1"/>
  <c r="AL832" i="1"/>
  <c r="AL772" i="1"/>
  <c r="AL798" i="1"/>
  <c r="AL519" i="1"/>
  <c r="AL845" i="1"/>
  <c r="AL1067" i="1"/>
  <c r="AL662" i="1"/>
  <c r="AL833" i="1"/>
  <c r="AL1031" i="1"/>
  <c r="AL1001" i="1"/>
  <c r="AL733" i="1"/>
  <c r="AL638" i="1"/>
  <c r="AL650" i="1"/>
  <c r="AL459" i="1"/>
  <c r="AL906" i="1"/>
  <c r="AL1082" i="1"/>
  <c r="AL1056" i="1"/>
  <c r="AL766" i="1"/>
  <c r="AL1017" i="1"/>
  <c r="AL750" i="1"/>
  <c r="AL689" i="1"/>
  <c r="AL864" i="1"/>
  <c r="AL524" i="1"/>
  <c r="AL792" i="1"/>
  <c r="AL699" i="1"/>
  <c r="AL627" i="1"/>
  <c r="AL870" i="1"/>
  <c r="AL698" i="1"/>
  <c r="AL470" i="1"/>
  <c r="AL916" i="1"/>
  <c r="AL813" i="1"/>
  <c r="AL1047" i="1"/>
  <c r="AL449" i="1"/>
  <c r="AL1013" i="1"/>
  <c r="BX843" i="1"/>
  <c r="AV324" i="5"/>
  <c r="AV102" i="5"/>
  <c r="AV157" i="5"/>
  <c r="AV293" i="5"/>
  <c r="AV46" i="5"/>
  <c r="AL731" i="1"/>
  <c r="AL871" i="1"/>
  <c r="AL831" i="1"/>
  <c r="AL771" i="1"/>
  <c r="AL922" i="1"/>
  <c r="AL842" i="1"/>
  <c r="AL643" i="1"/>
  <c r="AL1029" i="1"/>
  <c r="AL455" i="1"/>
  <c r="AL471" i="1"/>
  <c r="AL515" i="1"/>
  <c r="AL1016" i="1"/>
  <c r="AL639" i="1"/>
  <c r="AL809" i="1"/>
  <c r="AL634" i="1"/>
  <c r="BX926" i="1"/>
  <c r="AN192" i="5"/>
  <c r="AN95" i="5"/>
  <c r="AN362" i="5"/>
  <c r="AN44" i="5"/>
  <c r="AN198" i="5"/>
  <c r="AN337" i="5"/>
  <c r="AN62" i="5"/>
  <c r="AN183" i="5"/>
  <c r="AN84" i="5"/>
  <c r="AN68" i="5"/>
  <c r="AN110" i="5"/>
  <c r="BX1000" i="1"/>
  <c r="AV160" i="5"/>
  <c r="AV185" i="5"/>
  <c r="AV81" i="5"/>
  <c r="AV91" i="5"/>
  <c r="AV25" i="5"/>
  <c r="AV321" i="5"/>
  <c r="AV322" i="5"/>
  <c r="AV201" i="5"/>
  <c r="AV49" i="5"/>
  <c r="BX867" i="1"/>
  <c r="BX933" i="1"/>
  <c r="AL999" i="1"/>
  <c r="AL830" i="1"/>
  <c r="AL477" i="1"/>
  <c r="AL521" i="1"/>
  <c r="AL1095" i="1"/>
  <c r="AL510" i="1"/>
  <c r="AL451" i="1"/>
  <c r="AL1015" i="1"/>
  <c r="AL757" i="1"/>
  <c r="AL921" i="1"/>
  <c r="AL664" i="1"/>
  <c r="AL1092" i="1"/>
  <c r="AL1062" i="1"/>
  <c r="AL900" i="1"/>
  <c r="AL631" i="1"/>
  <c r="AL566" i="1"/>
  <c r="AL892" i="1"/>
  <c r="AL797" i="1"/>
  <c r="AL701" i="1"/>
  <c r="AL653" i="1"/>
  <c r="AL795" i="1"/>
  <c r="AL1050" i="1"/>
  <c r="AL802" i="1"/>
  <c r="AL473" i="1"/>
  <c r="AL690" i="1"/>
  <c r="AL728" i="1"/>
  <c r="AL666" i="1"/>
  <c r="AL995" i="1"/>
  <c r="AL500" i="1"/>
  <c r="AL507" i="1"/>
  <c r="AL1034" i="1"/>
  <c r="AL720" i="1"/>
  <c r="AL808" i="1"/>
  <c r="AL710" i="1"/>
  <c r="AL458" i="1"/>
  <c r="AL925" i="1"/>
  <c r="AN271" i="5"/>
  <c r="AN162" i="5"/>
  <c r="AN357" i="5"/>
  <c r="AN104" i="5"/>
  <c r="AN264" i="5"/>
  <c r="AN40" i="5"/>
  <c r="AN262" i="5"/>
  <c r="AN275" i="5"/>
  <c r="AN149" i="5"/>
  <c r="AN90" i="5"/>
  <c r="AN133" i="5"/>
  <c r="AN173" i="5"/>
  <c r="BX1055" i="1"/>
  <c r="AV320" i="5"/>
  <c r="AV172" i="5"/>
  <c r="AV198" i="5"/>
  <c r="AV188" i="5"/>
  <c r="AV29" i="5"/>
  <c r="AV356" i="5"/>
  <c r="AV354" i="5"/>
  <c r="AV297" i="5"/>
  <c r="BX895" i="1"/>
  <c r="BX924" i="1"/>
  <c r="BD149" i="5"/>
  <c r="BD38" i="5"/>
  <c r="BD32" i="5"/>
  <c r="BD342" i="5"/>
  <c r="BD79" i="5"/>
  <c r="BD71" i="5"/>
  <c r="BD276" i="5"/>
  <c r="BD279" i="5"/>
  <c r="BD363" i="5"/>
  <c r="BD147" i="5"/>
  <c r="BD61" i="5"/>
  <c r="BD331" i="5"/>
  <c r="BD191" i="5"/>
  <c r="BD344" i="5"/>
  <c r="BD95" i="5"/>
  <c r="BD150" i="5"/>
  <c r="BD125" i="5"/>
  <c r="BD69" i="5"/>
  <c r="BD347" i="5"/>
  <c r="BD336" i="5"/>
  <c r="BD187" i="5"/>
  <c r="BD45" i="5"/>
  <c r="BD283" i="5"/>
  <c r="BD195" i="5"/>
  <c r="BD328" i="5"/>
  <c r="BD338" i="5"/>
  <c r="BD72" i="5"/>
  <c r="BD267" i="5"/>
  <c r="BD186" i="5"/>
  <c r="BD109" i="5"/>
  <c r="BD145" i="5"/>
  <c r="BD185" i="5"/>
  <c r="BD271" i="5"/>
  <c r="BD351" i="5"/>
  <c r="BD270" i="5"/>
  <c r="BD313" i="5"/>
  <c r="BD90" i="5"/>
  <c r="BD99" i="5"/>
  <c r="BD112" i="5"/>
  <c r="BD20" i="5"/>
  <c r="BD50" i="5"/>
  <c r="BD31" i="5"/>
  <c r="BD327" i="5"/>
  <c r="BD166" i="5"/>
  <c r="BD163" i="5"/>
  <c r="BD287" i="5"/>
  <c r="BD303" i="5"/>
  <c r="BD143" i="5"/>
  <c r="BD365" i="5"/>
  <c r="BD148" i="5"/>
  <c r="BD292" i="5"/>
  <c r="BD43" i="5"/>
  <c r="BD84" i="5"/>
  <c r="BD78" i="5"/>
  <c r="BD262" i="5"/>
  <c r="BD180" i="5"/>
  <c r="BD27" i="5"/>
  <c r="BD42" i="5"/>
  <c r="BD295" i="5"/>
  <c r="BD322" i="5"/>
  <c r="BD360" i="5"/>
  <c r="BD104" i="5"/>
  <c r="BD170" i="5"/>
  <c r="BD200" i="5"/>
  <c r="BD291" i="5"/>
  <c r="BD83" i="5"/>
  <c r="BD282" i="5"/>
  <c r="AV287" i="5"/>
  <c r="AV302" i="5"/>
  <c r="AV289" i="5"/>
  <c r="AV286" i="5"/>
  <c r="AV153" i="5"/>
  <c r="AV177" i="5"/>
  <c r="AV193" i="5"/>
  <c r="AV112" i="5"/>
  <c r="AV63" i="5"/>
  <c r="AV261" i="5"/>
  <c r="AV47" i="5"/>
  <c r="AV295" i="5"/>
  <c r="AV331" i="5"/>
  <c r="AV125" i="5"/>
  <c r="AV104" i="5"/>
  <c r="AV34" i="5"/>
  <c r="AV363" i="5"/>
  <c r="AV110" i="5"/>
  <c r="AV290" i="5"/>
  <c r="AV22" i="5"/>
  <c r="AV126" i="5"/>
  <c r="AV76" i="5"/>
  <c r="AV174" i="5"/>
  <c r="AV26" i="5"/>
  <c r="AV264" i="5"/>
  <c r="AV360" i="5"/>
  <c r="AL823" i="1"/>
  <c r="AL1000" i="1"/>
  <c r="AL844" i="1"/>
  <c r="AL822" i="1"/>
  <c r="AL508" i="1"/>
  <c r="AL855" i="1"/>
  <c r="AL732" i="1"/>
  <c r="AL818" i="1"/>
  <c r="AL670" i="1"/>
  <c r="AL475" i="1"/>
  <c r="AL659" i="1"/>
  <c r="AL1010" i="1"/>
  <c r="AL801" i="1"/>
  <c r="AL535" i="1"/>
  <c r="AL860" i="1"/>
  <c r="BX884" i="1"/>
  <c r="BX907" i="1"/>
  <c r="AN79" i="5"/>
  <c r="AN105" i="5"/>
  <c r="AN129" i="5"/>
  <c r="AN350" i="5"/>
  <c r="AN73" i="5"/>
  <c r="AN37" i="5"/>
  <c r="AN143" i="5"/>
  <c r="AN299" i="5"/>
  <c r="AN166" i="5"/>
  <c r="AN131" i="5"/>
  <c r="AN345" i="5"/>
  <c r="AV298" i="5"/>
  <c r="AV199" i="5"/>
  <c r="AV353" i="5"/>
  <c r="AV138" i="5"/>
  <c r="AV67" i="5"/>
  <c r="AV42" i="5"/>
  <c r="AV61" i="5"/>
  <c r="AV351" i="5"/>
  <c r="AV23" i="5"/>
  <c r="BX993" i="1"/>
  <c r="BX885" i="1"/>
  <c r="BX1090" i="1"/>
  <c r="F14" i="3"/>
  <c r="AN351" i="5"/>
  <c r="AN356" i="5"/>
  <c r="AN45" i="5"/>
  <c r="AN164" i="5"/>
  <c r="AN109" i="5"/>
  <c r="AN128" i="5"/>
  <c r="AN153" i="5"/>
  <c r="AN50" i="5"/>
  <c r="AN34" i="5"/>
  <c r="AN85" i="5"/>
  <c r="AN314" i="5"/>
  <c r="AN159" i="5"/>
  <c r="AN47" i="5"/>
  <c r="AN82" i="5"/>
  <c r="AN359" i="5"/>
  <c r="AN339" i="5"/>
  <c r="AN64" i="5"/>
  <c r="AN48" i="5"/>
  <c r="AN199" i="5"/>
  <c r="AN186" i="5"/>
  <c r="AN101" i="5"/>
  <c r="AN87" i="5"/>
  <c r="AN290" i="5"/>
  <c r="AN318" i="5"/>
  <c r="AN156" i="5"/>
  <c r="AN29" i="5"/>
  <c r="AN283" i="5"/>
  <c r="AN144" i="5"/>
  <c r="AN80" i="5"/>
  <c r="AN98" i="5"/>
  <c r="AN323" i="5"/>
  <c r="BX1004" i="1"/>
  <c r="BX1030" i="1"/>
  <c r="AN135" i="5"/>
  <c r="AN349" i="5"/>
  <c r="AN352" i="5"/>
  <c r="AN86" i="5"/>
  <c r="AN292" i="5"/>
  <c r="AN88" i="5"/>
  <c r="AN145" i="5"/>
  <c r="AN83" i="5"/>
  <c r="AN93" i="5"/>
  <c r="AN181" i="5"/>
  <c r="AN97" i="5"/>
  <c r="AN197" i="5"/>
  <c r="AV38" i="5"/>
  <c r="AV194" i="5"/>
  <c r="AV291" i="5"/>
  <c r="AV133" i="5"/>
  <c r="AV32" i="5"/>
  <c r="AV134" i="5"/>
  <c r="AV333" i="5"/>
  <c r="AV162" i="5"/>
  <c r="AV45" i="5"/>
  <c r="AV300" i="5"/>
  <c r="BX1068" i="1"/>
  <c r="BX886" i="1"/>
  <c r="BX1088" i="1"/>
  <c r="BX898" i="1"/>
  <c r="BX1057" i="1"/>
  <c r="BX840" i="1"/>
  <c r="BX1083" i="1"/>
  <c r="BX927" i="1"/>
  <c r="BX1017" i="1"/>
  <c r="BX1078" i="1"/>
  <c r="BX1079" i="1"/>
  <c r="BX905" i="1"/>
  <c r="BX1047" i="1"/>
  <c r="BX844" i="1"/>
  <c r="AX1084" i="1"/>
  <c r="AX839" i="1"/>
  <c r="AX890" i="1"/>
  <c r="AX814" i="1"/>
  <c r="AX1057" i="1"/>
  <c r="AX1086" i="1"/>
  <c r="AX1014" i="1"/>
  <c r="AX681" i="1"/>
  <c r="AX763" i="1"/>
  <c r="AX899" i="1"/>
  <c r="AX871" i="1"/>
  <c r="AX664" i="1"/>
  <c r="AX843" i="1"/>
  <c r="AX883" i="1"/>
  <c r="AX818" i="1"/>
  <c r="AL448" i="1"/>
  <c r="AL711" i="1"/>
  <c r="AL1033" i="1"/>
  <c r="AL930" i="1"/>
  <c r="AL1060" i="1"/>
  <c r="AL1069" i="1"/>
  <c r="AL692" i="1"/>
  <c r="AL702" i="1"/>
  <c r="AL719" i="1"/>
  <c r="AL688" i="1"/>
  <c r="AL492" i="1"/>
  <c r="AL716" i="1"/>
  <c r="AL1052" i="1"/>
  <c r="AL707" i="1"/>
  <c r="AL725" i="1"/>
  <c r="AL782" i="1"/>
  <c r="AL913" i="1"/>
  <c r="AL885" i="1"/>
  <c r="AL888" i="1"/>
  <c r="AL1075" i="1"/>
  <c r="AL991" i="1"/>
  <c r="AL872" i="1"/>
  <c r="AL465" i="1"/>
  <c r="AL545" i="1"/>
  <c r="AL806" i="1"/>
  <c r="AL1090" i="1"/>
  <c r="AL834" i="1"/>
  <c r="AL541" i="1"/>
  <c r="AL869" i="1"/>
  <c r="AL626" i="1"/>
  <c r="AL704" i="1"/>
  <c r="AL509" i="1"/>
  <c r="AL904" i="1"/>
  <c r="AL765" i="1"/>
  <c r="BX1048" i="1"/>
  <c r="BX1035" i="1"/>
  <c r="BX1033" i="1"/>
  <c r="AN303" i="5"/>
  <c r="AN267" i="5"/>
  <c r="AN19" i="5"/>
  <c r="AN266" i="5"/>
  <c r="AN35" i="5"/>
  <c r="AN342" i="5"/>
  <c r="AN33" i="5"/>
  <c r="AN150" i="5"/>
  <c r="AN92" i="5"/>
  <c r="AN81" i="5"/>
  <c r="AN298" i="5"/>
  <c r="AN331" i="5"/>
  <c r="AN169" i="5"/>
  <c r="AN42" i="5"/>
  <c r="AN138" i="5"/>
  <c r="AN285" i="5"/>
  <c r="AN152" i="5"/>
  <c r="AN63" i="5"/>
  <c r="AN136" i="5"/>
  <c r="AN196" i="5"/>
  <c r="AN72" i="5"/>
  <c r="AN338" i="5"/>
  <c r="AN326" i="5"/>
  <c r="AN336" i="5"/>
  <c r="AN297" i="5"/>
  <c r="BX994" i="1"/>
  <c r="AV344" i="5"/>
  <c r="AV171" i="5"/>
  <c r="AV139" i="5"/>
  <c r="AV100" i="5"/>
  <c r="AV167" i="5"/>
  <c r="AV278" i="5"/>
  <c r="AV195" i="5"/>
  <c r="AV281" i="5"/>
  <c r="AV192" i="5"/>
  <c r="AV168" i="5"/>
  <c r="AV347" i="5"/>
  <c r="AV175" i="5"/>
  <c r="AV40" i="5"/>
  <c r="AV27" i="5"/>
  <c r="AV31" i="5"/>
  <c r="AV179" i="5"/>
  <c r="AV284" i="5"/>
  <c r="AV259" i="5"/>
  <c r="AV327" i="5"/>
  <c r="AV270" i="5"/>
  <c r="AV365" i="5"/>
  <c r="AV113" i="5"/>
  <c r="AV130" i="5"/>
  <c r="AV176" i="5"/>
  <c r="AV101" i="5"/>
  <c r="AV329" i="5"/>
  <c r="AV170" i="5"/>
  <c r="AV323" i="5"/>
  <c r="AV282" i="5"/>
  <c r="AV135" i="5"/>
  <c r="AV107" i="5"/>
  <c r="AV346" i="5"/>
  <c r="AV334" i="5"/>
  <c r="BX918" i="1"/>
  <c r="BX888" i="1"/>
  <c r="BX1089" i="1"/>
  <c r="BX869" i="1"/>
  <c r="AX722" i="1"/>
  <c r="AX996" i="1"/>
  <c r="AX1071" i="1"/>
  <c r="AX823" i="1"/>
  <c r="BX880" i="1"/>
  <c r="BX1023" i="1"/>
  <c r="BX1063" i="1"/>
  <c r="BX858" i="1"/>
  <c r="AN126" i="5"/>
  <c r="AN296" i="5"/>
  <c r="AN188" i="5"/>
  <c r="AN147" i="5"/>
  <c r="AN259" i="5"/>
  <c r="AN340" i="5"/>
  <c r="AN334" i="5"/>
  <c r="AN191" i="5"/>
  <c r="AN301" i="5"/>
  <c r="AN112" i="5"/>
  <c r="AN77" i="5"/>
  <c r="AN24" i="5"/>
  <c r="AN177" i="5"/>
  <c r="AN174" i="5"/>
  <c r="AN295" i="5"/>
  <c r="AN190" i="5"/>
  <c r="AN49" i="5"/>
  <c r="AN41" i="5"/>
  <c r="AN291" i="5"/>
  <c r="AN261" i="5"/>
  <c r="AN276" i="5"/>
  <c r="AN346" i="5"/>
  <c r="AN319" i="5"/>
  <c r="AN78" i="5"/>
  <c r="BX871" i="1"/>
  <c r="BX901" i="1"/>
  <c r="AV271" i="5"/>
  <c r="AV79" i="5"/>
  <c r="AV148" i="5"/>
  <c r="AV296" i="5"/>
  <c r="AV178" i="5"/>
  <c r="AV273" i="5"/>
  <c r="AV358" i="5"/>
  <c r="AV301" i="5"/>
  <c r="AV30" i="5"/>
  <c r="AV84" i="5"/>
  <c r="AV350" i="5"/>
  <c r="AV316" i="5"/>
  <c r="AV184" i="5"/>
  <c r="AV340" i="5"/>
  <c r="AV314" i="5"/>
  <c r="AV317" i="5"/>
  <c r="AV267" i="5"/>
  <c r="AV349" i="5"/>
  <c r="AV20" i="5"/>
  <c r="AV149" i="5"/>
  <c r="AV357" i="5"/>
  <c r="AV44" i="5"/>
  <c r="AV361" i="5"/>
  <c r="AV99" i="5"/>
  <c r="AV288" i="5"/>
  <c r="AV263" i="5"/>
  <c r="AV90" i="5"/>
  <c r="AV318" i="5"/>
  <c r="AV35" i="5"/>
  <c r="AV362" i="5"/>
  <c r="AV355" i="5"/>
  <c r="AV283" i="5"/>
  <c r="AV366" i="5"/>
  <c r="BX929" i="1"/>
  <c r="BX1049" i="1"/>
  <c r="BX999" i="1"/>
  <c r="AX727" i="1"/>
  <c r="AX1023" i="1"/>
  <c r="AX1077" i="1"/>
  <c r="AX1008" i="1"/>
  <c r="BX1061" i="1"/>
  <c r="AV328" i="5"/>
  <c r="AV166" i="5"/>
  <c r="AV299" i="5"/>
  <c r="AV128" i="5"/>
  <c r="AV28" i="5"/>
  <c r="AV159" i="5"/>
  <c r="AV39" i="5"/>
  <c r="AV43" i="5"/>
  <c r="AV260" i="5"/>
  <c r="AV165" i="5"/>
  <c r="AV18" i="5"/>
  <c r="AV137" i="5"/>
  <c r="AV303" i="5"/>
  <c r="AV186" i="5"/>
  <c r="AV62" i="5"/>
  <c r="AV85" i="5"/>
  <c r="AV339" i="5"/>
  <c r="AV158" i="5"/>
  <c r="AV98" i="5"/>
  <c r="AV164" i="5"/>
  <c r="AV111" i="5"/>
  <c r="AV274" i="5"/>
  <c r="AV275" i="5"/>
  <c r="AV154" i="5"/>
  <c r="AV156" i="5"/>
  <c r="AV71" i="5"/>
  <c r="AV197" i="5"/>
  <c r="AV70" i="5"/>
  <c r="AV68" i="5"/>
  <c r="AV143" i="5"/>
  <c r="AV285" i="5"/>
  <c r="AV345" i="5"/>
  <c r="AV325" i="5"/>
  <c r="BX860" i="1"/>
  <c r="BX1006" i="1"/>
  <c r="AN36" i="5"/>
  <c r="AN328" i="5"/>
  <c r="AN161" i="5"/>
  <c r="AN287" i="5"/>
  <c r="AN38" i="5"/>
  <c r="AN76" i="5"/>
  <c r="AN333" i="5"/>
  <c r="AN141" i="5"/>
  <c r="AN277" i="5"/>
  <c r="AN289" i="5"/>
  <c r="AN175" i="5"/>
  <c r="AN69" i="5"/>
  <c r="AN96" i="5"/>
  <c r="AN178" i="5"/>
  <c r="AN185" i="5"/>
  <c r="AN134" i="5"/>
  <c r="AN272" i="5"/>
  <c r="AN201" i="5"/>
  <c r="AN60" i="5"/>
  <c r="AN170" i="5"/>
  <c r="AN300" i="5"/>
  <c r="AN279" i="5"/>
  <c r="AN70" i="5"/>
  <c r="AN167" i="5"/>
  <c r="AN94" i="5"/>
  <c r="BX931" i="1"/>
  <c r="AV266" i="5"/>
  <c r="AV268" i="5"/>
  <c r="AV140" i="5"/>
  <c r="AV183" i="5"/>
  <c r="AV163" i="5"/>
  <c r="AV337" i="5"/>
  <c r="AV265" i="5"/>
  <c r="AV124" i="5"/>
  <c r="AV152" i="5"/>
  <c r="AV97" i="5"/>
  <c r="AV37" i="5"/>
  <c r="AV66" i="5"/>
  <c r="AV169" i="5"/>
  <c r="AV83" i="5"/>
  <c r="AV155" i="5"/>
  <c r="AV60" i="5"/>
  <c r="AV359" i="5"/>
  <c r="AV72" i="5"/>
  <c r="AV89" i="5"/>
  <c r="AV294" i="5"/>
  <c r="AV292" i="5"/>
  <c r="AV73" i="5"/>
  <c r="AV69" i="5"/>
  <c r="AV74" i="5"/>
  <c r="AV132" i="5"/>
  <c r="AV24" i="5"/>
  <c r="AV144" i="5"/>
  <c r="AV36" i="5"/>
  <c r="AV94" i="5"/>
  <c r="AV75" i="5"/>
  <c r="AV190" i="5"/>
  <c r="AV95" i="5"/>
  <c r="AV189" i="5"/>
  <c r="BX1070" i="1"/>
  <c r="BX868" i="1"/>
  <c r="BX870" i="1"/>
  <c r="BX1056" i="1"/>
  <c r="AX775" i="1"/>
  <c r="AX759" i="1"/>
  <c r="AX817" i="1"/>
  <c r="BX997" i="1"/>
  <c r="AV191" i="5"/>
  <c r="AV181" i="5"/>
  <c r="AV146" i="5"/>
  <c r="AV33" i="5"/>
  <c r="AV262" i="5"/>
  <c r="AV200" i="5"/>
  <c r="AV88" i="5"/>
  <c r="AV108" i="5"/>
  <c r="AV82" i="5"/>
  <c r="AV103" i="5"/>
  <c r="AV19" i="5"/>
  <c r="AV326" i="5"/>
  <c r="AV173" i="5"/>
  <c r="AV147" i="5"/>
  <c r="AV151" i="5"/>
  <c r="AV105" i="5"/>
  <c r="AV93" i="5"/>
  <c r="AV77" i="5"/>
  <c r="AV269" i="5"/>
  <c r="AV64" i="5"/>
  <c r="AV319" i="5"/>
  <c r="AV343" i="5"/>
  <c r="AV136" i="5"/>
  <c r="AV279" i="5"/>
  <c r="AV342" i="5"/>
  <c r="AV313" i="5"/>
  <c r="AV127" i="5"/>
  <c r="AV196" i="5"/>
  <c r="AV141" i="5"/>
  <c r="AV364" i="5"/>
  <c r="AV335" i="5"/>
  <c r="AV80" i="5"/>
  <c r="AV96" i="5"/>
  <c r="AX893" i="1"/>
  <c r="AX1058" i="1"/>
  <c r="AX991" i="1"/>
  <c r="AX778" i="1"/>
  <c r="AX857" i="1"/>
  <c r="AX1032" i="1"/>
  <c r="AX891" i="1"/>
  <c r="AX699" i="1"/>
  <c r="AX1088" i="1"/>
  <c r="AX690" i="1"/>
  <c r="AX794" i="1"/>
  <c r="AX1021" i="1"/>
  <c r="AX810" i="1"/>
  <c r="AX720" i="1"/>
  <c r="AX1025" i="1"/>
  <c r="AX997" i="1"/>
  <c r="AX1097" i="1"/>
  <c r="AX1002" i="1"/>
  <c r="AX1046" i="1"/>
  <c r="AX822" i="1"/>
  <c r="AX1049" i="1"/>
  <c r="AX1017" i="1"/>
  <c r="AX683" i="1"/>
  <c r="AX1081" i="1"/>
  <c r="AX780" i="1"/>
  <c r="AX660" i="1"/>
  <c r="AX886" i="1"/>
  <c r="AX896" i="1"/>
  <c r="AX872" i="1"/>
  <c r="AX1019" i="1"/>
  <c r="AX884" i="1"/>
  <c r="AX859" i="1"/>
  <c r="AX1003" i="1"/>
  <c r="AX687" i="1"/>
  <c r="AX1089" i="1"/>
  <c r="AX768" i="1"/>
  <c r="AX811" i="1"/>
  <c r="AX995" i="1"/>
  <c r="AX888" i="1"/>
  <c r="AX1035" i="1"/>
  <c r="AX692" i="1"/>
  <c r="AX860" i="1"/>
  <c r="AX1016" i="1"/>
  <c r="AX691" i="1"/>
  <c r="AX876" i="1"/>
  <c r="AX725" i="1"/>
  <c r="AX834" i="1"/>
  <c r="AX668" i="1"/>
  <c r="AX904" i="1"/>
  <c r="AX923" i="1"/>
  <c r="AX723" i="1"/>
  <c r="AX1030" i="1"/>
  <c r="AX760" i="1"/>
  <c r="AX905" i="1"/>
  <c r="AX770" i="1"/>
  <c r="AX1010" i="1"/>
  <c r="AX903" i="1"/>
  <c r="AX885" i="1"/>
  <c r="AX782" i="1"/>
  <c r="AX771" i="1"/>
  <c r="AX1060" i="1"/>
  <c r="AX829" i="1"/>
  <c r="AX728" i="1"/>
  <c r="AX831" i="1"/>
  <c r="AX887" i="1"/>
  <c r="AX910" i="1"/>
  <c r="AX776" i="1"/>
  <c r="AX767" i="1"/>
  <c r="AX1076" i="1"/>
  <c r="AX840" i="1"/>
  <c r="AX800" i="1"/>
  <c r="AX912" i="1"/>
  <c r="AX1085" i="1"/>
  <c r="AX1073" i="1"/>
  <c r="AX842" i="1"/>
  <c r="AX889" i="1"/>
  <c r="AX926" i="1"/>
  <c r="AX916" i="1"/>
  <c r="AX1091" i="1"/>
  <c r="AX792" i="1"/>
  <c r="AX873" i="1"/>
  <c r="AX920" i="1"/>
  <c r="AX695" i="1"/>
  <c r="AX892" i="1"/>
  <c r="AX819" i="1"/>
  <c r="AX698" i="1"/>
  <c r="AX998" i="1"/>
  <c r="AX815" i="1"/>
  <c r="AX685" i="1"/>
  <c r="AX909" i="1"/>
  <c r="AX1096" i="1"/>
  <c r="AX1092" i="1"/>
  <c r="AX858" i="1"/>
  <c r="AX715" i="1"/>
  <c r="AX718" i="1"/>
  <c r="AX662" i="1"/>
  <c r="AX1033" i="1"/>
  <c r="AX724" i="1"/>
  <c r="AX1029" i="1"/>
  <c r="AX882" i="1"/>
  <c r="AX895" i="1"/>
  <c r="AX772" i="1"/>
  <c r="AX1080" i="1"/>
  <c r="AX1090" i="1"/>
  <c r="AX865" i="1"/>
  <c r="AX1075" i="1"/>
  <c r="AX825" i="1"/>
  <c r="AX688" i="1"/>
  <c r="AX908" i="1"/>
  <c r="AX729" i="1"/>
  <c r="AX1062" i="1"/>
  <c r="AX1051" i="1"/>
  <c r="AX669" i="1"/>
  <c r="AX1087" i="1"/>
  <c r="AX1009" i="1"/>
  <c r="AX868" i="1"/>
  <c r="AX795" i="1"/>
  <c r="AX657" i="1"/>
  <c r="AX914" i="1"/>
  <c r="AX796" i="1"/>
  <c r="AX932" i="1"/>
  <c r="AX1012" i="1"/>
  <c r="AX1047" i="1"/>
  <c r="AX832" i="1"/>
  <c r="AX726" i="1"/>
  <c r="AX753" i="1"/>
  <c r="AX838" i="1"/>
  <c r="AX793" i="1"/>
  <c r="AX906" i="1"/>
  <c r="AX933" i="1"/>
  <c r="AX1061" i="1"/>
  <c r="AX924" i="1"/>
  <c r="AX874" i="1"/>
  <c r="AX1063" i="1"/>
  <c r="AX856" i="1"/>
  <c r="AX1095" i="1"/>
  <c r="AX1001" i="1"/>
  <c r="AX689" i="1"/>
  <c r="AX1078" i="1"/>
  <c r="AX925" i="1"/>
  <c r="AX928" i="1"/>
  <c r="AX813" i="1"/>
  <c r="AX1050" i="1"/>
  <c r="AX1065" i="1"/>
  <c r="AX708" i="1"/>
  <c r="AX665" i="1"/>
  <c r="AX1054" i="1"/>
  <c r="AX716" i="1"/>
  <c r="AX992" i="1"/>
  <c r="AX867" i="1"/>
  <c r="AX1094" i="1"/>
  <c r="AX844" i="1"/>
  <c r="AX1048" i="1"/>
  <c r="AX911" i="1"/>
  <c r="AX1015" i="1"/>
  <c r="AX808" i="1"/>
  <c r="AX1031" i="1"/>
  <c r="AX1004" i="1"/>
  <c r="AX765" i="1"/>
  <c r="AX774" i="1"/>
  <c r="AX1020" i="1"/>
  <c r="AX686" i="1"/>
  <c r="AX835" i="1"/>
  <c r="AX877" i="1"/>
  <c r="AX869" i="1"/>
  <c r="AX1072" i="1"/>
  <c r="AX1027" i="1"/>
  <c r="AX807" i="1"/>
  <c r="AX836" i="1"/>
  <c r="AX658" i="1"/>
  <c r="AX666" i="1"/>
  <c r="AX721" i="1"/>
  <c r="AX802" i="1"/>
  <c r="AX700" i="1"/>
  <c r="AX730" i="1"/>
  <c r="AX824" i="1"/>
  <c r="AX707" i="1"/>
  <c r="AX1028" i="1"/>
  <c r="AX881" i="1"/>
  <c r="AX833" i="1"/>
  <c r="AX1064" i="1"/>
  <c r="AX927" i="1"/>
  <c r="AX897" i="1"/>
  <c r="AX898" i="1"/>
  <c r="AX761" i="1"/>
  <c r="AX1066" i="1"/>
  <c r="AX773" i="1"/>
  <c r="AX1098" i="1"/>
  <c r="AX837" i="1"/>
  <c r="AX663" i="1"/>
  <c r="AX861" i="1"/>
  <c r="AX684" i="1"/>
  <c r="AX797" i="1"/>
  <c r="AX841" i="1"/>
  <c r="AX766" i="1"/>
  <c r="AX918" i="1"/>
  <c r="AX769" i="1"/>
  <c r="AX697" i="1"/>
  <c r="AX710" i="1"/>
  <c r="AX875" i="1"/>
  <c r="AX750" i="1"/>
  <c r="AX1053" i="1"/>
  <c r="AX756" i="1"/>
  <c r="AX701" i="1"/>
  <c r="AX931" i="1"/>
  <c r="AX930" i="1"/>
  <c r="AX809" i="1"/>
  <c r="AX990" i="1"/>
  <c r="AX863" i="1"/>
  <c r="AX801" i="1"/>
  <c r="AX804" i="1"/>
  <c r="AX781" i="1"/>
  <c r="AX713" i="1"/>
  <c r="AX900" i="1"/>
  <c r="AX816" i="1"/>
  <c r="AX820" i="1"/>
  <c r="AX803" i="1"/>
  <c r="AX762" i="1"/>
  <c r="AX764" i="1"/>
  <c r="AX1068" i="1"/>
  <c r="AX1079" i="1"/>
  <c r="AX705" i="1"/>
  <c r="AX1056" i="1"/>
  <c r="AN146" i="5"/>
  <c r="AN91" i="5"/>
  <c r="AN142" i="5"/>
  <c r="AN168" i="5"/>
  <c r="AN125" i="5"/>
  <c r="AN67" i="5"/>
  <c r="AN124" i="5"/>
  <c r="AN284" i="5"/>
  <c r="AN330" i="5"/>
  <c r="AN103" i="5"/>
  <c r="AN46" i="5"/>
  <c r="AN107" i="5"/>
  <c r="AN288" i="5"/>
  <c r="AN366" i="5"/>
  <c r="AN315" i="5"/>
  <c r="AN140" i="5"/>
  <c r="AN179" i="5"/>
  <c r="AN343" i="5"/>
  <c r="AN148" i="5"/>
  <c r="AN278" i="5"/>
  <c r="AN139" i="5"/>
  <c r="AN268" i="5"/>
  <c r="AN165" i="5"/>
  <c r="AN313" i="5"/>
  <c r="AN286" i="5"/>
  <c r="AN332" i="5"/>
  <c r="AN293" i="5"/>
  <c r="AN180" i="5"/>
  <c r="AN281" i="5"/>
  <c r="AN171" i="5"/>
  <c r="AN324" i="5"/>
  <c r="AN102" i="5"/>
  <c r="AN316" i="5"/>
  <c r="AX1059" i="1"/>
  <c r="AX1011" i="1"/>
  <c r="AX799" i="1"/>
  <c r="AX917" i="1"/>
  <c r="AX659" i="1"/>
  <c r="AX704" i="1"/>
  <c r="AX993" i="1"/>
  <c r="AX922" i="1"/>
  <c r="AX826" i="1"/>
  <c r="AX1034" i="1"/>
  <c r="AX880" i="1"/>
  <c r="AX1024" i="1"/>
  <c r="AX994" i="1"/>
  <c r="AX1083" i="1"/>
  <c r="AX1022" i="1"/>
  <c r="AX929" i="1"/>
  <c r="AX758" i="1"/>
  <c r="AX1082" i="1"/>
  <c r="AX1007" i="1"/>
  <c r="AX907" i="1"/>
  <c r="AX754" i="1"/>
  <c r="AX901" i="1"/>
  <c r="AX862" i="1"/>
  <c r="AX757" i="1"/>
  <c r="AX1070" i="1"/>
  <c r="AX1013" i="1"/>
  <c r="AX696" i="1"/>
  <c r="AX915" i="1"/>
  <c r="AX864" i="1"/>
  <c r="AX779" i="1"/>
  <c r="AX717" i="1"/>
  <c r="AX812" i="1"/>
  <c r="AX1026" i="1"/>
  <c r="AX855" i="1"/>
  <c r="AX1006" i="1"/>
  <c r="AX902" i="1"/>
  <c r="AX751" i="1"/>
  <c r="AX1069" i="1"/>
  <c r="AX719" i="1"/>
  <c r="AX921" i="1"/>
  <c r="AX680" i="1"/>
  <c r="AX870" i="1"/>
  <c r="AN66" i="5"/>
  <c r="AN263" i="5"/>
  <c r="AN363" i="5"/>
  <c r="AN137" i="5"/>
  <c r="AN355" i="5"/>
  <c r="AN163" i="5"/>
  <c r="AN270" i="5"/>
  <c r="AN158" i="5"/>
  <c r="AN273" i="5"/>
  <c r="AN65" i="5"/>
  <c r="AN154" i="5"/>
  <c r="AN193" i="5"/>
  <c r="AN354" i="5"/>
  <c r="AN327" i="5"/>
  <c r="AN157" i="5"/>
  <c r="AN61" i="5"/>
  <c r="AN195" i="5"/>
  <c r="AN111" i="5"/>
  <c r="AN31" i="5"/>
  <c r="AN20" i="5"/>
  <c r="AN26" i="5"/>
  <c r="AN194" i="5"/>
  <c r="AN39" i="5"/>
  <c r="AN99" i="5"/>
  <c r="AN341" i="5"/>
  <c r="AN189" i="5"/>
  <c r="AN32" i="5"/>
  <c r="AN123" i="5"/>
  <c r="AN75" i="5"/>
  <c r="AN22" i="5"/>
  <c r="AN347" i="5"/>
  <c r="AN269" i="5"/>
  <c r="AN274" i="5"/>
  <c r="AX798" i="1"/>
  <c r="AX733" i="1"/>
  <c r="AX1074" i="1"/>
  <c r="AX1000" i="1"/>
  <c r="AX706" i="1"/>
  <c r="AX667" i="1"/>
  <c r="AX670" i="1"/>
  <c r="AX777" i="1"/>
  <c r="AX682" i="1"/>
  <c r="AX879" i="1"/>
  <c r="AX1067" i="1"/>
  <c r="AX714" i="1"/>
  <c r="AX693" i="1"/>
  <c r="AX894" i="1"/>
  <c r="AX694" i="1"/>
  <c r="AX1045" i="1"/>
  <c r="AX1018" i="1"/>
  <c r="AX661" i="1"/>
  <c r="AX712" i="1"/>
  <c r="AX732" i="1"/>
  <c r="AX805" i="1"/>
  <c r="AX702" i="1"/>
  <c r="AX878" i="1"/>
  <c r="AX1055" i="1"/>
  <c r="AX703" i="1"/>
  <c r="AX919" i="1"/>
  <c r="AX752" i="1"/>
  <c r="AX1052" i="1"/>
  <c r="AX828" i="1"/>
  <c r="AX866" i="1"/>
  <c r="AX731" i="1"/>
  <c r="AX1005" i="1"/>
  <c r="AX827" i="1"/>
  <c r="AX821" i="1"/>
  <c r="AX709" i="1"/>
  <c r="AX830" i="1"/>
  <c r="AX711" i="1"/>
  <c r="AX1093" i="1"/>
  <c r="AX806" i="1"/>
  <c r="AX656" i="1"/>
  <c r="AX999" i="1"/>
  <c r="BP1018" i="1"/>
  <c r="BP1025" i="1"/>
  <c r="BP800" i="1"/>
  <c r="BP829" i="1"/>
  <c r="BP1026" i="1"/>
  <c r="BP999" i="1"/>
  <c r="BP891" i="1"/>
  <c r="BP1030" i="1"/>
  <c r="BP1072" i="1"/>
  <c r="BP833" i="1"/>
  <c r="BP1089" i="1"/>
  <c r="BP1068" i="1"/>
  <c r="BP1096" i="1"/>
  <c r="BP796" i="1"/>
  <c r="BP928" i="1"/>
  <c r="BP875" i="1"/>
  <c r="BP1002" i="1"/>
  <c r="BP1078" i="1"/>
  <c r="BP1088" i="1"/>
  <c r="BP795" i="1"/>
  <c r="BP862" i="1"/>
  <c r="BP992" i="1"/>
  <c r="BP881" i="1"/>
  <c r="BP920" i="1"/>
  <c r="BP918" i="1"/>
  <c r="BP834" i="1"/>
  <c r="BP844" i="1"/>
  <c r="BP805" i="1"/>
  <c r="BP1013" i="1"/>
  <c r="BP809" i="1"/>
  <c r="BP1034" i="1"/>
  <c r="BP912" i="1"/>
  <c r="BP794" i="1"/>
  <c r="BP798" i="1"/>
  <c r="BP817" i="1"/>
  <c r="BP1047" i="1"/>
  <c r="BP903" i="1"/>
  <c r="BP808" i="1"/>
  <c r="BP890" i="1"/>
  <c r="BP821" i="1"/>
  <c r="BP884" i="1"/>
  <c r="BP892" i="1"/>
  <c r="BP823" i="1"/>
  <c r="BP815" i="1"/>
  <c r="BP1011" i="1"/>
  <c r="BP990" i="1"/>
  <c r="BP826" i="1"/>
  <c r="BP1057" i="1"/>
  <c r="BP1015" i="1"/>
  <c r="BP841" i="1"/>
  <c r="BP996" i="1"/>
  <c r="BP904" i="1"/>
  <c r="BP1080" i="1"/>
  <c r="BP1098" i="1"/>
  <c r="BP1094" i="1"/>
  <c r="BP1095" i="1"/>
  <c r="BP1008" i="1"/>
  <c r="BP781" i="1"/>
  <c r="BP799" i="1"/>
  <c r="BP1021" i="1"/>
  <c r="BP896" i="1"/>
  <c r="BP930" i="1"/>
  <c r="BP1004" i="1"/>
  <c r="BP828" i="1"/>
  <c r="BP887" i="1"/>
  <c r="BP886" i="1"/>
  <c r="BP1020" i="1"/>
  <c r="BP995" i="1"/>
  <c r="BP835" i="1"/>
  <c r="BP898" i="1"/>
  <c r="BP1028" i="1"/>
  <c r="BP932" i="1"/>
  <c r="BP1006" i="1"/>
  <c r="BP780" i="1"/>
  <c r="BP1049" i="1"/>
  <c r="BP1012" i="1"/>
  <c r="BP1097" i="1"/>
  <c r="BP779" i="1"/>
  <c r="BP857" i="1"/>
  <c r="BP861" i="1"/>
  <c r="BP993" i="1"/>
  <c r="BP911" i="1"/>
  <c r="BP1071" i="1"/>
  <c r="BP1083" i="1"/>
  <c r="BP1076" i="1"/>
  <c r="BP997" i="1"/>
  <c r="BP909" i="1"/>
  <c r="BP901" i="1"/>
  <c r="BP1075" i="1"/>
  <c r="BP931" i="1"/>
  <c r="BP1056" i="1"/>
  <c r="BP1016" i="1"/>
  <c r="BP874" i="1"/>
  <c r="BP910" i="1"/>
  <c r="BP998" i="1"/>
  <c r="BP1055" i="1"/>
  <c r="BP899" i="1"/>
  <c r="BP877" i="1"/>
  <c r="BP824" i="1"/>
  <c r="BP804" i="1"/>
  <c r="BP1058" i="1"/>
  <c r="BP895" i="1"/>
  <c r="BP807" i="1"/>
  <c r="BP868" i="1"/>
  <c r="BP917" i="1"/>
  <c r="BP1079" i="1"/>
  <c r="BP839" i="1"/>
  <c r="BP811" i="1"/>
  <c r="BP1052" i="1"/>
  <c r="BP810" i="1"/>
  <c r="BP860" i="1"/>
  <c r="BP915" i="1"/>
  <c r="BP873" i="1"/>
  <c r="BP902" i="1"/>
  <c r="BP864" i="1"/>
  <c r="BP926" i="1"/>
  <c r="BP812" i="1"/>
  <c r="BP916" i="1"/>
  <c r="BP1024" i="1"/>
  <c r="BP836" i="1"/>
  <c r="BP814" i="1"/>
  <c r="BP1084" i="1"/>
  <c r="BP870" i="1"/>
  <c r="BP921" i="1"/>
  <c r="BP818" i="1"/>
  <c r="BP878" i="1"/>
  <c r="BP865" i="1"/>
  <c r="BP889" i="1"/>
  <c r="BP827" i="1"/>
  <c r="BP1093" i="1"/>
  <c r="BP1085" i="1"/>
  <c r="BP1046" i="1"/>
  <c r="BP1033" i="1"/>
  <c r="BP925" i="1"/>
  <c r="BP1010" i="1"/>
  <c r="BP830" i="1"/>
  <c r="BP897" i="1"/>
  <c r="BP837" i="1"/>
  <c r="BP856" i="1"/>
  <c r="BP1005" i="1"/>
  <c r="BP1009" i="1"/>
  <c r="BP843" i="1"/>
  <c r="BP822" i="1"/>
  <c r="BP1063" i="1"/>
  <c r="BP888" i="1"/>
  <c r="BP1062" i="1"/>
  <c r="BP858" i="1"/>
  <c r="BP924" i="1"/>
  <c r="BP1082" i="1"/>
  <c r="BP840" i="1"/>
  <c r="BP863" i="1"/>
  <c r="BP994" i="1"/>
  <c r="BP782" i="1"/>
  <c r="BP1073" i="1"/>
  <c r="BP1069" i="1"/>
  <c r="BP1019" i="1"/>
  <c r="BP832" i="1"/>
  <c r="BP914" i="1"/>
  <c r="BP880" i="1"/>
  <c r="BP825" i="1"/>
  <c r="BP1051" i="1"/>
  <c r="BP885" i="1"/>
  <c r="BP831" i="1"/>
  <c r="BP908" i="1"/>
  <c r="BP1003" i="1"/>
  <c r="BP845" i="1"/>
  <c r="BP820" i="1"/>
  <c r="BP929" i="1"/>
  <c r="BP923" i="1"/>
  <c r="BP905" i="1"/>
  <c r="BP1032" i="1"/>
  <c r="BP1066" i="1"/>
  <c r="BP1014" i="1"/>
  <c r="BP1077" i="1"/>
  <c r="BP991" i="1"/>
  <c r="BP871" i="1"/>
  <c r="BP1022" i="1"/>
  <c r="BP1023" i="1"/>
  <c r="BP1045" i="1"/>
  <c r="BP866" i="1"/>
  <c r="BP1067" i="1"/>
  <c r="BP792" i="1"/>
  <c r="BP919" i="1"/>
  <c r="BP927" i="1"/>
  <c r="BP1000" i="1"/>
  <c r="BP1017" i="1"/>
  <c r="BP883" i="1"/>
  <c r="BP819" i="1"/>
  <c r="BP906" i="1"/>
  <c r="BP816" i="1"/>
  <c r="BP872" i="1"/>
  <c r="BP1059" i="1"/>
  <c r="BP1048" i="1"/>
  <c r="BP876" i="1"/>
  <c r="BP1029" i="1"/>
  <c r="BP1001" i="1"/>
  <c r="BP842" i="1"/>
  <c r="BP1070" i="1"/>
  <c r="BP893" i="1"/>
  <c r="BP813" i="1"/>
  <c r="BP933" i="1"/>
  <c r="BP913" i="1"/>
  <c r="BP1090" i="1"/>
  <c r="BP793" i="1"/>
  <c r="BP1007" i="1"/>
  <c r="BP907" i="1"/>
  <c r="BP1087" i="1"/>
  <c r="BP1086" i="1"/>
  <c r="BP922" i="1"/>
  <c r="BP1074" i="1"/>
  <c r="BP1092" i="1"/>
  <c r="BP1027" i="1"/>
  <c r="BP1054" i="1"/>
  <c r="BP1050" i="1"/>
  <c r="BP803" i="1"/>
  <c r="BP797" i="1"/>
  <c r="BP801" i="1"/>
  <c r="BP1065" i="1"/>
  <c r="BP1035" i="1"/>
  <c r="BP1053" i="1"/>
  <c r="BP879" i="1"/>
  <c r="BP838" i="1"/>
  <c r="BP900" i="1"/>
  <c r="BP867" i="1"/>
  <c r="BP1064" i="1"/>
  <c r="BP1060" i="1"/>
  <c r="BP1061" i="1"/>
  <c r="BP1091" i="1"/>
  <c r="BP802" i="1"/>
  <c r="BP855" i="1"/>
  <c r="BP1081" i="1"/>
  <c r="BP894" i="1"/>
  <c r="BP869" i="1"/>
  <c r="BP859" i="1"/>
  <c r="BP806" i="1"/>
  <c r="BP1031" i="1"/>
  <c r="BP882" i="1"/>
  <c r="AP757" i="1"/>
  <c r="AP1032" i="1"/>
  <c r="AP1046" i="1"/>
  <c r="AP772" i="1"/>
  <c r="AP685" i="1"/>
  <c r="AP682" i="1"/>
  <c r="AP684" i="1"/>
  <c r="AP898" i="1"/>
  <c r="AP1035" i="1"/>
  <c r="AP844" i="1"/>
  <c r="AP821" i="1"/>
  <c r="AP1068" i="1"/>
  <c r="AP702" i="1"/>
  <c r="AP516" i="1"/>
  <c r="AP798" i="1"/>
  <c r="AP1093" i="1"/>
  <c r="AP718" i="1"/>
  <c r="AP894" i="1"/>
  <c r="AP646" i="1"/>
  <c r="AP1079" i="1"/>
  <c r="AP731" i="1"/>
  <c r="AP725" i="1"/>
  <c r="AP661" i="1"/>
  <c r="AP817" i="1"/>
  <c r="AP715" i="1"/>
  <c r="AP794" i="1"/>
  <c r="AP863" i="1"/>
  <c r="AP1089" i="1"/>
  <c r="AP782" i="1"/>
  <c r="AP528" i="1"/>
  <c r="AP668" i="1"/>
  <c r="AP1033" i="1"/>
  <c r="AP1031" i="1"/>
  <c r="AP807" i="1"/>
  <c r="AP1013" i="1"/>
  <c r="AP926" i="1"/>
  <c r="AP1086" i="1"/>
  <c r="AP533" i="1"/>
  <c r="AP890" i="1"/>
  <c r="AP538" i="1"/>
  <c r="AP539" i="1"/>
  <c r="AP779" i="1"/>
  <c r="AP803" i="1"/>
  <c r="AP781" i="1"/>
  <c r="AP810" i="1"/>
  <c r="AP727" i="1"/>
  <c r="AP917" i="1"/>
  <c r="AP723" i="1"/>
  <c r="AP1058" i="1"/>
  <c r="AP507" i="1"/>
  <c r="AP874" i="1"/>
  <c r="AP911" i="1"/>
  <c r="AP696" i="1"/>
  <c r="AP527" i="1"/>
  <c r="AP659" i="1"/>
  <c r="AP933" i="1"/>
  <c r="AP998" i="1"/>
  <c r="AP751" i="1"/>
  <c r="AP726" i="1"/>
  <c r="AP627" i="1"/>
  <c r="AP626" i="1"/>
  <c r="AP1009" i="1"/>
  <c r="AP875" i="1"/>
  <c r="AP842" i="1"/>
  <c r="AP1054" i="1"/>
  <c r="AP1034" i="1"/>
  <c r="AP1021" i="1"/>
  <c r="AP1066" i="1"/>
  <c r="AP901" i="1"/>
  <c r="AP770" i="1"/>
  <c r="AP529" i="1"/>
  <c r="AP755" i="1"/>
  <c r="AP1069" i="1"/>
  <c r="AP662" i="1"/>
  <c r="AP843" i="1"/>
  <c r="AP733" i="1"/>
  <c r="AP1081" i="1"/>
  <c r="AP643" i="1"/>
  <c r="AP908" i="1"/>
  <c r="AP888" i="1"/>
  <c r="AP1011" i="1"/>
  <c r="AP884" i="1"/>
  <c r="AP712" i="1"/>
  <c r="AP632" i="1"/>
  <c r="AP680" i="1"/>
  <c r="AP866" i="1"/>
  <c r="AP519" i="1"/>
  <c r="AP1047" i="1"/>
  <c r="AP530" i="1"/>
  <c r="AP629" i="1"/>
  <c r="AP692" i="1"/>
  <c r="AP544" i="1"/>
  <c r="AP773" i="1"/>
  <c r="AP652" i="1"/>
  <c r="AP708" i="1"/>
  <c r="AP768" i="1"/>
  <c r="AP903" i="1"/>
  <c r="AP806" i="1"/>
  <c r="AP814" i="1"/>
  <c r="AP924" i="1"/>
  <c r="AP719" i="1"/>
  <c r="AP521" i="1"/>
  <c r="AP1075" i="1"/>
  <c r="AP836" i="1"/>
  <c r="AP881" i="1"/>
  <c r="AP1062" i="1"/>
  <c r="AP694" i="1"/>
  <c r="AP1096" i="1"/>
  <c r="AP649" i="1"/>
  <c r="AP560" i="1"/>
  <c r="AP800" i="1"/>
  <c r="AP902" i="1"/>
  <c r="AP634" i="1"/>
  <c r="AP562" i="1"/>
  <c r="AP767" i="1"/>
  <c r="AP811" i="1"/>
  <c r="AP1091" i="1"/>
  <c r="AP823" i="1"/>
  <c r="AP1057" i="1"/>
  <c r="AP1003" i="1"/>
  <c r="AP763" i="1"/>
  <c r="AP923" i="1"/>
  <c r="AP644" i="1"/>
  <c r="AP711" i="1"/>
  <c r="AP857" i="1"/>
  <c r="AP827" i="1"/>
  <c r="AP537" i="1"/>
  <c r="AP809" i="1"/>
  <c r="AP535" i="1"/>
  <c r="AP1083" i="1"/>
  <c r="AP640" i="1"/>
  <c r="AP512" i="1"/>
  <c r="AP666" i="1"/>
  <c r="AP536" i="1"/>
  <c r="AP639" i="1"/>
  <c r="AP906" i="1"/>
  <c r="AP1023" i="1"/>
  <c r="AP638" i="1"/>
  <c r="AP506" i="1"/>
  <c r="AP561" i="1"/>
  <c r="AP1090" i="1"/>
  <c r="AP880" i="1"/>
  <c r="AP1002" i="1"/>
  <c r="AP1073" i="1"/>
  <c r="AP710" i="1"/>
  <c r="AP900" i="1"/>
  <c r="AP840" i="1"/>
  <c r="AP1092" i="1"/>
  <c r="AP815" i="1"/>
  <c r="AP728" i="1"/>
  <c r="AP996" i="1"/>
  <c r="AP709" i="1"/>
  <c r="AP667" i="1"/>
  <c r="AP1085" i="1"/>
  <c r="AP514" i="1"/>
  <c r="AP566" i="1"/>
  <c r="AP1087" i="1"/>
  <c r="AP508" i="1"/>
  <c r="AP1029" i="1"/>
  <c r="AP774" i="1"/>
  <c r="AP892" i="1"/>
  <c r="AP868" i="1"/>
  <c r="AP1067" i="1"/>
  <c r="AP550" i="1"/>
  <c r="AP1059" i="1"/>
  <c r="AP559" i="1"/>
  <c r="AP1017" i="1"/>
  <c r="AP752" i="1"/>
  <c r="AP681" i="1"/>
  <c r="AP1076" i="1"/>
  <c r="AP1074" i="1"/>
  <c r="AP925" i="1"/>
  <c r="AP510" i="1"/>
  <c r="AP1020" i="1"/>
  <c r="AP1014" i="1"/>
  <c r="AP1065" i="1"/>
  <c r="AP686" i="1"/>
  <c r="AP1088" i="1"/>
  <c r="AP650" i="1"/>
  <c r="AP909" i="1"/>
  <c r="AP543" i="1"/>
  <c r="AP769" i="1"/>
  <c r="AP724" i="1"/>
  <c r="AP1060" i="1"/>
  <c r="AP524" i="1"/>
  <c r="AP1008" i="1"/>
  <c r="AP897" i="1"/>
  <c r="AP648" i="1"/>
  <c r="AP1005" i="1"/>
  <c r="AP753" i="1"/>
  <c r="AP732" i="1"/>
  <c r="AP841" i="1"/>
  <c r="AP1019" i="1"/>
  <c r="AP792" i="1"/>
  <c r="AP665" i="1"/>
  <c r="AP756" i="1"/>
  <c r="AP693" i="1"/>
  <c r="AP525" i="1"/>
  <c r="AP889" i="1"/>
  <c r="AP551" i="1"/>
  <c r="AP873" i="1"/>
  <c r="AP1028" i="1"/>
  <c r="AP1071" i="1"/>
  <c r="AP1051" i="1"/>
  <c r="AP762" i="1"/>
  <c r="AP771" i="1"/>
  <c r="AP878" i="1"/>
  <c r="AP690" i="1"/>
  <c r="AP825" i="1"/>
  <c r="AP703" i="1"/>
  <c r="AP839" i="1"/>
  <c r="AP872" i="1"/>
  <c r="AP859" i="1"/>
  <c r="AP509" i="1"/>
  <c r="AP764" i="1"/>
  <c r="AP653" i="1"/>
  <c r="AP1027" i="1"/>
  <c r="AP904" i="1"/>
  <c r="AP812" i="1"/>
  <c r="AP1052" i="1"/>
  <c r="AP805" i="1"/>
  <c r="AP994" i="1"/>
  <c r="AP891" i="1"/>
  <c r="AP706" i="1"/>
  <c r="AP927" i="1"/>
  <c r="AP534" i="1"/>
  <c r="AP700" i="1"/>
  <c r="AP822" i="1"/>
  <c r="AP722" i="1"/>
  <c r="AP860" i="1"/>
  <c r="AP642" i="1"/>
  <c r="AP856" i="1"/>
  <c r="AP635" i="1"/>
  <c r="AP716" i="1"/>
  <c r="AP651" i="1"/>
  <c r="AP657" i="1"/>
  <c r="AP698" i="1"/>
  <c r="AP832" i="1"/>
  <c r="AP1018" i="1"/>
  <c r="AP1049" i="1"/>
  <c r="AP1056" i="1"/>
  <c r="AP695" i="1"/>
  <c r="AP831" i="1"/>
  <c r="AP526" i="1"/>
  <c r="AP995" i="1"/>
  <c r="AP714" i="1"/>
  <c r="AP729" i="1"/>
  <c r="AP775" i="1"/>
  <c r="AP655" i="1"/>
  <c r="AP776" i="1"/>
  <c r="AP766" i="1"/>
  <c r="AP1080" i="1"/>
  <c r="AP645" i="1"/>
  <c r="AP1050" i="1"/>
  <c r="AP689" i="1"/>
  <c r="AP1012" i="1"/>
  <c r="AP886" i="1"/>
  <c r="AP799" i="1"/>
  <c r="AP1045" i="1"/>
  <c r="AP912" i="1"/>
  <c r="AP928" i="1"/>
  <c r="AP717" i="1"/>
  <c r="AP554" i="1"/>
  <c r="AP907" i="1"/>
  <c r="AP720" i="1"/>
  <c r="AP545" i="1"/>
  <c r="AP750" i="1"/>
  <c r="AP824" i="1"/>
  <c r="AP993" i="1"/>
  <c r="AP919" i="1"/>
  <c r="AP833" i="1"/>
  <c r="AP929" i="1"/>
  <c r="AP992" i="1"/>
  <c r="AP547" i="1"/>
  <c r="AP647" i="1"/>
  <c r="AP760" i="1"/>
  <c r="AP1078" i="1"/>
  <c r="AP896" i="1"/>
  <c r="AP826" i="1"/>
  <c r="AP802" i="1"/>
  <c r="AP870" i="1"/>
  <c r="AP1061" i="1"/>
  <c r="AP546" i="1"/>
  <c r="AP542" i="1"/>
  <c r="AP877" i="1"/>
  <c r="AP1063" i="1"/>
  <c r="AP885" i="1"/>
  <c r="AP1077" i="1"/>
  <c r="AP829" i="1"/>
  <c r="AP845" i="1"/>
  <c r="AP1010" i="1"/>
  <c r="AP910" i="1"/>
  <c r="AP721" i="1"/>
  <c r="AP999" i="1"/>
  <c r="AP564" i="1"/>
  <c r="AP1097" i="1"/>
  <c r="AP869" i="1"/>
  <c r="AP879" i="1"/>
  <c r="AP1094" i="1"/>
  <c r="AP523" i="1"/>
  <c r="AP905" i="1"/>
  <c r="AP991" i="1"/>
  <c r="AP895" i="1"/>
  <c r="AP867" i="1"/>
  <c r="AP990" i="1"/>
  <c r="AP754" i="1"/>
  <c r="AP522" i="1"/>
  <c r="AP1026" i="1"/>
  <c r="AP1053" i="1"/>
  <c r="AP532" i="1"/>
  <c r="AP1064" i="1"/>
  <c r="AP1022" i="1"/>
  <c r="AP660" i="1"/>
  <c r="AP669" i="1"/>
  <c r="AP759" i="1"/>
  <c r="AP504" i="1"/>
  <c r="AP1006" i="1"/>
  <c r="AP1048" i="1"/>
  <c r="AP513" i="1"/>
  <c r="AP828" i="1"/>
  <c r="AP549" i="1"/>
  <c r="AP707" i="1"/>
  <c r="AP637" i="1"/>
  <c r="AP568" i="1"/>
  <c r="AP793" i="1"/>
  <c r="AP1024" i="1"/>
  <c r="AP687" i="1"/>
  <c r="AP1001" i="1"/>
  <c r="AP567" i="1"/>
  <c r="AP816" i="1"/>
  <c r="AP864" i="1"/>
  <c r="AP1025" i="1"/>
  <c r="AP780" i="1"/>
  <c r="AP887" i="1"/>
  <c r="AP518" i="1"/>
  <c r="AP1072" i="1"/>
  <c r="AP813" i="1"/>
  <c r="AP704" i="1"/>
  <c r="AP656" i="1"/>
  <c r="AP565" i="1"/>
  <c r="AP758" i="1"/>
  <c r="AP997" i="1"/>
  <c r="AP871" i="1"/>
  <c r="AP778" i="1"/>
  <c r="AP691" i="1"/>
  <c r="AP921" i="1"/>
  <c r="AP552" i="1"/>
  <c r="AP670" i="1"/>
  <c r="AP511" i="1"/>
  <c r="AP553" i="1"/>
  <c r="AP808" i="1"/>
  <c r="AP531" i="1"/>
  <c r="AP918" i="1"/>
  <c r="AP636" i="1"/>
  <c r="AP777" i="1"/>
  <c r="AP563" i="1"/>
  <c r="AP556" i="1"/>
  <c r="AP830" i="1"/>
  <c r="AP654" i="1"/>
  <c r="AP820" i="1"/>
  <c r="AP1070" i="1"/>
  <c r="AP931" i="1"/>
  <c r="AP1082" i="1"/>
  <c r="AP633" i="1"/>
  <c r="AP893" i="1"/>
  <c r="AP1095" i="1"/>
  <c r="AP1098" i="1"/>
  <c r="AP834" i="1"/>
  <c r="AP628" i="1"/>
  <c r="AP819" i="1"/>
  <c r="AP699" i="1"/>
  <c r="AP804" i="1"/>
  <c r="AP761" i="1"/>
  <c r="AP801" i="1"/>
  <c r="AP1055" i="1"/>
  <c r="AP1007" i="1"/>
  <c r="AP861" i="1"/>
  <c r="AP913" i="1"/>
  <c r="AP688" i="1"/>
  <c r="AP796" i="1"/>
  <c r="AP713" i="1"/>
  <c r="AP916" i="1"/>
  <c r="AP663" i="1"/>
  <c r="AP855" i="1"/>
  <c r="AP1084" i="1"/>
  <c r="AP883" i="1"/>
  <c r="AP641" i="1"/>
  <c r="AP1004" i="1"/>
  <c r="AP1015" i="1"/>
  <c r="AP664" i="1"/>
  <c r="AP517" i="1"/>
  <c r="AP795" i="1"/>
  <c r="AP658" i="1"/>
  <c r="AP683" i="1"/>
  <c r="AP548" i="1"/>
  <c r="AP1016" i="1"/>
  <c r="AP838" i="1"/>
  <c r="AP899" i="1"/>
  <c r="AP818" i="1"/>
  <c r="AP505" i="1"/>
  <c r="AP797" i="1"/>
  <c r="AP557" i="1"/>
  <c r="AP555" i="1"/>
  <c r="AP558" i="1"/>
  <c r="AP922" i="1"/>
  <c r="AP1000" i="1"/>
  <c r="AP697" i="1"/>
  <c r="AP765" i="1"/>
  <c r="AP865" i="1"/>
  <c r="AP730" i="1"/>
  <c r="AP540" i="1"/>
  <c r="AP882" i="1"/>
  <c r="AP705" i="1"/>
  <c r="AP701" i="1"/>
  <c r="AP932" i="1"/>
  <c r="AP920" i="1"/>
  <c r="AP630" i="1"/>
  <c r="AP914" i="1"/>
  <c r="AP876" i="1"/>
  <c r="AP930" i="1"/>
  <c r="AP835" i="1"/>
  <c r="AP541" i="1"/>
  <c r="AP837" i="1"/>
  <c r="AP1030" i="1"/>
  <c r="AP631" i="1"/>
  <c r="AP520" i="1"/>
  <c r="AP515" i="1"/>
  <c r="AP858" i="1"/>
  <c r="AP862" i="1"/>
  <c r="AP915" i="1"/>
  <c r="BH1093" i="1"/>
  <c r="BH804" i="1"/>
  <c r="BH903" i="1"/>
  <c r="BH753" i="1"/>
  <c r="BH999" i="1"/>
  <c r="BH765" i="1"/>
  <c r="BH792" i="1"/>
  <c r="BH870" i="1"/>
  <c r="BH779" i="1"/>
  <c r="BH772" i="1"/>
  <c r="BH1077" i="1"/>
  <c r="BH843" i="1"/>
  <c r="BH730" i="1"/>
  <c r="BH1087" i="1"/>
  <c r="BH911" i="1"/>
  <c r="BH918" i="1"/>
  <c r="BH883" i="1"/>
  <c r="BH906" i="1"/>
  <c r="BH1080" i="1"/>
  <c r="BH1070" i="1"/>
  <c r="BH1071" i="1"/>
  <c r="BH862" i="1"/>
  <c r="BH768" i="1"/>
  <c r="BH837" i="1"/>
  <c r="BH1015" i="1"/>
  <c r="BH794" i="1"/>
  <c r="BH1006" i="1"/>
  <c r="BH801" i="1"/>
  <c r="BH759" i="1"/>
  <c r="BH902" i="1"/>
  <c r="BH754" i="1"/>
  <c r="BH872" i="1"/>
  <c r="BH996" i="1"/>
  <c r="BH1065" i="1"/>
  <c r="BH882" i="1"/>
  <c r="BH1057" i="1"/>
  <c r="BH771" i="1"/>
  <c r="BH1066" i="1"/>
  <c r="BH1069" i="1"/>
  <c r="BH864" i="1"/>
  <c r="BH773" i="1"/>
  <c r="BH832" i="1"/>
  <c r="BH871" i="1"/>
  <c r="BH861" i="1"/>
  <c r="BH815" i="1"/>
  <c r="BH761" i="1"/>
  <c r="BH880" i="1"/>
  <c r="BH758" i="1"/>
  <c r="BH997" i="1"/>
  <c r="BH893" i="1"/>
  <c r="BH1050" i="1"/>
  <c r="BH1062" i="1"/>
  <c r="BH1019" i="1"/>
  <c r="BH1088" i="1"/>
  <c r="BH1033" i="1"/>
  <c r="BH920" i="1"/>
  <c r="BH805" i="1"/>
  <c r="BH914" i="1"/>
  <c r="BH827" i="1"/>
  <c r="BH814" i="1"/>
  <c r="BH731" i="1"/>
  <c r="BH1090" i="1"/>
  <c r="BH817" i="1"/>
  <c r="BH828" i="1"/>
  <c r="BH931" i="1"/>
  <c r="BH1097" i="1"/>
  <c r="BH922" i="1"/>
  <c r="BH717" i="1"/>
  <c r="BH927" i="1"/>
  <c r="BH1008" i="1"/>
  <c r="BH834" i="1"/>
  <c r="BH807" i="1"/>
  <c r="BH719" i="1"/>
  <c r="BH819" i="1"/>
  <c r="BH1007" i="1"/>
  <c r="BH1009" i="1"/>
  <c r="BH750" i="1"/>
  <c r="BH1067" i="1"/>
  <c r="BH1078" i="1"/>
  <c r="BH994" i="1"/>
  <c r="BH797" i="1"/>
  <c r="BH782" i="1"/>
  <c r="BH1056" i="1"/>
  <c r="BH823" i="1"/>
  <c r="BH1023" i="1"/>
  <c r="BH1055" i="1"/>
  <c r="BH727" i="1"/>
  <c r="BH1051" i="1"/>
  <c r="BH910" i="1"/>
  <c r="BH875" i="1"/>
  <c r="BH764" i="1"/>
  <c r="BH990" i="1"/>
  <c r="BH798" i="1"/>
  <c r="BH1063" i="1"/>
  <c r="BH1095" i="1"/>
  <c r="BH1082" i="1"/>
  <c r="BH905" i="1"/>
  <c r="BH1084" i="1"/>
  <c r="BH820" i="1"/>
  <c r="BH1058" i="1"/>
  <c r="BH729" i="1"/>
  <c r="BH866" i="1"/>
  <c r="BH917" i="1"/>
  <c r="BH874" i="1"/>
  <c r="BH907" i="1"/>
  <c r="BH1046" i="1"/>
  <c r="BH802" i="1"/>
  <c r="BH800" i="1"/>
  <c r="BH751" i="1"/>
  <c r="BH898" i="1"/>
  <c r="BH897" i="1"/>
  <c r="BH1013" i="1"/>
  <c r="BH1052" i="1"/>
  <c r="BH1035" i="1"/>
  <c r="BH1014" i="1"/>
  <c r="BH1010" i="1"/>
  <c r="BH1075" i="1"/>
  <c r="BH1002" i="1"/>
  <c r="BH1083" i="1"/>
  <c r="BH919" i="1"/>
  <c r="BH913" i="1"/>
  <c r="BH857" i="1"/>
  <c r="BH756" i="1"/>
  <c r="BH856" i="1"/>
  <c r="BH831" i="1"/>
  <c r="BH895" i="1"/>
  <c r="BH1001" i="1"/>
  <c r="BH899" i="1"/>
  <c r="BH1098" i="1"/>
  <c r="BH776" i="1"/>
  <c r="BH998" i="1"/>
  <c r="BH885" i="1"/>
  <c r="BH822" i="1"/>
  <c r="BH760" i="1"/>
  <c r="BH724" i="1"/>
  <c r="BH1005" i="1"/>
  <c r="BH867" i="1"/>
  <c r="BH842" i="1"/>
  <c r="BH769" i="1"/>
  <c r="BH890" i="1"/>
  <c r="BH1079" i="1"/>
  <c r="BH1028" i="1"/>
  <c r="BH1085" i="1"/>
  <c r="BH1053" i="1"/>
  <c r="BH1068" i="1"/>
  <c r="BH1086" i="1"/>
  <c r="BH824" i="1"/>
  <c r="BH833" i="1"/>
  <c r="BH844" i="1"/>
  <c r="BH808" i="1"/>
  <c r="BH839" i="1"/>
  <c r="BH877" i="1"/>
  <c r="BH1064" i="1"/>
  <c r="BH781" i="1"/>
  <c r="BH1089" i="1"/>
  <c r="BH1024" i="1"/>
  <c r="BH1027" i="1"/>
  <c r="BH1045" i="1"/>
  <c r="BH825" i="1"/>
  <c r="BH818" i="1"/>
  <c r="BH889" i="1"/>
  <c r="BH869" i="1"/>
  <c r="BH1031" i="1"/>
  <c r="BH752" i="1"/>
  <c r="BH933" i="1"/>
  <c r="BH816" i="1"/>
  <c r="BH809" i="1"/>
  <c r="BH757" i="1"/>
  <c r="BH720" i="1"/>
  <c r="BH774" i="1"/>
  <c r="BH1094" i="1"/>
  <c r="BH763" i="1"/>
  <c r="BH821" i="1"/>
  <c r="BH873" i="1"/>
  <c r="BH1091" i="1"/>
  <c r="BH803" i="1"/>
  <c r="BH778" i="1"/>
  <c r="BH912" i="1"/>
  <c r="BH1049" i="1"/>
  <c r="BH925" i="1"/>
  <c r="BH770" i="1"/>
  <c r="BH896" i="1"/>
  <c r="BH1025" i="1"/>
  <c r="BH923" i="1"/>
  <c r="BH836" i="1"/>
  <c r="BH723" i="1"/>
  <c r="BH928" i="1"/>
  <c r="BH1022" i="1"/>
  <c r="BH1092" i="1"/>
  <c r="BH1004" i="1"/>
  <c r="BH924" i="1"/>
  <c r="BH1096" i="1"/>
  <c r="BH879" i="1"/>
  <c r="BH929" i="1"/>
  <c r="BH892" i="1"/>
  <c r="BH718" i="1"/>
  <c r="BH1016" i="1"/>
  <c r="BH733" i="1"/>
  <c r="BH755" i="1"/>
  <c r="BH835" i="1"/>
  <c r="BH904" i="1"/>
  <c r="BH876" i="1"/>
  <c r="BH762" i="1"/>
  <c r="BH991" i="1"/>
  <c r="BH1012" i="1"/>
  <c r="BH721" i="1"/>
  <c r="BH1061" i="1"/>
  <c r="BH829" i="1"/>
  <c r="BH830" i="1"/>
  <c r="BH780" i="1"/>
  <c r="BH1021" i="1"/>
  <c r="BH722" i="1"/>
  <c r="BH796" i="1"/>
  <c r="BH859" i="1"/>
  <c r="BH868" i="1"/>
  <c r="BH1000" i="1"/>
  <c r="BH1026" i="1"/>
  <c r="BH795" i="1"/>
  <c r="BH908" i="1"/>
  <c r="BH900" i="1"/>
  <c r="BH728" i="1"/>
  <c r="BH845" i="1"/>
  <c r="BH793" i="1"/>
  <c r="BH840" i="1"/>
  <c r="BH865" i="1"/>
  <c r="BH1048" i="1"/>
  <c r="BH888" i="1"/>
  <c r="BH921" i="1"/>
  <c r="BH855" i="1"/>
  <c r="BH811" i="1"/>
  <c r="BH806" i="1"/>
  <c r="BH995" i="1"/>
  <c r="BH1011" i="1"/>
  <c r="BH826" i="1"/>
  <c r="BH926" i="1"/>
  <c r="BH886" i="1"/>
  <c r="BH884" i="1"/>
  <c r="BH930" i="1"/>
  <c r="BH993" i="1"/>
  <c r="BH1017" i="1"/>
  <c r="BH1034" i="1"/>
  <c r="BH1076" i="1"/>
  <c r="BH777" i="1"/>
  <c r="BH1018" i="1"/>
  <c r="BH767" i="1"/>
  <c r="BH810" i="1"/>
  <c r="BH1081" i="1"/>
  <c r="BH841" i="1"/>
  <c r="BH775" i="1"/>
  <c r="BH1074" i="1"/>
  <c r="BH858" i="1"/>
  <c r="BH726" i="1"/>
  <c r="BH1029" i="1"/>
  <c r="BH766" i="1"/>
  <c r="BH1073" i="1"/>
  <c r="BH932" i="1"/>
  <c r="BH916" i="1"/>
  <c r="BH992" i="1"/>
  <c r="BH1059" i="1"/>
  <c r="BH1054" i="1"/>
  <c r="BH725" i="1"/>
  <c r="BH1072" i="1"/>
  <c r="BH812" i="1"/>
  <c r="BH878" i="1"/>
  <c r="BH732" i="1"/>
  <c r="BH894" i="1"/>
  <c r="BH1032" i="1"/>
  <c r="BH915" i="1"/>
  <c r="BH1030" i="1"/>
  <c r="BH891" i="1"/>
  <c r="BH881" i="1"/>
  <c r="BH901" i="1"/>
  <c r="BH863" i="1"/>
  <c r="BH799" i="1"/>
  <c r="BH1003" i="1"/>
  <c r="BH1047" i="1"/>
  <c r="BH860" i="1"/>
  <c r="BH887" i="1"/>
  <c r="BH1020" i="1"/>
  <c r="BH1060" i="1"/>
  <c r="BH813" i="1"/>
  <c r="BH838" i="1"/>
  <c r="BH909" i="1"/>
  <c r="BL158" i="5"/>
  <c r="BL299" i="5"/>
  <c r="BL342" i="5"/>
  <c r="BL298" i="5"/>
  <c r="BL28" i="5"/>
  <c r="BL291" i="5"/>
  <c r="BL301" i="5"/>
  <c r="BL341" i="5"/>
  <c r="BL149" i="5"/>
  <c r="BL338" i="5"/>
  <c r="BL105" i="5"/>
  <c r="BL77" i="5"/>
  <c r="BL279" i="5"/>
  <c r="BL139" i="5"/>
  <c r="BL155" i="5"/>
  <c r="BL125" i="5"/>
  <c r="BL314" i="5"/>
  <c r="BL295" i="5"/>
  <c r="BL48" i="5"/>
  <c r="BL78" i="5"/>
  <c r="BL366" i="5"/>
  <c r="BL188" i="5"/>
  <c r="BL169" i="5"/>
  <c r="BL322" i="5"/>
  <c r="BL38" i="5"/>
  <c r="BL335" i="5"/>
  <c r="BL166" i="5"/>
  <c r="BL356" i="5"/>
  <c r="BL192" i="5"/>
  <c r="BL362" i="5"/>
  <c r="BL359" i="5"/>
  <c r="BL107" i="5"/>
  <c r="BL64" i="5"/>
  <c r="BL79" i="5"/>
  <c r="BL27" i="5"/>
  <c r="BL292" i="5"/>
  <c r="BL360" i="5"/>
  <c r="BL26" i="5"/>
  <c r="BL104" i="5"/>
  <c r="BL274" i="5"/>
  <c r="BL281" i="5"/>
  <c r="BL355" i="5"/>
  <c r="BL74" i="5"/>
  <c r="BL180" i="5"/>
  <c r="BL95" i="5"/>
  <c r="BL313" i="5"/>
  <c r="BL303" i="5"/>
  <c r="BL262" i="5"/>
  <c r="BL71" i="5"/>
  <c r="BL30" i="5"/>
  <c r="BL329" i="5"/>
  <c r="BL331" i="5"/>
  <c r="BL134" i="5"/>
  <c r="BL140" i="5"/>
  <c r="BL260" i="5"/>
  <c r="BL201" i="5"/>
  <c r="BL133" i="5"/>
  <c r="BL318" i="5"/>
  <c r="BL280" i="5"/>
  <c r="BL92" i="5"/>
  <c r="BL276" i="5"/>
  <c r="BL324" i="5"/>
  <c r="BL96" i="5"/>
  <c r="BL321" i="5"/>
  <c r="BL109" i="5"/>
  <c r="BL102" i="5"/>
  <c r="BL106" i="5"/>
  <c r="BL163" i="5"/>
  <c r="BL131" i="5"/>
  <c r="BL191" i="5"/>
  <c r="BL33" i="5"/>
  <c r="BL44" i="5"/>
  <c r="BL171" i="5"/>
  <c r="BL147" i="5"/>
  <c r="BL293" i="5"/>
  <c r="BL297" i="5"/>
  <c r="BL177" i="5"/>
  <c r="BL319" i="5"/>
  <c r="BL170" i="5"/>
  <c r="BL363" i="5"/>
  <c r="BL330" i="5"/>
  <c r="BL270" i="5"/>
  <c r="BL190" i="5"/>
  <c r="BL290" i="5"/>
  <c r="BL41" i="5"/>
  <c r="BL277" i="5"/>
  <c r="BL25" i="5"/>
  <c r="BL159" i="5"/>
  <c r="BL267" i="5"/>
  <c r="BL184" i="5"/>
  <c r="BL346" i="5"/>
  <c r="BL289" i="5"/>
  <c r="BL358" i="5"/>
  <c r="BL268" i="5"/>
  <c r="BL126" i="5"/>
  <c r="BL151" i="5"/>
  <c r="BL129" i="5"/>
  <c r="BL174" i="5"/>
  <c r="BL132" i="5"/>
  <c r="BL264" i="5"/>
  <c r="BL343" i="5"/>
  <c r="BL154" i="5"/>
  <c r="BL75" i="5"/>
  <c r="BL46" i="5"/>
  <c r="BL112" i="5"/>
  <c r="BL259" i="5"/>
  <c r="BL354" i="5"/>
  <c r="BL19" i="5"/>
  <c r="BL141" i="5"/>
  <c r="BL196" i="5"/>
  <c r="BL284" i="5"/>
  <c r="BL285" i="5"/>
  <c r="BL182" i="5"/>
  <c r="BL29" i="5"/>
  <c r="BL88" i="5"/>
  <c r="BL176" i="5"/>
  <c r="BL278" i="5"/>
  <c r="BL150" i="5"/>
  <c r="BL47" i="5"/>
  <c r="BL198" i="5"/>
  <c r="BL160" i="5"/>
  <c r="BL80" i="5"/>
  <c r="BL199" i="5"/>
  <c r="BL325" i="5"/>
  <c r="BL135" i="5"/>
  <c r="BL98" i="5"/>
  <c r="BL82" i="5"/>
  <c r="BL34" i="5"/>
  <c r="BL43" i="5"/>
  <c r="BL161" i="5"/>
  <c r="BL157" i="5"/>
  <c r="BL128" i="5"/>
  <c r="BL336" i="5"/>
  <c r="BL130" i="5"/>
  <c r="BL127" i="5"/>
  <c r="BL361" i="5"/>
  <c r="BL265" i="5"/>
  <c r="BL61" i="5"/>
  <c r="BL39" i="5"/>
  <c r="BL302" i="5"/>
  <c r="BL144" i="5"/>
  <c r="BL185" i="5"/>
  <c r="BL350" i="5"/>
  <c r="BL50" i="5"/>
  <c r="BL300" i="5"/>
  <c r="BL65" i="5"/>
  <c r="BL348" i="5"/>
  <c r="BL179" i="5"/>
  <c r="BL81" i="5"/>
  <c r="BL327" i="5"/>
  <c r="BL153" i="5"/>
  <c r="BL87" i="5"/>
  <c r="BL272" i="5"/>
  <c r="BL70" i="5"/>
  <c r="BL294" i="5"/>
  <c r="BL143" i="5"/>
  <c r="BL40" i="5"/>
  <c r="BL20" i="5"/>
  <c r="BL85" i="5"/>
  <c r="BL186" i="5"/>
  <c r="BL351" i="5"/>
  <c r="BL352" i="5"/>
  <c r="BL286" i="5"/>
  <c r="BL193" i="5"/>
  <c r="BL93" i="5"/>
  <c r="BL162" i="5"/>
  <c r="BL326" i="5"/>
  <c r="BL263" i="5"/>
  <c r="BL108" i="5"/>
  <c r="BL273" i="5"/>
  <c r="BL353" i="5"/>
  <c r="BL18" i="5"/>
  <c r="BL101" i="5"/>
  <c r="BL172" i="5"/>
  <c r="BL110" i="5"/>
  <c r="BL347" i="5"/>
  <c r="BL137" i="5"/>
  <c r="BL194" i="5"/>
  <c r="BL187" i="5"/>
  <c r="BL24" i="5"/>
  <c r="BL111" i="5"/>
  <c r="BL334" i="5"/>
  <c r="BL197" i="5"/>
  <c r="BL200" i="5"/>
  <c r="BL271" i="5"/>
  <c r="BL164" i="5"/>
  <c r="BL287" i="5"/>
  <c r="BL136" i="5"/>
  <c r="BL45" i="5"/>
  <c r="BL340" i="5"/>
  <c r="BL261" i="5"/>
  <c r="BL173" i="5"/>
  <c r="BL283" i="5"/>
  <c r="BL195" i="5"/>
  <c r="BL266" i="5"/>
  <c r="BL73" i="5"/>
  <c r="BL328" i="5"/>
  <c r="BL317" i="5"/>
  <c r="BL181" i="5"/>
  <c r="BL148" i="5"/>
  <c r="BL35" i="5"/>
  <c r="BL31" i="5"/>
  <c r="BL145" i="5"/>
  <c r="BL142" i="5"/>
  <c r="BL152" i="5"/>
  <c r="BL288" i="5"/>
  <c r="BL94" i="5"/>
  <c r="BL138" i="5"/>
  <c r="BL364" i="5"/>
  <c r="BL37" i="5"/>
  <c r="BL67" i="5"/>
  <c r="BL89" i="5"/>
  <c r="BL68" i="5"/>
  <c r="BL269" i="5"/>
  <c r="BL332" i="5"/>
  <c r="BL100" i="5"/>
  <c r="BL22" i="5"/>
  <c r="BL32" i="5"/>
  <c r="BL320" i="5"/>
  <c r="BL72" i="5"/>
  <c r="BL323" i="5"/>
  <c r="BL333" i="5"/>
  <c r="BL69" i="5"/>
  <c r="BL168" i="5"/>
  <c r="BL156" i="5"/>
  <c r="BL315" i="5"/>
  <c r="BL86" i="5"/>
  <c r="BL62" i="5"/>
  <c r="BL296" i="5"/>
  <c r="BL282" i="5"/>
  <c r="BL275" i="5"/>
  <c r="BL83" i="5"/>
  <c r="BL175" i="5"/>
  <c r="BL90" i="5"/>
  <c r="BL178" i="5"/>
  <c r="BL49" i="5"/>
  <c r="BL123" i="5"/>
  <c r="BL146" i="5"/>
  <c r="BL189" i="5"/>
  <c r="BL103" i="5"/>
  <c r="BL21" i="5"/>
  <c r="BL66" i="5"/>
  <c r="BL337" i="5"/>
  <c r="BL357" i="5"/>
  <c r="BL99" i="5"/>
  <c r="BL124" i="5"/>
  <c r="BL344" i="5"/>
  <c r="BL91" i="5"/>
  <c r="BL63" i="5"/>
  <c r="BL165" i="5"/>
  <c r="BL23" i="5"/>
  <c r="BL345" i="5"/>
  <c r="BL339" i="5"/>
  <c r="BL42" i="5"/>
  <c r="BL349" i="5"/>
  <c r="BL365" i="5"/>
  <c r="BL167" i="5"/>
  <c r="BL113" i="5"/>
  <c r="BL76" i="5"/>
  <c r="BL36" i="5"/>
  <c r="BL60" i="5"/>
  <c r="BL183" i="5"/>
  <c r="BL316" i="5"/>
  <c r="BL97" i="5"/>
  <c r="BL84" i="5"/>
  <c r="F20" i="3"/>
  <c r="AS8" i="1"/>
  <c r="AS12" i="1" s="1"/>
  <c r="D15" i="3"/>
  <c r="D21" i="3"/>
  <c r="D19" i="3"/>
  <c r="BK8" i="1"/>
  <c r="BK12" i="1" s="1"/>
  <c r="D17" i="3"/>
  <c r="BA8" i="1"/>
  <c r="BA10" i="1" s="1"/>
  <c r="AQ2" i="5"/>
  <c r="AQ4" i="5" s="1"/>
  <c r="BG2" i="5"/>
  <c r="AY2" i="5"/>
  <c r="AY6" i="5" s="1"/>
  <c r="AY7" i="5" s="1"/>
  <c r="BS8" i="1"/>
  <c r="BO2" i="5"/>
  <c r="BO6" i="5" s="1"/>
  <c r="BO7" i="5" s="1"/>
  <c r="BK10" i="1" l="1"/>
  <c r="BL826" i="1" s="1"/>
  <c r="BO4" i="5"/>
  <c r="BP102" i="5" s="1"/>
  <c r="AY4" i="5"/>
  <c r="F17" i="3" s="1"/>
  <c r="AS10" i="1"/>
  <c r="AT1035" i="1" s="1"/>
  <c r="F15" i="3"/>
  <c r="BK14" i="1"/>
  <c r="AQ6" i="5"/>
  <c r="AR321" i="5" s="1"/>
  <c r="BA12" i="1"/>
  <c r="BA13" i="1" s="1"/>
  <c r="BL1029" i="1"/>
  <c r="BB767" i="1"/>
  <c r="AS14" i="1"/>
  <c r="AS13" i="1"/>
  <c r="AT861" i="1"/>
  <c r="BP20" i="5"/>
  <c r="BP34" i="5"/>
  <c r="BP50" i="5"/>
  <c r="BP302" i="5"/>
  <c r="BP201" i="5"/>
  <c r="BP315" i="5"/>
  <c r="BP135" i="5"/>
  <c r="BP79" i="5"/>
  <c r="BP283" i="5"/>
  <c r="BP159" i="5"/>
  <c r="BP108" i="5"/>
  <c r="BP350" i="5"/>
  <c r="BP104" i="5"/>
  <c r="BP127" i="5"/>
  <c r="BP281" i="5"/>
  <c r="BP343" i="5"/>
  <c r="BP171" i="5"/>
  <c r="BP87" i="5"/>
  <c r="BP361" i="5"/>
  <c r="BP84" i="5"/>
  <c r="BP358" i="5"/>
  <c r="BP277" i="5"/>
  <c r="BP178" i="5"/>
  <c r="BP41" i="5"/>
  <c r="BP140" i="5"/>
  <c r="BP346" i="5"/>
  <c r="BP192" i="5"/>
  <c r="BP26" i="5"/>
  <c r="BP279" i="5"/>
  <c r="BP278" i="5"/>
  <c r="BP301" i="5"/>
  <c r="BP263" i="5"/>
  <c r="BP175" i="5"/>
  <c r="BP40" i="5"/>
  <c r="BP288" i="5"/>
  <c r="BP324" i="5"/>
  <c r="BP93" i="5"/>
  <c r="BP110" i="5"/>
  <c r="BP151" i="5"/>
  <c r="BP284" i="5"/>
  <c r="BP99" i="5"/>
  <c r="BP48" i="5"/>
  <c r="BP314" i="5"/>
  <c r="BP98" i="5"/>
  <c r="BP147" i="5"/>
  <c r="BP183" i="5"/>
  <c r="BP335" i="5"/>
  <c r="BP83" i="5"/>
  <c r="BP136" i="5"/>
  <c r="BP296" i="5"/>
  <c r="BP126" i="5"/>
  <c r="BP157" i="5"/>
  <c r="BP262" i="5"/>
  <c r="BG6" i="5"/>
  <c r="BG4" i="5"/>
  <c r="BL922" i="1"/>
  <c r="BL1075" i="1"/>
  <c r="BL1002" i="1"/>
  <c r="BL894" i="1"/>
  <c r="BL1049" i="1"/>
  <c r="AT665" i="1"/>
  <c r="AT782" i="1"/>
  <c r="AT828" i="1"/>
  <c r="AT871" i="1"/>
  <c r="AT685" i="1"/>
  <c r="BO8" i="5"/>
  <c r="AT877" i="1"/>
  <c r="AT796" i="1"/>
  <c r="AT1031" i="1"/>
  <c r="AT777" i="1"/>
  <c r="AT701" i="1"/>
  <c r="AT858" i="1"/>
  <c r="AT857" i="1"/>
  <c r="AT1032" i="1"/>
  <c r="AT731" i="1"/>
  <c r="AT1093" i="1"/>
  <c r="AT753" i="1"/>
  <c r="AT780" i="1"/>
  <c r="BS12" i="1"/>
  <c r="BS10" i="1"/>
  <c r="AT700" i="1"/>
  <c r="AT930" i="1"/>
  <c r="AT631" i="1"/>
  <c r="AT728" i="1"/>
  <c r="AT819" i="1"/>
  <c r="AT1048" i="1"/>
  <c r="AT1053" i="1"/>
  <c r="BL1030" i="1"/>
  <c r="AT1004" i="1"/>
  <c r="AT1066" i="1"/>
  <c r="AT649" i="1"/>
  <c r="AT843" i="1"/>
  <c r="AT659" i="1"/>
  <c r="AT825" i="1"/>
  <c r="AT873" i="1"/>
  <c r="AT991" i="1"/>
  <c r="AT1024" i="1"/>
  <c r="AT709" i="1"/>
  <c r="AT657" i="1"/>
  <c r="AT1015" i="1"/>
  <c r="AT917" i="1"/>
  <c r="AT690" i="1"/>
  <c r="AT689" i="1"/>
  <c r="AT872" i="1"/>
  <c r="AT1085" i="1"/>
  <c r="AT694" i="1"/>
  <c r="AT770" i="1"/>
  <c r="AT726" i="1"/>
  <c r="AT1046" i="1"/>
  <c r="AT1064" i="1"/>
  <c r="AT1067" i="1"/>
  <c r="AT660" i="1"/>
  <c r="AT821" i="1"/>
  <c r="AT892" i="1"/>
  <c r="AT687" i="1"/>
  <c r="AT635" i="1"/>
  <c r="AT629" i="1"/>
  <c r="AT890" i="1"/>
  <c r="AT775" i="1"/>
  <c r="AT764" i="1"/>
  <c r="AT822" i="1"/>
  <c r="AT999" i="1"/>
  <c r="AT918" i="1"/>
  <c r="AT794" i="1"/>
  <c r="AT776" i="1"/>
  <c r="AT882" i="1"/>
  <c r="AT807" i="1"/>
  <c r="AT754" i="1"/>
  <c r="AT1062" i="1"/>
  <c r="AT654" i="1"/>
  <c r="AT803" i="1"/>
  <c r="AT703" i="1"/>
  <c r="AT668" i="1"/>
  <c r="AT910" i="1"/>
  <c r="AT1059" i="1"/>
  <c r="AT719" i="1"/>
  <c r="AT698" i="1"/>
  <c r="AT646" i="1"/>
  <c r="AT922" i="1"/>
  <c r="AT1088" i="1"/>
  <c r="AT713" i="1"/>
  <c r="AT1082" i="1"/>
  <c r="AT1068" i="1"/>
  <c r="AT839" i="1"/>
  <c r="AT863" i="1"/>
  <c r="AT723" i="1"/>
  <c r="AT636" i="1"/>
  <c r="AT885" i="1"/>
  <c r="AT1079" i="1"/>
  <c r="AT860" i="1"/>
  <c r="AT1051" i="1"/>
  <c r="AT913" i="1"/>
  <c r="AT800" i="1"/>
  <c r="AT647" i="1"/>
  <c r="AT658" i="1"/>
  <c r="AT695" i="1"/>
  <c r="AT914" i="1"/>
  <c r="AT1010" i="1"/>
  <c r="AT925" i="1"/>
  <c r="AT795" i="1"/>
  <c r="AT651" i="1"/>
  <c r="AT752" i="1"/>
  <c r="AT710" i="1"/>
  <c r="AT1096" i="1"/>
  <c r="AT761" i="1"/>
  <c r="AT798" i="1"/>
  <c r="AT650" i="1"/>
  <c r="AT727" i="1"/>
  <c r="AT797" i="1"/>
  <c r="AT664" i="1"/>
  <c r="AT815" i="1"/>
  <c r="AT900" i="1"/>
  <c r="AT697" i="1"/>
  <c r="AT868" i="1"/>
  <c r="AT855" i="1"/>
  <c r="AT702" i="1"/>
  <c r="AT997" i="1"/>
  <c r="AT1081" i="1"/>
  <c r="AT1087" i="1"/>
  <c r="AT916" i="1"/>
  <c r="AT721" i="1"/>
  <c r="AT1056" i="1"/>
  <c r="AT824" i="1"/>
  <c r="AT816" i="1"/>
  <c r="AT759" i="1"/>
  <c r="AT1074" i="1"/>
  <c r="AT820" i="1"/>
  <c r="AT1054" i="1"/>
  <c r="AT1083" i="1"/>
  <c r="AT720" i="1"/>
  <c r="AT1026" i="1"/>
  <c r="AT1000" i="1"/>
  <c r="AT903" i="1"/>
  <c r="AT669" i="1"/>
  <c r="AT844" i="1"/>
  <c r="AT898" i="1"/>
  <c r="AT897" i="1"/>
  <c r="AT801" i="1"/>
  <c r="AT805" i="1"/>
  <c r="AT1095" i="1"/>
  <c r="AT1023" i="1"/>
  <c r="AT881" i="1"/>
  <c r="AT724" i="1"/>
  <c r="AT706" i="1"/>
  <c r="AT632" i="1"/>
  <c r="AT833" i="1"/>
  <c r="AT758" i="1"/>
  <c r="AT1020" i="1"/>
  <c r="AT802" i="1"/>
  <c r="AT781" i="1"/>
  <c r="AT1011" i="1"/>
  <c r="AT641" i="1"/>
  <c r="AT778" i="1"/>
  <c r="AT1089" i="1"/>
  <c r="AT1002" i="1"/>
  <c r="AT915" i="1"/>
  <c r="AT643" i="1"/>
  <c r="AT823" i="1"/>
  <c r="AT666" i="1"/>
  <c r="AT912" i="1"/>
  <c r="AT653" i="1"/>
  <c r="AT652" i="1"/>
  <c r="AT691" i="1"/>
  <c r="AT994" i="1"/>
  <c r="AT832" i="1"/>
  <c r="AT627" i="1"/>
  <c r="AT990" i="1"/>
  <c r="AT813" i="1"/>
  <c r="AT1070" i="1"/>
  <c r="AT774" i="1"/>
  <c r="AT856" i="1"/>
  <c r="AT762" i="1"/>
  <c r="AT806" i="1"/>
  <c r="AT763" i="1"/>
  <c r="AT1092" i="1"/>
  <c r="AT895" i="1"/>
  <c r="AT1019" i="1"/>
  <c r="AT633" i="1"/>
  <c r="AT804" i="1"/>
  <c r="AT835" i="1"/>
  <c r="AT639" i="1"/>
  <c r="AT765" i="1"/>
  <c r="AT809" i="1"/>
  <c r="AT880" i="1"/>
  <c r="AT1057" i="1"/>
  <c r="AT642" i="1"/>
  <c r="AT1086" i="1"/>
  <c r="AT837" i="1"/>
  <c r="AT684" i="1"/>
  <c r="AT1033" i="1"/>
  <c r="AT760" i="1"/>
  <c r="AT893" i="1"/>
  <c r="AT670" i="1"/>
  <c r="AT808" i="1"/>
  <c r="AT1034" i="1"/>
  <c r="AT1073" i="1"/>
  <c r="AT841" i="1"/>
  <c r="AT640" i="1"/>
  <c r="AT998" i="1"/>
  <c r="AT637" i="1"/>
  <c r="AT875" i="1"/>
  <c r="AT663" i="1"/>
  <c r="AT811" i="1"/>
  <c r="AT933" i="1"/>
  <c r="AT766" i="1"/>
  <c r="AT730" i="1"/>
  <c r="AT886" i="1"/>
  <c r="AT829" i="1"/>
  <c r="AT1063" i="1"/>
  <c r="AT662" i="1"/>
  <c r="AT883" i="1"/>
  <c r="AT1028" i="1"/>
  <c r="AT889" i="1"/>
  <c r="AT1003" i="1"/>
  <c r="AT906" i="1"/>
  <c r="AT911" i="1"/>
  <c r="AT729" i="1"/>
  <c r="AT888" i="1"/>
  <c r="AT891" i="1"/>
  <c r="AT1016" i="1"/>
  <c r="AT1084" i="1"/>
  <c r="AT1075" i="1"/>
  <c r="AT1027" i="1"/>
  <c r="AT899" i="1"/>
  <c r="AT711" i="1"/>
  <c r="AT704" i="1"/>
  <c r="AT722" i="1"/>
  <c r="AT1052" i="1"/>
  <c r="AT826" i="1"/>
  <c r="AT1007" i="1"/>
  <c r="AT1018" i="1"/>
  <c r="AT869" i="1"/>
  <c r="AT867" i="1"/>
  <c r="AT708" i="1"/>
  <c r="AT1001" i="1"/>
  <c r="AT908" i="1"/>
  <c r="AT814" i="1"/>
  <c r="AT779" i="1"/>
  <c r="AT931" i="1"/>
  <c r="AT628" i="1"/>
  <c r="AT995" i="1"/>
  <c r="AT1061" i="1"/>
  <c r="AT902" i="1"/>
  <c r="AT1098" i="1"/>
  <c r="AT859" i="1"/>
  <c r="AT1055" i="1"/>
  <c r="AT887" i="1"/>
  <c r="AT919" i="1"/>
  <c r="AT884" i="1"/>
  <c r="AT793" i="1"/>
  <c r="AT1065" i="1"/>
  <c r="AT993" i="1"/>
  <c r="AT656" i="1"/>
  <c r="AT751" i="1"/>
  <c r="AT840" i="1"/>
  <c r="AT996" i="1"/>
  <c r="AT1009" i="1"/>
  <c r="AT716" i="1"/>
  <c r="AT1008" i="1"/>
  <c r="AT696" i="1"/>
  <c r="AT909" i="1"/>
  <c r="AT1045" i="1"/>
  <c r="AT1050" i="1"/>
  <c r="AT714" i="1"/>
  <c r="AT896" i="1"/>
  <c r="AT1012" i="1"/>
  <c r="AT683" i="1"/>
  <c r="AT845" i="1"/>
  <c r="AT827" i="1"/>
  <c r="AT879" i="1"/>
  <c r="AT733" i="1"/>
  <c r="AT894" i="1"/>
  <c r="AT661" i="1"/>
  <c r="AT866" i="1"/>
  <c r="AT655" i="1"/>
  <c r="AT1017" i="1"/>
  <c r="AT648" i="1"/>
  <c r="AT1097" i="1"/>
  <c r="AT904" i="1"/>
  <c r="AT1058" i="1"/>
  <c r="AT992" i="1"/>
  <c r="AT1071" i="1"/>
  <c r="AT768" i="1"/>
  <c r="AT769" i="1"/>
  <c r="AT923" i="1"/>
  <c r="AT818" i="1"/>
  <c r="AT830" i="1"/>
  <c r="AT1025" i="1"/>
  <c r="AT878" i="1"/>
  <c r="AT773" i="1"/>
  <c r="AT1005" i="1"/>
  <c r="AT836" i="1"/>
  <c r="AT817" i="1"/>
  <c r="AT1030" i="1"/>
  <c r="AT688" i="1"/>
  <c r="AT862" i="1"/>
  <c r="AT718" i="1"/>
  <c r="AT767" i="1"/>
  <c r="AT682" i="1"/>
  <c r="AT1077" i="1"/>
  <c r="AT926" i="1"/>
  <c r="AT864" i="1"/>
  <c r="AT865" i="1"/>
  <c r="AT699" i="1"/>
  <c r="AT634" i="1"/>
  <c r="AT842" i="1"/>
  <c r="AT924" i="1"/>
  <c r="AT928" i="1"/>
  <c r="AT681" i="1"/>
  <c r="AT907" i="1"/>
  <c r="AT838" i="1"/>
  <c r="AT756" i="1"/>
  <c r="AT1013" i="1"/>
  <c r="AT1006" i="1"/>
  <c r="AT932" i="1"/>
  <c r="AT1022" i="1"/>
  <c r="AT755" i="1"/>
  <c r="AT732" i="1"/>
  <c r="AT693" i="1"/>
  <c r="AT1021" i="1"/>
  <c r="AT1091" i="1"/>
  <c r="AT1080" i="1"/>
  <c r="AT750" i="1"/>
  <c r="AT626" i="1"/>
  <c r="AT638" i="1"/>
  <c r="AT929" i="1"/>
  <c r="AT705" i="1"/>
  <c r="AT692" i="1"/>
  <c r="AT1072" i="1"/>
  <c r="AT799" i="1"/>
  <c r="AT1078" i="1"/>
  <c r="AT870" i="1"/>
  <c r="AT771" i="1"/>
  <c r="AT876" i="1"/>
  <c r="AT921" i="1"/>
  <c r="AT680" i="1"/>
  <c r="AT1029" i="1"/>
  <c r="AT667" i="1"/>
  <c r="AT1014" i="1"/>
  <c r="AT901" i="1"/>
  <c r="AT715" i="1"/>
  <c r="AT1047" i="1"/>
  <c r="AT1060" i="1"/>
  <c r="AT834" i="1"/>
  <c r="AT1094" i="1"/>
  <c r="AT1069" i="1"/>
  <c r="AT644" i="1"/>
  <c r="AT810" i="1"/>
  <c r="AT874" i="1"/>
  <c r="AT812" i="1"/>
  <c r="AT1090" i="1"/>
  <c r="AT757" i="1"/>
  <c r="AT725" i="1"/>
  <c r="AT920" i="1"/>
  <c r="AT707" i="1"/>
  <c r="AT686" i="1"/>
  <c r="AT905" i="1"/>
  <c r="AT645" i="1"/>
  <c r="AT717" i="1"/>
  <c r="AT630" i="1"/>
  <c r="AT792" i="1"/>
  <c r="AT831" i="1"/>
  <c r="AT712" i="1"/>
  <c r="AT772" i="1"/>
  <c r="AZ95" i="5"/>
  <c r="AZ105" i="5"/>
  <c r="AZ191" i="5"/>
  <c r="AZ140" i="5"/>
  <c r="AZ349" i="5"/>
  <c r="AZ326" i="5"/>
  <c r="AZ104" i="5"/>
  <c r="AZ323" i="5"/>
  <c r="AZ268" i="5"/>
  <c r="AZ263" i="5"/>
  <c r="AZ280" i="5"/>
  <c r="AZ365" i="5"/>
  <c r="AZ25" i="5"/>
  <c r="AZ78" i="5"/>
  <c r="AZ133" i="5"/>
  <c r="AZ172" i="5"/>
  <c r="AZ98" i="5"/>
  <c r="AZ90" i="5"/>
  <c r="AZ276" i="5"/>
  <c r="AY8" i="5"/>
  <c r="AT1076" i="1"/>
  <c r="AT927" i="1"/>
  <c r="AT1049" i="1"/>
  <c r="AR148" i="5"/>
  <c r="AR108" i="5"/>
  <c r="AZ26" i="5"/>
  <c r="AZ196" i="5"/>
  <c r="AZ351" i="5"/>
  <c r="AZ364" i="5"/>
  <c r="AZ293" i="5"/>
  <c r="AZ72" i="5"/>
  <c r="AZ137" i="5"/>
  <c r="AZ157" i="5"/>
  <c r="AZ145" i="5"/>
  <c r="AZ39" i="5"/>
  <c r="AZ179" i="5"/>
  <c r="AZ331" i="5"/>
  <c r="AZ71" i="5"/>
  <c r="AZ147" i="5"/>
  <c r="AZ180" i="5"/>
  <c r="AZ168" i="5"/>
  <c r="AZ159" i="5"/>
  <c r="AZ106" i="5"/>
  <c r="AZ361" i="5"/>
  <c r="AZ173" i="5"/>
  <c r="AZ131" i="5"/>
  <c r="AZ348" i="5"/>
  <c r="AZ82" i="5"/>
  <c r="AZ63" i="5"/>
  <c r="AZ301" i="5"/>
  <c r="AZ324" i="5"/>
  <c r="AZ41" i="5"/>
  <c r="AZ127" i="5"/>
  <c r="AZ46" i="5"/>
  <c r="AZ269" i="5"/>
  <c r="AZ22" i="5"/>
  <c r="AZ49" i="5"/>
  <c r="AZ325" i="5"/>
  <c r="AZ200" i="5"/>
  <c r="AZ81" i="5"/>
  <c r="AZ112" i="5"/>
  <c r="AZ336" i="5"/>
  <c r="AZ86" i="5"/>
  <c r="AZ141" i="5"/>
  <c r="AZ272" i="5"/>
  <c r="AZ47" i="5"/>
  <c r="AZ337" i="5"/>
  <c r="AZ289" i="5"/>
  <c r="AZ76" i="5"/>
  <c r="BK13" i="1"/>
  <c r="AZ44" i="5"/>
  <c r="AZ363" i="5"/>
  <c r="AR173" i="5"/>
  <c r="AZ99" i="5"/>
  <c r="AZ101" i="5"/>
  <c r="AZ362" i="5"/>
  <c r="AZ316" i="5"/>
  <c r="AZ297" i="5"/>
  <c r="AZ124" i="5"/>
  <c r="AZ327" i="5"/>
  <c r="AZ32" i="5"/>
  <c r="AZ130" i="5"/>
  <c r="AZ61" i="5"/>
  <c r="AZ109" i="5"/>
  <c r="AZ333" i="5"/>
  <c r="AZ266" i="5"/>
  <c r="AZ50" i="5"/>
  <c r="AZ291" i="5"/>
  <c r="AZ277" i="5"/>
  <c r="AZ303" i="5"/>
  <c r="AZ317" i="5"/>
  <c r="AZ150" i="5"/>
  <c r="AZ154" i="5"/>
  <c r="AZ139" i="5"/>
  <c r="AZ67" i="5"/>
  <c r="AZ33" i="5"/>
  <c r="AZ74" i="5"/>
  <c r="AZ183" i="5"/>
  <c r="AZ28" i="5"/>
  <c r="AZ300" i="5"/>
  <c r="AZ175" i="5"/>
  <c r="AZ152" i="5"/>
  <c r="AZ143" i="5"/>
  <c r="AZ197" i="5"/>
  <c r="AZ40" i="5"/>
  <c r="AZ314" i="5"/>
  <c r="AZ162" i="5"/>
  <c r="AZ69" i="5"/>
  <c r="AZ169" i="5"/>
  <c r="AZ283" i="5"/>
  <c r="AZ96" i="5"/>
  <c r="AZ341" i="5"/>
  <c r="AZ282" i="5"/>
  <c r="AZ281" i="5"/>
  <c r="AZ275" i="5"/>
  <c r="AZ136" i="5"/>
  <c r="AZ75" i="5"/>
  <c r="AZ161" i="5"/>
  <c r="AZ186" i="5"/>
  <c r="AZ192" i="5"/>
  <c r="AZ290" i="5"/>
  <c r="AZ262" i="5"/>
  <c r="AZ343" i="5"/>
  <c r="AZ259" i="5"/>
  <c r="AZ298" i="5"/>
  <c r="AZ62" i="5"/>
  <c r="AZ138" i="5"/>
  <c r="AZ18" i="5"/>
  <c r="AZ354" i="5"/>
  <c r="AZ108" i="5"/>
  <c r="AZ36" i="5"/>
  <c r="AZ328" i="5"/>
  <c r="AZ142" i="5"/>
  <c r="AZ19" i="5"/>
  <c r="AZ201" i="5"/>
  <c r="AZ97" i="5"/>
  <c r="AZ338" i="5"/>
  <c r="AZ189" i="5"/>
  <c r="AZ65" i="5"/>
  <c r="AZ149" i="5"/>
  <c r="AZ85" i="5"/>
  <c r="AZ77" i="5"/>
  <c r="AZ34" i="5"/>
  <c r="AZ334" i="5"/>
  <c r="AZ296" i="5"/>
  <c r="AZ302" i="5"/>
  <c r="AZ113" i="5"/>
  <c r="AZ27" i="5"/>
  <c r="AZ135" i="5"/>
  <c r="AZ170" i="5"/>
  <c r="AZ156" i="5"/>
  <c r="AZ357" i="5"/>
  <c r="AZ158" i="5"/>
  <c r="AZ318" i="5"/>
  <c r="AZ178" i="5"/>
  <c r="AZ350" i="5"/>
  <c r="AZ278" i="5"/>
  <c r="AZ60" i="5"/>
  <c r="AZ335" i="5"/>
  <c r="AZ340" i="5"/>
  <c r="AZ330" i="5"/>
  <c r="AZ87" i="5"/>
  <c r="AZ70" i="5"/>
  <c r="AZ24" i="5"/>
  <c r="AZ198" i="5"/>
  <c r="AZ199" i="5"/>
  <c r="AZ193" i="5"/>
  <c r="AZ261" i="5"/>
  <c r="AZ155" i="5"/>
  <c r="AZ30" i="5"/>
  <c r="AZ194" i="5"/>
  <c r="AZ42" i="5"/>
  <c r="AZ271" i="5"/>
  <c r="AZ91" i="5"/>
  <c r="AZ29" i="5"/>
  <c r="AZ344" i="5"/>
  <c r="AZ83" i="5"/>
  <c r="AZ80" i="5"/>
  <c r="AZ295" i="5"/>
  <c r="AZ185" i="5"/>
  <c r="AZ167" i="5"/>
  <c r="AZ35" i="5"/>
  <c r="AZ102" i="5"/>
  <c r="AZ321" i="5"/>
  <c r="AZ315" i="5"/>
  <c r="AZ100" i="5"/>
  <c r="AZ322" i="5"/>
  <c r="AZ353" i="5"/>
  <c r="AZ182" i="5"/>
  <c r="AZ285" i="5"/>
  <c r="AZ274" i="5"/>
  <c r="AZ319" i="5"/>
  <c r="AZ188" i="5"/>
  <c r="AZ125" i="5"/>
  <c r="AZ132" i="5"/>
  <c r="AZ48" i="5"/>
  <c r="AZ126" i="5"/>
  <c r="AZ79" i="5"/>
  <c r="AZ329" i="5"/>
  <c r="AZ134" i="5"/>
  <c r="AZ165" i="5"/>
  <c r="AZ171" i="5"/>
  <c r="AZ146" i="5"/>
  <c r="AZ359" i="5"/>
  <c r="AZ284" i="5"/>
  <c r="AZ88" i="5"/>
  <c r="AZ45" i="5"/>
  <c r="AZ37" i="5"/>
  <c r="AZ107" i="5"/>
  <c r="AZ287" i="5"/>
  <c r="AZ347" i="5"/>
  <c r="AZ177" i="5"/>
  <c r="AZ110" i="5"/>
  <c r="AZ320" i="5"/>
  <c r="AZ190" i="5"/>
  <c r="AZ38" i="5"/>
  <c r="AZ264" i="5"/>
  <c r="AZ123" i="5"/>
  <c r="AZ73" i="5"/>
  <c r="AZ181" i="5"/>
  <c r="AZ187" i="5"/>
  <c r="AZ66" i="5"/>
  <c r="AZ184" i="5"/>
  <c r="AZ273" i="5"/>
  <c r="AZ279" i="5"/>
  <c r="AZ286" i="5"/>
  <c r="AZ342" i="5"/>
  <c r="AZ153" i="5"/>
  <c r="AZ111" i="5"/>
  <c r="AZ93" i="5"/>
  <c r="AZ64" i="5"/>
  <c r="AZ68" i="5"/>
  <c r="AZ195" i="5"/>
  <c r="AZ332" i="5"/>
  <c r="AZ160" i="5"/>
  <c r="AZ43" i="5"/>
  <c r="AZ358" i="5"/>
  <c r="AZ94" i="5"/>
  <c r="AZ355" i="5"/>
  <c r="AZ151" i="5"/>
  <c r="AZ128" i="5"/>
  <c r="AZ313" i="5"/>
  <c r="AZ103" i="5"/>
  <c r="AZ267" i="5"/>
  <c r="AZ163" i="5"/>
  <c r="AZ148" i="5"/>
  <c r="AZ260" i="5"/>
  <c r="AZ299" i="5"/>
  <c r="AZ174" i="5"/>
  <c r="AZ89" i="5"/>
  <c r="AZ360" i="5"/>
  <c r="AZ92" i="5"/>
  <c r="AZ164" i="5"/>
  <c r="AZ345" i="5"/>
  <c r="AZ294" i="5"/>
  <c r="AZ356" i="5"/>
  <c r="AZ346" i="5"/>
  <c r="AZ288" i="5"/>
  <c r="AZ176" i="5"/>
  <c r="AZ20" i="5"/>
  <c r="AZ366" i="5"/>
  <c r="AZ166" i="5"/>
  <c r="AZ31" i="5"/>
  <c r="AZ129" i="5"/>
  <c r="AZ292" i="5"/>
  <c r="AZ23" i="5"/>
  <c r="AZ21" i="5"/>
  <c r="AZ84" i="5"/>
  <c r="AZ352" i="5"/>
  <c r="AZ265" i="5"/>
  <c r="AZ270" i="5"/>
  <c r="AZ144" i="5"/>
  <c r="BL1031" i="1" l="1"/>
  <c r="BP68" i="5"/>
  <c r="BP142" i="5"/>
  <c r="BP294" i="5"/>
  <c r="BP334" i="5"/>
  <c r="BP60" i="5"/>
  <c r="BP165" i="5"/>
  <c r="BP193" i="5"/>
  <c r="BP272" i="5"/>
  <c r="BP38" i="5"/>
  <c r="BP100" i="5"/>
  <c r="BP348" i="5"/>
  <c r="BB780" i="1"/>
  <c r="BB755" i="1"/>
  <c r="BA14" i="1"/>
  <c r="BB914" i="1"/>
  <c r="BL889" i="1"/>
  <c r="BL884" i="1"/>
  <c r="BP320" i="5"/>
  <c r="BP169" i="5"/>
  <c r="BP46" i="5"/>
  <c r="BP161" i="5"/>
  <c r="BP97" i="5"/>
  <c r="BP113" i="5"/>
  <c r="BP270" i="5"/>
  <c r="BP88" i="5"/>
  <c r="BP107" i="5"/>
  <c r="BP111" i="5"/>
  <c r="BP65" i="5"/>
  <c r="BB1003" i="1"/>
  <c r="BL893" i="1"/>
  <c r="BL929" i="1"/>
  <c r="BL1082" i="1"/>
  <c r="BP330" i="5"/>
  <c r="BP124" i="5"/>
  <c r="BP190" i="5"/>
  <c r="BP35" i="5"/>
  <c r="BP29" i="5"/>
  <c r="BP265" i="5"/>
  <c r="BP340" i="5"/>
  <c r="BP94" i="5"/>
  <c r="BP196" i="5"/>
  <c r="BP338" i="5"/>
  <c r="BB1020" i="1"/>
  <c r="BB869" i="1"/>
  <c r="BL1092" i="1"/>
  <c r="BL1005" i="1"/>
  <c r="BP356" i="5"/>
  <c r="BP365" i="5"/>
  <c r="BP266" i="5"/>
  <c r="BP36" i="5"/>
  <c r="BP322" i="5"/>
  <c r="BP160" i="5"/>
  <c r="BP287" i="5"/>
  <c r="BP153" i="5"/>
  <c r="BP275" i="5"/>
  <c r="BP332" i="5"/>
  <c r="BP352" i="5"/>
  <c r="BP354" i="5"/>
  <c r="BP164" i="5"/>
  <c r="BP80" i="5"/>
  <c r="BP170" i="5"/>
  <c r="BP106" i="5"/>
  <c r="BP25" i="5"/>
  <c r="BP328" i="5"/>
  <c r="BP325" i="5"/>
  <c r="BP191" i="5"/>
  <c r="BP167" i="5"/>
  <c r="BB1013" i="1"/>
  <c r="BB772" i="1"/>
  <c r="BB1095" i="1"/>
  <c r="BL867" i="1"/>
  <c r="BL1022" i="1"/>
  <c r="F21" i="3"/>
  <c r="BP333" i="5"/>
  <c r="BP186" i="5"/>
  <c r="BP188" i="5"/>
  <c r="BP290" i="5"/>
  <c r="BP70" i="5"/>
  <c r="BP64" i="5"/>
  <c r="BP293" i="5"/>
  <c r="BP96" i="5"/>
  <c r="BP360" i="5"/>
  <c r="BP85" i="5"/>
  <c r="BP149" i="5"/>
  <c r="BP327" i="5"/>
  <c r="BP82" i="5"/>
  <c r="BP90" i="5"/>
  <c r="BP76" i="5"/>
  <c r="BP37" i="5"/>
  <c r="BP185" i="5"/>
  <c r="BP182" i="5"/>
  <c r="BP200" i="5"/>
  <c r="BP61" i="5"/>
  <c r="BB1033" i="1"/>
  <c r="BB722" i="1"/>
  <c r="BB1079" i="1"/>
  <c r="BL862" i="1"/>
  <c r="BB707" i="1"/>
  <c r="BB687" i="1"/>
  <c r="BB782" i="1"/>
  <c r="BB813" i="1"/>
  <c r="BB842" i="1"/>
  <c r="BL992" i="1"/>
  <c r="BL811" i="1"/>
  <c r="BL1016" i="1"/>
  <c r="BP362" i="5"/>
  <c r="BP89" i="5"/>
  <c r="BP30" i="5"/>
  <c r="BP145" i="5"/>
  <c r="BP155" i="5"/>
  <c r="BP351" i="5"/>
  <c r="BP66" i="5"/>
  <c r="BP132" i="5"/>
  <c r="BP331" i="5"/>
  <c r="BP359" i="5"/>
  <c r="BP323" i="5"/>
  <c r="BP31" i="5"/>
  <c r="BP336" i="5"/>
  <c r="BP355" i="5"/>
  <c r="BP344" i="5"/>
  <c r="BP274" i="5"/>
  <c r="BP353" i="5"/>
  <c r="BP77" i="5"/>
  <c r="BP91" i="5"/>
  <c r="BP295" i="5"/>
  <c r="BP72" i="5"/>
  <c r="BB753" i="1"/>
  <c r="BB701" i="1"/>
  <c r="BB733" i="1"/>
  <c r="BL839" i="1"/>
  <c r="BL1010" i="1"/>
  <c r="BL1011" i="1"/>
  <c r="BL778" i="1"/>
  <c r="BL1013" i="1"/>
  <c r="BL1095" i="1"/>
  <c r="BP101" i="5"/>
  <c r="BP189" i="5"/>
  <c r="BP21" i="5"/>
  <c r="BP73" i="5"/>
  <c r="BP49" i="5"/>
  <c r="BP177" i="5"/>
  <c r="BP286" i="5"/>
  <c r="BP199" i="5"/>
  <c r="BP130" i="5"/>
  <c r="BP95" i="5"/>
  <c r="BP261" i="5"/>
  <c r="BP105" i="5"/>
  <c r="BP133" i="5"/>
  <c r="BP33" i="5"/>
  <c r="BP341" i="5"/>
  <c r="BP45" i="5"/>
  <c r="BP364" i="5"/>
  <c r="BP313" i="5"/>
  <c r="BP291" i="5"/>
  <c r="BP339" i="5"/>
  <c r="BP134" i="5"/>
  <c r="BB792" i="1"/>
  <c r="BB714" i="1"/>
  <c r="BB1084" i="1"/>
  <c r="BL1086" i="1"/>
  <c r="BL1003" i="1"/>
  <c r="BL796" i="1"/>
  <c r="BL906" i="1"/>
  <c r="BL916" i="1"/>
  <c r="BL1048" i="1"/>
  <c r="BL765" i="1"/>
  <c r="BL868" i="1"/>
  <c r="BL776" i="1"/>
  <c r="BL1085" i="1"/>
  <c r="BL1074" i="1"/>
  <c r="BL900" i="1"/>
  <c r="BL1063" i="1"/>
  <c r="BL842" i="1"/>
  <c r="BL855" i="1"/>
  <c r="BL871" i="1"/>
  <c r="BL761" i="1"/>
  <c r="BL807" i="1"/>
  <c r="BL1058" i="1"/>
  <c r="BL919" i="1"/>
  <c r="BL844" i="1"/>
  <c r="BL898" i="1"/>
  <c r="BL833" i="1"/>
  <c r="BL759" i="1"/>
  <c r="BL924" i="1"/>
  <c r="BL905" i="1"/>
  <c r="BB1090" i="1"/>
  <c r="BL910" i="1"/>
  <c r="BL769" i="1"/>
  <c r="BL1033" i="1"/>
  <c r="BL1027" i="1"/>
  <c r="BL1028" i="1"/>
  <c r="BL1052" i="1"/>
  <c r="BL779" i="1"/>
  <c r="BL1087" i="1"/>
  <c r="BL756" i="1"/>
  <c r="BL836" i="1"/>
  <c r="BL758" i="1"/>
  <c r="BL886" i="1"/>
  <c r="BL754" i="1"/>
  <c r="BL751" i="1"/>
  <c r="BL917" i="1"/>
  <c r="BL1025" i="1"/>
  <c r="BL909" i="1"/>
  <c r="BL1050" i="1"/>
  <c r="BL755" i="1"/>
  <c r="BL911" i="1"/>
  <c r="BL933" i="1"/>
  <c r="BL1072" i="1"/>
  <c r="BL797" i="1"/>
  <c r="BL888" i="1"/>
  <c r="BL912" i="1"/>
  <c r="BL878" i="1"/>
  <c r="BL923" i="1"/>
  <c r="BL845" i="1"/>
  <c r="BL885" i="1"/>
  <c r="BL1067" i="1"/>
  <c r="BL913" i="1"/>
  <c r="BL1098" i="1"/>
  <c r="BL930" i="1"/>
  <c r="BL902" i="1"/>
  <c r="BL1026" i="1"/>
  <c r="BL1018" i="1"/>
  <c r="BL1077" i="1"/>
  <c r="BL760" i="1"/>
  <c r="BL768" i="1"/>
  <c r="BL998" i="1"/>
  <c r="BL1023" i="1"/>
  <c r="BL1060" i="1"/>
  <c r="BL806" i="1"/>
  <c r="BL802" i="1"/>
  <c r="BL1088" i="1"/>
  <c r="BL782" i="1"/>
  <c r="BL780" i="1"/>
  <c r="BL869" i="1"/>
  <c r="BL932" i="1"/>
  <c r="BL1065" i="1"/>
  <c r="BL775" i="1"/>
  <c r="BL1032" i="1"/>
  <c r="BL825" i="1"/>
  <c r="BL1073" i="1"/>
  <c r="BL1094" i="1"/>
  <c r="BL1008" i="1"/>
  <c r="BL1083" i="1"/>
  <c r="BL997" i="1"/>
  <c r="BL927" i="1"/>
  <c r="BL887" i="1"/>
  <c r="BL843" i="1"/>
  <c r="BL1009" i="1"/>
  <c r="BL820" i="1"/>
  <c r="BL1068" i="1"/>
  <c r="BL838" i="1"/>
  <c r="BL1046" i="1"/>
  <c r="BL882" i="1"/>
  <c r="BL1064" i="1"/>
  <c r="BL1006" i="1"/>
  <c r="BL873" i="1"/>
  <c r="BL803" i="1"/>
  <c r="BL990" i="1"/>
  <c r="BL1035" i="1"/>
  <c r="BL1017" i="1"/>
  <c r="BL801" i="1"/>
  <c r="BL866" i="1"/>
  <c r="BL774" i="1"/>
  <c r="BL805" i="1"/>
  <c r="BL1078" i="1"/>
  <c r="BL1055" i="1"/>
  <c r="BL881" i="1"/>
  <c r="BL835" i="1"/>
  <c r="BL1012" i="1"/>
  <c r="BL858" i="1"/>
  <c r="BL798" i="1"/>
  <c r="BL892" i="1"/>
  <c r="BL757" i="1"/>
  <c r="BL818" i="1"/>
  <c r="BL925" i="1"/>
  <c r="BL814" i="1"/>
  <c r="BL1091" i="1"/>
  <c r="BL781" i="1"/>
  <c r="BL799" i="1"/>
  <c r="BL794" i="1"/>
  <c r="BL766" i="1"/>
  <c r="BL831" i="1"/>
  <c r="BL792" i="1"/>
  <c r="BL753" i="1"/>
  <c r="BL1081" i="1"/>
  <c r="BL813" i="1"/>
  <c r="BL1061" i="1"/>
  <c r="BL1076" i="1"/>
  <c r="BL828" i="1"/>
  <c r="BL903" i="1"/>
  <c r="BL795" i="1"/>
  <c r="BL1056" i="1"/>
  <c r="BL770" i="1"/>
  <c r="BL1059" i="1"/>
  <c r="BL832" i="1"/>
  <c r="BL822" i="1"/>
  <c r="BL897" i="1"/>
  <c r="BL808" i="1"/>
  <c r="BL830" i="1"/>
  <c r="BL921" i="1"/>
  <c r="BL883" i="1"/>
  <c r="BL1015" i="1"/>
  <c r="BL829" i="1"/>
  <c r="BL1004" i="1"/>
  <c r="BL876" i="1"/>
  <c r="BL907" i="1"/>
  <c r="BL1054" i="1"/>
  <c r="BL874" i="1"/>
  <c r="BL777" i="1"/>
  <c r="BL1069" i="1"/>
  <c r="BL827" i="1"/>
  <c r="BL865" i="1"/>
  <c r="BL1000" i="1"/>
  <c r="BL816" i="1"/>
  <c r="BL861" i="1"/>
  <c r="BL1051" i="1"/>
  <c r="BL860" i="1"/>
  <c r="BB720" i="1"/>
  <c r="BB875" i="1"/>
  <c r="BL762" i="1"/>
  <c r="BL1034" i="1"/>
  <c r="BL763" i="1"/>
  <c r="BL908" i="1"/>
  <c r="BL804" i="1"/>
  <c r="BL994" i="1"/>
  <c r="BL1062" i="1"/>
  <c r="BL834" i="1"/>
  <c r="BL915" i="1"/>
  <c r="BL1066" i="1"/>
  <c r="BL810" i="1"/>
  <c r="BL895" i="1"/>
  <c r="BL872" i="1"/>
  <c r="BL914" i="1"/>
  <c r="BL896" i="1"/>
  <c r="BL823" i="1"/>
  <c r="BL877" i="1"/>
  <c r="BL1020" i="1"/>
  <c r="BL856" i="1"/>
  <c r="BL819" i="1"/>
  <c r="BL991" i="1"/>
  <c r="BL926" i="1"/>
  <c r="BL890" i="1"/>
  <c r="BL840" i="1"/>
  <c r="BL863" i="1"/>
  <c r="BB1031" i="1"/>
  <c r="BB698" i="1"/>
  <c r="BB836" i="1"/>
  <c r="BB1055" i="1"/>
  <c r="BB1062" i="1"/>
  <c r="BB907" i="1"/>
  <c r="BB876" i="1"/>
  <c r="BB886" i="1"/>
  <c r="BB994" i="1"/>
  <c r="BL1093" i="1"/>
  <c r="BL800" i="1"/>
  <c r="BL773" i="1"/>
  <c r="BL928" i="1"/>
  <c r="BB694" i="1"/>
  <c r="BB826" i="1"/>
  <c r="BB897" i="1"/>
  <c r="BB809" i="1"/>
  <c r="BB688" i="1"/>
  <c r="BB1012" i="1"/>
  <c r="BB833" i="1"/>
  <c r="BB761" i="1"/>
  <c r="BB758" i="1"/>
  <c r="BL875" i="1"/>
  <c r="BL899" i="1"/>
  <c r="BL1071" i="1"/>
  <c r="BB888" i="1"/>
  <c r="BB806" i="1"/>
  <c r="BB879" i="1"/>
  <c r="BB838" i="1"/>
  <c r="BB1059" i="1"/>
  <c r="BB899" i="1"/>
  <c r="BB996" i="1"/>
  <c r="BB718" i="1"/>
  <c r="BB917" i="1"/>
  <c r="BL1070" i="1"/>
  <c r="BL1090" i="1"/>
  <c r="BL1021" i="1"/>
  <c r="BB1018" i="1"/>
  <c r="BB794" i="1"/>
  <c r="BB892" i="1"/>
  <c r="BB825" i="1"/>
  <c r="BB801" i="1"/>
  <c r="BB885" i="1"/>
  <c r="BB1087" i="1"/>
  <c r="BB855" i="1"/>
  <c r="BB731" i="1"/>
  <c r="BB777" i="1"/>
  <c r="BL1084" i="1"/>
  <c r="BL1096" i="1"/>
  <c r="BL1079" i="1"/>
  <c r="BB814" i="1"/>
  <c r="BB1096" i="1"/>
  <c r="BB864" i="1"/>
  <c r="BB1049" i="1"/>
  <c r="BB832" i="1"/>
  <c r="BB856" i="1"/>
  <c r="BB1006" i="1"/>
  <c r="BB1035" i="1"/>
  <c r="BB1063" i="1"/>
  <c r="BB993" i="1"/>
  <c r="BL879" i="1"/>
  <c r="BL793" i="1"/>
  <c r="BL841" i="1"/>
  <c r="BL812" i="1"/>
  <c r="BL767" i="1"/>
  <c r="BL918" i="1"/>
  <c r="BL817" i="1"/>
  <c r="BL837" i="1"/>
  <c r="BL920" i="1"/>
  <c r="BL931" i="1"/>
  <c r="BL904" i="1"/>
  <c r="BL809" i="1"/>
  <c r="BB1078" i="1"/>
  <c r="BB932" i="1"/>
  <c r="BB878" i="1"/>
  <c r="BB824" i="1"/>
  <c r="BL824" i="1"/>
  <c r="BL821" i="1"/>
  <c r="BL772" i="1"/>
  <c r="BL815" i="1"/>
  <c r="BL1045" i="1"/>
  <c r="BL1097" i="1"/>
  <c r="BL1057" i="1"/>
  <c r="BL1024" i="1"/>
  <c r="BL857" i="1"/>
  <c r="BL880" i="1"/>
  <c r="BL1080" i="1"/>
  <c r="BL771" i="1"/>
  <c r="BL1014" i="1"/>
  <c r="BL764" i="1"/>
  <c r="BL1053" i="1"/>
  <c r="BB999" i="1"/>
  <c r="BB865" i="1"/>
  <c r="BB1089" i="1"/>
  <c r="BB1098" i="1"/>
  <c r="BB905" i="1"/>
  <c r="BL1001" i="1"/>
  <c r="BL752" i="1"/>
  <c r="BL1019" i="1"/>
  <c r="BL999" i="1"/>
  <c r="BL891" i="1"/>
  <c r="BL995" i="1"/>
  <c r="BL864" i="1"/>
  <c r="BL1047" i="1"/>
  <c r="BB1002" i="1"/>
  <c r="BB827" i="1"/>
  <c r="BB695" i="1"/>
  <c r="BB1073" i="1"/>
  <c r="BB1019" i="1"/>
  <c r="BB1056" i="1"/>
  <c r="BL901" i="1"/>
  <c r="BL996" i="1"/>
  <c r="BL859" i="1"/>
  <c r="BL750" i="1"/>
  <c r="BL870" i="1"/>
  <c r="BL1007" i="1"/>
  <c r="BL993" i="1"/>
  <c r="BL1089" i="1"/>
  <c r="AR271" i="5"/>
  <c r="AR37" i="5"/>
  <c r="AR86" i="5"/>
  <c r="AR170" i="5"/>
  <c r="AR151" i="5"/>
  <c r="BB829" i="1"/>
  <c r="BB1064" i="1"/>
  <c r="BB752" i="1"/>
  <c r="BB911" i="1"/>
  <c r="BB991" i="1"/>
  <c r="BB756" i="1"/>
  <c r="BB845" i="1"/>
  <c r="BB705" i="1"/>
  <c r="BB1076" i="1"/>
  <c r="BB1029" i="1"/>
  <c r="BB912" i="1"/>
  <c r="BB712" i="1"/>
  <c r="BB915" i="1"/>
  <c r="BB835" i="1"/>
  <c r="BB906" i="1"/>
  <c r="BB877" i="1"/>
  <c r="BB728" i="1"/>
  <c r="BB1014" i="1"/>
  <c r="BB732" i="1"/>
  <c r="BB803" i="1"/>
  <c r="BB1075" i="1"/>
  <c r="BB1082" i="1"/>
  <c r="AR111" i="5"/>
  <c r="AR147" i="5"/>
  <c r="AR187" i="5"/>
  <c r="AR261" i="5"/>
  <c r="AR38" i="5"/>
  <c r="AR268" i="5"/>
  <c r="AR49" i="5"/>
  <c r="BB699" i="1"/>
  <c r="BB1077" i="1"/>
  <c r="BB708" i="1"/>
  <c r="BB1025" i="1"/>
  <c r="BB844" i="1"/>
  <c r="BB841" i="1"/>
  <c r="BB1008" i="1"/>
  <c r="BB887" i="1"/>
  <c r="BB812" i="1"/>
  <c r="BB1092" i="1"/>
  <c r="BB863" i="1"/>
  <c r="BB834" i="1"/>
  <c r="BB804" i="1"/>
  <c r="BB779" i="1"/>
  <c r="BB900" i="1"/>
  <c r="BB1083" i="1"/>
  <c r="BB704" i="1"/>
  <c r="BB913" i="1"/>
  <c r="BB817" i="1"/>
  <c r="BB1024" i="1"/>
  <c r="BB1054" i="1"/>
  <c r="BB995" i="1"/>
  <c r="BB1021" i="1"/>
  <c r="AR87" i="5"/>
  <c r="AR163" i="5"/>
  <c r="AR324" i="5"/>
  <c r="AR99" i="5"/>
  <c r="AR76" i="5"/>
  <c r="AR259" i="5"/>
  <c r="BB1069" i="1"/>
  <c r="BB1065" i="1"/>
  <c r="BB910" i="1"/>
  <c r="BB1071" i="1"/>
  <c r="BB1093" i="1"/>
  <c r="BB1010" i="1"/>
  <c r="BB1072" i="1"/>
  <c r="BB839" i="1"/>
  <c r="BB1005" i="1"/>
  <c r="BB873" i="1"/>
  <c r="BB1094" i="1"/>
  <c r="BB706" i="1"/>
  <c r="BB815" i="1"/>
  <c r="BB926" i="1"/>
  <c r="BB1091" i="1"/>
  <c r="BB1048" i="1"/>
  <c r="BB894" i="1"/>
  <c r="BB828" i="1"/>
  <c r="BB1007" i="1"/>
  <c r="BB757" i="1"/>
  <c r="BB1023" i="1"/>
  <c r="BB1066" i="1"/>
  <c r="AR291" i="5"/>
  <c r="AR185" i="5"/>
  <c r="AR332" i="5"/>
  <c r="AR280" i="5"/>
  <c r="BB798" i="1"/>
  <c r="BB716" i="1"/>
  <c r="BB1016" i="1"/>
  <c r="BB830" i="1"/>
  <c r="BB1061" i="1"/>
  <c r="BB1052" i="1"/>
  <c r="BB768" i="1"/>
  <c r="BB866" i="1"/>
  <c r="BB1080" i="1"/>
  <c r="BB730" i="1"/>
  <c r="BB759" i="1"/>
  <c r="BB691" i="1"/>
  <c r="BB823" i="1"/>
  <c r="BB1001" i="1"/>
  <c r="BB903" i="1"/>
  <c r="BB799" i="1"/>
  <c r="BB858" i="1"/>
  <c r="BB821" i="1"/>
  <c r="BB880" i="1"/>
  <c r="BB1068" i="1"/>
  <c r="BB751" i="1"/>
  <c r="BB793" i="1"/>
  <c r="AR314" i="5"/>
  <c r="AR69" i="5"/>
  <c r="AR347" i="5"/>
  <c r="AR302" i="5"/>
  <c r="AR273" i="5"/>
  <c r="AR267" i="5"/>
  <c r="AR177" i="5"/>
  <c r="AR315" i="5"/>
  <c r="AR260" i="5"/>
  <c r="AR299" i="5"/>
  <c r="AR41" i="5"/>
  <c r="AR282" i="5"/>
  <c r="AR283" i="5"/>
  <c r="AR88" i="5"/>
  <c r="AR184" i="5"/>
  <c r="AR352" i="5"/>
  <c r="AR336" i="5"/>
  <c r="AR149" i="5"/>
  <c r="AR138" i="5"/>
  <c r="AR93" i="5"/>
  <c r="AR80" i="5"/>
  <c r="AR33" i="5"/>
  <c r="AR66" i="5"/>
  <c r="AR92" i="5"/>
  <c r="AR270" i="5"/>
  <c r="AR43" i="5"/>
  <c r="AR342" i="5"/>
  <c r="AR113" i="5"/>
  <c r="AR266" i="5"/>
  <c r="AR50" i="5"/>
  <c r="AR320" i="5"/>
  <c r="AR166" i="5"/>
  <c r="AR349" i="5"/>
  <c r="AR89" i="5"/>
  <c r="AR355" i="5"/>
  <c r="AR96" i="5"/>
  <c r="AR164" i="5"/>
  <c r="AR74" i="5"/>
  <c r="AR365" i="5"/>
  <c r="AR358" i="5"/>
  <c r="AR329" i="5"/>
  <c r="AR26" i="5"/>
  <c r="AR27" i="5"/>
  <c r="AR126" i="5"/>
  <c r="AR297" i="5"/>
  <c r="AR168" i="5"/>
  <c r="AR264" i="5"/>
  <c r="AR183" i="5"/>
  <c r="AR348" i="5"/>
  <c r="AR109" i="5"/>
  <c r="AR85" i="5"/>
  <c r="AR362" i="5"/>
  <c r="AR333" i="5"/>
  <c r="AR288" i="5"/>
  <c r="AR28" i="5"/>
  <c r="AR73" i="5"/>
  <c r="AR290" i="5"/>
  <c r="AR131" i="5"/>
  <c r="AR78" i="5"/>
  <c r="AR32" i="5"/>
  <c r="AR62" i="5"/>
  <c r="AR353" i="5"/>
  <c r="AR175" i="5"/>
  <c r="AR162" i="5"/>
  <c r="AR70" i="5"/>
  <c r="AR295" i="5"/>
  <c r="AR296" i="5"/>
  <c r="AR301" i="5"/>
  <c r="AR136" i="5"/>
  <c r="AR94" i="5"/>
  <c r="AR42" i="5"/>
  <c r="AR285" i="5"/>
  <c r="AR46" i="5"/>
  <c r="AR98" i="5"/>
  <c r="AR171" i="5"/>
  <c r="AR29" i="5"/>
  <c r="AR354" i="5"/>
  <c r="AR22" i="5"/>
  <c r="AR198" i="5"/>
  <c r="AR81" i="5"/>
  <c r="AR140" i="5"/>
  <c r="AR44" i="5"/>
  <c r="AR298" i="5"/>
  <c r="AR178" i="5"/>
  <c r="AR182" i="5"/>
  <c r="AR316" i="5"/>
  <c r="AR71" i="5"/>
  <c r="AR172" i="5"/>
  <c r="AR132" i="5"/>
  <c r="AR159" i="5"/>
  <c r="AR64" i="5"/>
  <c r="AR344" i="5"/>
  <c r="AR193" i="5"/>
  <c r="AR300" i="5"/>
  <c r="AR142" i="5"/>
  <c r="AR366" i="5"/>
  <c r="AR179" i="5"/>
  <c r="AR278" i="5"/>
  <c r="AR75" i="5"/>
  <c r="AR161" i="5"/>
  <c r="AR356" i="5"/>
  <c r="AR36" i="5"/>
  <c r="AR294" i="5"/>
  <c r="AR35" i="5"/>
  <c r="AR195" i="5"/>
  <c r="AR157" i="5"/>
  <c r="AR65" i="5"/>
  <c r="AR337" i="5"/>
  <c r="AR363" i="5"/>
  <c r="AR275" i="5"/>
  <c r="AR292" i="5"/>
  <c r="AR341" i="5"/>
  <c r="AR30" i="5"/>
  <c r="AR145" i="5"/>
  <c r="AR169" i="5"/>
  <c r="AR133" i="5"/>
  <c r="AR194" i="5"/>
  <c r="AR196" i="5"/>
  <c r="AR279" i="5"/>
  <c r="AR263" i="5"/>
  <c r="AR174" i="5"/>
  <c r="AR40" i="5"/>
  <c r="AR191" i="5"/>
  <c r="AR110" i="5"/>
  <c r="AR150" i="5"/>
  <c r="AR129" i="5"/>
  <c r="AR262" i="5"/>
  <c r="AR128" i="5"/>
  <c r="AR317" i="5"/>
  <c r="AR199" i="5"/>
  <c r="AR77" i="5"/>
  <c r="AR34" i="5"/>
  <c r="AR289" i="5"/>
  <c r="AR84" i="5"/>
  <c r="AR101" i="5"/>
  <c r="AR20" i="5"/>
  <c r="AR322" i="5"/>
  <c r="AR346" i="5"/>
  <c r="AR104" i="5"/>
  <c r="AR319" i="5"/>
  <c r="AR103" i="5"/>
  <c r="AR165" i="5"/>
  <c r="AR130" i="5"/>
  <c r="AR284" i="5"/>
  <c r="AR63" i="5"/>
  <c r="AR68" i="5"/>
  <c r="AR21" i="5"/>
  <c r="AR190" i="5"/>
  <c r="AR19" i="5"/>
  <c r="AR158" i="5"/>
  <c r="AR201" i="5"/>
  <c r="AR127" i="5"/>
  <c r="AR60" i="5"/>
  <c r="AR23" i="5"/>
  <c r="AR277" i="5"/>
  <c r="AR137" i="5"/>
  <c r="AR79" i="5"/>
  <c r="AR106" i="5"/>
  <c r="AR303" i="5"/>
  <c r="AR18" i="5"/>
  <c r="AR141" i="5"/>
  <c r="AR39" i="5"/>
  <c r="AR154" i="5"/>
  <c r="AR287" i="5"/>
  <c r="AR327" i="5"/>
  <c r="AR335" i="5"/>
  <c r="AR357" i="5"/>
  <c r="AR134" i="5"/>
  <c r="AR124" i="5"/>
  <c r="AR160" i="5"/>
  <c r="AR351" i="5"/>
  <c r="BB843" i="1"/>
  <c r="BB1088" i="1"/>
  <c r="BB891" i="1"/>
  <c r="BB883" i="1"/>
  <c r="BB928" i="1"/>
  <c r="BP347" i="5"/>
  <c r="BP144" i="5"/>
  <c r="BP187" i="5"/>
  <c r="BP297" i="5"/>
  <c r="BP125" i="5"/>
  <c r="BP260" i="5"/>
  <c r="BP19" i="5"/>
  <c r="BP78" i="5"/>
  <c r="BP299" i="5"/>
  <c r="BP166" i="5"/>
  <c r="BP173" i="5"/>
  <c r="BP148" i="5"/>
  <c r="BP318" i="5"/>
  <c r="BP112" i="5"/>
  <c r="BP195" i="5"/>
  <c r="BP292" i="5"/>
  <c r="BP180" i="5"/>
  <c r="BP184" i="5"/>
  <c r="BP128" i="5"/>
  <c r="BP316" i="5"/>
  <c r="BP109" i="5"/>
  <c r="BP39" i="5"/>
  <c r="BP156" i="5"/>
  <c r="BP268" i="5"/>
  <c r="BP131" i="5"/>
  <c r="BP194" i="5"/>
  <c r="BP303" i="5"/>
  <c r="BP329" i="5"/>
  <c r="BP289" i="5"/>
  <c r="BP181" i="5"/>
  <c r="BP174" i="5"/>
  <c r="BP81" i="5"/>
  <c r="BP146" i="5"/>
  <c r="BB721" i="1"/>
  <c r="BB831" i="1"/>
  <c r="BB882" i="1"/>
  <c r="BB697" i="1"/>
  <c r="BB1017" i="1"/>
  <c r="BB861" i="1"/>
  <c r="BB860" i="1"/>
  <c r="BB868" i="1"/>
  <c r="BB919" i="1"/>
  <c r="BB927" i="1"/>
  <c r="BB811" i="1"/>
  <c r="BB726" i="1"/>
  <c r="BB820" i="1"/>
  <c r="BB819" i="1"/>
  <c r="BB874" i="1"/>
  <c r="BB1070" i="1"/>
  <c r="BB920" i="1"/>
  <c r="BB776" i="1"/>
  <c r="BB710" i="1"/>
  <c r="BB778" i="1"/>
  <c r="BB1000" i="1"/>
  <c r="BB1015" i="1"/>
  <c r="BB870" i="1"/>
  <c r="BB796" i="1"/>
  <c r="BB1032" i="1"/>
  <c r="BB1060" i="1"/>
  <c r="BB1022" i="1"/>
  <c r="BB766" i="1"/>
  <c r="BB729" i="1"/>
  <c r="BB889" i="1"/>
  <c r="BB871" i="1"/>
  <c r="BB997" i="1"/>
  <c r="BB800" i="1"/>
  <c r="BB862" i="1"/>
  <c r="BB933" i="1"/>
  <c r="BB1097" i="1"/>
  <c r="BB711" i="1"/>
  <c r="BP172" i="5"/>
  <c r="BP154" i="5"/>
  <c r="BP69" i="5"/>
  <c r="BP137" i="5"/>
  <c r="BP363" i="5"/>
  <c r="BP298" i="5"/>
  <c r="BP67" i="5"/>
  <c r="BP62" i="5"/>
  <c r="BP152" i="5"/>
  <c r="BP276" i="5"/>
  <c r="BP197" i="5"/>
  <c r="BP74" i="5"/>
  <c r="BP141" i="5"/>
  <c r="BP267" i="5"/>
  <c r="BP75" i="5"/>
  <c r="BP179" i="5"/>
  <c r="BP86" i="5"/>
  <c r="BP28" i="5"/>
  <c r="BP264" i="5"/>
  <c r="BP139" i="5"/>
  <c r="BP138" i="5"/>
  <c r="BP32" i="5"/>
  <c r="BP198" i="5"/>
  <c r="BP342" i="5"/>
  <c r="BP22" i="5"/>
  <c r="BP176" i="5"/>
  <c r="BP280" i="5"/>
  <c r="BP337" i="5"/>
  <c r="BP158" i="5"/>
  <c r="BP366" i="5"/>
  <c r="BB700" i="1"/>
  <c r="BB1027" i="1"/>
  <c r="BB881" i="1"/>
  <c r="BB810" i="1"/>
  <c r="BB805" i="1"/>
  <c r="BB725" i="1"/>
  <c r="BB750" i="1"/>
  <c r="BB898" i="1"/>
  <c r="BB867" i="1"/>
  <c r="BB1026" i="1"/>
  <c r="BB930" i="1"/>
  <c r="BB1009" i="1"/>
  <c r="BB1081" i="1"/>
  <c r="BB762" i="1"/>
  <c r="BB1067" i="1"/>
  <c r="BB1058" i="1"/>
  <c r="BB727" i="1"/>
  <c r="BB764" i="1"/>
  <c r="BB769" i="1"/>
  <c r="BB857" i="1"/>
  <c r="BB840" i="1"/>
  <c r="BB1047" i="1"/>
  <c r="BB859" i="1"/>
  <c r="BB1086" i="1"/>
  <c r="BB715" i="1"/>
  <c r="BB808" i="1"/>
  <c r="BB923" i="1"/>
  <c r="BB1028" i="1"/>
  <c r="BB690" i="1"/>
  <c r="BB773" i="1"/>
  <c r="BB802" i="1"/>
  <c r="BB1034" i="1"/>
  <c r="BB872" i="1"/>
  <c r="BB893" i="1"/>
  <c r="BB895" i="1"/>
  <c r="BB816" i="1"/>
  <c r="BB1085" i="1"/>
  <c r="AZ339" i="5"/>
  <c r="BP273" i="5"/>
  <c r="BP259" i="5"/>
  <c r="BP321" i="5"/>
  <c r="BP317" i="5"/>
  <c r="BP163" i="5"/>
  <c r="BP357" i="5"/>
  <c r="BP44" i="5"/>
  <c r="BP162" i="5"/>
  <c r="BP349" i="5"/>
  <c r="BP168" i="5"/>
  <c r="BP71" i="5"/>
  <c r="BP23" i="5"/>
  <c r="BP143" i="5"/>
  <c r="BP282" i="5"/>
  <c r="BP43" i="5"/>
  <c r="BP345" i="5"/>
  <c r="BP92" i="5"/>
  <c r="BP300" i="5"/>
  <c r="BP42" i="5"/>
  <c r="BP24" i="5"/>
  <c r="BP103" i="5"/>
  <c r="BP326" i="5"/>
  <c r="BP27" i="5"/>
  <c r="BP129" i="5"/>
  <c r="BP150" i="5"/>
  <c r="BP269" i="5"/>
  <c r="BP47" i="5"/>
  <c r="BP271" i="5"/>
  <c r="BP319" i="5"/>
  <c r="BP123" i="5"/>
  <c r="BP63" i="5"/>
  <c r="BP285" i="5"/>
  <c r="BP18" i="5"/>
  <c r="BB916" i="1"/>
  <c r="BB931" i="1"/>
  <c r="BB771" i="1"/>
  <c r="BB692" i="1"/>
  <c r="BB797" i="1"/>
  <c r="BB754" i="1"/>
  <c r="BB765" i="1"/>
  <c r="BB922" i="1"/>
  <c r="BB717" i="1"/>
  <c r="BB713" i="1"/>
  <c r="BB902" i="1"/>
  <c r="BB689" i="1"/>
  <c r="BB724" i="1"/>
  <c r="BB896" i="1"/>
  <c r="BB693" i="1"/>
  <c r="BB723" i="1"/>
  <c r="BB998" i="1"/>
  <c r="BB709" i="1"/>
  <c r="BB822" i="1"/>
  <c r="BB781" i="1"/>
  <c r="BB890" i="1"/>
  <c r="BB884" i="1"/>
  <c r="BB925" i="1"/>
  <c r="BB908" i="1"/>
  <c r="BB760" i="1"/>
  <c r="BB763" i="1"/>
  <c r="BB696" i="1"/>
  <c r="BB818" i="1"/>
  <c r="BB1011" i="1"/>
  <c r="BB770" i="1"/>
  <c r="BB1074" i="1"/>
  <c r="BB909" i="1"/>
  <c r="BB904" i="1"/>
  <c r="BB703" i="1"/>
  <c r="BB929" i="1"/>
  <c r="BB807" i="1"/>
  <c r="BB1030" i="1"/>
  <c r="BB924" i="1"/>
  <c r="AR180" i="5"/>
  <c r="AR82" i="5"/>
  <c r="BB990" i="1"/>
  <c r="AR112" i="5"/>
  <c r="AR286" i="5"/>
  <c r="AR339" i="5"/>
  <c r="AR48" i="5"/>
  <c r="AR91" i="5"/>
  <c r="AR176" i="5"/>
  <c r="AR125" i="5"/>
  <c r="AR105" i="5"/>
  <c r="AR186" i="5"/>
  <c r="AR47" i="5"/>
  <c r="AR360" i="5"/>
  <c r="AR200" i="5"/>
  <c r="AR272" i="5"/>
  <c r="AR328" i="5"/>
  <c r="AR350" i="5"/>
  <c r="AR338" i="5"/>
  <c r="AR197" i="5"/>
  <c r="AR274" i="5"/>
  <c r="AR72" i="5"/>
  <c r="AR31" i="5"/>
  <c r="AR123" i="5"/>
  <c r="AR155" i="5"/>
  <c r="AR61" i="5"/>
  <c r="AR189" i="5"/>
  <c r="AR152" i="5"/>
  <c r="AR167" i="5"/>
  <c r="AR318" i="5"/>
  <c r="AR313" i="5"/>
  <c r="AR330" i="5"/>
  <c r="AR281" i="5"/>
  <c r="AR144" i="5"/>
  <c r="BB921" i="1"/>
  <c r="BB901" i="1"/>
  <c r="BB702" i="1"/>
  <c r="BB992" i="1"/>
  <c r="BB774" i="1"/>
  <c r="BB837" i="1"/>
  <c r="BB1046" i="1"/>
  <c r="BB918" i="1"/>
  <c r="BB1057" i="1"/>
  <c r="AR326" i="5"/>
  <c r="AR95" i="5"/>
  <c r="AR359" i="5"/>
  <c r="AR293" i="5"/>
  <c r="AR67" i="5"/>
  <c r="AR188" i="5"/>
  <c r="AR143" i="5"/>
  <c r="AR97" i="5"/>
  <c r="AR135" i="5"/>
  <c r="AR325" i="5"/>
  <c r="AR45" i="5"/>
  <c r="AR334" i="5"/>
  <c r="AR139" i="5"/>
  <c r="AR181" i="5"/>
  <c r="AR146" i="5"/>
  <c r="AR361" i="5"/>
  <c r="AR153" i="5"/>
  <c r="AR364" i="5"/>
  <c r="AR276" i="5"/>
  <c r="AR265" i="5"/>
  <c r="AR345" i="5"/>
  <c r="AR340" i="5"/>
  <c r="AR107" i="5"/>
  <c r="AR25" i="5"/>
  <c r="AR343" i="5"/>
  <c r="AR100" i="5"/>
  <c r="BB1051" i="1"/>
  <c r="BB1053" i="1"/>
  <c r="BB1050" i="1"/>
  <c r="BB775" i="1"/>
  <c r="BB795" i="1"/>
  <c r="BB719" i="1"/>
  <c r="BB1045" i="1"/>
  <c r="BB1004" i="1"/>
  <c r="AQ7" i="5"/>
  <c r="AQ8" i="5"/>
  <c r="AR83" i="5"/>
  <c r="AR24" i="5"/>
  <c r="AR102" i="5"/>
  <c r="AR90" i="5"/>
  <c r="AR323" i="5"/>
  <c r="AR192" i="5"/>
  <c r="AR156" i="5"/>
  <c r="AR269" i="5"/>
  <c r="AR331" i="5"/>
  <c r="BH319" i="5"/>
  <c r="BH44" i="5"/>
  <c r="BH275" i="5"/>
  <c r="BH274" i="5"/>
  <c r="BH321" i="5"/>
  <c r="BH315" i="5"/>
  <c r="BH129" i="5"/>
  <c r="BH157" i="5"/>
  <c r="BH88" i="5"/>
  <c r="BH97" i="5"/>
  <c r="BH33" i="5"/>
  <c r="BH133" i="5"/>
  <c r="BH174" i="5"/>
  <c r="BH34" i="5"/>
  <c r="BH106" i="5"/>
  <c r="BH301" i="5"/>
  <c r="BH163" i="5"/>
  <c r="BH47" i="5"/>
  <c r="BH298" i="5"/>
  <c r="BH123" i="5"/>
  <c r="BH190" i="5"/>
  <c r="BH93" i="5"/>
  <c r="BH345" i="5"/>
  <c r="BH285" i="5"/>
  <c r="BH67" i="5"/>
  <c r="BH271" i="5"/>
  <c r="BH49" i="5"/>
  <c r="BH286" i="5"/>
  <c r="BH198" i="5"/>
  <c r="BH127" i="5"/>
  <c r="BH165" i="5"/>
  <c r="BH125" i="5"/>
  <c r="BH19" i="5"/>
  <c r="BH176" i="5"/>
  <c r="BH287" i="5"/>
  <c r="BH162" i="5"/>
  <c r="BH272" i="5"/>
  <c r="BH37" i="5"/>
  <c r="BH330" i="5"/>
  <c r="BH32" i="5"/>
  <c r="BH261" i="5"/>
  <c r="BH108" i="5"/>
  <c r="BH140" i="5"/>
  <c r="BH313" i="5"/>
  <c r="BH302" i="5"/>
  <c r="BH195" i="5"/>
  <c r="BH192" i="5"/>
  <c r="BH91" i="5"/>
  <c r="BH73" i="5"/>
  <c r="BH25" i="5"/>
  <c r="BH90" i="5"/>
  <c r="BH178" i="5"/>
  <c r="BH102" i="5"/>
  <c r="BH188" i="5"/>
  <c r="BH303" i="5"/>
  <c r="BH339" i="5"/>
  <c r="BH155" i="5"/>
  <c r="BH331" i="5"/>
  <c r="BH172" i="5"/>
  <c r="BH184" i="5"/>
  <c r="BH294" i="5"/>
  <c r="BH263" i="5"/>
  <c r="BH183" i="5"/>
  <c r="BH177" i="5"/>
  <c r="BH199" i="5"/>
  <c r="BH343" i="5"/>
  <c r="BH82" i="5"/>
  <c r="BH288" i="5"/>
  <c r="BH103" i="5"/>
  <c r="BH46" i="5"/>
  <c r="BH130" i="5"/>
  <c r="BH291" i="5"/>
  <c r="BH186" i="5"/>
  <c r="BH333" i="5"/>
  <c r="BH20" i="5"/>
  <c r="BH139" i="5"/>
  <c r="BH131" i="5"/>
  <c r="BH96" i="5"/>
  <c r="BH325" i="5"/>
  <c r="BH26" i="5"/>
  <c r="BH109" i="5"/>
  <c r="BH137" i="5"/>
  <c r="BH280" i="5"/>
  <c r="BH104" i="5"/>
  <c r="BH100" i="5"/>
  <c r="BH332" i="5"/>
  <c r="BH317" i="5"/>
  <c r="BH283" i="5"/>
  <c r="BH276" i="5"/>
  <c r="BH268" i="5"/>
  <c r="BH326" i="5"/>
  <c r="BH161" i="5"/>
  <c r="BH35" i="5"/>
  <c r="BH23" i="5"/>
  <c r="BH277" i="5"/>
  <c r="BH18" i="5"/>
  <c r="BH175" i="5"/>
  <c r="BH290" i="5"/>
  <c r="BH187" i="5"/>
  <c r="BH75" i="5"/>
  <c r="BH154" i="5"/>
  <c r="BH61" i="5"/>
  <c r="BH168" i="5"/>
  <c r="BH128" i="5"/>
  <c r="BH95" i="5"/>
  <c r="BH149" i="5"/>
  <c r="BH113" i="5"/>
  <c r="BH361" i="5"/>
  <c r="BH141" i="5"/>
  <c r="BH191" i="5"/>
  <c r="BH76" i="5"/>
  <c r="BH365" i="5"/>
  <c r="BH266" i="5"/>
  <c r="BH45" i="5"/>
  <c r="BH41" i="5"/>
  <c r="BH84" i="5"/>
  <c r="BH356" i="5"/>
  <c r="BH98" i="5"/>
  <c r="BH79" i="5"/>
  <c r="BH328" i="5"/>
  <c r="BH160" i="5"/>
  <c r="BH126" i="5"/>
  <c r="BH340" i="5"/>
  <c r="BH170" i="5"/>
  <c r="BH269" i="5"/>
  <c r="BH316" i="5"/>
  <c r="BH318" i="5"/>
  <c r="BH350" i="5"/>
  <c r="BH78" i="5"/>
  <c r="BH342" i="5"/>
  <c r="BH299" i="5"/>
  <c r="BH153" i="5"/>
  <c r="BH21" i="5"/>
  <c r="BH322" i="5"/>
  <c r="BH99" i="5"/>
  <c r="BH152" i="5"/>
  <c r="BH24" i="5"/>
  <c r="BH366" i="5"/>
  <c r="BH27" i="5"/>
  <c r="BH335" i="5"/>
  <c r="BH193" i="5"/>
  <c r="BH352" i="5"/>
  <c r="BH336" i="5"/>
  <c r="BH355" i="5"/>
  <c r="BH360" i="5"/>
  <c r="BH159" i="5"/>
  <c r="BH156" i="5"/>
  <c r="BH146" i="5"/>
  <c r="BH36" i="5"/>
  <c r="BH173" i="5"/>
  <c r="BH354" i="5"/>
  <c r="BH279" i="5"/>
  <c r="BH65" i="5"/>
  <c r="BH72" i="5"/>
  <c r="BH112" i="5"/>
  <c r="BH323" i="5"/>
  <c r="BH144" i="5"/>
  <c r="BH166" i="5"/>
  <c r="BH143" i="5"/>
  <c r="BH111" i="5"/>
  <c r="BH265" i="5"/>
  <c r="BH42" i="5"/>
  <c r="BH92" i="5"/>
  <c r="BH362" i="5"/>
  <c r="BH359" i="5"/>
  <c r="BH29" i="5"/>
  <c r="BH353" i="5"/>
  <c r="BH110" i="5"/>
  <c r="BH38" i="5"/>
  <c r="BH314" i="5"/>
  <c r="BH150" i="5"/>
  <c r="BH107" i="5"/>
  <c r="BH267" i="5"/>
  <c r="BH105" i="5"/>
  <c r="BH201" i="5"/>
  <c r="BH324" i="5"/>
  <c r="BH337" i="5"/>
  <c r="BH64" i="5"/>
  <c r="BH296" i="5"/>
  <c r="BH136" i="5"/>
  <c r="BH179" i="5"/>
  <c r="BH180" i="5"/>
  <c r="BH182" i="5"/>
  <c r="BH148" i="5"/>
  <c r="BH60" i="5"/>
  <c r="BH358" i="5"/>
  <c r="BH264" i="5"/>
  <c r="BH197" i="5"/>
  <c r="BH363" i="5"/>
  <c r="BH364" i="5"/>
  <c r="BH48" i="5"/>
  <c r="BH181" i="5"/>
  <c r="BH344" i="5"/>
  <c r="BH124" i="5"/>
  <c r="BH262" i="5"/>
  <c r="BH329" i="5"/>
  <c r="BH347" i="5"/>
  <c r="BH284" i="5"/>
  <c r="BH147" i="5"/>
  <c r="BH349" i="5"/>
  <c r="BH196" i="5"/>
  <c r="BH164" i="5"/>
  <c r="BH289" i="5"/>
  <c r="BH278" i="5"/>
  <c r="BH338" i="5"/>
  <c r="BH138" i="5"/>
  <c r="BH327" i="5"/>
  <c r="BH259" i="5"/>
  <c r="BH151" i="5"/>
  <c r="BH357" i="5"/>
  <c r="BH80" i="5"/>
  <c r="BH334" i="5"/>
  <c r="BH81" i="5"/>
  <c r="BH270" i="5"/>
  <c r="BH132" i="5"/>
  <c r="BH70" i="5"/>
  <c r="BH167" i="5"/>
  <c r="BH40" i="5"/>
  <c r="F19" i="3"/>
  <c r="BH85" i="5"/>
  <c r="BH68" i="5"/>
  <c r="BH351" i="5"/>
  <c r="BH22" i="5"/>
  <c r="BH346" i="5"/>
  <c r="BH292" i="5"/>
  <c r="BH293" i="5"/>
  <c r="BH341" i="5"/>
  <c r="BH135" i="5"/>
  <c r="BH282" i="5"/>
  <c r="BH200" i="5"/>
  <c r="BH320" i="5"/>
  <c r="BH297" i="5"/>
  <c r="BH74" i="5"/>
  <c r="BH260" i="5"/>
  <c r="BH281" i="5"/>
  <c r="BH39" i="5"/>
  <c r="BH89" i="5"/>
  <c r="BH134" i="5"/>
  <c r="BH86" i="5"/>
  <c r="BH77" i="5"/>
  <c r="BH194" i="5"/>
  <c r="BH273" i="5"/>
  <c r="BH30" i="5"/>
  <c r="BH169" i="5"/>
  <c r="BH300" i="5"/>
  <c r="BH43" i="5"/>
  <c r="BH66" i="5"/>
  <c r="BH63" i="5"/>
  <c r="BH69" i="5"/>
  <c r="BH71" i="5"/>
  <c r="BH87" i="5"/>
  <c r="BH348" i="5"/>
  <c r="BH50" i="5"/>
  <c r="BH158" i="5"/>
  <c r="BH189" i="5"/>
  <c r="BH62" i="5"/>
  <c r="BH171" i="5"/>
  <c r="BH83" i="5"/>
  <c r="BH142" i="5"/>
  <c r="BH145" i="5"/>
  <c r="BH31" i="5"/>
  <c r="BH101" i="5"/>
  <c r="BH295" i="5"/>
  <c r="BH94" i="5"/>
  <c r="BH28" i="5"/>
  <c r="BH185" i="5"/>
  <c r="BG7" i="5"/>
  <c r="BG8" i="5"/>
  <c r="BT815" i="1"/>
  <c r="BT929" i="1"/>
  <c r="BT886" i="1"/>
  <c r="BT809" i="1"/>
  <c r="BT1060" i="1"/>
  <c r="BT867" i="1"/>
  <c r="BT838" i="1"/>
  <c r="BT810" i="1"/>
  <c r="BT1098" i="1"/>
  <c r="BT915" i="1"/>
  <c r="BT924" i="1"/>
  <c r="BT873" i="1"/>
  <c r="BT1059" i="1"/>
  <c r="BT1079" i="1"/>
  <c r="BT894" i="1"/>
  <c r="BT1061" i="1"/>
  <c r="BT1076" i="1"/>
  <c r="BT1016" i="1"/>
  <c r="BT932" i="1"/>
  <c r="BT1047" i="1"/>
  <c r="BT1005" i="1"/>
  <c r="BT1033" i="1"/>
  <c r="BT905" i="1"/>
  <c r="BT879" i="1"/>
  <c r="BT1028" i="1"/>
  <c r="BT1001" i="1"/>
  <c r="BT904" i="1"/>
  <c r="BT1004" i="1"/>
  <c r="BT872" i="1"/>
  <c r="BT907" i="1"/>
  <c r="BT994" i="1"/>
  <c r="BT918" i="1"/>
  <c r="BT1030" i="1"/>
  <c r="BT889" i="1"/>
  <c r="BT923" i="1"/>
  <c r="BT843" i="1"/>
  <c r="BT1002" i="1"/>
  <c r="BT1058" i="1"/>
  <c r="BT855" i="1"/>
  <c r="BT819" i="1"/>
  <c r="BT1074" i="1"/>
  <c r="BT928" i="1"/>
  <c r="BT857" i="1"/>
  <c r="BT1081" i="1"/>
  <c r="BT903" i="1"/>
  <c r="BT1029" i="1"/>
  <c r="BT1032" i="1"/>
  <c r="BT891" i="1"/>
  <c r="BT874" i="1"/>
  <c r="BT1091" i="1"/>
  <c r="BT911" i="1"/>
  <c r="BT1064" i="1"/>
  <c r="BT917" i="1"/>
  <c r="BT831" i="1"/>
  <c r="BT925" i="1"/>
  <c r="BT845" i="1"/>
  <c r="BT883" i="1"/>
  <c r="BT882" i="1"/>
  <c r="BT871" i="1"/>
  <c r="BT841" i="1"/>
  <c r="BT856" i="1"/>
  <c r="BT822" i="1"/>
  <c r="BT1077" i="1"/>
  <c r="BT1067" i="1"/>
  <c r="BT895" i="1"/>
  <c r="BT817" i="1"/>
  <c r="BT1084" i="1"/>
  <c r="BT860" i="1"/>
  <c r="BT993" i="1"/>
  <c r="BT1054" i="1"/>
  <c r="BT900" i="1"/>
  <c r="BT1050" i="1"/>
  <c r="BT920" i="1"/>
  <c r="BT995" i="1"/>
  <c r="BT827" i="1"/>
  <c r="BT1087" i="1"/>
  <c r="BT837" i="1"/>
  <c r="BT878" i="1"/>
  <c r="BT927" i="1"/>
  <c r="BT814" i="1"/>
  <c r="BT828" i="1"/>
  <c r="BT1025" i="1"/>
  <c r="BT824" i="1"/>
  <c r="BT862" i="1"/>
  <c r="BT1014" i="1"/>
  <c r="BT825" i="1"/>
  <c r="BT830" i="1"/>
  <c r="BT888" i="1"/>
  <c r="BT1026" i="1"/>
  <c r="BT1008" i="1"/>
  <c r="BT1017" i="1"/>
  <c r="BT1095" i="1"/>
  <c r="BT1071" i="1"/>
  <c r="BT869" i="1"/>
  <c r="BT1097" i="1"/>
  <c r="BT1051" i="1"/>
  <c r="BT835" i="1"/>
  <c r="BT1015" i="1"/>
  <c r="BT865" i="1"/>
  <c r="BT998" i="1"/>
  <c r="BT991" i="1"/>
  <c r="BT877" i="1"/>
  <c r="BT913" i="1"/>
  <c r="BT1094" i="1"/>
  <c r="BT1035" i="1"/>
  <c r="BT1006" i="1"/>
  <c r="BT996" i="1"/>
  <c r="BT864" i="1"/>
  <c r="BT1066" i="1"/>
  <c r="BT866" i="1"/>
  <c r="BT861" i="1"/>
  <c r="BT1052" i="1"/>
  <c r="BT1065" i="1"/>
  <c r="BT1045" i="1"/>
  <c r="BT821" i="1"/>
  <c r="BT910" i="1"/>
  <c r="BT912" i="1"/>
  <c r="BT906" i="1"/>
  <c r="BT1070" i="1"/>
  <c r="BT1082" i="1"/>
  <c r="BT833" i="1"/>
  <c r="BT1018" i="1"/>
  <c r="BT909" i="1"/>
  <c r="BT859" i="1"/>
  <c r="BT863" i="1"/>
  <c r="BT884" i="1"/>
  <c r="BT908" i="1"/>
  <c r="BT823" i="1"/>
  <c r="BT808" i="1"/>
  <c r="BT1011" i="1"/>
  <c r="BT1013" i="1"/>
  <c r="BT1080" i="1"/>
  <c r="BT1068" i="1"/>
  <c r="BT820" i="1"/>
  <c r="BT892" i="1"/>
  <c r="BT1034" i="1"/>
  <c r="BT897" i="1"/>
  <c r="BT834" i="1"/>
  <c r="BT829" i="1"/>
  <c r="BT931" i="1"/>
  <c r="BT1078" i="1"/>
  <c r="BT1009" i="1"/>
  <c r="BT836" i="1"/>
  <c r="BT898" i="1"/>
  <c r="BT818" i="1"/>
  <c r="BT916" i="1"/>
  <c r="BT842" i="1"/>
  <c r="BT992" i="1"/>
  <c r="BT844" i="1"/>
  <c r="BT1063" i="1"/>
  <c r="BT997" i="1"/>
  <c r="BT1056" i="1"/>
  <c r="BT899" i="1"/>
  <c r="BT1023" i="1"/>
  <c r="BT921" i="1"/>
  <c r="BT933" i="1"/>
  <c r="BT1000" i="1"/>
  <c r="BT1093" i="1"/>
  <c r="BT811" i="1"/>
  <c r="BT832" i="1"/>
  <c r="BT1057" i="1"/>
  <c r="BT880" i="1"/>
  <c r="BT1022" i="1"/>
  <c r="BT1019" i="1"/>
  <c r="BT914" i="1"/>
  <c r="BT1053" i="1"/>
  <c r="BT901" i="1"/>
  <c r="BT875" i="1"/>
  <c r="BT887" i="1"/>
  <c r="BT1048" i="1"/>
  <c r="BT926" i="1"/>
  <c r="BT1089" i="1"/>
  <c r="BT1003" i="1"/>
  <c r="BT1062" i="1"/>
  <c r="BT1096" i="1"/>
  <c r="BT1046" i="1"/>
  <c r="BT812" i="1"/>
  <c r="BT1027" i="1"/>
  <c r="BT885" i="1"/>
  <c r="BT922" i="1"/>
  <c r="BT893" i="1"/>
  <c r="BT1020" i="1"/>
  <c r="BT858" i="1"/>
  <c r="BT1024" i="1"/>
  <c r="BT1072" i="1"/>
  <c r="BT881" i="1"/>
  <c r="BT1055" i="1"/>
  <c r="BT1069" i="1"/>
  <c r="BT990" i="1"/>
  <c r="BT890" i="1"/>
  <c r="BT868" i="1"/>
  <c r="BT1007" i="1"/>
  <c r="BT1088" i="1"/>
  <c r="BT1010" i="1"/>
  <c r="BT1073" i="1"/>
  <c r="BT826" i="1"/>
  <c r="BT840" i="1"/>
  <c r="BT1021" i="1"/>
  <c r="BT1090" i="1"/>
  <c r="BT870" i="1"/>
  <c r="BT999" i="1"/>
  <c r="BT902" i="1"/>
  <c r="BT1083" i="1"/>
  <c r="BT930" i="1"/>
  <c r="BT1075" i="1"/>
  <c r="BT896" i="1"/>
  <c r="BT1086" i="1"/>
  <c r="BT919" i="1"/>
  <c r="BT1085" i="1"/>
  <c r="BT839" i="1"/>
  <c r="BT816" i="1"/>
  <c r="BT813" i="1"/>
  <c r="BT1092" i="1"/>
  <c r="BT1031" i="1"/>
  <c r="BT1049" i="1"/>
  <c r="BT876" i="1"/>
  <c r="BT1012" i="1"/>
  <c r="BS13" i="1"/>
  <c r="BS14" i="1"/>
</calcChain>
</file>

<file path=xl/sharedStrings.xml><?xml version="1.0" encoding="utf-8"?>
<sst xmlns="http://schemas.openxmlformats.org/spreadsheetml/2006/main" count="390" uniqueCount="40">
  <si>
    <t>taille établissement</t>
  </si>
  <si>
    <t>espérance %</t>
  </si>
  <si>
    <t>espérance</t>
  </si>
  <si>
    <t>écart-type %</t>
  </si>
  <si>
    <t>écart-type</t>
  </si>
  <si>
    <t>écart-max</t>
  </si>
  <si>
    <t>amplitude</t>
  </si>
  <si>
    <t>date</t>
  </si>
  <si>
    <t>variable aléatoire</t>
  </si>
  <si>
    <t>Nombre de commandes</t>
  </si>
  <si>
    <t>Campus Partenaires</t>
  </si>
  <si>
    <t>Liste</t>
  </si>
  <si>
    <r>
      <t>taille</t>
    </r>
    <r>
      <rPr>
        <vertAlign val="subscript"/>
        <sz val="10"/>
        <color rgb="FF000000"/>
        <rFont val="Arial"/>
        <family val="2"/>
      </rPr>
      <t xml:space="preserve">res </t>
    </r>
    <r>
      <rPr>
        <sz val="10"/>
        <color rgb="FF000000"/>
        <rFont val="Arial"/>
        <family val="2"/>
      </rPr>
      <t>(étudiants)</t>
    </r>
  </si>
  <si>
    <t>G. Charpak</t>
  </si>
  <si>
    <t>Mines ICM</t>
  </si>
  <si>
    <t>Mines Albi</t>
  </si>
  <si>
    <t>Telecom Paris</t>
  </si>
  <si>
    <t xml:space="preserve">Telecom sud Paris </t>
  </si>
  <si>
    <t>IMT Business school</t>
  </si>
  <si>
    <t>IMT Atlantique</t>
  </si>
  <si>
    <t>IMT Douai</t>
  </si>
  <si>
    <r>
      <t>taille</t>
    </r>
    <r>
      <rPr>
        <vertAlign val="subscript"/>
        <sz val="10"/>
        <color rgb="FF000000"/>
        <rFont val="Arial"/>
        <family val="2"/>
      </rPr>
      <t xml:space="preserve">tot </t>
    </r>
    <r>
      <rPr>
        <sz val="10"/>
        <color rgb="FF000000"/>
        <rFont val="Arial"/>
        <family val="2"/>
      </rPr>
      <t>(étudiants + chercheurs)</t>
    </r>
  </si>
  <si>
    <t>Date Intégration</t>
  </si>
  <si>
    <t>Campus 1</t>
  </si>
  <si>
    <t>Campus 2</t>
  </si>
  <si>
    <t>Campus 3</t>
  </si>
  <si>
    <t>Campus 4</t>
  </si>
  <si>
    <t>Campus 5</t>
  </si>
  <si>
    <t>Campus 6</t>
  </si>
  <si>
    <t>Campus 7</t>
  </si>
  <si>
    <t>Campus 8</t>
  </si>
  <si>
    <t>Campus 9</t>
  </si>
  <si>
    <t>Campus 10</t>
  </si>
  <si>
    <t>Clientèle (Loi normale)</t>
  </si>
  <si>
    <t>Vacances</t>
  </si>
  <si>
    <t>Date</t>
  </si>
  <si>
    <t>Total commandes</t>
  </si>
  <si>
    <t>% pop</t>
  </si>
  <si>
    <t>esperance</t>
  </si>
  <si>
    <t>ALEA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</si>
</sst>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[$ Personnes]"/>
  </numFmts>
  <fonts count="8" x14ac:knownFonts="1">
    <font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sz val="10"/>
      <color theme="1"/>
      <name val="Arial"/>
      <family val="2"/>
    </font>
    <font>
      <sz val="10"/>
      <color rgb="FF000000"/>
      <name val="Arial"/>
      <family val="2"/>
    </font>
    <font>
      <vertAlign val="subscript"/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 applyFont="1" applyAlignment="1"/>
    <xf numFmtId="0" fontId="1" fillId="0" borderId="0" xfId="0" applyFont="1" applyAlignment="1">
      <alignment horizontal="center"/>
    </xf>
    <xf numFmtId="164" fontId="1" fillId="0" borderId="1" xfId="0" applyNumberFormat="1" applyFont="1" applyBorder="1" applyAlignment="1"/>
    <xf numFmtId="10" fontId="1" fillId="0" borderId="1" xfId="0" applyNumberFormat="1" applyFont="1" applyBorder="1" applyAlignment="1"/>
    <xf numFmtId="164" fontId="1" fillId="0" borderId="1" xfId="0" applyNumberFormat="1" applyFont="1" applyBorder="1"/>
    <xf numFmtId="14" fontId="1" fillId="0" borderId="0" xfId="0" applyNumberFormat="1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2" xfId="0" applyFont="1" applyBorder="1" applyAlignment="1"/>
    <xf numFmtId="0" fontId="4" fillId="0" borderId="2" xfId="0" applyFont="1" applyBorder="1" applyAlignment="1"/>
    <xf numFmtId="0" fontId="0" fillId="0" borderId="2" xfId="0" applyFont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14" fontId="0" fillId="0" borderId="2" xfId="0" applyNumberFormat="1" applyFont="1" applyBorder="1" applyAlignment="1"/>
    <xf numFmtId="0" fontId="4" fillId="0" borderId="2" xfId="0" applyFont="1" applyFill="1" applyBorder="1" applyAlignment="1"/>
    <xf numFmtId="14" fontId="1" fillId="0" borderId="5" xfId="0" applyNumberFormat="1" applyFont="1" applyBorder="1" applyAlignment="1"/>
    <xf numFmtId="14" fontId="1" fillId="0" borderId="4" xfId="0" applyNumberFormat="1" applyFont="1" applyBorder="1" applyAlignment="1"/>
    <xf numFmtId="14" fontId="1" fillId="0" borderId="6" xfId="0" applyNumberFormat="1" applyFont="1" applyBorder="1" applyAlignment="1"/>
    <xf numFmtId="0" fontId="6" fillId="0" borderId="0" xfId="0" applyFont="1" applyAlignment="1"/>
    <xf numFmtId="14" fontId="0" fillId="0" borderId="5" xfId="0" applyNumberFormat="1" applyFont="1" applyBorder="1" applyAlignment="1"/>
    <xf numFmtId="14" fontId="0" fillId="0" borderId="4" xfId="0" applyNumberFormat="1" applyFont="1" applyBorder="1" applyAlignment="1"/>
    <xf numFmtId="14" fontId="0" fillId="0" borderId="6" xfId="0" applyNumberFormat="1" applyFont="1" applyBorder="1" applyAlignment="1"/>
    <xf numFmtId="14" fontId="1" fillId="0" borderId="7" xfId="0" applyNumberFormat="1" applyFont="1" applyBorder="1" applyAlignment="1"/>
    <xf numFmtId="14" fontId="1" fillId="0" borderId="8" xfId="0" applyNumberFormat="1" applyFont="1" applyBorder="1" applyAlignment="1"/>
    <xf numFmtId="14" fontId="1" fillId="0" borderId="9" xfId="0" applyNumberFormat="1" applyFont="1" applyBorder="1" applyAlignment="1"/>
    <xf numFmtId="0" fontId="0" fillId="0" borderId="0" xfId="0" applyFont="1" applyBorder="1" applyAlignment="1"/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/>
    <xf numFmtId="0" fontId="1" fillId="0" borderId="3" xfId="0" applyFont="1" applyBorder="1" applyAlignment="1">
      <alignment horizontal="center"/>
    </xf>
    <xf numFmtId="0" fontId="0" fillId="0" borderId="8" xfId="0" applyFont="1" applyBorder="1" applyAlignment="1"/>
    <xf numFmtId="0" fontId="1" fillId="0" borderId="8" xfId="0" applyFont="1" applyBorder="1" applyAlignment="1">
      <alignment horizontal="center"/>
    </xf>
    <xf numFmtId="0" fontId="1" fillId="0" borderId="14" xfId="0" applyFont="1" applyBorder="1"/>
    <xf numFmtId="0" fontId="1" fillId="0" borderId="1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 applyAlignment="1"/>
    <xf numFmtId="0" fontId="3" fillId="0" borderId="3" xfId="0" applyFont="1" applyBorder="1" applyAlignment="1">
      <alignment horizontal="center"/>
    </xf>
    <xf numFmtId="14" fontId="0" fillId="0" borderId="0" xfId="0" applyNumberFormat="1" applyFont="1" applyAlignment="1"/>
    <xf numFmtId="0" fontId="3" fillId="0" borderId="2" xfId="0" applyFont="1" applyFill="1" applyBorder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" fillId="0" borderId="2" xfId="0" applyFont="1" applyBorder="1" applyAlignment="1">
      <alignment horizontal="center"/>
    </xf>
    <xf numFmtId="0" fontId="1" fillId="0" borderId="2" xfId="0" applyFont="1" applyBorder="1"/>
    <xf numFmtId="0" fontId="7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 applyAlignment="1"/>
    <xf numFmtId="0" fontId="0" fillId="0" borderId="10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0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Evolution du nombre de commande pour un établissement de petite taille sur l'année 2022-2023 (tendance stationnaire)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numRef>
              <c:f>'Simplified Model'!$B$17:$B$381</c:f>
              <c:numCache>
                <c:formatCode>m/d/yyyy</c:formatCode>
                <c:ptCount val="365"/>
                <c:pt idx="0">
                  <c:v>44562</c:v>
                </c:pt>
                <c:pt idx="1">
                  <c:v>44563</c:v>
                </c:pt>
                <c:pt idx="2">
                  <c:v>44564</c:v>
                </c:pt>
                <c:pt idx="3">
                  <c:v>44565</c:v>
                </c:pt>
                <c:pt idx="4">
                  <c:v>44566</c:v>
                </c:pt>
                <c:pt idx="5">
                  <c:v>44567</c:v>
                </c:pt>
                <c:pt idx="6">
                  <c:v>44568</c:v>
                </c:pt>
                <c:pt idx="7">
                  <c:v>44569</c:v>
                </c:pt>
                <c:pt idx="8">
                  <c:v>44570</c:v>
                </c:pt>
                <c:pt idx="9">
                  <c:v>44571</c:v>
                </c:pt>
                <c:pt idx="10">
                  <c:v>44572</c:v>
                </c:pt>
                <c:pt idx="11">
                  <c:v>44573</c:v>
                </c:pt>
                <c:pt idx="12">
                  <c:v>44574</c:v>
                </c:pt>
                <c:pt idx="13">
                  <c:v>44575</c:v>
                </c:pt>
                <c:pt idx="14">
                  <c:v>44576</c:v>
                </c:pt>
                <c:pt idx="15">
                  <c:v>44577</c:v>
                </c:pt>
                <c:pt idx="16">
                  <c:v>44578</c:v>
                </c:pt>
                <c:pt idx="17">
                  <c:v>44579</c:v>
                </c:pt>
                <c:pt idx="18">
                  <c:v>44580</c:v>
                </c:pt>
                <c:pt idx="19">
                  <c:v>44581</c:v>
                </c:pt>
                <c:pt idx="20">
                  <c:v>44582</c:v>
                </c:pt>
                <c:pt idx="21">
                  <c:v>44583</c:v>
                </c:pt>
                <c:pt idx="22">
                  <c:v>44584</c:v>
                </c:pt>
                <c:pt idx="23">
                  <c:v>44585</c:v>
                </c:pt>
                <c:pt idx="24">
                  <c:v>44586</c:v>
                </c:pt>
                <c:pt idx="25">
                  <c:v>44587</c:v>
                </c:pt>
                <c:pt idx="26">
                  <c:v>44588</c:v>
                </c:pt>
                <c:pt idx="27">
                  <c:v>44589</c:v>
                </c:pt>
                <c:pt idx="28">
                  <c:v>44590</c:v>
                </c:pt>
                <c:pt idx="29">
                  <c:v>44591</c:v>
                </c:pt>
                <c:pt idx="30">
                  <c:v>44592</c:v>
                </c:pt>
                <c:pt idx="31">
                  <c:v>44593</c:v>
                </c:pt>
                <c:pt idx="32">
                  <c:v>44594</c:v>
                </c:pt>
                <c:pt idx="33">
                  <c:v>44595</c:v>
                </c:pt>
                <c:pt idx="34">
                  <c:v>44596</c:v>
                </c:pt>
                <c:pt idx="35">
                  <c:v>44597</c:v>
                </c:pt>
                <c:pt idx="36">
                  <c:v>44598</c:v>
                </c:pt>
                <c:pt idx="37">
                  <c:v>44599</c:v>
                </c:pt>
                <c:pt idx="38">
                  <c:v>44600</c:v>
                </c:pt>
                <c:pt idx="39">
                  <c:v>44601</c:v>
                </c:pt>
                <c:pt idx="40">
                  <c:v>44602</c:v>
                </c:pt>
                <c:pt idx="41">
                  <c:v>44603</c:v>
                </c:pt>
                <c:pt idx="42">
                  <c:v>44604</c:v>
                </c:pt>
                <c:pt idx="43">
                  <c:v>44605</c:v>
                </c:pt>
                <c:pt idx="44">
                  <c:v>44606</c:v>
                </c:pt>
                <c:pt idx="45">
                  <c:v>44607</c:v>
                </c:pt>
                <c:pt idx="46">
                  <c:v>44608</c:v>
                </c:pt>
                <c:pt idx="47">
                  <c:v>44609</c:v>
                </c:pt>
                <c:pt idx="48">
                  <c:v>44610</c:v>
                </c:pt>
                <c:pt idx="49">
                  <c:v>44611</c:v>
                </c:pt>
                <c:pt idx="50">
                  <c:v>44612</c:v>
                </c:pt>
                <c:pt idx="51">
                  <c:v>44613</c:v>
                </c:pt>
                <c:pt idx="52">
                  <c:v>44614</c:v>
                </c:pt>
                <c:pt idx="53">
                  <c:v>44615</c:v>
                </c:pt>
                <c:pt idx="54">
                  <c:v>44616</c:v>
                </c:pt>
                <c:pt idx="55">
                  <c:v>44617</c:v>
                </c:pt>
                <c:pt idx="56">
                  <c:v>44618</c:v>
                </c:pt>
                <c:pt idx="57">
                  <c:v>44619</c:v>
                </c:pt>
                <c:pt idx="58">
                  <c:v>44620</c:v>
                </c:pt>
                <c:pt idx="59">
                  <c:v>44621</c:v>
                </c:pt>
                <c:pt idx="60">
                  <c:v>44622</c:v>
                </c:pt>
                <c:pt idx="61">
                  <c:v>44623</c:v>
                </c:pt>
                <c:pt idx="62">
                  <c:v>44624</c:v>
                </c:pt>
                <c:pt idx="63">
                  <c:v>44625</c:v>
                </c:pt>
                <c:pt idx="64">
                  <c:v>44626</c:v>
                </c:pt>
                <c:pt idx="65">
                  <c:v>44627</c:v>
                </c:pt>
                <c:pt idx="66">
                  <c:v>44628</c:v>
                </c:pt>
                <c:pt idx="67">
                  <c:v>44629</c:v>
                </c:pt>
                <c:pt idx="68">
                  <c:v>44630</c:v>
                </c:pt>
                <c:pt idx="69">
                  <c:v>44631</c:v>
                </c:pt>
                <c:pt idx="70">
                  <c:v>44632</c:v>
                </c:pt>
                <c:pt idx="71">
                  <c:v>44633</c:v>
                </c:pt>
                <c:pt idx="72">
                  <c:v>44634</c:v>
                </c:pt>
                <c:pt idx="73">
                  <c:v>44635</c:v>
                </c:pt>
                <c:pt idx="74">
                  <c:v>44636</c:v>
                </c:pt>
                <c:pt idx="75">
                  <c:v>44637</c:v>
                </c:pt>
                <c:pt idx="76">
                  <c:v>44638</c:v>
                </c:pt>
                <c:pt idx="77">
                  <c:v>44639</c:v>
                </c:pt>
                <c:pt idx="78">
                  <c:v>44640</c:v>
                </c:pt>
                <c:pt idx="79">
                  <c:v>44641</c:v>
                </c:pt>
                <c:pt idx="80">
                  <c:v>44642</c:v>
                </c:pt>
                <c:pt idx="81">
                  <c:v>44643</c:v>
                </c:pt>
                <c:pt idx="82">
                  <c:v>44644</c:v>
                </c:pt>
                <c:pt idx="83">
                  <c:v>44645</c:v>
                </c:pt>
                <c:pt idx="84">
                  <c:v>44646</c:v>
                </c:pt>
                <c:pt idx="85">
                  <c:v>44647</c:v>
                </c:pt>
                <c:pt idx="86">
                  <c:v>44648</c:v>
                </c:pt>
                <c:pt idx="87">
                  <c:v>44649</c:v>
                </c:pt>
                <c:pt idx="88">
                  <c:v>44650</c:v>
                </c:pt>
                <c:pt idx="89">
                  <c:v>44651</c:v>
                </c:pt>
                <c:pt idx="90">
                  <c:v>44652</c:v>
                </c:pt>
                <c:pt idx="91">
                  <c:v>44653</c:v>
                </c:pt>
                <c:pt idx="92">
                  <c:v>44654</c:v>
                </c:pt>
                <c:pt idx="93">
                  <c:v>44655</c:v>
                </c:pt>
                <c:pt idx="94">
                  <c:v>44656</c:v>
                </c:pt>
                <c:pt idx="95">
                  <c:v>44657</c:v>
                </c:pt>
                <c:pt idx="96">
                  <c:v>44658</c:v>
                </c:pt>
                <c:pt idx="97">
                  <c:v>44659</c:v>
                </c:pt>
                <c:pt idx="98">
                  <c:v>44660</c:v>
                </c:pt>
                <c:pt idx="99">
                  <c:v>44661</c:v>
                </c:pt>
                <c:pt idx="100">
                  <c:v>44662</c:v>
                </c:pt>
                <c:pt idx="101">
                  <c:v>44663</c:v>
                </c:pt>
                <c:pt idx="102">
                  <c:v>44664</c:v>
                </c:pt>
                <c:pt idx="103">
                  <c:v>44665</c:v>
                </c:pt>
                <c:pt idx="104">
                  <c:v>44666</c:v>
                </c:pt>
                <c:pt idx="105">
                  <c:v>44667</c:v>
                </c:pt>
                <c:pt idx="106">
                  <c:v>44668</c:v>
                </c:pt>
                <c:pt idx="107">
                  <c:v>44669</c:v>
                </c:pt>
                <c:pt idx="108">
                  <c:v>44670</c:v>
                </c:pt>
                <c:pt idx="109">
                  <c:v>44671</c:v>
                </c:pt>
                <c:pt idx="110">
                  <c:v>44672</c:v>
                </c:pt>
                <c:pt idx="111">
                  <c:v>44673</c:v>
                </c:pt>
                <c:pt idx="112">
                  <c:v>44674</c:v>
                </c:pt>
                <c:pt idx="113">
                  <c:v>44675</c:v>
                </c:pt>
                <c:pt idx="114">
                  <c:v>44676</c:v>
                </c:pt>
                <c:pt idx="115">
                  <c:v>44677</c:v>
                </c:pt>
                <c:pt idx="116">
                  <c:v>44678</c:v>
                </c:pt>
                <c:pt idx="117">
                  <c:v>44679</c:v>
                </c:pt>
                <c:pt idx="118">
                  <c:v>44680</c:v>
                </c:pt>
                <c:pt idx="119">
                  <c:v>44681</c:v>
                </c:pt>
                <c:pt idx="120">
                  <c:v>44682</c:v>
                </c:pt>
                <c:pt idx="121">
                  <c:v>44683</c:v>
                </c:pt>
                <c:pt idx="122">
                  <c:v>44684</c:v>
                </c:pt>
                <c:pt idx="123">
                  <c:v>44685</c:v>
                </c:pt>
                <c:pt idx="124">
                  <c:v>44686</c:v>
                </c:pt>
                <c:pt idx="125">
                  <c:v>44687</c:v>
                </c:pt>
                <c:pt idx="126">
                  <c:v>44688</c:v>
                </c:pt>
                <c:pt idx="127">
                  <c:v>44689</c:v>
                </c:pt>
                <c:pt idx="128">
                  <c:v>44690</c:v>
                </c:pt>
                <c:pt idx="129">
                  <c:v>44691</c:v>
                </c:pt>
                <c:pt idx="130">
                  <c:v>44692</c:v>
                </c:pt>
                <c:pt idx="131">
                  <c:v>44693</c:v>
                </c:pt>
                <c:pt idx="132">
                  <c:v>44694</c:v>
                </c:pt>
                <c:pt idx="133">
                  <c:v>44695</c:v>
                </c:pt>
                <c:pt idx="134">
                  <c:v>44696</c:v>
                </c:pt>
                <c:pt idx="135">
                  <c:v>44697</c:v>
                </c:pt>
                <c:pt idx="136">
                  <c:v>44698</c:v>
                </c:pt>
                <c:pt idx="137">
                  <c:v>44699</c:v>
                </c:pt>
                <c:pt idx="138">
                  <c:v>44700</c:v>
                </c:pt>
                <c:pt idx="139">
                  <c:v>44701</c:v>
                </c:pt>
                <c:pt idx="140">
                  <c:v>44702</c:v>
                </c:pt>
                <c:pt idx="141">
                  <c:v>44703</c:v>
                </c:pt>
                <c:pt idx="142">
                  <c:v>44704</c:v>
                </c:pt>
                <c:pt idx="143">
                  <c:v>44705</c:v>
                </c:pt>
                <c:pt idx="144">
                  <c:v>44706</c:v>
                </c:pt>
                <c:pt idx="145">
                  <c:v>44707</c:v>
                </c:pt>
                <c:pt idx="146">
                  <c:v>44708</c:v>
                </c:pt>
                <c:pt idx="147">
                  <c:v>44709</c:v>
                </c:pt>
                <c:pt idx="148">
                  <c:v>44710</c:v>
                </c:pt>
                <c:pt idx="149">
                  <c:v>44711</c:v>
                </c:pt>
                <c:pt idx="150">
                  <c:v>44712</c:v>
                </c:pt>
                <c:pt idx="151">
                  <c:v>44713</c:v>
                </c:pt>
                <c:pt idx="152">
                  <c:v>44714</c:v>
                </c:pt>
                <c:pt idx="153">
                  <c:v>44715</c:v>
                </c:pt>
                <c:pt idx="154">
                  <c:v>44716</c:v>
                </c:pt>
                <c:pt idx="155">
                  <c:v>44717</c:v>
                </c:pt>
                <c:pt idx="156">
                  <c:v>44718</c:v>
                </c:pt>
                <c:pt idx="157">
                  <c:v>44719</c:v>
                </c:pt>
                <c:pt idx="158">
                  <c:v>44720</c:v>
                </c:pt>
                <c:pt idx="159">
                  <c:v>44721</c:v>
                </c:pt>
                <c:pt idx="160">
                  <c:v>44722</c:v>
                </c:pt>
                <c:pt idx="161">
                  <c:v>44723</c:v>
                </c:pt>
                <c:pt idx="162">
                  <c:v>44724</c:v>
                </c:pt>
                <c:pt idx="163">
                  <c:v>44725</c:v>
                </c:pt>
                <c:pt idx="164">
                  <c:v>44726</c:v>
                </c:pt>
                <c:pt idx="165">
                  <c:v>44727</c:v>
                </c:pt>
                <c:pt idx="166">
                  <c:v>44728</c:v>
                </c:pt>
                <c:pt idx="167">
                  <c:v>44729</c:v>
                </c:pt>
                <c:pt idx="168">
                  <c:v>44730</c:v>
                </c:pt>
                <c:pt idx="169">
                  <c:v>44731</c:v>
                </c:pt>
                <c:pt idx="170">
                  <c:v>44732</c:v>
                </c:pt>
                <c:pt idx="171">
                  <c:v>44733</c:v>
                </c:pt>
                <c:pt idx="172">
                  <c:v>44734</c:v>
                </c:pt>
                <c:pt idx="173">
                  <c:v>44735</c:v>
                </c:pt>
                <c:pt idx="174">
                  <c:v>44736</c:v>
                </c:pt>
                <c:pt idx="175">
                  <c:v>44737</c:v>
                </c:pt>
                <c:pt idx="176">
                  <c:v>44738</c:v>
                </c:pt>
                <c:pt idx="177">
                  <c:v>44739</c:v>
                </c:pt>
                <c:pt idx="178">
                  <c:v>44740</c:v>
                </c:pt>
                <c:pt idx="179">
                  <c:v>44741</c:v>
                </c:pt>
                <c:pt idx="180">
                  <c:v>44742</c:v>
                </c:pt>
                <c:pt idx="181">
                  <c:v>44743</c:v>
                </c:pt>
                <c:pt idx="182">
                  <c:v>44744</c:v>
                </c:pt>
                <c:pt idx="183">
                  <c:v>44745</c:v>
                </c:pt>
                <c:pt idx="184">
                  <c:v>44746</c:v>
                </c:pt>
                <c:pt idx="185">
                  <c:v>44747</c:v>
                </c:pt>
                <c:pt idx="186">
                  <c:v>44748</c:v>
                </c:pt>
                <c:pt idx="187">
                  <c:v>44749</c:v>
                </c:pt>
                <c:pt idx="188">
                  <c:v>44750</c:v>
                </c:pt>
                <c:pt idx="189">
                  <c:v>44751</c:v>
                </c:pt>
                <c:pt idx="190">
                  <c:v>44752</c:v>
                </c:pt>
                <c:pt idx="191">
                  <c:v>44753</c:v>
                </c:pt>
                <c:pt idx="192">
                  <c:v>44754</c:v>
                </c:pt>
                <c:pt idx="193">
                  <c:v>44755</c:v>
                </c:pt>
                <c:pt idx="194">
                  <c:v>44756</c:v>
                </c:pt>
                <c:pt idx="195">
                  <c:v>44757</c:v>
                </c:pt>
                <c:pt idx="196">
                  <c:v>44758</c:v>
                </c:pt>
                <c:pt idx="197">
                  <c:v>44759</c:v>
                </c:pt>
                <c:pt idx="198">
                  <c:v>44760</c:v>
                </c:pt>
                <c:pt idx="199">
                  <c:v>44761</c:v>
                </c:pt>
                <c:pt idx="200">
                  <c:v>44762</c:v>
                </c:pt>
                <c:pt idx="201">
                  <c:v>44763</c:v>
                </c:pt>
                <c:pt idx="202">
                  <c:v>44764</c:v>
                </c:pt>
                <c:pt idx="203">
                  <c:v>44765</c:v>
                </c:pt>
                <c:pt idx="204">
                  <c:v>44766</c:v>
                </c:pt>
                <c:pt idx="205">
                  <c:v>44767</c:v>
                </c:pt>
                <c:pt idx="206">
                  <c:v>44768</c:v>
                </c:pt>
                <c:pt idx="207">
                  <c:v>44769</c:v>
                </c:pt>
                <c:pt idx="208">
                  <c:v>44770</c:v>
                </c:pt>
                <c:pt idx="209">
                  <c:v>44771</c:v>
                </c:pt>
                <c:pt idx="210">
                  <c:v>44772</c:v>
                </c:pt>
                <c:pt idx="211">
                  <c:v>44773</c:v>
                </c:pt>
                <c:pt idx="212">
                  <c:v>44774</c:v>
                </c:pt>
                <c:pt idx="213">
                  <c:v>44775</c:v>
                </c:pt>
                <c:pt idx="214">
                  <c:v>44776</c:v>
                </c:pt>
                <c:pt idx="215">
                  <c:v>44777</c:v>
                </c:pt>
                <c:pt idx="216">
                  <c:v>44778</c:v>
                </c:pt>
                <c:pt idx="217">
                  <c:v>44779</c:v>
                </c:pt>
                <c:pt idx="218">
                  <c:v>44780</c:v>
                </c:pt>
                <c:pt idx="219">
                  <c:v>44781</c:v>
                </c:pt>
                <c:pt idx="220">
                  <c:v>44782</c:v>
                </c:pt>
                <c:pt idx="221">
                  <c:v>44783</c:v>
                </c:pt>
                <c:pt idx="222">
                  <c:v>44784</c:v>
                </c:pt>
                <c:pt idx="223">
                  <c:v>44785</c:v>
                </c:pt>
                <c:pt idx="224">
                  <c:v>44786</c:v>
                </c:pt>
                <c:pt idx="225">
                  <c:v>44787</c:v>
                </c:pt>
                <c:pt idx="226">
                  <c:v>44788</c:v>
                </c:pt>
                <c:pt idx="227">
                  <c:v>44789</c:v>
                </c:pt>
                <c:pt idx="228">
                  <c:v>44790</c:v>
                </c:pt>
                <c:pt idx="229">
                  <c:v>44791</c:v>
                </c:pt>
                <c:pt idx="230">
                  <c:v>44792</c:v>
                </c:pt>
                <c:pt idx="231">
                  <c:v>44793</c:v>
                </c:pt>
                <c:pt idx="232">
                  <c:v>44794</c:v>
                </c:pt>
                <c:pt idx="233">
                  <c:v>44795</c:v>
                </c:pt>
                <c:pt idx="234">
                  <c:v>44796</c:v>
                </c:pt>
                <c:pt idx="235">
                  <c:v>44797</c:v>
                </c:pt>
                <c:pt idx="236">
                  <c:v>44798</c:v>
                </c:pt>
                <c:pt idx="237">
                  <c:v>44799</c:v>
                </c:pt>
                <c:pt idx="238">
                  <c:v>44800</c:v>
                </c:pt>
                <c:pt idx="239">
                  <c:v>44801</c:v>
                </c:pt>
                <c:pt idx="240">
                  <c:v>44802</c:v>
                </c:pt>
                <c:pt idx="241">
                  <c:v>44803</c:v>
                </c:pt>
                <c:pt idx="242">
                  <c:v>44804</c:v>
                </c:pt>
                <c:pt idx="243">
                  <c:v>44805</c:v>
                </c:pt>
                <c:pt idx="244">
                  <c:v>44806</c:v>
                </c:pt>
                <c:pt idx="245">
                  <c:v>44807</c:v>
                </c:pt>
                <c:pt idx="246">
                  <c:v>44808</c:v>
                </c:pt>
                <c:pt idx="247">
                  <c:v>44809</c:v>
                </c:pt>
                <c:pt idx="248">
                  <c:v>44810</c:v>
                </c:pt>
                <c:pt idx="249">
                  <c:v>44811</c:v>
                </c:pt>
                <c:pt idx="250">
                  <c:v>44812</c:v>
                </c:pt>
                <c:pt idx="251">
                  <c:v>44813</c:v>
                </c:pt>
                <c:pt idx="252">
                  <c:v>44814</c:v>
                </c:pt>
                <c:pt idx="253">
                  <c:v>44815</c:v>
                </c:pt>
                <c:pt idx="254">
                  <c:v>44816</c:v>
                </c:pt>
                <c:pt idx="255">
                  <c:v>44817</c:v>
                </c:pt>
                <c:pt idx="256">
                  <c:v>44818</c:v>
                </c:pt>
                <c:pt idx="257">
                  <c:v>44819</c:v>
                </c:pt>
                <c:pt idx="258">
                  <c:v>44820</c:v>
                </c:pt>
                <c:pt idx="259">
                  <c:v>44821</c:v>
                </c:pt>
                <c:pt idx="260">
                  <c:v>44822</c:v>
                </c:pt>
                <c:pt idx="261">
                  <c:v>44823</c:v>
                </c:pt>
                <c:pt idx="262">
                  <c:v>44824</c:v>
                </c:pt>
                <c:pt idx="263">
                  <c:v>44825</c:v>
                </c:pt>
                <c:pt idx="264">
                  <c:v>44826</c:v>
                </c:pt>
                <c:pt idx="265">
                  <c:v>44827</c:v>
                </c:pt>
                <c:pt idx="266">
                  <c:v>44828</c:v>
                </c:pt>
                <c:pt idx="267">
                  <c:v>44829</c:v>
                </c:pt>
                <c:pt idx="268">
                  <c:v>44830</c:v>
                </c:pt>
                <c:pt idx="269">
                  <c:v>44831</c:v>
                </c:pt>
                <c:pt idx="270">
                  <c:v>44832</c:v>
                </c:pt>
                <c:pt idx="271">
                  <c:v>44833</c:v>
                </c:pt>
                <c:pt idx="272">
                  <c:v>44834</c:v>
                </c:pt>
                <c:pt idx="273">
                  <c:v>44835</c:v>
                </c:pt>
                <c:pt idx="274">
                  <c:v>44836</c:v>
                </c:pt>
                <c:pt idx="275">
                  <c:v>44837</c:v>
                </c:pt>
                <c:pt idx="276">
                  <c:v>44838</c:v>
                </c:pt>
                <c:pt idx="277">
                  <c:v>44839</c:v>
                </c:pt>
                <c:pt idx="278">
                  <c:v>44840</c:v>
                </c:pt>
                <c:pt idx="279">
                  <c:v>44841</c:v>
                </c:pt>
                <c:pt idx="280">
                  <c:v>44842</c:v>
                </c:pt>
                <c:pt idx="281">
                  <c:v>44843</c:v>
                </c:pt>
                <c:pt idx="282">
                  <c:v>44844</c:v>
                </c:pt>
                <c:pt idx="283">
                  <c:v>44845</c:v>
                </c:pt>
                <c:pt idx="284">
                  <c:v>44846</c:v>
                </c:pt>
                <c:pt idx="285">
                  <c:v>44847</c:v>
                </c:pt>
                <c:pt idx="286">
                  <c:v>44848</c:v>
                </c:pt>
                <c:pt idx="287">
                  <c:v>44849</c:v>
                </c:pt>
                <c:pt idx="288">
                  <c:v>44850</c:v>
                </c:pt>
                <c:pt idx="289">
                  <c:v>44851</c:v>
                </c:pt>
                <c:pt idx="290">
                  <c:v>44852</c:v>
                </c:pt>
                <c:pt idx="291">
                  <c:v>44853</c:v>
                </c:pt>
                <c:pt idx="292">
                  <c:v>44854</c:v>
                </c:pt>
                <c:pt idx="293">
                  <c:v>44855</c:v>
                </c:pt>
                <c:pt idx="294">
                  <c:v>44856</c:v>
                </c:pt>
                <c:pt idx="295">
                  <c:v>44857</c:v>
                </c:pt>
                <c:pt idx="296">
                  <c:v>44858</c:v>
                </c:pt>
                <c:pt idx="297">
                  <c:v>44859</c:v>
                </c:pt>
                <c:pt idx="298">
                  <c:v>44860</c:v>
                </c:pt>
                <c:pt idx="299">
                  <c:v>44861</c:v>
                </c:pt>
                <c:pt idx="300">
                  <c:v>44862</c:v>
                </c:pt>
                <c:pt idx="301">
                  <c:v>44863</c:v>
                </c:pt>
                <c:pt idx="302">
                  <c:v>44864</c:v>
                </c:pt>
                <c:pt idx="303">
                  <c:v>44865</c:v>
                </c:pt>
                <c:pt idx="304">
                  <c:v>44866</c:v>
                </c:pt>
                <c:pt idx="305">
                  <c:v>44867</c:v>
                </c:pt>
                <c:pt idx="306">
                  <c:v>44868</c:v>
                </c:pt>
                <c:pt idx="307">
                  <c:v>44869</c:v>
                </c:pt>
                <c:pt idx="308">
                  <c:v>44870</c:v>
                </c:pt>
                <c:pt idx="309">
                  <c:v>44871</c:v>
                </c:pt>
                <c:pt idx="310">
                  <c:v>44872</c:v>
                </c:pt>
                <c:pt idx="311">
                  <c:v>44873</c:v>
                </c:pt>
                <c:pt idx="312">
                  <c:v>44874</c:v>
                </c:pt>
                <c:pt idx="313">
                  <c:v>44875</c:v>
                </c:pt>
                <c:pt idx="314">
                  <c:v>44876</c:v>
                </c:pt>
                <c:pt idx="315">
                  <c:v>44877</c:v>
                </c:pt>
                <c:pt idx="316">
                  <c:v>44878</c:v>
                </c:pt>
                <c:pt idx="317">
                  <c:v>44879</c:v>
                </c:pt>
                <c:pt idx="318">
                  <c:v>44880</c:v>
                </c:pt>
                <c:pt idx="319">
                  <c:v>44881</c:v>
                </c:pt>
                <c:pt idx="320">
                  <c:v>44882</c:v>
                </c:pt>
                <c:pt idx="321">
                  <c:v>44883</c:v>
                </c:pt>
                <c:pt idx="322">
                  <c:v>44884</c:v>
                </c:pt>
                <c:pt idx="323">
                  <c:v>44885</c:v>
                </c:pt>
                <c:pt idx="324">
                  <c:v>44886</c:v>
                </c:pt>
                <c:pt idx="325">
                  <c:v>44887</c:v>
                </c:pt>
                <c:pt idx="326">
                  <c:v>44888</c:v>
                </c:pt>
                <c:pt idx="327">
                  <c:v>44889</c:v>
                </c:pt>
                <c:pt idx="328">
                  <c:v>44890</c:v>
                </c:pt>
                <c:pt idx="329">
                  <c:v>44891</c:v>
                </c:pt>
                <c:pt idx="330">
                  <c:v>44892</c:v>
                </c:pt>
                <c:pt idx="331">
                  <c:v>44893</c:v>
                </c:pt>
                <c:pt idx="332">
                  <c:v>44894</c:v>
                </c:pt>
                <c:pt idx="333">
                  <c:v>44895</c:v>
                </c:pt>
                <c:pt idx="334">
                  <c:v>44896</c:v>
                </c:pt>
                <c:pt idx="335">
                  <c:v>44897</c:v>
                </c:pt>
                <c:pt idx="336">
                  <c:v>44898</c:v>
                </c:pt>
                <c:pt idx="337">
                  <c:v>44899</c:v>
                </c:pt>
                <c:pt idx="338">
                  <c:v>44900</c:v>
                </c:pt>
                <c:pt idx="339">
                  <c:v>44901</c:v>
                </c:pt>
                <c:pt idx="340">
                  <c:v>44902</c:v>
                </c:pt>
                <c:pt idx="341">
                  <c:v>44903</c:v>
                </c:pt>
                <c:pt idx="342">
                  <c:v>44904</c:v>
                </c:pt>
                <c:pt idx="343">
                  <c:v>44905</c:v>
                </c:pt>
                <c:pt idx="344">
                  <c:v>44906</c:v>
                </c:pt>
                <c:pt idx="345">
                  <c:v>44907</c:v>
                </c:pt>
                <c:pt idx="346">
                  <c:v>44908</c:v>
                </c:pt>
                <c:pt idx="347">
                  <c:v>44909</c:v>
                </c:pt>
                <c:pt idx="348">
                  <c:v>44910</c:v>
                </c:pt>
                <c:pt idx="349">
                  <c:v>44911</c:v>
                </c:pt>
                <c:pt idx="350">
                  <c:v>44912</c:v>
                </c:pt>
                <c:pt idx="351">
                  <c:v>44913</c:v>
                </c:pt>
                <c:pt idx="352">
                  <c:v>44914</c:v>
                </c:pt>
                <c:pt idx="353">
                  <c:v>44915</c:v>
                </c:pt>
                <c:pt idx="354">
                  <c:v>44916</c:v>
                </c:pt>
                <c:pt idx="355">
                  <c:v>44917</c:v>
                </c:pt>
                <c:pt idx="356">
                  <c:v>44918</c:v>
                </c:pt>
                <c:pt idx="357">
                  <c:v>44919</c:v>
                </c:pt>
                <c:pt idx="358">
                  <c:v>44920</c:v>
                </c:pt>
                <c:pt idx="359">
                  <c:v>44921</c:v>
                </c:pt>
                <c:pt idx="360">
                  <c:v>44922</c:v>
                </c:pt>
                <c:pt idx="361">
                  <c:v>44923</c:v>
                </c:pt>
                <c:pt idx="362">
                  <c:v>44924</c:v>
                </c:pt>
                <c:pt idx="363">
                  <c:v>44925</c:v>
                </c:pt>
                <c:pt idx="364">
                  <c:v>44926</c:v>
                </c:pt>
              </c:numCache>
            </c:numRef>
          </c:cat>
          <c:val>
            <c:numRef>
              <c:f>'Simplified Model'!$D$17:$D$381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84</c:v>
                </c:pt>
                <c:pt idx="4">
                  <c:v>61</c:v>
                </c:pt>
                <c:pt idx="5">
                  <c:v>50</c:v>
                </c:pt>
                <c:pt idx="6">
                  <c:v>79</c:v>
                </c:pt>
                <c:pt idx="7">
                  <c:v>70</c:v>
                </c:pt>
                <c:pt idx="8">
                  <c:v>53</c:v>
                </c:pt>
                <c:pt idx="9">
                  <c:v>85</c:v>
                </c:pt>
                <c:pt idx="10">
                  <c:v>68</c:v>
                </c:pt>
                <c:pt idx="11">
                  <c:v>78</c:v>
                </c:pt>
                <c:pt idx="12">
                  <c:v>56</c:v>
                </c:pt>
                <c:pt idx="13">
                  <c:v>82</c:v>
                </c:pt>
                <c:pt idx="14">
                  <c:v>69</c:v>
                </c:pt>
                <c:pt idx="15">
                  <c:v>60</c:v>
                </c:pt>
                <c:pt idx="16">
                  <c:v>85</c:v>
                </c:pt>
                <c:pt idx="17">
                  <c:v>47</c:v>
                </c:pt>
                <c:pt idx="18">
                  <c:v>63</c:v>
                </c:pt>
                <c:pt idx="19">
                  <c:v>71</c:v>
                </c:pt>
                <c:pt idx="20">
                  <c:v>68</c:v>
                </c:pt>
                <c:pt idx="21">
                  <c:v>40</c:v>
                </c:pt>
                <c:pt idx="22">
                  <c:v>-3</c:v>
                </c:pt>
                <c:pt idx="23">
                  <c:v>95</c:v>
                </c:pt>
                <c:pt idx="24">
                  <c:v>88</c:v>
                </c:pt>
                <c:pt idx="25">
                  <c:v>75</c:v>
                </c:pt>
                <c:pt idx="26">
                  <c:v>71</c:v>
                </c:pt>
                <c:pt idx="27">
                  <c:v>79</c:v>
                </c:pt>
                <c:pt idx="28">
                  <c:v>97</c:v>
                </c:pt>
                <c:pt idx="29">
                  <c:v>83</c:v>
                </c:pt>
                <c:pt idx="30">
                  <c:v>91</c:v>
                </c:pt>
                <c:pt idx="31">
                  <c:v>91</c:v>
                </c:pt>
                <c:pt idx="32">
                  <c:v>121</c:v>
                </c:pt>
                <c:pt idx="33">
                  <c:v>79</c:v>
                </c:pt>
                <c:pt idx="34">
                  <c:v>78</c:v>
                </c:pt>
                <c:pt idx="35">
                  <c:v>120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61</c:v>
                </c:pt>
                <c:pt idx="46">
                  <c:v>49</c:v>
                </c:pt>
                <c:pt idx="47">
                  <c:v>79</c:v>
                </c:pt>
                <c:pt idx="48">
                  <c:v>43</c:v>
                </c:pt>
                <c:pt idx="49">
                  <c:v>84</c:v>
                </c:pt>
                <c:pt idx="50">
                  <c:v>49</c:v>
                </c:pt>
                <c:pt idx="51">
                  <c:v>69</c:v>
                </c:pt>
                <c:pt idx="52">
                  <c:v>66</c:v>
                </c:pt>
                <c:pt idx="53">
                  <c:v>81</c:v>
                </c:pt>
                <c:pt idx="54">
                  <c:v>74</c:v>
                </c:pt>
                <c:pt idx="55">
                  <c:v>121</c:v>
                </c:pt>
                <c:pt idx="56">
                  <c:v>88</c:v>
                </c:pt>
                <c:pt idx="57">
                  <c:v>69</c:v>
                </c:pt>
                <c:pt idx="58">
                  <c:v>78</c:v>
                </c:pt>
                <c:pt idx="59">
                  <c:v>78</c:v>
                </c:pt>
                <c:pt idx="60">
                  <c:v>75</c:v>
                </c:pt>
                <c:pt idx="61">
                  <c:v>115</c:v>
                </c:pt>
                <c:pt idx="62">
                  <c:v>91</c:v>
                </c:pt>
                <c:pt idx="63">
                  <c:v>93</c:v>
                </c:pt>
                <c:pt idx="64">
                  <c:v>103</c:v>
                </c:pt>
                <c:pt idx="65">
                  <c:v>87</c:v>
                </c:pt>
                <c:pt idx="66">
                  <c:v>54</c:v>
                </c:pt>
                <c:pt idx="67">
                  <c:v>55</c:v>
                </c:pt>
                <c:pt idx="68">
                  <c:v>70</c:v>
                </c:pt>
                <c:pt idx="69">
                  <c:v>81</c:v>
                </c:pt>
                <c:pt idx="70">
                  <c:v>48</c:v>
                </c:pt>
                <c:pt idx="71">
                  <c:v>120</c:v>
                </c:pt>
                <c:pt idx="72">
                  <c:v>80</c:v>
                </c:pt>
                <c:pt idx="73">
                  <c:v>94</c:v>
                </c:pt>
                <c:pt idx="74">
                  <c:v>79</c:v>
                </c:pt>
                <c:pt idx="75">
                  <c:v>82</c:v>
                </c:pt>
                <c:pt idx="76">
                  <c:v>77</c:v>
                </c:pt>
                <c:pt idx="77">
                  <c:v>94</c:v>
                </c:pt>
                <c:pt idx="78">
                  <c:v>76</c:v>
                </c:pt>
                <c:pt idx="79">
                  <c:v>61</c:v>
                </c:pt>
                <c:pt idx="80">
                  <c:v>61</c:v>
                </c:pt>
                <c:pt idx="81">
                  <c:v>80</c:v>
                </c:pt>
                <c:pt idx="82">
                  <c:v>64</c:v>
                </c:pt>
                <c:pt idx="83">
                  <c:v>76</c:v>
                </c:pt>
                <c:pt idx="84">
                  <c:v>45</c:v>
                </c:pt>
                <c:pt idx="85">
                  <c:v>72</c:v>
                </c:pt>
                <c:pt idx="86">
                  <c:v>82</c:v>
                </c:pt>
                <c:pt idx="87">
                  <c:v>78</c:v>
                </c:pt>
                <c:pt idx="88">
                  <c:v>98</c:v>
                </c:pt>
                <c:pt idx="89">
                  <c:v>51</c:v>
                </c:pt>
                <c:pt idx="90">
                  <c:v>51</c:v>
                </c:pt>
                <c:pt idx="91">
                  <c:v>45</c:v>
                </c:pt>
                <c:pt idx="92">
                  <c:v>62</c:v>
                </c:pt>
                <c:pt idx="93">
                  <c:v>95</c:v>
                </c:pt>
                <c:pt idx="94">
                  <c:v>72</c:v>
                </c:pt>
                <c:pt idx="95">
                  <c:v>83</c:v>
                </c:pt>
                <c:pt idx="96">
                  <c:v>75</c:v>
                </c:pt>
                <c:pt idx="97">
                  <c:v>83</c:v>
                </c:pt>
                <c:pt idx="98">
                  <c:v>87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72</c:v>
                </c:pt>
                <c:pt idx="109">
                  <c:v>59</c:v>
                </c:pt>
                <c:pt idx="110">
                  <c:v>79</c:v>
                </c:pt>
                <c:pt idx="111">
                  <c:v>128</c:v>
                </c:pt>
                <c:pt idx="112">
                  <c:v>86</c:v>
                </c:pt>
                <c:pt idx="113">
                  <c:v>67</c:v>
                </c:pt>
                <c:pt idx="114">
                  <c:v>95</c:v>
                </c:pt>
                <c:pt idx="115">
                  <c:v>73</c:v>
                </c:pt>
                <c:pt idx="116">
                  <c:v>83</c:v>
                </c:pt>
                <c:pt idx="117">
                  <c:v>83</c:v>
                </c:pt>
                <c:pt idx="118">
                  <c:v>66</c:v>
                </c:pt>
                <c:pt idx="119">
                  <c:v>120</c:v>
                </c:pt>
                <c:pt idx="120">
                  <c:v>120</c:v>
                </c:pt>
                <c:pt idx="121">
                  <c:v>82</c:v>
                </c:pt>
                <c:pt idx="122">
                  <c:v>82</c:v>
                </c:pt>
                <c:pt idx="123">
                  <c:v>49</c:v>
                </c:pt>
                <c:pt idx="124">
                  <c:v>57</c:v>
                </c:pt>
                <c:pt idx="125">
                  <c:v>79</c:v>
                </c:pt>
                <c:pt idx="126">
                  <c:v>62</c:v>
                </c:pt>
                <c:pt idx="127">
                  <c:v>77</c:v>
                </c:pt>
                <c:pt idx="128">
                  <c:v>56</c:v>
                </c:pt>
                <c:pt idx="129">
                  <c:v>56</c:v>
                </c:pt>
                <c:pt idx="130">
                  <c:v>55</c:v>
                </c:pt>
                <c:pt idx="131">
                  <c:v>112</c:v>
                </c:pt>
                <c:pt idx="132">
                  <c:v>83</c:v>
                </c:pt>
                <c:pt idx="133">
                  <c:v>47</c:v>
                </c:pt>
                <c:pt idx="134">
                  <c:v>75</c:v>
                </c:pt>
                <c:pt idx="135">
                  <c:v>65</c:v>
                </c:pt>
                <c:pt idx="136">
                  <c:v>79</c:v>
                </c:pt>
                <c:pt idx="137">
                  <c:v>72</c:v>
                </c:pt>
                <c:pt idx="138">
                  <c:v>76</c:v>
                </c:pt>
                <c:pt idx="139">
                  <c:v>89</c:v>
                </c:pt>
                <c:pt idx="140">
                  <c:v>96</c:v>
                </c:pt>
                <c:pt idx="141">
                  <c:v>50</c:v>
                </c:pt>
                <c:pt idx="142">
                  <c:v>92</c:v>
                </c:pt>
                <c:pt idx="143">
                  <c:v>74</c:v>
                </c:pt>
                <c:pt idx="144">
                  <c:v>53</c:v>
                </c:pt>
                <c:pt idx="145">
                  <c:v>47</c:v>
                </c:pt>
                <c:pt idx="146">
                  <c:v>66</c:v>
                </c:pt>
                <c:pt idx="147">
                  <c:v>72</c:v>
                </c:pt>
                <c:pt idx="148">
                  <c:v>61</c:v>
                </c:pt>
                <c:pt idx="149">
                  <c:v>79</c:v>
                </c:pt>
                <c:pt idx="150">
                  <c:v>48</c:v>
                </c:pt>
                <c:pt idx="151">
                  <c:v>48</c:v>
                </c:pt>
                <c:pt idx="152">
                  <c:v>57</c:v>
                </c:pt>
                <c:pt idx="153">
                  <c:v>57</c:v>
                </c:pt>
                <c:pt idx="154">
                  <c:v>42</c:v>
                </c:pt>
                <c:pt idx="155">
                  <c:v>94</c:v>
                </c:pt>
                <c:pt idx="156">
                  <c:v>59</c:v>
                </c:pt>
                <c:pt idx="157">
                  <c:v>62</c:v>
                </c:pt>
                <c:pt idx="158">
                  <c:v>41</c:v>
                </c:pt>
                <c:pt idx="159">
                  <c:v>71</c:v>
                </c:pt>
                <c:pt idx="160">
                  <c:v>82</c:v>
                </c:pt>
                <c:pt idx="161">
                  <c:v>98</c:v>
                </c:pt>
                <c:pt idx="162">
                  <c:v>62</c:v>
                </c:pt>
                <c:pt idx="163">
                  <c:v>67</c:v>
                </c:pt>
                <c:pt idx="164">
                  <c:v>25</c:v>
                </c:pt>
                <c:pt idx="165">
                  <c:v>93</c:v>
                </c:pt>
                <c:pt idx="166">
                  <c:v>52</c:v>
                </c:pt>
                <c:pt idx="167">
                  <c:v>81</c:v>
                </c:pt>
                <c:pt idx="168">
                  <c:v>104</c:v>
                </c:pt>
                <c:pt idx="169">
                  <c:v>41</c:v>
                </c:pt>
                <c:pt idx="170">
                  <c:v>70</c:v>
                </c:pt>
                <c:pt idx="171">
                  <c:v>43</c:v>
                </c:pt>
                <c:pt idx="172">
                  <c:v>57</c:v>
                </c:pt>
                <c:pt idx="173">
                  <c:v>99</c:v>
                </c:pt>
                <c:pt idx="174">
                  <c:v>52</c:v>
                </c:pt>
                <c:pt idx="175">
                  <c:v>114</c:v>
                </c:pt>
                <c:pt idx="176">
                  <c:v>46</c:v>
                </c:pt>
                <c:pt idx="177">
                  <c:v>31</c:v>
                </c:pt>
                <c:pt idx="178">
                  <c:v>58</c:v>
                </c:pt>
                <c:pt idx="179">
                  <c:v>71</c:v>
                </c:pt>
                <c:pt idx="180">
                  <c:v>50</c:v>
                </c:pt>
                <c:pt idx="181">
                  <c:v>50</c:v>
                </c:pt>
                <c:pt idx="182">
                  <c:v>64</c:v>
                </c:pt>
                <c:pt idx="183">
                  <c:v>48</c:v>
                </c:pt>
                <c:pt idx="184">
                  <c:v>89</c:v>
                </c:pt>
                <c:pt idx="185">
                  <c:v>83</c:v>
                </c:pt>
                <c:pt idx="186">
                  <c:v>63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113</c:v>
                </c:pt>
                <c:pt idx="245">
                  <c:v>78</c:v>
                </c:pt>
                <c:pt idx="246">
                  <c:v>67</c:v>
                </c:pt>
                <c:pt idx="247">
                  <c:v>66</c:v>
                </c:pt>
                <c:pt idx="248">
                  <c:v>76</c:v>
                </c:pt>
                <c:pt idx="249">
                  <c:v>49</c:v>
                </c:pt>
                <c:pt idx="250">
                  <c:v>50</c:v>
                </c:pt>
                <c:pt idx="251">
                  <c:v>49</c:v>
                </c:pt>
                <c:pt idx="252">
                  <c:v>56</c:v>
                </c:pt>
                <c:pt idx="253">
                  <c:v>79</c:v>
                </c:pt>
                <c:pt idx="254">
                  <c:v>55</c:v>
                </c:pt>
                <c:pt idx="255">
                  <c:v>61</c:v>
                </c:pt>
                <c:pt idx="256">
                  <c:v>95</c:v>
                </c:pt>
                <c:pt idx="257">
                  <c:v>65</c:v>
                </c:pt>
                <c:pt idx="258">
                  <c:v>75</c:v>
                </c:pt>
                <c:pt idx="259">
                  <c:v>51</c:v>
                </c:pt>
                <c:pt idx="260">
                  <c:v>64</c:v>
                </c:pt>
                <c:pt idx="261">
                  <c:v>64</c:v>
                </c:pt>
                <c:pt idx="262">
                  <c:v>76</c:v>
                </c:pt>
                <c:pt idx="263">
                  <c:v>65</c:v>
                </c:pt>
                <c:pt idx="264">
                  <c:v>69</c:v>
                </c:pt>
                <c:pt idx="265">
                  <c:v>81</c:v>
                </c:pt>
                <c:pt idx="266">
                  <c:v>79</c:v>
                </c:pt>
                <c:pt idx="267">
                  <c:v>62</c:v>
                </c:pt>
                <c:pt idx="268">
                  <c:v>101</c:v>
                </c:pt>
                <c:pt idx="269">
                  <c:v>63</c:v>
                </c:pt>
                <c:pt idx="270">
                  <c:v>84</c:v>
                </c:pt>
                <c:pt idx="271">
                  <c:v>59</c:v>
                </c:pt>
                <c:pt idx="272">
                  <c:v>66</c:v>
                </c:pt>
                <c:pt idx="273">
                  <c:v>66</c:v>
                </c:pt>
                <c:pt idx="274">
                  <c:v>69</c:v>
                </c:pt>
                <c:pt idx="275">
                  <c:v>66</c:v>
                </c:pt>
                <c:pt idx="276">
                  <c:v>77</c:v>
                </c:pt>
                <c:pt idx="277">
                  <c:v>92</c:v>
                </c:pt>
                <c:pt idx="278">
                  <c:v>112</c:v>
                </c:pt>
                <c:pt idx="279">
                  <c:v>63</c:v>
                </c:pt>
                <c:pt idx="280">
                  <c:v>86</c:v>
                </c:pt>
                <c:pt idx="281">
                  <c:v>69</c:v>
                </c:pt>
                <c:pt idx="282">
                  <c:v>44</c:v>
                </c:pt>
                <c:pt idx="283">
                  <c:v>86</c:v>
                </c:pt>
                <c:pt idx="284">
                  <c:v>42</c:v>
                </c:pt>
                <c:pt idx="285">
                  <c:v>75</c:v>
                </c:pt>
                <c:pt idx="286">
                  <c:v>68</c:v>
                </c:pt>
                <c:pt idx="287">
                  <c:v>87</c:v>
                </c:pt>
                <c:pt idx="288">
                  <c:v>83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52</c:v>
                </c:pt>
                <c:pt idx="299">
                  <c:v>65</c:v>
                </c:pt>
                <c:pt idx="300">
                  <c:v>53</c:v>
                </c:pt>
                <c:pt idx="301">
                  <c:v>69</c:v>
                </c:pt>
                <c:pt idx="302">
                  <c:v>86</c:v>
                </c:pt>
                <c:pt idx="303">
                  <c:v>71</c:v>
                </c:pt>
                <c:pt idx="304">
                  <c:v>71</c:v>
                </c:pt>
                <c:pt idx="305">
                  <c:v>72</c:v>
                </c:pt>
                <c:pt idx="306">
                  <c:v>79</c:v>
                </c:pt>
                <c:pt idx="307">
                  <c:v>53</c:v>
                </c:pt>
                <c:pt idx="308">
                  <c:v>69</c:v>
                </c:pt>
                <c:pt idx="309">
                  <c:v>76</c:v>
                </c:pt>
                <c:pt idx="310">
                  <c:v>104</c:v>
                </c:pt>
                <c:pt idx="311">
                  <c:v>79</c:v>
                </c:pt>
                <c:pt idx="312">
                  <c:v>79</c:v>
                </c:pt>
                <c:pt idx="313">
                  <c:v>70</c:v>
                </c:pt>
                <c:pt idx="314">
                  <c:v>96</c:v>
                </c:pt>
                <c:pt idx="315">
                  <c:v>72</c:v>
                </c:pt>
                <c:pt idx="316">
                  <c:v>82</c:v>
                </c:pt>
                <c:pt idx="317">
                  <c:v>61</c:v>
                </c:pt>
                <c:pt idx="318">
                  <c:v>80</c:v>
                </c:pt>
                <c:pt idx="319">
                  <c:v>67</c:v>
                </c:pt>
                <c:pt idx="320">
                  <c:v>55</c:v>
                </c:pt>
                <c:pt idx="321">
                  <c:v>77</c:v>
                </c:pt>
                <c:pt idx="322">
                  <c:v>50</c:v>
                </c:pt>
                <c:pt idx="323">
                  <c:v>71</c:v>
                </c:pt>
                <c:pt idx="324">
                  <c:v>114</c:v>
                </c:pt>
                <c:pt idx="325">
                  <c:v>71</c:v>
                </c:pt>
                <c:pt idx="326">
                  <c:v>30</c:v>
                </c:pt>
                <c:pt idx="327">
                  <c:v>89</c:v>
                </c:pt>
                <c:pt idx="328">
                  <c:v>72</c:v>
                </c:pt>
                <c:pt idx="329">
                  <c:v>59</c:v>
                </c:pt>
                <c:pt idx="330">
                  <c:v>42</c:v>
                </c:pt>
                <c:pt idx="331">
                  <c:v>96</c:v>
                </c:pt>
                <c:pt idx="332">
                  <c:v>68</c:v>
                </c:pt>
                <c:pt idx="333">
                  <c:v>113</c:v>
                </c:pt>
                <c:pt idx="334">
                  <c:v>113</c:v>
                </c:pt>
                <c:pt idx="335">
                  <c:v>91</c:v>
                </c:pt>
                <c:pt idx="336">
                  <c:v>87</c:v>
                </c:pt>
                <c:pt idx="337">
                  <c:v>69</c:v>
                </c:pt>
                <c:pt idx="338">
                  <c:v>92</c:v>
                </c:pt>
                <c:pt idx="339">
                  <c:v>82</c:v>
                </c:pt>
                <c:pt idx="340">
                  <c:v>87</c:v>
                </c:pt>
                <c:pt idx="341">
                  <c:v>98</c:v>
                </c:pt>
                <c:pt idx="342">
                  <c:v>113</c:v>
                </c:pt>
                <c:pt idx="343">
                  <c:v>89</c:v>
                </c:pt>
                <c:pt idx="344">
                  <c:v>80</c:v>
                </c:pt>
                <c:pt idx="345">
                  <c:v>92</c:v>
                </c:pt>
                <c:pt idx="346">
                  <c:v>86</c:v>
                </c:pt>
                <c:pt idx="347">
                  <c:v>79</c:v>
                </c:pt>
                <c:pt idx="348">
                  <c:v>97</c:v>
                </c:pt>
                <c:pt idx="349">
                  <c:v>64</c:v>
                </c:pt>
                <c:pt idx="350">
                  <c:v>80</c:v>
                </c:pt>
                <c:pt idx="351">
                  <c:v>75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5085056"/>
        <c:axId val="375084664"/>
      </c:lineChart>
      <c:dateAx>
        <c:axId val="375085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20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fr-FR" sz="2000" b="0">
                    <a:solidFill>
                      <a:srgbClr val="000000"/>
                    </a:solidFill>
                    <a:latin typeface="+mn-lt"/>
                  </a:rPr>
                  <a:t>date</a:t>
                </a:r>
              </a:p>
            </c:rich>
          </c:tx>
          <c:overlay val="0"/>
        </c:title>
        <c:numFmt formatCode="m/d/yyyy" sourceLinked="1"/>
        <c:majorTickMark val="cross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375084664"/>
        <c:crosses val="autoZero"/>
        <c:auto val="1"/>
        <c:lblOffset val="100"/>
        <c:baseTimeUnit val="days"/>
      </c:dateAx>
      <c:valAx>
        <c:axId val="37508466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sz="20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fr-FR" sz="2000" b="0">
                    <a:solidFill>
                      <a:srgbClr val="000000"/>
                    </a:solidFill>
                    <a:latin typeface="+mn-lt"/>
                  </a:rPr>
                  <a:t>Nombre de commande</a:t>
                </a:r>
              </a:p>
            </c:rich>
          </c:tx>
          <c:overlay val="0"/>
        </c:title>
        <c:numFmt formatCode="General" sourceLinked="1"/>
        <c:majorTickMark val="cross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375085056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fr-FR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Total</a:t>
            </a:r>
            <a:r>
              <a:rPr lang="fr-FR" baseline="0"/>
              <a:t> commandes mensuelles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'Simplified Model'!$CA$17:$CA$52</c:f>
              <c:numCache>
                <c:formatCode>m/d/yyyy</c:formatCode>
                <c:ptCount val="3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  <c:pt idx="24">
                  <c:v>45292</c:v>
                </c:pt>
                <c:pt idx="25">
                  <c:v>45323</c:v>
                </c:pt>
                <c:pt idx="26">
                  <c:v>45352</c:v>
                </c:pt>
                <c:pt idx="27">
                  <c:v>45383</c:v>
                </c:pt>
                <c:pt idx="28">
                  <c:v>45413</c:v>
                </c:pt>
                <c:pt idx="29">
                  <c:v>45444</c:v>
                </c:pt>
                <c:pt idx="30">
                  <c:v>45474</c:v>
                </c:pt>
                <c:pt idx="31">
                  <c:v>45505</c:v>
                </c:pt>
                <c:pt idx="32">
                  <c:v>45536</c:v>
                </c:pt>
                <c:pt idx="33">
                  <c:v>45566</c:v>
                </c:pt>
                <c:pt idx="34">
                  <c:v>45597</c:v>
                </c:pt>
                <c:pt idx="35">
                  <c:v>45627</c:v>
                </c:pt>
              </c:numCache>
            </c:numRef>
          </c:cat>
          <c:val>
            <c:numRef>
              <c:f>'Simplified Model'!$CB$17:$CB$52</c:f>
              <c:numCache>
                <c:formatCode>General</c:formatCode>
                <c:ptCount val="36"/>
                <c:pt idx="0">
                  <c:v>2163</c:v>
                </c:pt>
                <c:pt idx="1">
                  <c:v>1545</c:v>
                </c:pt>
                <c:pt idx="2">
                  <c:v>2261</c:v>
                </c:pt>
                <c:pt idx="3">
                  <c:v>1515</c:v>
                </c:pt>
                <c:pt idx="4">
                  <c:v>8919</c:v>
                </c:pt>
                <c:pt idx="5">
                  <c:v>9021</c:v>
                </c:pt>
                <c:pt idx="6">
                  <c:v>1731</c:v>
                </c:pt>
                <c:pt idx="7">
                  <c:v>2</c:v>
                </c:pt>
                <c:pt idx="8">
                  <c:v>23249</c:v>
                </c:pt>
                <c:pt idx="9">
                  <c:v>17833</c:v>
                </c:pt>
                <c:pt idx="10">
                  <c:v>24464</c:v>
                </c:pt>
                <c:pt idx="11">
                  <c:v>14526</c:v>
                </c:pt>
                <c:pt idx="12">
                  <c:v>36433</c:v>
                </c:pt>
                <c:pt idx="13">
                  <c:v>24633</c:v>
                </c:pt>
                <c:pt idx="14">
                  <c:v>40889</c:v>
                </c:pt>
                <c:pt idx="15">
                  <c:v>27090</c:v>
                </c:pt>
                <c:pt idx="16">
                  <c:v>40565</c:v>
                </c:pt>
                <c:pt idx="17">
                  <c:v>39008</c:v>
                </c:pt>
                <c:pt idx="18">
                  <c:v>7775</c:v>
                </c:pt>
                <c:pt idx="19">
                  <c:v>5</c:v>
                </c:pt>
                <c:pt idx="20">
                  <c:v>38100</c:v>
                </c:pt>
                <c:pt idx="21">
                  <c:v>25467</c:v>
                </c:pt>
                <c:pt idx="22">
                  <c:v>34831</c:v>
                </c:pt>
                <c:pt idx="23">
                  <c:v>22580</c:v>
                </c:pt>
                <c:pt idx="24">
                  <c:v>42631</c:v>
                </c:pt>
                <c:pt idx="25">
                  <c:v>32096</c:v>
                </c:pt>
                <c:pt idx="26">
                  <c:v>56030</c:v>
                </c:pt>
                <c:pt idx="27">
                  <c:v>37726</c:v>
                </c:pt>
                <c:pt idx="28">
                  <c:v>55813</c:v>
                </c:pt>
                <c:pt idx="29">
                  <c:v>53474</c:v>
                </c:pt>
                <c:pt idx="30">
                  <c:v>9258</c:v>
                </c:pt>
                <c:pt idx="31">
                  <c:v>1716</c:v>
                </c:pt>
                <c:pt idx="32">
                  <c:v>53870</c:v>
                </c:pt>
                <c:pt idx="33">
                  <c:v>39048</c:v>
                </c:pt>
                <c:pt idx="34">
                  <c:v>53421</c:v>
                </c:pt>
                <c:pt idx="35">
                  <c:v>29645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5085840"/>
        <c:axId val="375086232"/>
      </c:barChart>
      <c:dateAx>
        <c:axId val="3750858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5086232"/>
        <c:crosses val="autoZero"/>
        <c:auto val="1"/>
        <c:lblOffset val="100"/>
        <c:baseTimeUnit val="months"/>
      </c:dateAx>
      <c:valAx>
        <c:axId val="37508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508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'Real Model'!$D$14</c:f>
              <c:strCache>
                <c:ptCount val="1"/>
                <c:pt idx="0">
                  <c:v>Nombre de commandes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'Real Model'!$A$15:$A$379</c:f>
              <c:numCache>
                <c:formatCode>m/d/yyyy</c:formatCode>
                <c:ptCount val="365"/>
                <c:pt idx="0">
                  <c:v>44562</c:v>
                </c:pt>
                <c:pt idx="1">
                  <c:v>44563</c:v>
                </c:pt>
                <c:pt idx="2">
                  <c:v>44564</c:v>
                </c:pt>
                <c:pt idx="3">
                  <c:v>44565</c:v>
                </c:pt>
                <c:pt idx="4">
                  <c:v>44566</c:v>
                </c:pt>
                <c:pt idx="5">
                  <c:v>44567</c:v>
                </c:pt>
                <c:pt idx="6">
                  <c:v>44568</c:v>
                </c:pt>
                <c:pt idx="7">
                  <c:v>44569</c:v>
                </c:pt>
                <c:pt idx="8">
                  <c:v>44570</c:v>
                </c:pt>
                <c:pt idx="9">
                  <c:v>44571</c:v>
                </c:pt>
                <c:pt idx="10">
                  <c:v>44572</c:v>
                </c:pt>
                <c:pt idx="11">
                  <c:v>44573</c:v>
                </c:pt>
                <c:pt idx="12">
                  <c:v>44574</c:v>
                </c:pt>
                <c:pt idx="13">
                  <c:v>44575</c:v>
                </c:pt>
                <c:pt idx="14">
                  <c:v>44576</c:v>
                </c:pt>
                <c:pt idx="15">
                  <c:v>44577</c:v>
                </c:pt>
                <c:pt idx="16">
                  <c:v>44578</c:v>
                </c:pt>
                <c:pt idx="17">
                  <c:v>44579</c:v>
                </c:pt>
                <c:pt idx="18">
                  <c:v>44580</c:v>
                </c:pt>
                <c:pt idx="19">
                  <c:v>44581</c:v>
                </c:pt>
                <c:pt idx="20">
                  <c:v>44582</c:v>
                </c:pt>
                <c:pt idx="21">
                  <c:v>44583</c:v>
                </c:pt>
                <c:pt idx="22">
                  <c:v>44584</c:v>
                </c:pt>
                <c:pt idx="23">
                  <c:v>44585</c:v>
                </c:pt>
                <c:pt idx="24">
                  <c:v>44586</c:v>
                </c:pt>
                <c:pt idx="25">
                  <c:v>44587</c:v>
                </c:pt>
                <c:pt idx="26">
                  <c:v>44588</c:v>
                </c:pt>
                <c:pt idx="27">
                  <c:v>44589</c:v>
                </c:pt>
                <c:pt idx="28">
                  <c:v>44590</c:v>
                </c:pt>
                <c:pt idx="29">
                  <c:v>44591</c:v>
                </c:pt>
                <c:pt idx="30">
                  <c:v>44592</c:v>
                </c:pt>
                <c:pt idx="31">
                  <c:v>44593</c:v>
                </c:pt>
                <c:pt idx="32">
                  <c:v>44594</c:v>
                </c:pt>
                <c:pt idx="33">
                  <c:v>44595</c:v>
                </c:pt>
                <c:pt idx="34">
                  <c:v>44596</c:v>
                </c:pt>
                <c:pt idx="35">
                  <c:v>44597</c:v>
                </c:pt>
                <c:pt idx="36">
                  <c:v>44598</c:v>
                </c:pt>
                <c:pt idx="37">
                  <c:v>44599</c:v>
                </c:pt>
                <c:pt idx="38">
                  <c:v>44600</c:v>
                </c:pt>
                <c:pt idx="39">
                  <c:v>44601</c:v>
                </c:pt>
                <c:pt idx="40">
                  <c:v>44602</c:v>
                </c:pt>
                <c:pt idx="41">
                  <c:v>44603</c:v>
                </c:pt>
                <c:pt idx="42">
                  <c:v>44604</c:v>
                </c:pt>
                <c:pt idx="43">
                  <c:v>44605</c:v>
                </c:pt>
                <c:pt idx="44">
                  <c:v>44606</c:v>
                </c:pt>
                <c:pt idx="45">
                  <c:v>44607</c:v>
                </c:pt>
                <c:pt idx="46">
                  <c:v>44608</c:v>
                </c:pt>
                <c:pt idx="47">
                  <c:v>44609</c:v>
                </c:pt>
                <c:pt idx="48">
                  <c:v>44610</c:v>
                </c:pt>
                <c:pt idx="49">
                  <c:v>44611</c:v>
                </c:pt>
                <c:pt idx="50">
                  <c:v>44612</c:v>
                </c:pt>
                <c:pt idx="51">
                  <c:v>44613</c:v>
                </c:pt>
                <c:pt idx="52">
                  <c:v>44614</c:v>
                </c:pt>
                <c:pt idx="53">
                  <c:v>44615</c:v>
                </c:pt>
                <c:pt idx="54">
                  <c:v>44616</c:v>
                </c:pt>
                <c:pt idx="55">
                  <c:v>44617</c:v>
                </c:pt>
                <c:pt idx="56">
                  <c:v>44618</c:v>
                </c:pt>
                <c:pt idx="57">
                  <c:v>44619</c:v>
                </c:pt>
                <c:pt idx="58">
                  <c:v>44620</c:v>
                </c:pt>
                <c:pt idx="59">
                  <c:v>44621</c:v>
                </c:pt>
                <c:pt idx="60">
                  <c:v>44622</c:v>
                </c:pt>
                <c:pt idx="61">
                  <c:v>44623</c:v>
                </c:pt>
                <c:pt idx="62">
                  <c:v>44624</c:v>
                </c:pt>
                <c:pt idx="63">
                  <c:v>44625</c:v>
                </c:pt>
                <c:pt idx="64">
                  <c:v>44626</c:v>
                </c:pt>
                <c:pt idx="65">
                  <c:v>44627</c:v>
                </c:pt>
                <c:pt idx="66">
                  <c:v>44628</c:v>
                </c:pt>
                <c:pt idx="67">
                  <c:v>44629</c:v>
                </c:pt>
                <c:pt idx="68">
                  <c:v>44630</c:v>
                </c:pt>
                <c:pt idx="69">
                  <c:v>44631</c:v>
                </c:pt>
                <c:pt idx="70">
                  <c:v>44632</c:v>
                </c:pt>
                <c:pt idx="71">
                  <c:v>44633</c:v>
                </c:pt>
                <c:pt idx="72">
                  <c:v>44634</c:v>
                </c:pt>
                <c:pt idx="73">
                  <c:v>44635</c:v>
                </c:pt>
                <c:pt idx="74">
                  <c:v>44636</c:v>
                </c:pt>
                <c:pt idx="75">
                  <c:v>44637</c:v>
                </c:pt>
                <c:pt idx="76">
                  <c:v>44638</c:v>
                </c:pt>
                <c:pt idx="77">
                  <c:v>44639</c:v>
                </c:pt>
                <c:pt idx="78">
                  <c:v>44640</c:v>
                </c:pt>
                <c:pt idx="79">
                  <c:v>44641</c:v>
                </c:pt>
                <c:pt idx="80">
                  <c:v>44642</c:v>
                </c:pt>
                <c:pt idx="81">
                  <c:v>44643</c:v>
                </c:pt>
                <c:pt idx="82">
                  <c:v>44644</c:v>
                </c:pt>
                <c:pt idx="83">
                  <c:v>44645</c:v>
                </c:pt>
                <c:pt idx="84">
                  <c:v>44646</c:v>
                </c:pt>
                <c:pt idx="85">
                  <c:v>44647</c:v>
                </c:pt>
                <c:pt idx="86">
                  <c:v>44648</c:v>
                </c:pt>
                <c:pt idx="87">
                  <c:v>44649</c:v>
                </c:pt>
                <c:pt idx="88">
                  <c:v>44650</c:v>
                </c:pt>
                <c:pt idx="89">
                  <c:v>44651</c:v>
                </c:pt>
                <c:pt idx="90">
                  <c:v>44652</c:v>
                </c:pt>
                <c:pt idx="91">
                  <c:v>44653</c:v>
                </c:pt>
                <c:pt idx="92">
                  <c:v>44654</c:v>
                </c:pt>
                <c:pt idx="93">
                  <c:v>44655</c:v>
                </c:pt>
                <c:pt idx="94">
                  <c:v>44656</c:v>
                </c:pt>
                <c:pt idx="95">
                  <c:v>44657</c:v>
                </c:pt>
                <c:pt idx="96">
                  <c:v>44658</c:v>
                </c:pt>
                <c:pt idx="97">
                  <c:v>44659</c:v>
                </c:pt>
                <c:pt idx="98">
                  <c:v>44660</c:v>
                </c:pt>
                <c:pt idx="99">
                  <c:v>44661</c:v>
                </c:pt>
                <c:pt idx="100">
                  <c:v>44662</c:v>
                </c:pt>
                <c:pt idx="101">
                  <c:v>44663</c:v>
                </c:pt>
                <c:pt idx="102">
                  <c:v>44664</c:v>
                </c:pt>
                <c:pt idx="103">
                  <c:v>44665</c:v>
                </c:pt>
                <c:pt idx="104">
                  <c:v>44666</c:v>
                </c:pt>
                <c:pt idx="105">
                  <c:v>44667</c:v>
                </c:pt>
                <c:pt idx="106">
                  <c:v>44668</c:v>
                </c:pt>
                <c:pt idx="107">
                  <c:v>44669</c:v>
                </c:pt>
                <c:pt idx="108">
                  <c:v>44670</c:v>
                </c:pt>
                <c:pt idx="109">
                  <c:v>44671</c:v>
                </c:pt>
                <c:pt idx="110">
                  <c:v>44672</c:v>
                </c:pt>
                <c:pt idx="111">
                  <c:v>44673</c:v>
                </c:pt>
                <c:pt idx="112">
                  <c:v>44674</c:v>
                </c:pt>
                <c:pt idx="113">
                  <c:v>44675</c:v>
                </c:pt>
                <c:pt idx="114">
                  <c:v>44676</c:v>
                </c:pt>
                <c:pt idx="115">
                  <c:v>44677</c:v>
                </c:pt>
                <c:pt idx="116">
                  <c:v>44678</c:v>
                </c:pt>
                <c:pt idx="117">
                  <c:v>44679</c:v>
                </c:pt>
                <c:pt idx="118">
                  <c:v>44680</c:v>
                </c:pt>
                <c:pt idx="119">
                  <c:v>44681</c:v>
                </c:pt>
                <c:pt idx="120">
                  <c:v>44682</c:v>
                </c:pt>
                <c:pt idx="121">
                  <c:v>44683</c:v>
                </c:pt>
                <c:pt idx="122">
                  <c:v>44684</c:v>
                </c:pt>
                <c:pt idx="123">
                  <c:v>44685</c:v>
                </c:pt>
                <c:pt idx="124">
                  <c:v>44686</c:v>
                </c:pt>
                <c:pt idx="125">
                  <c:v>44687</c:v>
                </c:pt>
                <c:pt idx="126">
                  <c:v>44688</c:v>
                </c:pt>
                <c:pt idx="127">
                  <c:v>44689</c:v>
                </c:pt>
                <c:pt idx="128">
                  <c:v>44690</c:v>
                </c:pt>
                <c:pt idx="129">
                  <c:v>44691</c:v>
                </c:pt>
                <c:pt idx="130">
                  <c:v>44692</c:v>
                </c:pt>
                <c:pt idx="131">
                  <c:v>44693</c:v>
                </c:pt>
                <c:pt idx="132">
                  <c:v>44694</c:v>
                </c:pt>
                <c:pt idx="133">
                  <c:v>44695</c:v>
                </c:pt>
                <c:pt idx="134">
                  <c:v>44696</c:v>
                </c:pt>
                <c:pt idx="135">
                  <c:v>44697</c:v>
                </c:pt>
                <c:pt idx="136">
                  <c:v>44698</c:v>
                </c:pt>
                <c:pt idx="137">
                  <c:v>44699</c:v>
                </c:pt>
                <c:pt idx="138">
                  <c:v>44700</c:v>
                </c:pt>
                <c:pt idx="139">
                  <c:v>44701</c:v>
                </c:pt>
                <c:pt idx="140">
                  <c:v>44702</c:v>
                </c:pt>
                <c:pt idx="141">
                  <c:v>44703</c:v>
                </c:pt>
                <c:pt idx="142">
                  <c:v>44704</c:v>
                </c:pt>
                <c:pt idx="143">
                  <c:v>44705</c:v>
                </c:pt>
                <c:pt idx="144">
                  <c:v>44706</c:v>
                </c:pt>
                <c:pt idx="145">
                  <c:v>44707</c:v>
                </c:pt>
                <c:pt idx="146">
                  <c:v>44708</c:v>
                </c:pt>
                <c:pt idx="147">
                  <c:v>44709</c:v>
                </c:pt>
                <c:pt idx="148">
                  <c:v>44710</c:v>
                </c:pt>
                <c:pt idx="149">
                  <c:v>44711</c:v>
                </c:pt>
                <c:pt idx="150">
                  <c:v>44712</c:v>
                </c:pt>
                <c:pt idx="151">
                  <c:v>44713</c:v>
                </c:pt>
                <c:pt idx="152">
                  <c:v>44714</c:v>
                </c:pt>
                <c:pt idx="153">
                  <c:v>44715</c:v>
                </c:pt>
                <c:pt idx="154">
                  <c:v>44716</c:v>
                </c:pt>
                <c:pt idx="155">
                  <c:v>44717</c:v>
                </c:pt>
                <c:pt idx="156">
                  <c:v>44718</c:v>
                </c:pt>
                <c:pt idx="157">
                  <c:v>44719</c:v>
                </c:pt>
                <c:pt idx="158">
                  <c:v>44720</c:v>
                </c:pt>
                <c:pt idx="159">
                  <c:v>44721</c:v>
                </c:pt>
                <c:pt idx="160">
                  <c:v>44722</c:v>
                </c:pt>
                <c:pt idx="161">
                  <c:v>44723</c:v>
                </c:pt>
                <c:pt idx="162">
                  <c:v>44724</c:v>
                </c:pt>
                <c:pt idx="163">
                  <c:v>44725</c:v>
                </c:pt>
                <c:pt idx="164">
                  <c:v>44726</c:v>
                </c:pt>
                <c:pt idx="165">
                  <c:v>44727</c:v>
                </c:pt>
                <c:pt idx="166">
                  <c:v>44728</c:v>
                </c:pt>
                <c:pt idx="167">
                  <c:v>44729</c:v>
                </c:pt>
                <c:pt idx="168">
                  <c:v>44730</c:v>
                </c:pt>
                <c:pt idx="169">
                  <c:v>44731</c:v>
                </c:pt>
                <c:pt idx="170">
                  <c:v>44732</c:v>
                </c:pt>
                <c:pt idx="171">
                  <c:v>44733</c:v>
                </c:pt>
                <c:pt idx="172">
                  <c:v>44734</c:v>
                </c:pt>
                <c:pt idx="173">
                  <c:v>44735</c:v>
                </c:pt>
                <c:pt idx="174">
                  <c:v>44736</c:v>
                </c:pt>
                <c:pt idx="175">
                  <c:v>44737</c:v>
                </c:pt>
                <c:pt idx="176">
                  <c:v>44738</c:v>
                </c:pt>
                <c:pt idx="177">
                  <c:v>44739</c:v>
                </c:pt>
                <c:pt idx="178">
                  <c:v>44740</c:v>
                </c:pt>
                <c:pt idx="179">
                  <c:v>44741</c:v>
                </c:pt>
                <c:pt idx="180">
                  <c:v>44742</c:v>
                </c:pt>
                <c:pt idx="181">
                  <c:v>44743</c:v>
                </c:pt>
                <c:pt idx="182">
                  <c:v>44744</c:v>
                </c:pt>
                <c:pt idx="183">
                  <c:v>44745</c:v>
                </c:pt>
                <c:pt idx="184">
                  <c:v>44746</c:v>
                </c:pt>
                <c:pt idx="185">
                  <c:v>44747</c:v>
                </c:pt>
                <c:pt idx="186">
                  <c:v>44748</c:v>
                </c:pt>
                <c:pt idx="187">
                  <c:v>44749</c:v>
                </c:pt>
                <c:pt idx="188">
                  <c:v>44750</c:v>
                </c:pt>
                <c:pt idx="189">
                  <c:v>44751</c:v>
                </c:pt>
                <c:pt idx="190">
                  <c:v>44752</c:v>
                </c:pt>
                <c:pt idx="191">
                  <c:v>44753</c:v>
                </c:pt>
                <c:pt idx="192">
                  <c:v>44754</c:v>
                </c:pt>
                <c:pt idx="193">
                  <c:v>44755</c:v>
                </c:pt>
                <c:pt idx="194">
                  <c:v>44756</c:v>
                </c:pt>
                <c:pt idx="195">
                  <c:v>44757</c:v>
                </c:pt>
                <c:pt idx="196">
                  <c:v>44758</c:v>
                </c:pt>
                <c:pt idx="197">
                  <c:v>44759</c:v>
                </c:pt>
                <c:pt idx="198">
                  <c:v>44760</c:v>
                </c:pt>
                <c:pt idx="199">
                  <c:v>44761</c:v>
                </c:pt>
                <c:pt idx="200">
                  <c:v>44762</c:v>
                </c:pt>
                <c:pt idx="201">
                  <c:v>44763</c:v>
                </c:pt>
                <c:pt idx="202">
                  <c:v>44764</c:v>
                </c:pt>
                <c:pt idx="203">
                  <c:v>44765</c:v>
                </c:pt>
                <c:pt idx="204">
                  <c:v>44766</c:v>
                </c:pt>
                <c:pt idx="205">
                  <c:v>44767</c:v>
                </c:pt>
                <c:pt idx="206">
                  <c:v>44768</c:v>
                </c:pt>
                <c:pt idx="207">
                  <c:v>44769</c:v>
                </c:pt>
                <c:pt idx="208">
                  <c:v>44770</c:v>
                </c:pt>
                <c:pt idx="209">
                  <c:v>44771</c:v>
                </c:pt>
                <c:pt idx="210">
                  <c:v>44772</c:v>
                </c:pt>
                <c:pt idx="211">
                  <c:v>44773</c:v>
                </c:pt>
                <c:pt idx="212">
                  <c:v>44774</c:v>
                </c:pt>
                <c:pt idx="213">
                  <c:v>44775</c:v>
                </c:pt>
                <c:pt idx="214">
                  <c:v>44776</c:v>
                </c:pt>
                <c:pt idx="215">
                  <c:v>44777</c:v>
                </c:pt>
                <c:pt idx="216">
                  <c:v>44778</c:v>
                </c:pt>
                <c:pt idx="217">
                  <c:v>44779</c:v>
                </c:pt>
                <c:pt idx="218">
                  <c:v>44780</c:v>
                </c:pt>
                <c:pt idx="219">
                  <c:v>44781</c:v>
                </c:pt>
                <c:pt idx="220">
                  <c:v>44782</c:v>
                </c:pt>
                <c:pt idx="221">
                  <c:v>44783</c:v>
                </c:pt>
                <c:pt idx="222">
                  <c:v>44784</c:v>
                </c:pt>
                <c:pt idx="223">
                  <c:v>44785</c:v>
                </c:pt>
                <c:pt idx="224">
                  <c:v>44786</c:v>
                </c:pt>
                <c:pt idx="225">
                  <c:v>44787</c:v>
                </c:pt>
                <c:pt idx="226">
                  <c:v>44788</c:v>
                </c:pt>
                <c:pt idx="227">
                  <c:v>44789</c:v>
                </c:pt>
                <c:pt idx="228">
                  <c:v>44790</c:v>
                </c:pt>
                <c:pt idx="229">
                  <c:v>44791</c:v>
                </c:pt>
                <c:pt idx="230">
                  <c:v>44792</c:v>
                </c:pt>
                <c:pt idx="231">
                  <c:v>44793</c:v>
                </c:pt>
                <c:pt idx="232">
                  <c:v>44794</c:v>
                </c:pt>
                <c:pt idx="233">
                  <c:v>44795</c:v>
                </c:pt>
                <c:pt idx="234">
                  <c:v>44796</c:v>
                </c:pt>
                <c:pt idx="235">
                  <c:v>44797</c:v>
                </c:pt>
                <c:pt idx="236">
                  <c:v>44798</c:v>
                </c:pt>
                <c:pt idx="237">
                  <c:v>44799</c:v>
                </c:pt>
                <c:pt idx="238">
                  <c:v>44800</c:v>
                </c:pt>
                <c:pt idx="239">
                  <c:v>44801</c:v>
                </c:pt>
                <c:pt idx="240">
                  <c:v>44802</c:v>
                </c:pt>
                <c:pt idx="241">
                  <c:v>44803</c:v>
                </c:pt>
                <c:pt idx="242">
                  <c:v>44804</c:v>
                </c:pt>
                <c:pt idx="243">
                  <c:v>44805</c:v>
                </c:pt>
                <c:pt idx="244">
                  <c:v>44806</c:v>
                </c:pt>
                <c:pt idx="245">
                  <c:v>44807</c:v>
                </c:pt>
                <c:pt idx="246">
                  <c:v>44808</c:v>
                </c:pt>
                <c:pt idx="247">
                  <c:v>44809</c:v>
                </c:pt>
                <c:pt idx="248">
                  <c:v>44810</c:v>
                </c:pt>
                <c:pt idx="249">
                  <c:v>44811</c:v>
                </c:pt>
                <c:pt idx="250">
                  <c:v>44812</c:v>
                </c:pt>
                <c:pt idx="251">
                  <c:v>44813</c:v>
                </c:pt>
                <c:pt idx="252">
                  <c:v>44814</c:v>
                </c:pt>
                <c:pt idx="253">
                  <c:v>44815</c:v>
                </c:pt>
                <c:pt idx="254">
                  <c:v>44816</c:v>
                </c:pt>
                <c:pt idx="255">
                  <c:v>44817</c:v>
                </c:pt>
                <c:pt idx="256">
                  <c:v>44818</c:v>
                </c:pt>
                <c:pt idx="257">
                  <c:v>44819</c:v>
                </c:pt>
                <c:pt idx="258">
                  <c:v>44820</c:v>
                </c:pt>
                <c:pt idx="259">
                  <c:v>44821</c:v>
                </c:pt>
                <c:pt idx="260">
                  <c:v>44822</c:v>
                </c:pt>
                <c:pt idx="261">
                  <c:v>44823</c:v>
                </c:pt>
                <c:pt idx="262">
                  <c:v>44824</c:v>
                </c:pt>
                <c:pt idx="263">
                  <c:v>44825</c:v>
                </c:pt>
                <c:pt idx="264">
                  <c:v>44826</c:v>
                </c:pt>
                <c:pt idx="265">
                  <c:v>44827</c:v>
                </c:pt>
                <c:pt idx="266">
                  <c:v>44828</c:v>
                </c:pt>
                <c:pt idx="267">
                  <c:v>44829</c:v>
                </c:pt>
                <c:pt idx="268">
                  <c:v>44830</c:v>
                </c:pt>
                <c:pt idx="269">
                  <c:v>44831</c:v>
                </c:pt>
                <c:pt idx="270">
                  <c:v>44832</c:v>
                </c:pt>
                <c:pt idx="271">
                  <c:v>44833</c:v>
                </c:pt>
                <c:pt idx="272">
                  <c:v>44834</c:v>
                </c:pt>
                <c:pt idx="273">
                  <c:v>44835</c:v>
                </c:pt>
                <c:pt idx="274">
                  <c:v>44836</c:v>
                </c:pt>
                <c:pt idx="275">
                  <c:v>44837</c:v>
                </c:pt>
                <c:pt idx="276">
                  <c:v>44838</c:v>
                </c:pt>
                <c:pt idx="277">
                  <c:v>44839</c:v>
                </c:pt>
                <c:pt idx="278">
                  <c:v>44840</c:v>
                </c:pt>
                <c:pt idx="279">
                  <c:v>44841</c:v>
                </c:pt>
                <c:pt idx="280">
                  <c:v>44842</c:v>
                </c:pt>
                <c:pt idx="281">
                  <c:v>44843</c:v>
                </c:pt>
                <c:pt idx="282">
                  <c:v>44844</c:v>
                </c:pt>
                <c:pt idx="283">
                  <c:v>44845</c:v>
                </c:pt>
                <c:pt idx="284">
                  <c:v>44846</c:v>
                </c:pt>
                <c:pt idx="285">
                  <c:v>44847</c:v>
                </c:pt>
                <c:pt idx="286">
                  <c:v>44848</c:v>
                </c:pt>
                <c:pt idx="287">
                  <c:v>44849</c:v>
                </c:pt>
                <c:pt idx="288">
                  <c:v>44850</c:v>
                </c:pt>
                <c:pt idx="289">
                  <c:v>44851</c:v>
                </c:pt>
                <c:pt idx="290">
                  <c:v>44852</c:v>
                </c:pt>
                <c:pt idx="291">
                  <c:v>44853</c:v>
                </c:pt>
                <c:pt idx="292">
                  <c:v>44854</c:v>
                </c:pt>
                <c:pt idx="293">
                  <c:v>44855</c:v>
                </c:pt>
                <c:pt idx="294">
                  <c:v>44856</c:v>
                </c:pt>
                <c:pt idx="295">
                  <c:v>44857</c:v>
                </c:pt>
                <c:pt idx="296">
                  <c:v>44858</c:v>
                </c:pt>
                <c:pt idx="297">
                  <c:v>44859</c:v>
                </c:pt>
                <c:pt idx="298">
                  <c:v>44860</c:v>
                </c:pt>
                <c:pt idx="299">
                  <c:v>44861</c:v>
                </c:pt>
                <c:pt idx="300">
                  <c:v>44862</c:v>
                </c:pt>
                <c:pt idx="301">
                  <c:v>44863</c:v>
                </c:pt>
                <c:pt idx="302">
                  <c:v>44864</c:v>
                </c:pt>
                <c:pt idx="303">
                  <c:v>44865</c:v>
                </c:pt>
                <c:pt idx="304">
                  <c:v>44866</c:v>
                </c:pt>
                <c:pt idx="305">
                  <c:v>44867</c:v>
                </c:pt>
                <c:pt idx="306">
                  <c:v>44868</c:v>
                </c:pt>
                <c:pt idx="307">
                  <c:v>44869</c:v>
                </c:pt>
                <c:pt idx="308">
                  <c:v>44870</c:v>
                </c:pt>
                <c:pt idx="309">
                  <c:v>44871</c:v>
                </c:pt>
                <c:pt idx="310">
                  <c:v>44872</c:v>
                </c:pt>
                <c:pt idx="311">
                  <c:v>44873</c:v>
                </c:pt>
                <c:pt idx="312">
                  <c:v>44874</c:v>
                </c:pt>
                <c:pt idx="313">
                  <c:v>44875</c:v>
                </c:pt>
                <c:pt idx="314">
                  <c:v>44876</c:v>
                </c:pt>
                <c:pt idx="315">
                  <c:v>44877</c:v>
                </c:pt>
                <c:pt idx="316">
                  <c:v>44878</c:v>
                </c:pt>
                <c:pt idx="317">
                  <c:v>44879</c:v>
                </c:pt>
                <c:pt idx="318">
                  <c:v>44880</c:v>
                </c:pt>
                <c:pt idx="319">
                  <c:v>44881</c:v>
                </c:pt>
                <c:pt idx="320">
                  <c:v>44882</c:v>
                </c:pt>
                <c:pt idx="321">
                  <c:v>44883</c:v>
                </c:pt>
                <c:pt idx="322">
                  <c:v>44884</c:v>
                </c:pt>
                <c:pt idx="323">
                  <c:v>44885</c:v>
                </c:pt>
                <c:pt idx="324">
                  <c:v>44886</c:v>
                </c:pt>
                <c:pt idx="325">
                  <c:v>44887</c:v>
                </c:pt>
                <c:pt idx="326">
                  <c:v>44888</c:v>
                </c:pt>
                <c:pt idx="327">
                  <c:v>44889</c:v>
                </c:pt>
                <c:pt idx="328">
                  <c:v>44890</c:v>
                </c:pt>
                <c:pt idx="329">
                  <c:v>44891</c:v>
                </c:pt>
                <c:pt idx="330">
                  <c:v>44892</c:v>
                </c:pt>
                <c:pt idx="331">
                  <c:v>44893</c:v>
                </c:pt>
                <c:pt idx="332">
                  <c:v>44894</c:v>
                </c:pt>
                <c:pt idx="333">
                  <c:v>44895</c:v>
                </c:pt>
                <c:pt idx="334">
                  <c:v>44896</c:v>
                </c:pt>
                <c:pt idx="335">
                  <c:v>44897</c:v>
                </c:pt>
                <c:pt idx="336">
                  <c:v>44898</c:v>
                </c:pt>
                <c:pt idx="337">
                  <c:v>44899</c:v>
                </c:pt>
                <c:pt idx="338">
                  <c:v>44900</c:v>
                </c:pt>
                <c:pt idx="339">
                  <c:v>44901</c:v>
                </c:pt>
                <c:pt idx="340">
                  <c:v>44902</c:v>
                </c:pt>
                <c:pt idx="341">
                  <c:v>44903</c:v>
                </c:pt>
                <c:pt idx="342">
                  <c:v>44904</c:v>
                </c:pt>
                <c:pt idx="343">
                  <c:v>44905</c:v>
                </c:pt>
                <c:pt idx="344">
                  <c:v>44906</c:v>
                </c:pt>
                <c:pt idx="345">
                  <c:v>44907</c:v>
                </c:pt>
                <c:pt idx="346">
                  <c:v>44908</c:v>
                </c:pt>
                <c:pt idx="347">
                  <c:v>44909</c:v>
                </c:pt>
                <c:pt idx="348">
                  <c:v>44910</c:v>
                </c:pt>
                <c:pt idx="349">
                  <c:v>44911</c:v>
                </c:pt>
                <c:pt idx="350">
                  <c:v>44912</c:v>
                </c:pt>
                <c:pt idx="351">
                  <c:v>44913</c:v>
                </c:pt>
                <c:pt idx="352">
                  <c:v>44914</c:v>
                </c:pt>
                <c:pt idx="353">
                  <c:v>44915</c:v>
                </c:pt>
                <c:pt idx="354">
                  <c:v>44916</c:v>
                </c:pt>
                <c:pt idx="355">
                  <c:v>44917</c:v>
                </c:pt>
                <c:pt idx="356">
                  <c:v>44918</c:v>
                </c:pt>
                <c:pt idx="357">
                  <c:v>44919</c:v>
                </c:pt>
                <c:pt idx="358">
                  <c:v>44920</c:v>
                </c:pt>
                <c:pt idx="359">
                  <c:v>44921</c:v>
                </c:pt>
                <c:pt idx="360">
                  <c:v>44922</c:v>
                </c:pt>
                <c:pt idx="361">
                  <c:v>44923</c:v>
                </c:pt>
                <c:pt idx="362">
                  <c:v>44924</c:v>
                </c:pt>
                <c:pt idx="363">
                  <c:v>44925</c:v>
                </c:pt>
                <c:pt idx="364">
                  <c:v>44926</c:v>
                </c:pt>
              </c:numCache>
            </c:numRef>
          </c:xVal>
          <c:yVal>
            <c:numRef>
              <c:f>'Real Model'!$D$15:$D$379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83</c:v>
                </c:pt>
                <c:pt idx="4">
                  <c:v>100</c:v>
                </c:pt>
                <c:pt idx="5">
                  <c:v>73</c:v>
                </c:pt>
                <c:pt idx="6">
                  <c:v>86</c:v>
                </c:pt>
                <c:pt idx="7">
                  <c:v>89</c:v>
                </c:pt>
                <c:pt idx="8">
                  <c:v>54</c:v>
                </c:pt>
                <c:pt idx="9">
                  <c:v>53</c:v>
                </c:pt>
                <c:pt idx="10">
                  <c:v>71</c:v>
                </c:pt>
                <c:pt idx="11">
                  <c:v>67</c:v>
                </c:pt>
                <c:pt idx="12">
                  <c:v>92</c:v>
                </c:pt>
                <c:pt idx="13">
                  <c:v>100</c:v>
                </c:pt>
                <c:pt idx="14">
                  <c:v>52</c:v>
                </c:pt>
                <c:pt idx="15">
                  <c:v>78</c:v>
                </c:pt>
                <c:pt idx="16">
                  <c:v>86</c:v>
                </c:pt>
                <c:pt idx="17">
                  <c:v>90</c:v>
                </c:pt>
                <c:pt idx="18">
                  <c:v>75</c:v>
                </c:pt>
                <c:pt idx="19">
                  <c:v>63</c:v>
                </c:pt>
                <c:pt idx="20">
                  <c:v>67</c:v>
                </c:pt>
                <c:pt idx="21">
                  <c:v>87</c:v>
                </c:pt>
                <c:pt idx="22">
                  <c:v>128</c:v>
                </c:pt>
                <c:pt idx="23">
                  <c:v>78</c:v>
                </c:pt>
                <c:pt idx="24">
                  <c:v>79</c:v>
                </c:pt>
                <c:pt idx="25">
                  <c:v>84</c:v>
                </c:pt>
                <c:pt idx="26">
                  <c:v>68</c:v>
                </c:pt>
                <c:pt idx="27">
                  <c:v>79</c:v>
                </c:pt>
                <c:pt idx="28">
                  <c:v>57</c:v>
                </c:pt>
                <c:pt idx="29">
                  <c:v>101</c:v>
                </c:pt>
                <c:pt idx="30">
                  <c:v>71</c:v>
                </c:pt>
                <c:pt idx="31">
                  <c:v>95</c:v>
                </c:pt>
                <c:pt idx="32">
                  <c:v>99</c:v>
                </c:pt>
                <c:pt idx="33">
                  <c:v>74</c:v>
                </c:pt>
                <c:pt idx="34">
                  <c:v>150</c:v>
                </c:pt>
                <c:pt idx="35">
                  <c:v>114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81</c:v>
                </c:pt>
                <c:pt idx="46">
                  <c:v>83</c:v>
                </c:pt>
                <c:pt idx="47">
                  <c:v>74</c:v>
                </c:pt>
                <c:pt idx="48">
                  <c:v>113</c:v>
                </c:pt>
                <c:pt idx="49">
                  <c:v>130</c:v>
                </c:pt>
                <c:pt idx="50">
                  <c:v>120</c:v>
                </c:pt>
                <c:pt idx="51">
                  <c:v>113</c:v>
                </c:pt>
                <c:pt idx="52">
                  <c:v>87</c:v>
                </c:pt>
                <c:pt idx="53">
                  <c:v>88</c:v>
                </c:pt>
                <c:pt idx="54">
                  <c:v>79</c:v>
                </c:pt>
                <c:pt idx="55">
                  <c:v>93</c:v>
                </c:pt>
                <c:pt idx="56">
                  <c:v>87</c:v>
                </c:pt>
                <c:pt idx="57">
                  <c:v>111</c:v>
                </c:pt>
                <c:pt idx="58">
                  <c:v>82</c:v>
                </c:pt>
                <c:pt idx="59">
                  <c:v>89</c:v>
                </c:pt>
                <c:pt idx="60">
                  <c:v>115</c:v>
                </c:pt>
                <c:pt idx="61">
                  <c:v>111</c:v>
                </c:pt>
                <c:pt idx="62">
                  <c:v>92</c:v>
                </c:pt>
                <c:pt idx="63">
                  <c:v>100</c:v>
                </c:pt>
                <c:pt idx="64">
                  <c:v>86</c:v>
                </c:pt>
                <c:pt idx="65">
                  <c:v>84</c:v>
                </c:pt>
                <c:pt idx="66">
                  <c:v>82</c:v>
                </c:pt>
                <c:pt idx="67">
                  <c:v>99</c:v>
                </c:pt>
                <c:pt idx="68">
                  <c:v>125</c:v>
                </c:pt>
                <c:pt idx="69">
                  <c:v>102</c:v>
                </c:pt>
                <c:pt idx="70">
                  <c:v>88</c:v>
                </c:pt>
                <c:pt idx="71">
                  <c:v>53</c:v>
                </c:pt>
                <c:pt idx="72">
                  <c:v>124</c:v>
                </c:pt>
                <c:pt idx="73">
                  <c:v>81</c:v>
                </c:pt>
                <c:pt idx="74">
                  <c:v>102</c:v>
                </c:pt>
                <c:pt idx="75">
                  <c:v>112</c:v>
                </c:pt>
                <c:pt idx="76">
                  <c:v>67</c:v>
                </c:pt>
                <c:pt idx="77">
                  <c:v>92</c:v>
                </c:pt>
                <c:pt idx="78">
                  <c:v>93</c:v>
                </c:pt>
                <c:pt idx="79">
                  <c:v>119</c:v>
                </c:pt>
                <c:pt idx="80">
                  <c:v>89</c:v>
                </c:pt>
                <c:pt idx="81">
                  <c:v>41</c:v>
                </c:pt>
                <c:pt idx="82">
                  <c:v>66</c:v>
                </c:pt>
                <c:pt idx="83">
                  <c:v>63</c:v>
                </c:pt>
                <c:pt idx="84">
                  <c:v>117</c:v>
                </c:pt>
                <c:pt idx="85">
                  <c:v>66</c:v>
                </c:pt>
                <c:pt idx="86">
                  <c:v>128</c:v>
                </c:pt>
                <c:pt idx="87">
                  <c:v>88</c:v>
                </c:pt>
                <c:pt idx="88">
                  <c:v>83</c:v>
                </c:pt>
                <c:pt idx="89">
                  <c:v>109</c:v>
                </c:pt>
                <c:pt idx="90">
                  <c:v>79</c:v>
                </c:pt>
                <c:pt idx="91">
                  <c:v>44</c:v>
                </c:pt>
                <c:pt idx="92">
                  <c:v>51</c:v>
                </c:pt>
                <c:pt idx="93">
                  <c:v>101</c:v>
                </c:pt>
                <c:pt idx="94">
                  <c:v>93</c:v>
                </c:pt>
                <c:pt idx="95">
                  <c:v>46</c:v>
                </c:pt>
                <c:pt idx="96">
                  <c:v>72</c:v>
                </c:pt>
                <c:pt idx="97">
                  <c:v>75</c:v>
                </c:pt>
                <c:pt idx="98">
                  <c:v>74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74</c:v>
                </c:pt>
                <c:pt idx="109">
                  <c:v>80</c:v>
                </c:pt>
                <c:pt idx="110">
                  <c:v>71</c:v>
                </c:pt>
                <c:pt idx="111">
                  <c:v>74</c:v>
                </c:pt>
                <c:pt idx="112">
                  <c:v>58</c:v>
                </c:pt>
                <c:pt idx="113">
                  <c:v>75</c:v>
                </c:pt>
                <c:pt idx="114">
                  <c:v>68</c:v>
                </c:pt>
                <c:pt idx="115">
                  <c:v>89</c:v>
                </c:pt>
                <c:pt idx="116">
                  <c:v>89</c:v>
                </c:pt>
                <c:pt idx="117">
                  <c:v>91</c:v>
                </c:pt>
                <c:pt idx="118">
                  <c:v>93</c:v>
                </c:pt>
                <c:pt idx="119">
                  <c:v>73</c:v>
                </c:pt>
                <c:pt idx="120">
                  <c:v>74</c:v>
                </c:pt>
                <c:pt idx="121">
                  <c:v>74</c:v>
                </c:pt>
                <c:pt idx="122">
                  <c:v>70</c:v>
                </c:pt>
                <c:pt idx="123">
                  <c:v>89</c:v>
                </c:pt>
                <c:pt idx="124">
                  <c:v>65</c:v>
                </c:pt>
                <c:pt idx="125">
                  <c:v>97</c:v>
                </c:pt>
                <c:pt idx="126">
                  <c:v>53</c:v>
                </c:pt>
                <c:pt idx="127">
                  <c:v>73</c:v>
                </c:pt>
                <c:pt idx="128">
                  <c:v>73</c:v>
                </c:pt>
                <c:pt idx="129">
                  <c:v>71</c:v>
                </c:pt>
                <c:pt idx="130">
                  <c:v>52</c:v>
                </c:pt>
                <c:pt idx="131">
                  <c:v>82</c:v>
                </c:pt>
                <c:pt idx="132">
                  <c:v>85</c:v>
                </c:pt>
                <c:pt idx="133">
                  <c:v>67</c:v>
                </c:pt>
                <c:pt idx="134">
                  <c:v>79</c:v>
                </c:pt>
                <c:pt idx="135">
                  <c:v>79</c:v>
                </c:pt>
                <c:pt idx="136">
                  <c:v>70</c:v>
                </c:pt>
                <c:pt idx="137">
                  <c:v>92</c:v>
                </c:pt>
                <c:pt idx="138">
                  <c:v>67</c:v>
                </c:pt>
                <c:pt idx="139">
                  <c:v>83</c:v>
                </c:pt>
                <c:pt idx="140">
                  <c:v>74</c:v>
                </c:pt>
                <c:pt idx="141">
                  <c:v>52</c:v>
                </c:pt>
                <c:pt idx="142">
                  <c:v>61</c:v>
                </c:pt>
                <c:pt idx="143">
                  <c:v>69</c:v>
                </c:pt>
                <c:pt idx="144">
                  <c:v>84</c:v>
                </c:pt>
                <c:pt idx="145">
                  <c:v>56</c:v>
                </c:pt>
                <c:pt idx="146">
                  <c:v>60</c:v>
                </c:pt>
                <c:pt idx="147">
                  <c:v>82</c:v>
                </c:pt>
                <c:pt idx="148">
                  <c:v>85</c:v>
                </c:pt>
                <c:pt idx="149">
                  <c:v>75</c:v>
                </c:pt>
                <c:pt idx="150">
                  <c:v>91</c:v>
                </c:pt>
                <c:pt idx="151">
                  <c:v>67</c:v>
                </c:pt>
                <c:pt idx="152">
                  <c:v>86</c:v>
                </c:pt>
                <c:pt idx="153">
                  <c:v>83</c:v>
                </c:pt>
                <c:pt idx="154">
                  <c:v>77</c:v>
                </c:pt>
                <c:pt idx="155">
                  <c:v>75</c:v>
                </c:pt>
                <c:pt idx="156">
                  <c:v>93</c:v>
                </c:pt>
                <c:pt idx="157">
                  <c:v>52</c:v>
                </c:pt>
                <c:pt idx="158">
                  <c:v>97</c:v>
                </c:pt>
                <c:pt idx="159">
                  <c:v>59</c:v>
                </c:pt>
                <c:pt idx="160">
                  <c:v>45</c:v>
                </c:pt>
                <c:pt idx="161">
                  <c:v>87</c:v>
                </c:pt>
                <c:pt idx="162">
                  <c:v>85</c:v>
                </c:pt>
                <c:pt idx="163">
                  <c:v>65</c:v>
                </c:pt>
                <c:pt idx="164">
                  <c:v>86</c:v>
                </c:pt>
                <c:pt idx="165">
                  <c:v>73</c:v>
                </c:pt>
                <c:pt idx="166">
                  <c:v>50</c:v>
                </c:pt>
                <c:pt idx="167">
                  <c:v>81</c:v>
                </c:pt>
                <c:pt idx="168">
                  <c:v>72</c:v>
                </c:pt>
                <c:pt idx="169">
                  <c:v>51</c:v>
                </c:pt>
                <c:pt idx="170">
                  <c:v>85</c:v>
                </c:pt>
                <c:pt idx="171">
                  <c:v>78</c:v>
                </c:pt>
                <c:pt idx="172">
                  <c:v>77</c:v>
                </c:pt>
                <c:pt idx="173">
                  <c:v>66</c:v>
                </c:pt>
                <c:pt idx="174">
                  <c:v>56</c:v>
                </c:pt>
                <c:pt idx="175">
                  <c:v>62</c:v>
                </c:pt>
                <c:pt idx="176">
                  <c:v>85</c:v>
                </c:pt>
                <c:pt idx="177">
                  <c:v>44</c:v>
                </c:pt>
                <c:pt idx="178">
                  <c:v>53</c:v>
                </c:pt>
                <c:pt idx="179">
                  <c:v>80</c:v>
                </c:pt>
                <c:pt idx="180">
                  <c:v>98</c:v>
                </c:pt>
                <c:pt idx="181">
                  <c:v>76</c:v>
                </c:pt>
                <c:pt idx="182">
                  <c:v>84</c:v>
                </c:pt>
                <c:pt idx="183">
                  <c:v>56</c:v>
                </c:pt>
                <c:pt idx="184">
                  <c:v>73</c:v>
                </c:pt>
                <c:pt idx="185">
                  <c:v>85</c:v>
                </c:pt>
                <c:pt idx="186">
                  <c:v>69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78</c:v>
                </c:pt>
                <c:pt idx="245">
                  <c:v>86</c:v>
                </c:pt>
                <c:pt idx="246">
                  <c:v>79</c:v>
                </c:pt>
                <c:pt idx="247">
                  <c:v>92</c:v>
                </c:pt>
                <c:pt idx="248">
                  <c:v>84</c:v>
                </c:pt>
                <c:pt idx="249">
                  <c:v>83</c:v>
                </c:pt>
                <c:pt idx="250">
                  <c:v>69</c:v>
                </c:pt>
                <c:pt idx="251">
                  <c:v>78</c:v>
                </c:pt>
                <c:pt idx="252">
                  <c:v>89</c:v>
                </c:pt>
                <c:pt idx="253">
                  <c:v>119</c:v>
                </c:pt>
                <c:pt idx="254">
                  <c:v>86</c:v>
                </c:pt>
                <c:pt idx="255">
                  <c:v>115</c:v>
                </c:pt>
                <c:pt idx="256">
                  <c:v>111</c:v>
                </c:pt>
                <c:pt idx="257">
                  <c:v>67</c:v>
                </c:pt>
                <c:pt idx="258">
                  <c:v>112</c:v>
                </c:pt>
                <c:pt idx="259">
                  <c:v>104</c:v>
                </c:pt>
                <c:pt idx="260">
                  <c:v>104</c:v>
                </c:pt>
                <c:pt idx="261">
                  <c:v>121</c:v>
                </c:pt>
                <c:pt idx="262">
                  <c:v>108</c:v>
                </c:pt>
                <c:pt idx="263">
                  <c:v>117</c:v>
                </c:pt>
                <c:pt idx="264">
                  <c:v>90</c:v>
                </c:pt>
                <c:pt idx="265">
                  <c:v>113</c:v>
                </c:pt>
                <c:pt idx="266">
                  <c:v>135</c:v>
                </c:pt>
                <c:pt idx="267">
                  <c:v>132</c:v>
                </c:pt>
                <c:pt idx="268">
                  <c:v>103</c:v>
                </c:pt>
                <c:pt idx="269">
                  <c:v>135</c:v>
                </c:pt>
                <c:pt idx="270">
                  <c:v>88</c:v>
                </c:pt>
                <c:pt idx="271">
                  <c:v>127</c:v>
                </c:pt>
                <c:pt idx="272">
                  <c:v>113</c:v>
                </c:pt>
                <c:pt idx="273">
                  <c:v>93</c:v>
                </c:pt>
                <c:pt idx="274">
                  <c:v>97</c:v>
                </c:pt>
                <c:pt idx="275">
                  <c:v>124</c:v>
                </c:pt>
                <c:pt idx="276">
                  <c:v>134</c:v>
                </c:pt>
                <c:pt idx="277">
                  <c:v>81</c:v>
                </c:pt>
                <c:pt idx="278">
                  <c:v>92</c:v>
                </c:pt>
                <c:pt idx="279">
                  <c:v>83</c:v>
                </c:pt>
                <c:pt idx="280">
                  <c:v>130</c:v>
                </c:pt>
                <c:pt idx="281">
                  <c:v>95</c:v>
                </c:pt>
                <c:pt idx="282">
                  <c:v>102</c:v>
                </c:pt>
                <c:pt idx="283">
                  <c:v>87</c:v>
                </c:pt>
                <c:pt idx="284">
                  <c:v>90</c:v>
                </c:pt>
                <c:pt idx="285">
                  <c:v>92</c:v>
                </c:pt>
                <c:pt idx="286">
                  <c:v>85</c:v>
                </c:pt>
                <c:pt idx="287">
                  <c:v>96</c:v>
                </c:pt>
                <c:pt idx="288">
                  <c:v>79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115</c:v>
                </c:pt>
                <c:pt idx="299">
                  <c:v>103</c:v>
                </c:pt>
                <c:pt idx="300">
                  <c:v>122</c:v>
                </c:pt>
                <c:pt idx="301">
                  <c:v>144</c:v>
                </c:pt>
                <c:pt idx="302">
                  <c:v>98</c:v>
                </c:pt>
                <c:pt idx="303">
                  <c:v>88</c:v>
                </c:pt>
                <c:pt idx="304">
                  <c:v>80</c:v>
                </c:pt>
                <c:pt idx="305">
                  <c:v>149</c:v>
                </c:pt>
                <c:pt idx="306">
                  <c:v>97</c:v>
                </c:pt>
                <c:pt idx="307">
                  <c:v>97</c:v>
                </c:pt>
                <c:pt idx="308">
                  <c:v>117</c:v>
                </c:pt>
                <c:pt idx="309">
                  <c:v>112</c:v>
                </c:pt>
                <c:pt idx="310">
                  <c:v>127</c:v>
                </c:pt>
                <c:pt idx="311">
                  <c:v>97</c:v>
                </c:pt>
                <c:pt idx="312">
                  <c:v>78</c:v>
                </c:pt>
                <c:pt idx="313">
                  <c:v>100</c:v>
                </c:pt>
                <c:pt idx="314">
                  <c:v>98</c:v>
                </c:pt>
                <c:pt idx="315">
                  <c:v>125</c:v>
                </c:pt>
                <c:pt idx="316">
                  <c:v>77</c:v>
                </c:pt>
                <c:pt idx="317">
                  <c:v>108</c:v>
                </c:pt>
                <c:pt idx="318">
                  <c:v>61</c:v>
                </c:pt>
                <c:pt idx="319">
                  <c:v>68</c:v>
                </c:pt>
                <c:pt idx="320">
                  <c:v>89</c:v>
                </c:pt>
                <c:pt idx="321">
                  <c:v>87</c:v>
                </c:pt>
                <c:pt idx="322">
                  <c:v>106</c:v>
                </c:pt>
                <c:pt idx="323">
                  <c:v>88</c:v>
                </c:pt>
                <c:pt idx="324">
                  <c:v>92</c:v>
                </c:pt>
                <c:pt idx="325">
                  <c:v>80</c:v>
                </c:pt>
                <c:pt idx="326">
                  <c:v>91</c:v>
                </c:pt>
                <c:pt idx="327">
                  <c:v>71</c:v>
                </c:pt>
                <c:pt idx="328">
                  <c:v>115</c:v>
                </c:pt>
                <c:pt idx="329">
                  <c:v>86</c:v>
                </c:pt>
                <c:pt idx="330">
                  <c:v>100</c:v>
                </c:pt>
                <c:pt idx="331">
                  <c:v>115</c:v>
                </c:pt>
                <c:pt idx="332">
                  <c:v>102</c:v>
                </c:pt>
                <c:pt idx="333">
                  <c:v>76</c:v>
                </c:pt>
                <c:pt idx="334">
                  <c:v>100</c:v>
                </c:pt>
                <c:pt idx="335">
                  <c:v>92</c:v>
                </c:pt>
                <c:pt idx="336">
                  <c:v>123</c:v>
                </c:pt>
                <c:pt idx="337">
                  <c:v>71</c:v>
                </c:pt>
                <c:pt idx="338">
                  <c:v>95</c:v>
                </c:pt>
                <c:pt idx="339">
                  <c:v>103</c:v>
                </c:pt>
                <c:pt idx="340">
                  <c:v>92</c:v>
                </c:pt>
                <c:pt idx="341">
                  <c:v>122</c:v>
                </c:pt>
                <c:pt idx="342">
                  <c:v>100</c:v>
                </c:pt>
                <c:pt idx="343">
                  <c:v>67</c:v>
                </c:pt>
                <c:pt idx="344">
                  <c:v>55</c:v>
                </c:pt>
                <c:pt idx="345">
                  <c:v>127</c:v>
                </c:pt>
                <c:pt idx="346">
                  <c:v>118</c:v>
                </c:pt>
                <c:pt idx="347">
                  <c:v>122</c:v>
                </c:pt>
                <c:pt idx="348">
                  <c:v>97</c:v>
                </c:pt>
                <c:pt idx="349">
                  <c:v>87</c:v>
                </c:pt>
                <c:pt idx="350">
                  <c:v>76</c:v>
                </c:pt>
                <c:pt idx="351">
                  <c:v>63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841016"/>
        <c:axId val="344842584"/>
      </c:scatterChart>
      <c:valAx>
        <c:axId val="344841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4842584"/>
        <c:crosses val="autoZero"/>
        <c:crossBetween val="midCat"/>
      </c:valAx>
      <c:valAx>
        <c:axId val="344842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4841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81</xdr:col>
      <xdr:colOff>824395</xdr:colOff>
      <xdr:row>15</xdr:row>
      <xdr:rowOff>57884</xdr:rowOff>
    </xdr:from>
    <xdr:ext cx="13337899" cy="4902626"/>
    <xdr:graphicFrame macro="">
      <xdr:nvGraphicFramePr>
        <xdr:cNvPr id="2" name="Chart 1" title="Graphiqu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77</xdr:col>
      <xdr:colOff>95613</xdr:colOff>
      <xdr:row>3</xdr:row>
      <xdr:rowOff>43790</xdr:rowOff>
    </xdr:from>
    <xdr:ext cx="3552825" cy="1771650"/>
    <xdr:pic>
      <xdr:nvPicPr>
        <xdr:cNvPr id="3" name="image1.png" title="Image"/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7003184" y="533647"/>
          <a:ext cx="3552825" cy="1771650"/>
        </a:xfrm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</xdr:row>
          <xdr:rowOff>9525</xdr:rowOff>
        </xdr:from>
        <xdr:to>
          <xdr:col>5</xdr:col>
          <xdr:colOff>1143000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Appuyer pour calculer les nombres de paniers mensuels pour chaque campus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1009650</xdr:colOff>
          <xdr:row>0</xdr:row>
          <xdr:rowOff>152400</xdr:rowOff>
        </xdr:from>
        <xdr:to>
          <xdr:col>11</xdr:col>
          <xdr:colOff>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Appuyez pour faire les totaux mensuels</a:t>
              </a:r>
            </a:p>
          </xdr:txBody>
        </xdr:sp>
        <xdr:clientData fPrintsWithSheet="0"/>
      </xdr:twoCellAnchor>
    </mc:Choice>
    <mc:Fallback/>
  </mc:AlternateContent>
  <xdr:twoCellAnchor>
    <xdr:from>
      <xdr:col>83</xdr:col>
      <xdr:colOff>10205</xdr:colOff>
      <xdr:row>49</xdr:row>
      <xdr:rowOff>91166</xdr:rowOff>
    </xdr:from>
    <xdr:to>
      <xdr:col>93</xdr:col>
      <xdr:colOff>523874</xdr:colOff>
      <xdr:row>87</xdr:row>
      <xdr:rowOff>125231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653142</xdr:colOff>
      <xdr:row>14</xdr:row>
      <xdr:rowOff>29935</xdr:rowOff>
    </xdr:from>
    <xdr:to>
      <xdr:col>103</xdr:col>
      <xdr:colOff>68035</xdr:colOff>
      <xdr:row>47</xdr:row>
      <xdr:rowOff>136071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B1:CB1114"/>
  <sheetViews>
    <sheetView zoomScale="58" zoomScaleNormal="58" workbookViewId="0">
      <selection activeCell="C9" sqref="C9"/>
    </sheetView>
  </sheetViews>
  <sheetFormatPr baseColWidth="10" defaultColWidth="14.42578125" defaultRowHeight="15.75" customHeight="1" x14ac:dyDescent="0.2"/>
  <cols>
    <col min="2" max="2" width="17.140625" customWidth="1"/>
    <col min="3" max="3" width="16.5703125" bestFit="1" customWidth="1"/>
    <col min="4" max="4" width="20.85546875" customWidth="1"/>
    <col min="6" max="6" width="17.140625" bestFit="1" customWidth="1"/>
    <col min="7" max="7" width="15.28515625" bestFit="1" customWidth="1"/>
    <col min="8" max="8" width="20.85546875" bestFit="1" customWidth="1"/>
    <col min="11" max="11" width="15.28515625" bestFit="1" customWidth="1"/>
    <col min="12" max="12" width="20.85546875" bestFit="1" customWidth="1"/>
    <col min="15" max="15" width="15.28515625" bestFit="1" customWidth="1"/>
    <col min="23" max="23" width="15.28515625" bestFit="1" customWidth="1"/>
    <col min="27" max="27" width="15.28515625" bestFit="1" customWidth="1"/>
    <col min="29" max="30" width="14.42578125" style="35"/>
    <col min="33" max="33" width="15.28515625" bestFit="1" customWidth="1"/>
    <col min="37" max="37" width="15.28515625" bestFit="1" customWidth="1"/>
    <col min="45" max="45" width="15.28515625" bestFit="1" customWidth="1"/>
    <col min="49" max="49" width="15.28515625" bestFit="1" customWidth="1"/>
    <col min="53" max="53" width="15.28515625" bestFit="1" customWidth="1"/>
    <col min="55" max="56" width="14.42578125" style="35"/>
    <col min="59" max="59" width="15.28515625" bestFit="1" customWidth="1"/>
    <col min="63" max="63" width="15.28515625" bestFit="1" customWidth="1"/>
    <col min="71" max="71" width="15.28515625" bestFit="1" customWidth="1"/>
    <col min="75" max="75" width="15.28515625" bestFit="1" customWidth="1"/>
    <col min="80" max="80" width="17.140625" bestFit="1" customWidth="1"/>
  </cols>
  <sheetData>
    <row r="1" spans="2:80" ht="12.75" x14ac:dyDescent="0.2">
      <c r="D1" s="1"/>
    </row>
    <row r="2" spans="2:80" s="35" customFormat="1" ht="12.75" x14ac:dyDescent="0.2">
      <c r="B2" s="34"/>
      <c r="D2" s="7"/>
    </row>
    <row r="3" spans="2:80" s="35" customFormat="1" ht="12.75" x14ac:dyDescent="0.2">
      <c r="B3" s="34"/>
      <c r="D3" s="7"/>
    </row>
    <row r="4" spans="2:80" s="35" customFormat="1" ht="12.75" x14ac:dyDescent="0.2">
      <c r="B4" s="34"/>
      <c r="D4" s="7"/>
    </row>
    <row r="5" spans="2:80" s="35" customFormat="1" ht="12.75" x14ac:dyDescent="0.2">
      <c r="B5" s="34"/>
      <c r="D5" s="7"/>
    </row>
    <row r="6" spans="2:80" ht="12.75" x14ac:dyDescent="0.2">
      <c r="B6" s="45" t="s">
        <v>33</v>
      </c>
      <c r="C6" s="46"/>
      <c r="D6" s="7"/>
    </row>
    <row r="7" spans="2:80" ht="12.75" x14ac:dyDescent="0.2">
      <c r="B7" s="47" t="str">
        <f>'Nombre campus'!B5</f>
        <v>G. Charpak</v>
      </c>
      <c r="C7" s="48"/>
      <c r="D7" s="27"/>
      <c r="E7" s="24"/>
      <c r="F7" s="47" t="str">
        <f>'Nombre campus'!B6</f>
        <v>Mines ICM</v>
      </c>
      <c r="G7" s="48"/>
      <c r="H7" s="27"/>
      <c r="J7" s="47" t="str">
        <f>'Nombre campus'!B7</f>
        <v>Mines Albi</v>
      </c>
      <c r="K7" s="48"/>
      <c r="L7" s="27"/>
      <c r="N7" s="47" t="str">
        <f>'Nombre campus'!B8</f>
        <v>Telecom Paris</v>
      </c>
      <c r="O7" s="48"/>
      <c r="P7" s="27"/>
      <c r="R7" s="47" t="str">
        <f>'Nombre campus'!B9</f>
        <v xml:space="preserve">Telecom sud Paris </v>
      </c>
      <c r="S7" s="48"/>
      <c r="T7" s="27"/>
      <c r="V7" s="47" t="str">
        <f>'Nombre campus'!B10</f>
        <v>IMT Business school</v>
      </c>
      <c r="W7" s="48"/>
      <c r="X7" s="27"/>
      <c r="Z7" s="47" t="str">
        <f>'Nombre campus'!B11</f>
        <v>IMT Atlantique</v>
      </c>
      <c r="AA7" s="48"/>
      <c r="AB7" s="27"/>
      <c r="AC7" s="25"/>
      <c r="AD7" s="25"/>
      <c r="AF7" s="47" t="str">
        <f>'Nombre campus'!B12</f>
        <v>IMT Douai</v>
      </c>
      <c r="AG7" s="48"/>
      <c r="AH7" s="27"/>
      <c r="AJ7" s="47" t="str">
        <f>'Nombre campus'!B13</f>
        <v>Campus 1</v>
      </c>
      <c r="AK7" s="48"/>
      <c r="AL7" s="27"/>
      <c r="AN7" s="47" t="str">
        <f>'Nombre campus'!B14</f>
        <v>Campus 2</v>
      </c>
      <c r="AO7" s="48"/>
      <c r="AP7" s="27"/>
      <c r="AR7" s="47" t="str">
        <f>'Nombre campus'!B15</f>
        <v>Campus 3</v>
      </c>
      <c r="AS7" s="48"/>
      <c r="AT7" s="27"/>
      <c r="AV7" s="47" t="str">
        <f>'Nombre campus'!B16</f>
        <v>Campus 4</v>
      </c>
      <c r="AW7" s="48"/>
      <c r="AX7" s="27"/>
      <c r="AZ7" s="47" t="str">
        <f>'Nombre campus'!B17</f>
        <v>Campus 5</v>
      </c>
      <c r="BA7" s="48"/>
      <c r="BB7" s="27"/>
      <c r="BC7" s="25"/>
      <c r="BD7" s="25"/>
      <c r="BF7" s="47" t="str">
        <f>'Nombre campus'!B18</f>
        <v>Campus 6</v>
      </c>
      <c r="BG7" s="48"/>
      <c r="BH7" s="27"/>
      <c r="BJ7" s="47" t="str">
        <f>'Nombre campus'!B19</f>
        <v>Campus 7</v>
      </c>
      <c r="BK7" s="48"/>
      <c r="BL7" s="27"/>
      <c r="BN7" s="47" t="str">
        <f>'Nombre campus'!B20</f>
        <v>Campus 8</v>
      </c>
      <c r="BO7" s="48"/>
      <c r="BP7" s="27"/>
      <c r="BR7" s="47" t="str">
        <f>'Nombre campus'!B21</f>
        <v>Campus 9</v>
      </c>
      <c r="BS7" s="48"/>
      <c r="BT7" s="27"/>
      <c r="BV7" s="47" t="str">
        <f>'Nombre campus'!B22</f>
        <v>Campus 10</v>
      </c>
      <c r="BW7" s="48"/>
      <c r="BX7" s="27"/>
    </row>
    <row r="8" spans="2:80" ht="12.75" x14ac:dyDescent="0.2">
      <c r="B8" s="28" t="s">
        <v>0</v>
      </c>
      <c r="C8" s="2">
        <f>'Nombre campus'!$C$5</f>
        <v>500</v>
      </c>
      <c r="D8" s="29"/>
      <c r="E8" s="24"/>
      <c r="F8" s="28" t="s">
        <v>0</v>
      </c>
      <c r="G8" s="2">
        <f>'Nombre campus'!C6</f>
        <v>1436</v>
      </c>
      <c r="H8" s="29"/>
      <c r="J8" s="28" t="s">
        <v>0</v>
      </c>
      <c r="K8" s="2">
        <f>'Nombre campus'!C7</f>
        <v>1000</v>
      </c>
      <c r="L8" s="29"/>
      <c r="N8" s="28" t="s">
        <v>0</v>
      </c>
      <c r="O8" s="2">
        <f>'Nombre campus'!C8</f>
        <v>1529</v>
      </c>
      <c r="P8" s="29"/>
      <c r="R8" s="28" t="s">
        <v>0</v>
      </c>
      <c r="S8" s="2">
        <f>'Nombre campus'!C9</f>
        <v>925</v>
      </c>
      <c r="T8" s="29"/>
      <c r="V8" s="28" t="s">
        <v>0</v>
      </c>
      <c r="W8" s="2">
        <f>'Nombre campus'!C10</f>
        <v>1500</v>
      </c>
      <c r="X8" s="29"/>
      <c r="Z8" s="28" t="s">
        <v>0</v>
      </c>
      <c r="AA8" s="2">
        <f>'Nombre campus'!C11</f>
        <v>1800</v>
      </c>
      <c r="AB8" s="29"/>
      <c r="AC8" s="25"/>
      <c r="AD8" s="25"/>
      <c r="AF8" s="28" t="s">
        <v>0</v>
      </c>
      <c r="AG8" s="2">
        <f>'Nombre campus'!C12</f>
        <v>2180</v>
      </c>
      <c r="AH8" s="29"/>
      <c r="AJ8" s="28" t="s">
        <v>0</v>
      </c>
      <c r="AK8" s="2">
        <f ca="1">'Nombre campus'!C13</f>
        <v>1136</v>
      </c>
      <c r="AL8" s="29"/>
      <c r="AN8" s="28" t="s">
        <v>0</v>
      </c>
      <c r="AO8" s="2">
        <f ca="1">'Nombre campus'!C14</f>
        <v>1547</v>
      </c>
      <c r="AP8" s="29"/>
      <c r="AR8" s="28" t="s">
        <v>0</v>
      </c>
      <c r="AS8" s="2">
        <f ca="1">'Nombre campus'!C15</f>
        <v>1320</v>
      </c>
      <c r="AT8" s="29"/>
      <c r="AV8" s="28" t="s">
        <v>0</v>
      </c>
      <c r="AW8" s="2">
        <f ca="1">'Nombre campus'!C16</f>
        <v>1370</v>
      </c>
      <c r="AX8" s="29"/>
      <c r="AZ8" s="28" t="s">
        <v>0</v>
      </c>
      <c r="BA8" s="2">
        <f ca="1">'Nombre campus'!C17</f>
        <v>1557</v>
      </c>
      <c r="BB8" s="29"/>
      <c r="BC8" s="25"/>
      <c r="BD8" s="25"/>
      <c r="BF8" s="28" t="s">
        <v>0</v>
      </c>
      <c r="BG8" s="2">
        <f ca="1">'Nombre campus'!C18</f>
        <v>1337</v>
      </c>
      <c r="BH8" s="29"/>
      <c r="BJ8" s="28" t="s">
        <v>0</v>
      </c>
      <c r="BK8" s="2">
        <f ca="1">'Nombre campus'!C19</f>
        <v>1124</v>
      </c>
      <c r="BL8" s="29"/>
      <c r="BN8" s="28" t="s">
        <v>0</v>
      </c>
      <c r="BO8" s="2">
        <f ca="1">'Nombre campus'!C20</f>
        <v>1438</v>
      </c>
      <c r="BP8" s="29"/>
      <c r="BR8" s="28" t="s">
        <v>0</v>
      </c>
      <c r="BS8" s="2">
        <f ca="1">'Nombre campus'!C21</f>
        <v>1071</v>
      </c>
      <c r="BT8" s="29"/>
      <c r="BV8" s="28" t="s">
        <v>0</v>
      </c>
      <c r="BW8" s="2">
        <f ca="1">'Nombre campus'!C22</f>
        <v>1462</v>
      </c>
      <c r="BX8" s="29"/>
    </row>
    <row r="9" spans="2:80" ht="12.75" x14ac:dyDescent="0.2">
      <c r="B9" s="28" t="s">
        <v>1</v>
      </c>
      <c r="C9" s="3">
        <v>0.15</v>
      </c>
      <c r="D9" s="29"/>
      <c r="E9" s="24"/>
      <c r="F9" s="28" t="s">
        <v>1</v>
      </c>
      <c r="G9" s="3">
        <v>0.15</v>
      </c>
      <c r="H9" s="29"/>
      <c r="J9" s="28" t="s">
        <v>1</v>
      </c>
      <c r="K9" s="3">
        <f>G9</f>
        <v>0.15</v>
      </c>
      <c r="L9" s="29"/>
      <c r="N9" s="28" t="s">
        <v>1</v>
      </c>
      <c r="O9" s="3">
        <f>G9</f>
        <v>0.15</v>
      </c>
      <c r="P9" s="29"/>
      <c r="R9" s="28" t="s">
        <v>1</v>
      </c>
      <c r="S9" s="3">
        <f>G9</f>
        <v>0.15</v>
      </c>
      <c r="T9" s="29"/>
      <c r="V9" s="28" t="s">
        <v>1</v>
      </c>
      <c r="W9" s="3">
        <f>G9</f>
        <v>0.15</v>
      </c>
      <c r="X9" s="29"/>
      <c r="Z9" s="28" t="s">
        <v>1</v>
      </c>
      <c r="AA9" s="3">
        <f>G9</f>
        <v>0.15</v>
      </c>
      <c r="AB9" s="29"/>
      <c r="AC9" s="25"/>
      <c r="AD9" s="25"/>
      <c r="AF9" s="28" t="s">
        <v>1</v>
      </c>
      <c r="AG9" s="3">
        <f>G9</f>
        <v>0.15</v>
      </c>
      <c r="AH9" s="29"/>
      <c r="AJ9" s="28" t="s">
        <v>1</v>
      </c>
      <c r="AK9" s="3">
        <f>G9</f>
        <v>0.15</v>
      </c>
      <c r="AL9" s="29"/>
      <c r="AN9" s="28" t="s">
        <v>1</v>
      </c>
      <c r="AO9" s="3">
        <f>G9</f>
        <v>0.15</v>
      </c>
      <c r="AP9" s="29"/>
      <c r="AR9" s="28" t="s">
        <v>1</v>
      </c>
      <c r="AS9" s="3">
        <f>G9</f>
        <v>0.15</v>
      </c>
      <c r="AT9" s="29"/>
      <c r="AV9" s="28" t="s">
        <v>1</v>
      </c>
      <c r="AW9" s="3">
        <f>G9</f>
        <v>0.15</v>
      </c>
      <c r="AX9" s="29"/>
      <c r="AZ9" s="28" t="s">
        <v>1</v>
      </c>
      <c r="BA9" s="3">
        <f>G9</f>
        <v>0.15</v>
      </c>
      <c r="BB9" s="29"/>
      <c r="BC9" s="25"/>
      <c r="BD9" s="25"/>
      <c r="BF9" s="28" t="s">
        <v>1</v>
      </c>
      <c r="BG9" s="3">
        <f>G9</f>
        <v>0.15</v>
      </c>
      <c r="BH9" s="29"/>
      <c r="BJ9" s="28" t="s">
        <v>1</v>
      </c>
      <c r="BK9" s="3">
        <f>G9</f>
        <v>0.15</v>
      </c>
      <c r="BL9" s="29"/>
      <c r="BN9" s="28" t="s">
        <v>1</v>
      </c>
      <c r="BO9" s="3">
        <f>G9</f>
        <v>0.15</v>
      </c>
      <c r="BP9" s="29"/>
      <c r="BR9" s="28" t="s">
        <v>1</v>
      </c>
      <c r="BS9" s="3">
        <f>G9</f>
        <v>0.15</v>
      </c>
      <c r="BT9" s="29"/>
      <c r="BV9" s="28" t="s">
        <v>1</v>
      </c>
      <c r="BW9" s="3">
        <f>G9</f>
        <v>0.15</v>
      </c>
      <c r="BX9" s="29"/>
    </row>
    <row r="10" spans="2:80" ht="12.75" x14ac:dyDescent="0.2">
      <c r="B10" s="28" t="s">
        <v>2</v>
      </c>
      <c r="C10" s="2">
        <f>C8*C9</f>
        <v>75</v>
      </c>
      <c r="D10" s="29"/>
      <c r="E10" s="24"/>
      <c r="F10" s="28" t="s">
        <v>2</v>
      </c>
      <c r="G10" s="2">
        <f>G8*G9</f>
        <v>215.4</v>
      </c>
      <c r="H10" s="29"/>
      <c r="J10" s="28" t="s">
        <v>2</v>
      </c>
      <c r="K10" s="2">
        <f>K8*K9</f>
        <v>150</v>
      </c>
      <c r="L10" s="29"/>
      <c r="N10" s="28" t="s">
        <v>2</v>
      </c>
      <c r="O10" s="2">
        <f>O8*O9</f>
        <v>229.35</v>
      </c>
      <c r="P10" s="29"/>
      <c r="R10" s="28" t="s">
        <v>2</v>
      </c>
      <c r="S10" s="2">
        <f>S8*S9</f>
        <v>138.75</v>
      </c>
      <c r="T10" s="29"/>
      <c r="V10" s="28" t="s">
        <v>2</v>
      </c>
      <c r="W10" s="2">
        <f>W8*W9</f>
        <v>225</v>
      </c>
      <c r="X10" s="29"/>
      <c r="Z10" s="28" t="s">
        <v>2</v>
      </c>
      <c r="AA10" s="2">
        <f>AA8*AA9</f>
        <v>270</v>
      </c>
      <c r="AB10" s="29"/>
      <c r="AC10" s="25"/>
      <c r="AD10" s="25"/>
      <c r="AF10" s="28" t="s">
        <v>2</v>
      </c>
      <c r="AG10" s="2">
        <f>AG8*AG9</f>
        <v>327</v>
      </c>
      <c r="AH10" s="29"/>
      <c r="AJ10" s="28" t="s">
        <v>2</v>
      </c>
      <c r="AK10" s="2">
        <f ca="1">AK8*AK9</f>
        <v>170.4</v>
      </c>
      <c r="AL10" s="29"/>
      <c r="AN10" s="28" t="s">
        <v>2</v>
      </c>
      <c r="AO10" s="2">
        <f ca="1">AO8*AO9</f>
        <v>232.04999999999998</v>
      </c>
      <c r="AP10" s="29"/>
      <c r="AR10" s="28" t="s">
        <v>2</v>
      </c>
      <c r="AS10" s="2">
        <f ca="1">AS8*AS9</f>
        <v>198</v>
      </c>
      <c r="AT10" s="29"/>
      <c r="AV10" s="28" t="s">
        <v>2</v>
      </c>
      <c r="AW10" s="2">
        <f ca="1">AW8*AW9</f>
        <v>205.5</v>
      </c>
      <c r="AX10" s="29"/>
      <c r="AZ10" s="28" t="s">
        <v>2</v>
      </c>
      <c r="BA10" s="2">
        <f ca="1">BA8*BA9</f>
        <v>233.54999999999998</v>
      </c>
      <c r="BB10" s="29"/>
      <c r="BC10" s="25"/>
      <c r="BD10" s="25"/>
      <c r="BF10" s="28" t="s">
        <v>2</v>
      </c>
      <c r="BG10" s="2">
        <f ca="1">BG8*BG9</f>
        <v>200.54999999999998</v>
      </c>
      <c r="BH10" s="29"/>
      <c r="BJ10" s="28" t="s">
        <v>2</v>
      </c>
      <c r="BK10" s="2">
        <f ca="1">BK8*BK9</f>
        <v>168.6</v>
      </c>
      <c r="BL10" s="29"/>
      <c r="BN10" s="28" t="s">
        <v>2</v>
      </c>
      <c r="BO10" s="2">
        <f ca="1">BO8*BO9</f>
        <v>215.7</v>
      </c>
      <c r="BP10" s="29"/>
      <c r="BR10" s="28" t="s">
        <v>2</v>
      </c>
      <c r="BS10" s="2">
        <f ca="1">BS8*BS9</f>
        <v>160.65</v>
      </c>
      <c r="BT10" s="29"/>
      <c r="BV10" s="28" t="s">
        <v>2</v>
      </c>
      <c r="BW10" s="2">
        <f ca="1">BW8*BW9</f>
        <v>219.29999999999998</v>
      </c>
      <c r="BX10" s="29"/>
    </row>
    <row r="11" spans="2:80" ht="12.75" x14ac:dyDescent="0.2">
      <c r="B11" s="28" t="s">
        <v>3</v>
      </c>
      <c r="C11" s="3">
        <v>0.04</v>
      </c>
      <c r="D11" s="29"/>
      <c r="E11" s="24"/>
      <c r="F11" s="28" t="s">
        <v>3</v>
      </c>
      <c r="G11" s="3">
        <v>0.01</v>
      </c>
      <c r="H11" s="29"/>
      <c r="J11" s="28" t="s">
        <v>3</v>
      </c>
      <c r="K11" s="3">
        <v>0.01</v>
      </c>
      <c r="L11" s="29"/>
      <c r="N11" s="28" t="s">
        <v>3</v>
      </c>
      <c r="O11" s="3">
        <v>0.01</v>
      </c>
      <c r="P11" s="29"/>
      <c r="R11" s="28" t="s">
        <v>3</v>
      </c>
      <c r="S11" s="3">
        <v>0.01</v>
      </c>
      <c r="T11" s="29"/>
      <c r="V11" s="28" t="s">
        <v>3</v>
      </c>
      <c r="W11" s="3">
        <v>0.01</v>
      </c>
      <c r="X11" s="29"/>
      <c r="Z11" s="28" t="s">
        <v>3</v>
      </c>
      <c r="AA11" s="3">
        <v>0.01</v>
      </c>
      <c r="AB11" s="29"/>
      <c r="AC11" s="25"/>
      <c r="AD11" s="25"/>
      <c r="AF11" s="28" t="s">
        <v>3</v>
      </c>
      <c r="AG11" s="3">
        <v>0.04</v>
      </c>
      <c r="AH11" s="29"/>
      <c r="AJ11" s="28" t="s">
        <v>3</v>
      </c>
      <c r="AK11" s="3">
        <v>0.04</v>
      </c>
      <c r="AL11" s="29"/>
      <c r="AN11" s="28" t="s">
        <v>3</v>
      </c>
      <c r="AO11" s="3">
        <v>0.04</v>
      </c>
      <c r="AP11" s="29"/>
      <c r="AR11" s="28" t="s">
        <v>3</v>
      </c>
      <c r="AS11" s="3">
        <v>0.04</v>
      </c>
      <c r="AT11" s="29"/>
      <c r="AV11" s="28" t="s">
        <v>3</v>
      </c>
      <c r="AW11" s="3">
        <v>0.04</v>
      </c>
      <c r="AX11" s="29"/>
      <c r="AZ11" s="28" t="s">
        <v>3</v>
      </c>
      <c r="BA11" s="3">
        <v>0.04</v>
      </c>
      <c r="BB11" s="29"/>
      <c r="BC11" s="25"/>
      <c r="BD11" s="25"/>
      <c r="BF11" s="28" t="s">
        <v>3</v>
      </c>
      <c r="BG11" s="3">
        <v>0.04</v>
      </c>
      <c r="BH11" s="29"/>
      <c r="BJ11" s="28" t="s">
        <v>3</v>
      </c>
      <c r="BK11" s="3">
        <v>0.04</v>
      </c>
      <c r="BL11" s="29"/>
      <c r="BN11" s="28" t="s">
        <v>3</v>
      </c>
      <c r="BO11" s="3">
        <v>0.04</v>
      </c>
      <c r="BP11" s="29"/>
      <c r="BR11" s="28" t="s">
        <v>3</v>
      </c>
      <c r="BS11" s="3">
        <v>0.04</v>
      </c>
      <c r="BT11" s="29"/>
      <c r="BV11" s="28" t="s">
        <v>3</v>
      </c>
      <c r="BW11" s="3">
        <v>0.04</v>
      </c>
      <c r="BX11" s="29"/>
    </row>
    <row r="12" spans="2:80" ht="12.75" x14ac:dyDescent="0.2">
      <c r="B12" s="28" t="s">
        <v>4</v>
      </c>
      <c r="C12" s="2">
        <f>C8*C11</f>
        <v>20</v>
      </c>
      <c r="D12" s="29"/>
      <c r="E12" s="24"/>
      <c r="F12" s="28" t="s">
        <v>4</v>
      </c>
      <c r="G12" s="2">
        <f>G8*G11</f>
        <v>14.36</v>
      </c>
      <c r="H12" s="29"/>
      <c r="J12" s="28" t="s">
        <v>4</v>
      </c>
      <c r="K12" s="2">
        <f>K8*K11</f>
        <v>10</v>
      </c>
      <c r="L12" s="29"/>
      <c r="N12" s="28" t="s">
        <v>4</v>
      </c>
      <c r="O12" s="2">
        <f>O8*O11</f>
        <v>15.290000000000001</v>
      </c>
      <c r="P12" s="29"/>
      <c r="R12" s="28" t="s">
        <v>4</v>
      </c>
      <c r="S12" s="2">
        <f>S8*S11</f>
        <v>9.25</v>
      </c>
      <c r="T12" s="29"/>
      <c r="V12" s="28" t="s">
        <v>4</v>
      </c>
      <c r="W12" s="2">
        <f>W8*W11</f>
        <v>15</v>
      </c>
      <c r="X12" s="29"/>
      <c r="Z12" s="28" t="s">
        <v>4</v>
      </c>
      <c r="AA12" s="2">
        <f>AA8*AA11</f>
        <v>18</v>
      </c>
      <c r="AB12" s="29"/>
      <c r="AC12" s="25"/>
      <c r="AD12" s="25"/>
      <c r="AF12" s="28" t="s">
        <v>4</v>
      </c>
      <c r="AG12" s="2">
        <f>AG8*AG11</f>
        <v>87.2</v>
      </c>
      <c r="AH12" s="29"/>
      <c r="AJ12" s="28" t="s">
        <v>4</v>
      </c>
      <c r="AK12" s="2">
        <f ca="1">AK8*AK11</f>
        <v>45.44</v>
      </c>
      <c r="AL12" s="29"/>
      <c r="AN12" s="28" t="s">
        <v>4</v>
      </c>
      <c r="AO12" s="2">
        <f ca="1">AO8*AO11</f>
        <v>61.88</v>
      </c>
      <c r="AP12" s="29"/>
      <c r="AR12" s="28" t="s">
        <v>4</v>
      </c>
      <c r="AS12" s="2">
        <f ca="1">AS8*AS11</f>
        <v>52.800000000000004</v>
      </c>
      <c r="AT12" s="29"/>
      <c r="AV12" s="28" t="s">
        <v>4</v>
      </c>
      <c r="AW12" s="2">
        <f ca="1">AW8*AW11</f>
        <v>54.800000000000004</v>
      </c>
      <c r="AX12" s="29"/>
      <c r="AZ12" s="28" t="s">
        <v>4</v>
      </c>
      <c r="BA12" s="2">
        <f ca="1">BA8*BA11</f>
        <v>62.28</v>
      </c>
      <c r="BB12" s="29"/>
      <c r="BC12" s="25"/>
      <c r="BD12" s="25"/>
      <c r="BF12" s="28" t="s">
        <v>4</v>
      </c>
      <c r="BG12" s="2">
        <f ca="1">BG8*BG11</f>
        <v>53.480000000000004</v>
      </c>
      <c r="BH12" s="29"/>
      <c r="BJ12" s="28" t="s">
        <v>4</v>
      </c>
      <c r="BK12" s="2">
        <f ca="1">BK8*BK11</f>
        <v>44.96</v>
      </c>
      <c r="BL12" s="29"/>
      <c r="BN12" s="28" t="s">
        <v>4</v>
      </c>
      <c r="BO12" s="2">
        <f ca="1">BO8*BO11</f>
        <v>57.52</v>
      </c>
      <c r="BP12" s="29"/>
      <c r="BR12" s="28" t="s">
        <v>4</v>
      </c>
      <c r="BS12" s="2">
        <f ca="1">BS8*BS11</f>
        <v>42.84</v>
      </c>
      <c r="BT12" s="29"/>
      <c r="BV12" s="28" t="s">
        <v>4</v>
      </c>
      <c r="BW12" s="2">
        <f ca="1">BW8*BW11</f>
        <v>58.480000000000004</v>
      </c>
      <c r="BX12" s="29"/>
    </row>
    <row r="13" spans="2:80" ht="12.75" x14ac:dyDescent="0.2">
      <c r="B13" s="28" t="s">
        <v>5</v>
      </c>
      <c r="C13" s="2">
        <f>3*C12</f>
        <v>60</v>
      </c>
      <c r="D13" s="29"/>
      <c r="E13" s="24"/>
      <c r="F13" s="28" t="s">
        <v>5</v>
      </c>
      <c r="G13" s="2">
        <f>3*G12</f>
        <v>43.08</v>
      </c>
      <c r="H13" s="29"/>
      <c r="J13" s="28" t="s">
        <v>5</v>
      </c>
      <c r="K13" s="2">
        <f>3*K12</f>
        <v>30</v>
      </c>
      <c r="L13" s="29"/>
      <c r="N13" s="28" t="s">
        <v>5</v>
      </c>
      <c r="O13" s="2">
        <f>3*O12</f>
        <v>45.870000000000005</v>
      </c>
      <c r="P13" s="29"/>
      <c r="R13" s="28" t="s">
        <v>5</v>
      </c>
      <c r="S13" s="2">
        <f>3*S12</f>
        <v>27.75</v>
      </c>
      <c r="T13" s="29"/>
      <c r="V13" s="28" t="s">
        <v>5</v>
      </c>
      <c r="W13" s="2">
        <f>3*W12</f>
        <v>45</v>
      </c>
      <c r="X13" s="29"/>
      <c r="Z13" s="28" t="s">
        <v>5</v>
      </c>
      <c r="AA13" s="2">
        <f>3*AA12</f>
        <v>54</v>
      </c>
      <c r="AB13" s="29"/>
      <c r="AC13" s="25"/>
      <c r="AD13" s="25"/>
      <c r="AF13" s="28" t="s">
        <v>5</v>
      </c>
      <c r="AG13" s="2">
        <f>3*AG12</f>
        <v>261.60000000000002</v>
      </c>
      <c r="AH13" s="29"/>
      <c r="AJ13" s="28" t="s">
        <v>5</v>
      </c>
      <c r="AK13" s="2">
        <f ca="1">3*AK12</f>
        <v>136.32</v>
      </c>
      <c r="AL13" s="29"/>
      <c r="AN13" s="28" t="s">
        <v>5</v>
      </c>
      <c r="AO13" s="2">
        <f ca="1">3*AO12</f>
        <v>185.64000000000001</v>
      </c>
      <c r="AP13" s="29"/>
      <c r="AR13" s="28" t="s">
        <v>5</v>
      </c>
      <c r="AS13" s="2">
        <f ca="1">3*AS12</f>
        <v>158.4</v>
      </c>
      <c r="AT13" s="29"/>
      <c r="AV13" s="28" t="s">
        <v>5</v>
      </c>
      <c r="AW13" s="2">
        <f ca="1">3*AW12</f>
        <v>164.4</v>
      </c>
      <c r="AX13" s="29"/>
      <c r="AZ13" s="28" t="s">
        <v>5</v>
      </c>
      <c r="BA13" s="2">
        <f ca="1">3*BA12</f>
        <v>186.84</v>
      </c>
      <c r="BB13" s="29"/>
      <c r="BC13" s="25"/>
      <c r="BD13" s="25"/>
      <c r="BF13" s="28" t="s">
        <v>5</v>
      </c>
      <c r="BG13" s="2">
        <f ca="1">3*BG12</f>
        <v>160.44</v>
      </c>
      <c r="BH13" s="29"/>
      <c r="BJ13" s="28" t="s">
        <v>5</v>
      </c>
      <c r="BK13" s="2">
        <f ca="1">3*BK12</f>
        <v>134.88</v>
      </c>
      <c r="BL13" s="29"/>
      <c r="BN13" s="28" t="s">
        <v>5</v>
      </c>
      <c r="BO13" s="2">
        <f ca="1">3*BO12</f>
        <v>172.56</v>
      </c>
      <c r="BP13" s="29"/>
      <c r="BR13" s="28" t="s">
        <v>5</v>
      </c>
      <c r="BS13" s="2">
        <f ca="1">3*BS12</f>
        <v>128.52000000000001</v>
      </c>
      <c r="BT13" s="29"/>
      <c r="BV13" s="28" t="s">
        <v>5</v>
      </c>
      <c r="BW13" s="2">
        <f ca="1">3*BW12</f>
        <v>175.44</v>
      </c>
      <c r="BX13" s="29"/>
    </row>
    <row r="14" spans="2:80" ht="12.75" x14ac:dyDescent="0.2">
      <c r="B14" s="28" t="s">
        <v>6</v>
      </c>
      <c r="C14" s="4">
        <f>6*C12</f>
        <v>120</v>
      </c>
      <c r="D14" s="29"/>
      <c r="E14" s="24"/>
      <c r="F14" s="28" t="s">
        <v>6</v>
      </c>
      <c r="G14" s="4">
        <f>6*G12</f>
        <v>86.16</v>
      </c>
      <c r="H14" s="29"/>
      <c r="J14" s="28" t="s">
        <v>6</v>
      </c>
      <c r="K14" s="4">
        <f>6*K12</f>
        <v>60</v>
      </c>
      <c r="L14" s="29"/>
      <c r="N14" s="28" t="s">
        <v>6</v>
      </c>
      <c r="O14" s="4">
        <f>6*O12</f>
        <v>91.740000000000009</v>
      </c>
      <c r="P14" s="29"/>
      <c r="R14" s="28" t="s">
        <v>6</v>
      </c>
      <c r="S14" s="4">
        <f>6*S12</f>
        <v>55.5</v>
      </c>
      <c r="T14" s="29"/>
      <c r="V14" s="28" t="s">
        <v>6</v>
      </c>
      <c r="W14" s="4">
        <f>6*W12</f>
        <v>90</v>
      </c>
      <c r="X14" s="29"/>
      <c r="Z14" s="28" t="s">
        <v>6</v>
      </c>
      <c r="AA14" s="4">
        <f>6*AA12</f>
        <v>108</v>
      </c>
      <c r="AB14" s="29"/>
      <c r="AC14" s="25"/>
      <c r="AD14" s="25"/>
      <c r="AF14" s="28" t="s">
        <v>6</v>
      </c>
      <c r="AG14" s="4">
        <f>6*AG12</f>
        <v>523.20000000000005</v>
      </c>
      <c r="AH14" s="29"/>
      <c r="AJ14" s="28" t="s">
        <v>6</v>
      </c>
      <c r="AK14" s="4">
        <f ca="1">6*AK12</f>
        <v>272.64</v>
      </c>
      <c r="AL14" s="29"/>
      <c r="AN14" s="28" t="s">
        <v>6</v>
      </c>
      <c r="AO14" s="4">
        <f ca="1">6*AO12</f>
        <v>371.28000000000003</v>
      </c>
      <c r="AP14" s="29"/>
      <c r="AR14" s="28" t="s">
        <v>6</v>
      </c>
      <c r="AS14" s="4">
        <f ca="1">6*AS12</f>
        <v>316.8</v>
      </c>
      <c r="AT14" s="29"/>
      <c r="AV14" s="28" t="s">
        <v>6</v>
      </c>
      <c r="AW14" s="4">
        <f ca="1">6*AW12</f>
        <v>328.8</v>
      </c>
      <c r="AX14" s="29"/>
      <c r="AZ14" s="28" t="s">
        <v>6</v>
      </c>
      <c r="BA14" s="4">
        <f ca="1">6*BA12</f>
        <v>373.68</v>
      </c>
      <c r="BB14" s="29"/>
      <c r="BC14" s="25"/>
      <c r="BD14" s="25"/>
      <c r="BF14" s="28" t="s">
        <v>6</v>
      </c>
      <c r="BG14" s="4">
        <f ca="1">6*BG12</f>
        <v>320.88</v>
      </c>
      <c r="BH14" s="29"/>
      <c r="BJ14" s="28" t="s">
        <v>6</v>
      </c>
      <c r="BK14" s="4">
        <f ca="1">6*BK12</f>
        <v>269.76</v>
      </c>
      <c r="BL14" s="29"/>
      <c r="BN14" s="28" t="s">
        <v>6</v>
      </c>
      <c r="BO14" s="4">
        <f ca="1">6*BO12</f>
        <v>345.12</v>
      </c>
      <c r="BP14" s="29"/>
      <c r="BR14" s="28" t="s">
        <v>6</v>
      </c>
      <c r="BS14" s="4">
        <f ca="1">6*BS12</f>
        <v>257.04000000000002</v>
      </c>
      <c r="BT14" s="29"/>
      <c r="BV14" s="28" t="s">
        <v>6</v>
      </c>
      <c r="BW14" s="4">
        <f ca="1">6*BW12</f>
        <v>350.88</v>
      </c>
      <c r="BX14" s="29"/>
    </row>
    <row r="15" spans="2:80" ht="15.75" customHeight="1" x14ac:dyDescent="0.2">
      <c r="B15" s="30"/>
      <c r="C15" s="24"/>
      <c r="D15" s="29"/>
      <c r="E15" s="24"/>
      <c r="F15" s="30"/>
      <c r="G15" s="24"/>
      <c r="H15" s="29"/>
      <c r="J15" s="30"/>
      <c r="K15" s="24"/>
      <c r="L15" s="29"/>
      <c r="N15" s="30"/>
      <c r="O15" s="24"/>
      <c r="P15" s="29"/>
      <c r="R15" s="30"/>
      <c r="S15" s="24"/>
      <c r="T15" s="29"/>
      <c r="V15" s="30"/>
      <c r="W15" s="24"/>
      <c r="X15" s="29"/>
      <c r="Z15" s="30"/>
      <c r="AA15" s="24"/>
      <c r="AB15" s="29"/>
      <c r="AC15" s="25"/>
      <c r="AD15" s="25"/>
      <c r="AF15" s="30"/>
      <c r="AG15" s="24"/>
      <c r="AH15" s="29"/>
      <c r="AJ15" s="30"/>
      <c r="AK15" s="24"/>
      <c r="AL15" s="29"/>
      <c r="AN15" s="30"/>
      <c r="AO15" s="24"/>
      <c r="AP15" s="29"/>
      <c r="AR15" s="30"/>
      <c r="AS15" s="24"/>
      <c r="AT15" s="29"/>
      <c r="AV15" s="30"/>
      <c r="AW15" s="24"/>
      <c r="AX15" s="29"/>
      <c r="AZ15" s="30"/>
      <c r="BA15" s="24"/>
      <c r="BB15" s="29"/>
      <c r="BC15" s="25"/>
      <c r="BD15" s="25"/>
      <c r="BF15" s="30"/>
      <c r="BG15" s="24"/>
      <c r="BH15" s="29"/>
      <c r="BJ15" s="30"/>
      <c r="BK15" s="24"/>
      <c r="BL15" s="29"/>
      <c r="BN15" s="30"/>
      <c r="BO15" s="24"/>
      <c r="BP15" s="29"/>
      <c r="BR15" s="30"/>
      <c r="BS15" s="24"/>
      <c r="BT15" s="29"/>
      <c r="BV15" s="30"/>
      <c r="BW15" s="24"/>
      <c r="BX15" s="29"/>
    </row>
    <row r="16" spans="2:80" ht="15.75" customHeight="1" x14ac:dyDescent="0.2">
      <c r="B16" s="31" t="s">
        <v>7</v>
      </c>
      <c r="C16" s="25" t="s">
        <v>8</v>
      </c>
      <c r="D16" s="29" t="s">
        <v>9</v>
      </c>
      <c r="E16" s="24"/>
      <c r="F16" s="31" t="s">
        <v>7</v>
      </c>
      <c r="G16" s="25" t="s">
        <v>8</v>
      </c>
      <c r="H16" s="29" t="s">
        <v>9</v>
      </c>
      <c r="J16" s="31" t="s">
        <v>7</v>
      </c>
      <c r="K16" s="25" t="s">
        <v>8</v>
      </c>
      <c r="L16" s="29" t="s">
        <v>9</v>
      </c>
      <c r="N16" s="31" t="s">
        <v>7</v>
      </c>
      <c r="O16" s="25" t="s">
        <v>8</v>
      </c>
      <c r="P16" s="29" t="s">
        <v>9</v>
      </c>
      <c r="R16" s="31" t="s">
        <v>7</v>
      </c>
      <c r="S16" s="25" t="s">
        <v>8</v>
      </c>
      <c r="T16" s="29" t="s">
        <v>9</v>
      </c>
      <c r="V16" s="31" t="s">
        <v>7</v>
      </c>
      <c r="W16" s="25" t="s">
        <v>8</v>
      </c>
      <c r="X16" s="29" t="s">
        <v>9</v>
      </c>
      <c r="Z16" s="31" t="s">
        <v>7</v>
      </c>
      <c r="AA16" s="25" t="s">
        <v>8</v>
      </c>
      <c r="AB16" s="29" t="s">
        <v>9</v>
      </c>
      <c r="AC16" s="25"/>
      <c r="AD16" s="25"/>
      <c r="AF16" s="31" t="s">
        <v>7</v>
      </c>
      <c r="AG16" s="25" t="s">
        <v>8</v>
      </c>
      <c r="AH16" s="29" t="s">
        <v>9</v>
      </c>
      <c r="AJ16" s="31" t="s">
        <v>7</v>
      </c>
      <c r="AK16" s="25" t="s">
        <v>8</v>
      </c>
      <c r="AL16" s="29" t="s">
        <v>9</v>
      </c>
      <c r="AN16" s="31" t="s">
        <v>7</v>
      </c>
      <c r="AO16" s="25" t="s">
        <v>8</v>
      </c>
      <c r="AP16" s="29" t="s">
        <v>9</v>
      </c>
      <c r="AR16" s="31" t="s">
        <v>7</v>
      </c>
      <c r="AS16" s="25" t="s">
        <v>8</v>
      </c>
      <c r="AT16" s="29" t="s">
        <v>9</v>
      </c>
      <c r="AV16" s="31" t="s">
        <v>7</v>
      </c>
      <c r="AW16" s="25" t="s">
        <v>8</v>
      </c>
      <c r="AX16" s="29" t="s">
        <v>9</v>
      </c>
      <c r="AZ16" s="31" t="s">
        <v>7</v>
      </c>
      <c r="BA16" s="25" t="s">
        <v>8</v>
      </c>
      <c r="BB16" s="29" t="s">
        <v>9</v>
      </c>
      <c r="BC16" s="25"/>
      <c r="BD16" s="25"/>
      <c r="BF16" s="31" t="s">
        <v>7</v>
      </c>
      <c r="BG16" s="25" t="s">
        <v>8</v>
      </c>
      <c r="BH16" s="29" t="s">
        <v>9</v>
      </c>
      <c r="BJ16" s="31" t="s">
        <v>7</v>
      </c>
      <c r="BK16" s="25" t="s">
        <v>8</v>
      </c>
      <c r="BL16" s="29" t="s">
        <v>9</v>
      </c>
      <c r="BN16" s="31" t="s">
        <v>7</v>
      </c>
      <c r="BO16" s="25" t="s">
        <v>8</v>
      </c>
      <c r="BP16" s="29" t="s">
        <v>9</v>
      </c>
      <c r="BR16" s="31" t="s">
        <v>7</v>
      </c>
      <c r="BS16" s="25" t="s">
        <v>8</v>
      </c>
      <c r="BT16" s="29" t="s">
        <v>9</v>
      </c>
      <c r="BV16" s="31" t="s">
        <v>7</v>
      </c>
      <c r="BW16" s="25" t="s">
        <v>8</v>
      </c>
      <c r="BX16" s="29" t="s">
        <v>9</v>
      </c>
      <c r="CA16" s="38" t="s">
        <v>35</v>
      </c>
      <c r="CB16" s="38" t="s">
        <v>36</v>
      </c>
    </row>
    <row r="17" spans="2:80" ht="12.75" x14ac:dyDescent="0.2">
      <c r="B17" s="22">
        <v>44562</v>
      </c>
      <c r="C17" s="26">
        <f t="shared" ref="C17:C384" ca="1" si="0">RAND()</f>
        <v>0.8356766729693198</v>
      </c>
      <c r="D17" s="29">
        <v>0</v>
      </c>
      <c r="E17" s="25"/>
      <c r="F17" s="22">
        <v>44562</v>
      </c>
      <c r="G17" s="26">
        <f t="shared" ref="G17:G271" ca="1" si="1">RAND()</f>
        <v>0.52187013883394351</v>
      </c>
      <c r="H17" s="29">
        <f>IF(DATEDIF(F17,'Nombre campus'!$E$6,"d")&lt;=0,_xlfn.NORM.INV($G$17,$G$10,$G$12),0)</f>
        <v>0</v>
      </c>
      <c r="J17" s="22">
        <v>44562</v>
      </c>
      <c r="K17" s="26">
        <f t="shared" ref="K17:K271" ca="1" si="2">RAND()</f>
        <v>0.11183985470288649</v>
      </c>
      <c r="L17" s="29">
        <v>0</v>
      </c>
      <c r="N17" s="22">
        <v>44562</v>
      </c>
      <c r="O17" s="26">
        <f t="shared" ref="O17:O271" ca="1" si="3">RAND()</f>
        <v>0.80144705212208112</v>
      </c>
      <c r="P17" s="29">
        <v>0</v>
      </c>
      <c r="R17" s="22">
        <v>44562</v>
      </c>
      <c r="S17" s="26">
        <f t="shared" ref="S17:S271" ca="1" si="4">RAND()</f>
        <v>0.6613457425552679</v>
      </c>
      <c r="T17" s="29">
        <v>0</v>
      </c>
      <c r="V17" s="22">
        <v>44562</v>
      </c>
      <c r="W17" s="26">
        <f t="shared" ref="W17:W271" ca="1" si="5">RAND()</f>
        <v>0.3013605743136446</v>
      </c>
      <c r="X17" s="29">
        <v>0</v>
      </c>
      <c r="Z17" s="22">
        <v>44562</v>
      </c>
      <c r="AA17" s="26">
        <f t="shared" ref="AA17:AA271" ca="1" si="6">RAND()</f>
        <v>0.90786164801474589</v>
      </c>
      <c r="AB17" s="29">
        <v>0</v>
      </c>
      <c r="AC17" s="25"/>
      <c r="AD17" s="25"/>
      <c r="AF17" s="22">
        <v>44562</v>
      </c>
      <c r="AG17" s="26">
        <f t="shared" ref="AG17:AG271" ca="1" si="7">RAND()</f>
        <v>0.23340977551831299</v>
      </c>
      <c r="AH17" s="29">
        <v>0</v>
      </c>
      <c r="AJ17" s="22">
        <v>44562</v>
      </c>
      <c r="AK17" s="26">
        <f t="shared" ref="AK17:AK271" ca="1" si="8">RAND()</f>
        <v>0.70708510209843278</v>
      </c>
      <c r="AL17" s="29">
        <v>0</v>
      </c>
      <c r="AN17" s="22">
        <v>44562</v>
      </c>
      <c r="AO17" s="26">
        <f t="shared" ref="AO17:AO271" ca="1" si="9">RAND()</f>
        <v>0.95634146267707865</v>
      </c>
      <c r="AP17" s="29">
        <v>0</v>
      </c>
      <c r="AR17" s="22">
        <v>44562</v>
      </c>
      <c r="AS17" s="26">
        <f t="shared" ref="AS17:AS271" ca="1" si="10">RAND()</f>
        <v>0.45677621886968411</v>
      </c>
      <c r="AT17" s="29">
        <v>0</v>
      </c>
      <c r="AV17" s="22">
        <v>44562</v>
      </c>
      <c r="AW17" s="26">
        <f t="shared" ref="AW17:AW271" ca="1" si="11">RAND()</f>
        <v>0.84104388897010851</v>
      </c>
      <c r="AX17" s="29">
        <v>0</v>
      </c>
      <c r="AZ17" s="22">
        <v>44562</v>
      </c>
      <c r="BA17" s="26">
        <f t="shared" ref="BA17:BA271" ca="1" si="12">RAND()</f>
        <v>0.89108028556702024</v>
      </c>
      <c r="BB17" s="29">
        <v>0</v>
      </c>
      <c r="BC17" s="25"/>
      <c r="BD17" s="25"/>
      <c r="BF17" s="22">
        <v>44562</v>
      </c>
      <c r="BG17" s="26">
        <f t="shared" ref="BG17:BG271" ca="1" si="13">RAND()</f>
        <v>0.39044636470343008</v>
      </c>
      <c r="BH17" s="29">
        <v>0</v>
      </c>
      <c r="BJ17" s="22">
        <v>44562</v>
      </c>
      <c r="BK17" s="26">
        <f t="shared" ref="BK17:BK271" ca="1" si="14">RAND()</f>
        <v>0.88158001689922705</v>
      </c>
      <c r="BL17" s="29">
        <v>0</v>
      </c>
      <c r="BN17" s="22">
        <v>44562</v>
      </c>
      <c r="BO17" s="26">
        <f t="shared" ref="BO17:BO271" ca="1" si="15">RAND()</f>
        <v>0.62388276980550716</v>
      </c>
      <c r="BP17" s="29">
        <v>0</v>
      </c>
      <c r="BR17" s="22">
        <v>44562</v>
      </c>
      <c r="BS17" s="26">
        <f t="shared" ref="BS17:BS271" ca="1" si="16">RAND()</f>
        <v>0.96744112986510089</v>
      </c>
      <c r="BT17" s="29">
        <v>0</v>
      </c>
      <c r="BV17" s="22">
        <v>44562</v>
      </c>
      <c r="BW17" s="26">
        <f t="shared" ref="BW17:BW271" ca="1" si="17">RAND()</f>
        <v>0.37215169574065277</v>
      </c>
      <c r="BX17" s="29">
        <v>0</v>
      </c>
      <c r="CA17" s="12">
        <f>DATE(2022,1,1)</f>
        <v>44562</v>
      </c>
      <c r="CB17" s="8">
        <v>2163</v>
      </c>
    </row>
    <row r="18" spans="2:80" ht="12.75" x14ac:dyDescent="0.2">
      <c r="B18" s="22">
        <v>44563</v>
      </c>
      <c r="C18" s="26">
        <f t="shared" ca="1" si="0"/>
        <v>0.91790714410191887</v>
      </c>
      <c r="D18" s="29">
        <v>0</v>
      </c>
      <c r="F18" s="22">
        <v>44563</v>
      </c>
      <c r="G18" s="26">
        <f t="shared" ca="1" si="1"/>
        <v>0.55128167648032234</v>
      </c>
      <c r="H18" s="29">
        <v>0</v>
      </c>
      <c r="J18" s="22">
        <v>44563</v>
      </c>
      <c r="K18" s="26">
        <f t="shared" ca="1" si="2"/>
        <v>0.56159624382979167</v>
      </c>
      <c r="L18" s="29">
        <v>0</v>
      </c>
      <c r="N18" s="22">
        <v>44563</v>
      </c>
      <c r="O18" s="26">
        <f t="shared" ca="1" si="3"/>
        <v>0.84239732705687809</v>
      </c>
      <c r="P18" s="29">
        <v>0</v>
      </c>
      <c r="R18" s="22">
        <v>44563</v>
      </c>
      <c r="S18" s="26">
        <f t="shared" ca="1" si="4"/>
        <v>0.11420155305911051</v>
      </c>
      <c r="T18" s="29">
        <v>0</v>
      </c>
      <c r="V18" s="22">
        <v>44563</v>
      </c>
      <c r="W18" s="26">
        <f t="shared" ca="1" si="5"/>
        <v>0.48228646708525802</v>
      </c>
      <c r="X18" s="29">
        <v>0</v>
      </c>
      <c r="Z18" s="22">
        <v>44563</v>
      </c>
      <c r="AA18" s="26">
        <f t="shared" ca="1" si="6"/>
        <v>0.21788454157154613</v>
      </c>
      <c r="AB18" s="29">
        <v>0</v>
      </c>
      <c r="AC18"/>
      <c r="AD18" s="25"/>
      <c r="AF18" s="22">
        <v>44563</v>
      </c>
      <c r="AG18" s="26">
        <f t="shared" ca="1" si="7"/>
        <v>0.42860684050897968</v>
      </c>
      <c r="AH18" s="29">
        <v>0</v>
      </c>
      <c r="AJ18" s="22">
        <v>44563</v>
      </c>
      <c r="AK18" s="26">
        <f t="shared" ca="1" si="8"/>
        <v>6.503293093078788E-2</v>
      </c>
      <c r="AL18" s="29">
        <v>0</v>
      </c>
      <c r="AN18" s="22">
        <v>44563</v>
      </c>
      <c r="AO18" s="26">
        <f t="shared" ca="1" si="9"/>
        <v>0.3444926883404783</v>
      </c>
      <c r="AP18" s="29">
        <v>0</v>
      </c>
      <c r="AR18" s="22">
        <v>44563</v>
      </c>
      <c r="AS18" s="26">
        <f t="shared" ca="1" si="10"/>
        <v>0.33921415521195375</v>
      </c>
      <c r="AT18" s="29">
        <v>0</v>
      </c>
      <c r="AV18" s="22">
        <v>44563</v>
      </c>
      <c r="AW18" s="26">
        <f t="shared" ca="1" si="11"/>
        <v>0.41993389809828774</v>
      </c>
      <c r="AX18" s="29">
        <v>0</v>
      </c>
      <c r="AZ18" s="22">
        <v>44563</v>
      </c>
      <c r="BA18" s="26">
        <f t="shared" ca="1" si="12"/>
        <v>0.35698590845188016</v>
      </c>
      <c r="BB18" s="29">
        <v>0</v>
      </c>
      <c r="BC18"/>
      <c r="BD18" s="25"/>
      <c r="BF18" s="22">
        <v>44563</v>
      </c>
      <c r="BG18" s="26">
        <f t="shared" ca="1" si="13"/>
        <v>0.72704378818676141</v>
      </c>
      <c r="BH18" s="29">
        <v>0</v>
      </c>
      <c r="BJ18" s="22">
        <v>44563</v>
      </c>
      <c r="BK18" s="26">
        <f t="shared" ca="1" si="14"/>
        <v>0.1233876557639898</v>
      </c>
      <c r="BL18" s="29">
        <v>0</v>
      </c>
      <c r="BN18" s="22">
        <v>44563</v>
      </c>
      <c r="BO18" s="26">
        <f t="shared" ca="1" si="15"/>
        <v>0.49895047130819714</v>
      </c>
      <c r="BP18" s="29">
        <v>0</v>
      </c>
      <c r="BR18" s="22">
        <v>44563</v>
      </c>
      <c r="BS18" s="26">
        <f t="shared" ca="1" si="16"/>
        <v>0.54609080244139041</v>
      </c>
      <c r="BT18" s="29">
        <v>0</v>
      </c>
      <c r="BV18" s="22">
        <v>44563</v>
      </c>
      <c r="BW18" s="26">
        <f t="shared" ca="1" si="17"/>
        <v>8.7273751833575441E-2</v>
      </c>
      <c r="BX18" s="29">
        <v>0</v>
      </c>
      <c r="CA18" s="12">
        <f t="shared" ref="CA18:CA25" si="18">EDATE(CA17,1)</f>
        <v>44593</v>
      </c>
      <c r="CB18" s="8">
        <v>1545</v>
      </c>
    </row>
    <row r="19" spans="2:80" ht="12.75" x14ac:dyDescent="0.2">
      <c r="B19" s="22">
        <v>44564</v>
      </c>
      <c r="C19" s="26">
        <f t="shared" ca="1" si="0"/>
        <v>0.93975218800246363</v>
      </c>
      <c r="D19" s="29">
        <v>0</v>
      </c>
      <c r="F19" s="22">
        <v>44564</v>
      </c>
      <c r="G19" s="26">
        <f t="shared" ca="1" si="1"/>
        <v>0.42671530412309255</v>
      </c>
      <c r="H19" s="29">
        <v>0</v>
      </c>
      <c r="J19" s="22">
        <v>44564</v>
      </c>
      <c r="K19" s="26">
        <f t="shared" ca="1" si="2"/>
        <v>9.536491868857544E-2</v>
      </c>
      <c r="L19" s="29">
        <v>0</v>
      </c>
      <c r="N19" s="22">
        <v>44564</v>
      </c>
      <c r="O19" s="26">
        <f t="shared" ca="1" si="3"/>
        <v>0.14289678092752167</v>
      </c>
      <c r="P19" s="29">
        <v>0</v>
      </c>
      <c r="R19" s="22">
        <v>44564</v>
      </c>
      <c r="S19" s="26">
        <f t="shared" ca="1" si="4"/>
        <v>0.41541925819799852</v>
      </c>
      <c r="T19" s="29">
        <v>0</v>
      </c>
      <c r="V19" s="22">
        <v>44564</v>
      </c>
      <c r="W19" s="26">
        <f t="shared" ca="1" si="5"/>
        <v>0.97114962022617657</v>
      </c>
      <c r="X19" s="29">
        <v>0</v>
      </c>
      <c r="Z19" s="22">
        <v>44564</v>
      </c>
      <c r="AA19" s="26">
        <f t="shared" ca="1" si="6"/>
        <v>0.39096368859713504</v>
      </c>
      <c r="AB19" s="29">
        <v>0</v>
      </c>
      <c r="AC19"/>
      <c r="AD19" s="25"/>
      <c r="AF19" s="22">
        <v>44564</v>
      </c>
      <c r="AG19" s="26">
        <f t="shared" ca="1" si="7"/>
        <v>0.1254486583726514</v>
      </c>
      <c r="AH19" s="29">
        <v>0</v>
      </c>
      <c r="AJ19" s="22">
        <v>44564</v>
      </c>
      <c r="AK19" s="26">
        <f t="shared" ca="1" si="8"/>
        <v>0.48712709456811554</v>
      </c>
      <c r="AL19" s="29">
        <v>0</v>
      </c>
      <c r="AN19" s="22">
        <v>44564</v>
      </c>
      <c r="AO19" s="26">
        <f t="shared" ca="1" si="9"/>
        <v>0.4487002507097535</v>
      </c>
      <c r="AP19" s="29">
        <v>0</v>
      </c>
      <c r="AR19" s="22">
        <v>44564</v>
      </c>
      <c r="AS19" s="26">
        <f t="shared" ca="1" si="10"/>
        <v>0.43746743836612278</v>
      </c>
      <c r="AT19" s="29">
        <v>0</v>
      </c>
      <c r="AV19" s="22">
        <v>44564</v>
      </c>
      <c r="AW19" s="26">
        <f t="shared" ca="1" si="11"/>
        <v>0.52673301355924795</v>
      </c>
      <c r="AX19" s="29">
        <v>0</v>
      </c>
      <c r="AZ19" s="22">
        <v>44564</v>
      </c>
      <c r="BA19" s="26">
        <f t="shared" ca="1" si="12"/>
        <v>0.93527743519618434</v>
      </c>
      <c r="BB19" s="29">
        <v>0</v>
      </c>
      <c r="BC19"/>
      <c r="BD19" s="25"/>
      <c r="BF19" s="22">
        <v>44564</v>
      </c>
      <c r="BG19" s="26">
        <f t="shared" ca="1" si="13"/>
        <v>0.72717347554629386</v>
      </c>
      <c r="BH19" s="29">
        <v>0</v>
      </c>
      <c r="BJ19" s="22">
        <v>44564</v>
      </c>
      <c r="BK19" s="26">
        <f t="shared" ca="1" si="14"/>
        <v>0.60729859243598872</v>
      </c>
      <c r="BL19" s="29">
        <v>0</v>
      </c>
      <c r="BN19" s="22">
        <v>44564</v>
      </c>
      <c r="BO19" s="26">
        <f t="shared" ca="1" si="15"/>
        <v>0.75502999317470254</v>
      </c>
      <c r="BP19" s="29">
        <v>0</v>
      </c>
      <c r="BR19" s="22">
        <v>44564</v>
      </c>
      <c r="BS19" s="26">
        <f t="shared" ca="1" si="16"/>
        <v>0.17261683645870418</v>
      </c>
      <c r="BT19" s="29">
        <v>0</v>
      </c>
      <c r="BV19" s="22">
        <v>44564</v>
      </c>
      <c r="BW19" s="26">
        <f t="shared" ca="1" si="17"/>
        <v>0.5905742024478895</v>
      </c>
      <c r="BX19" s="29">
        <v>0</v>
      </c>
      <c r="CA19" s="12">
        <f t="shared" si="18"/>
        <v>44621</v>
      </c>
      <c r="CB19" s="8">
        <v>2261</v>
      </c>
    </row>
    <row r="20" spans="2:80" ht="12.75" x14ac:dyDescent="0.2">
      <c r="B20" s="22">
        <v>44565</v>
      </c>
      <c r="C20" s="26">
        <f t="shared" ca="1" si="0"/>
        <v>0.65744661046600783</v>
      </c>
      <c r="D20" s="29">
        <f t="shared" ref="D20:D81" ca="1" si="19">ROUNDUP(_xlfn.NORM.INV(C20,C$10,C$12),0)</f>
        <v>84</v>
      </c>
      <c r="F20" s="22">
        <v>44565</v>
      </c>
      <c r="G20" s="26">
        <f t="shared" ca="1" si="1"/>
        <v>0.58935535036806352</v>
      </c>
      <c r="H20" s="29">
        <v>0</v>
      </c>
      <c r="J20" s="22">
        <v>44565</v>
      </c>
      <c r="K20" s="26">
        <f t="shared" ca="1" si="2"/>
        <v>0.12925891135781076</v>
      </c>
      <c r="L20" s="29">
        <v>0</v>
      </c>
      <c r="N20" s="22">
        <v>44565</v>
      </c>
      <c r="O20" s="26">
        <f t="shared" ca="1" si="3"/>
        <v>0.55281889330111533</v>
      </c>
      <c r="P20" s="29">
        <v>0</v>
      </c>
      <c r="R20" s="22">
        <v>44565</v>
      </c>
      <c r="S20" s="26">
        <f t="shared" ca="1" si="4"/>
        <v>0.97789053636370915</v>
      </c>
      <c r="T20" s="29">
        <v>0</v>
      </c>
      <c r="V20" s="22">
        <v>44565</v>
      </c>
      <c r="W20" s="26">
        <f t="shared" ca="1" si="5"/>
        <v>0.21677625855202631</v>
      </c>
      <c r="X20" s="29">
        <v>0</v>
      </c>
      <c r="Z20" s="22">
        <v>44565</v>
      </c>
      <c r="AA20" s="26">
        <f t="shared" ca="1" si="6"/>
        <v>0.74451056179280917</v>
      </c>
      <c r="AB20" s="29">
        <v>0</v>
      </c>
      <c r="AC20"/>
      <c r="AD20" s="25"/>
      <c r="AF20" s="22">
        <v>44565</v>
      </c>
      <c r="AG20" s="26">
        <f t="shared" ca="1" si="7"/>
        <v>8.6260063186178737E-3</v>
      </c>
      <c r="AH20" s="29">
        <v>0</v>
      </c>
      <c r="AJ20" s="22">
        <v>44565</v>
      </c>
      <c r="AK20" s="26">
        <f t="shared" ca="1" si="8"/>
        <v>0.9480442552939925</v>
      </c>
      <c r="AL20" s="29">
        <v>0</v>
      </c>
      <c r="AN20" s="22">
        <v>44565</v>
      </c>
      <c r="AO20" s="26">
        <f t="shared" ca="1" si="9"/>
        <v>0.95028896400385643</v>
      </c>
      <c r="AP20" s="29">
        <v>0</v>
      </c>
      <c r="AR20" s="22">
        <v>44565</v>
      </c>
      <c r="AS20" s="26">
        <f t="shared" ca="1" si="10"/>
        <v>0.13231447272263419</v>
      </c>
      <c r="AT20" s="29">
        <v>0</v>
      </c>
      <c r="AV20" s="22">
        <v>44565</v>
      </c>
      <c r="AW20" s="26">
        <f t="shared" ca="1" si="11"/>
        <v>0.57967556291754452</v>
      </c>
      <c r="AX20" s="29">
        <v>0</v>
      </c>
      <c r="AZ20" s="22">
        <v>44565</v>
      </c>
      <c r="BA20" s="26">
        <f t="shared" ca="1" si="12"/>
        <v>0.60280670388814195</v>
      </c>
      <c r="BB20" s="29">
        <v>0</v>
      </c>
      <c r="BC20"/>
      <c r="BD20" s="25"/>
      <c r="BF20" s="22">
        <v>44565</v>
      </c>
      <c r="BG20" s="26">
        <f t="shared" ca="1" si="13"/>
        <v>1.2368723761928546E-3</v>
      </c>
      <c r="BH20" s="29">
        <v>0</v>
      </c>
      <c r="BJ20" s="22">
        <v>44565</v>
      </c>
      <c r="BK20" s="26">
        <f t="shared" ca="1" si="14"/>
        <v>0.22910877144768838</v>
      </c>
      <c r="BL20" s="29">
        <v>0</v>
      </c>
      <c r="BN20" s="22">
        <v>44565</v>
      </c>
      <c r="BO20" s="26">
        <f t="shared" ca="1" si="15"/>
        <v>0.12122725648068611</v>
      </c>
      <c r="BP20" s="29">
        <v>0</v>
      </c>
      <c r="BR20" s="22">
        <v>44565</v>
      </c>
      <c r="BS20" s="26">
        <f t="shared" ca="1" si="16"/>
        <v>0.20071784873666876</v>
      </c>
      <c r="BT20" s="29">
        <v>0</v>
      </c>
      <c r="BV20" s="22">
        <v>44565</v>
      </c>
      <c r="BW20" s="26">
        <f t="shared" ca="1" si="17"/>
        <v>0.12682947002151335</v>
      </c>
      <c r="BX20" s="29">
        <v>0</v>
      </c>
      <c r="CA20" s="12">
        <f t="shared" si="18"/>
        <v>44652</v>
      </c>
      <c r="CB20" s="8">
        <v>1515</v>
      </c>
    </row>
    <row r="21" spans="2:80" ht="12.75" x14ac:dyDescent="0.2">
      <c r="B21" s="22">
        <v>44566</v>
      </c>
      <c r="C21" s="26">
        <f t="shared" ca="1" si="0"/>
        <v>0.2340063185654917</v>
      </c>
      <c r="D21" s="29">
        <f t="shared" ca="1" si="19"/>
        <v>61</v>
      </c>
      <c r="F21" s="22">
        <v>44566</v>
      </c>
      <c r="G21" s="26">
        <f t="shared" ca="1" si="1"/>
        <v>0.53155338637659666</v>
      </c>
      <c r="H21" s="29">
        <v>0</v>
      </c>
      <c r="J21" s="22">
        <v>44566</v>
      </c>
      <c r="K21" s="26">
        <f t="shared" ca="1" si="2"/>
        <v>0.77151719905624627</v>
      </c>
      <c r="L21" s="29">
        <v>0</v>
      </c>
      <c r="N21" s="22">
        <v>44566</v>
      </c>
      <c r="O21" s="26">
        <f t="shared" ca="1" si="3"/>
        <v>0.47657900922989693</v>
      </c>
      <c r="P21" s="29">
        <v>0</v>
      </c>
      <c r="R21" s="22">
        <v>44566</v>
      </c>
      <c r="S21" s="26">
        <f t="shared" ca="1" si="4"/>
        <v>0.24618273546752534</v>
      </c>
      <c r="T21" s="29">
        <v>0</v>
      </c>
      <c r="V21" s="22">
        <v>44566</v>
      </c>
      <c r="W21" s="26">
        <f t="shared" ca="1" si="5"/>
        <v>0.98130589608025953</v>
      </c>
      <c r="X21" s="29">
        <v>0</v>
      </c>
      <c r="Z21" s="22">
        <v>44566</v>
      </c>
      <c r="AA21" s="26">
        <f t="shared" ca="1" si="6"/>
        <v>0.55518105672040297</v>
      </c>
      <c r="AB21" s="29">
        <v>0</v>
      </c>
      <c r="AC21"/>
      <c r="AD21" s="25"/>
      <c r="AF21" s="22">
        <v>44566</v>
      </c>
      <c r="AG21" s="26">
        <f t="shared" ca="1" si="7"/>
        <v>0.81530771719889772</v>
      </c>
      <c r="AH21" s="29">
        <v>0</v>
      </c>
      <c r="AJ21" s="22">
        <v>44566</v>
      </c>
      <c r="AK21" s="26">
        <f t="shared" ca="1" si="8"/>
        <v>0.52247540878880228</v>
      </c>
      <c r="AL21" s="29">
        <v>0</v>
      </c>
      <c r="AN21" s="22">
        <v>44566</v>
      </c>
      <c r="AO21" s="26">
        <f t="shared" ca="1" si="9"/>
        <v>0.33807202358418664</v>
      </c>
      <c r="AP21" s="29">
        <v>0</v>
      </c>
      <c r="AR21" s="22">
        <v>44566</v>
      </c>
      <c r="AS21" s="26">
        <f t="shared" ca="1" si="10"/>
        <v>0.86348921751430652</v>
      </c>
      <c r="AT21" s="29">
        <v>0</v>
      </c>
      <c r="AV21" s="22">
        <v>44566</v>
      </c>
      <c r="AW21" s="26">
        <f t="shared" ca="1" si="11"/>
        <v>0.49666249506211124</v>
      </c>
      <c r="AX21" s="29">
        <v>0</v>
      </c>
      <c r="AZ21" s="22">
        <v>44566</v>
      </c>
      <c r="BA21" s="26">
        <f t="shared" ca="1" si="12"/>
        <v>0.93626840467340444</v>
      </c>
      <c r="BB21" s="29">
        <v>0</v>
      </c>
      <c r="BC21"/>
      <c r="BD21" s="25"/>
      <c r="BF21" s="22">
        <v>44566</v>
      </c>
      <c r="BG21" s="26">
        <f t="shared" ca="1" si="13"/>
        <v>0.48364252041959144</v>
      </c>
      <c r="BH21" s="29">
        <v>0</v>
      </c>
      <c r="BJ21" s="22">
        <v>44566</v>
      </c>
      <c r="BK21" s="26">
        <f t="shared" ca="1" si="14"/>
        <v>7.7412845722198198E-2</v>
      </c>
      <c r="BL21" s="29">
        <v>0</v>
      </c>
      <c r="BN21" s="22">
        <v>44566</v>
      </c>
      <c r="BO21" s="26">
        <f t="shared" ca="1" si="15"/>
        <v>0.55559819651459741</v>
      </c>
      <c r="BP21" s="29">
        <v>0</v>
      </c>
      <c r="BR21" s="22">
        <v>44566</v>
      </c>
      <c r="BS21" s="26">
        <f t="shared" ca="1" si="16"/>
        <v>4.0162085772595058E-2</v>
      </c>
      <c r="BT21" s="29">
        <v>0</v>
      </c>
      <c r="BV21" s="22">
        <v>44566</v>
      </c>
      <c r="BW21" s="26">
        <f t="shared" ca="1" si="17"/>
        <v>0.17840986128381053</v>
      </c>
      <c r="BX21" s="29">
        <v>0</v>
      </c>
      <c r="CA21" s="12">
        <f t="shared" si="18"/>
        <v>44682</v>
      </c>
      <c r="CB21" s="8">
        <v>8919</v>
      </c>
    </row>
    <row r="22" spans="2:80" ht="12.75" x14ac:dyDescent="0.2">
      <c r="B22" s="22">
        <v>44567</v>
      </c>
      <c r="C22" s="26">
        <f t="shared" ca="1" si="0"/>
        <v>9.7679094776377595E-2</v>
      </c>
      <c r="D22" s="29">
        <f t="shared" ca="1" si="19"/>
        <v>50</v>
      </c>
      <c r="F22" s="22">
        <v>44567</v>
      </c>
      <c r="G22" s="26">
        <f t="shared" ca="1" si="1"/>
        <v>0.48895738629808205</v>
      </c>
      <c r="H22" s="29">
        <v>0</v>
      </c>
      <c r="J22" s="22">
        <v>44567</v>
      </c>
      <c r="K22" s="26">
        <f t="shared" ca="1" si="2"/>
        <v>0.621742903601605</v>
      </c>
      <c r="L22" s="29">
        <v>0</v>
      </c>
      <c r="N22" s="22">
        <v>44567</v>
      </c>
      <c r="O22" s="26">
        <f t="shared" ca="1" si="3"/>
        <v>0.40229588120264903</v>
      </c>
      <c r="P22" s="29">
        <v>0</v>
      </c>
      <c r="R22" s="22">
        <v>44567</v>
      </c>
      <c r="S22" s="26">
        <f t="shared" ca="1" si="4"/>
        <v>0.61672427489873227</v>
      </c>
      <c r="T22" s="29">
        <v>0</v>
      </c>
      <c r="V22" s="22">
        <v>44567</v>
      </c>
      <c r="W22" s="26">
        <f t="shared" ca="1" si="5"/>
        <v>0.30575207006024063</v>
      </c>
      <c r="X22" s="29">
        <v>0</v>
      </c>
      <c r="Z22" s="22">
        <v>44567</v>
      </c>
      <c r="AA22" s="26">
        <f t="shared" ca="1" si="6"/>
        <v>0.95364148241455438</v>
      </c>
      <c r="AB22" s="29">
        <v>0</v>
      </c>
      <c r="AC22"/>
      <c r="AD22" s="25"/>
      <c r="AF22" s="22">
        <v>44567</v>
      </c>
      <c r="AG22" s="26">
        <f t="shared" ca="1" si="7"/>
        <v>0.19138443007542516</v>
      </c>
      <c r="AH22" s="29">
        <v>0</v>
      </c>
      <c r="AJ22" s="22">
        <v>44567</v>
      </c>
      <c r="AK22" s="26">
        <f t="shared" ca="1" si="8"/>
        <v>0.85993161737057799</v>
      </c>
      <c r="AL22" s="29">
        <v>0</v>
      </c>
      <c r="AN22" s="22">
        <v>44567</v>
      </c>
      <c r="AO22" s="26">
        <f t="shared" ca="1" si="9"/>
        <v>0.43852604676003515</v>
      </c>
      <c r="AP22" s="29">
        <v>0</v>
      </c>
      <c r="AR22" s="22">
        <v>44567</v>
      </c>
      <c r="AS22" s="26">
        <f t="shared" ca="1" si="10"/>
        <v>1.8634417397933589E-4</v>
      </c>
      <c r="AT22" s="29">
        <v>0</v>
      </c>
      <c r="AV22" s="22">
        <v>44567</v>
      </c>
      <c r="AW22" s="26">
        <f t="shared" ca="1" si="11"/>
        <v>0.62568385545235272</v>
      </c>
      <c r="AX22" s="29">
        <v>0</v>
      </c>
      <c r="AZ22" s="22">
        <v>44567</v>
      </c>
      <c r="BA22" s="26">
        <f t="shared" ca="1" si="12"/>
        <v>0.396931599411946</v>
      </c>
      <c r="BB22" s="29">
        <v>0</v>
      </c>
      <c r="BC22"/>
      <c r="BD22" s="25"/>
      <c r="BF22" s="22">
        <v>44567</v>
      </c>
      <c r="BG22" s="26">
        <f t="shared" ca="1" si="13"/>
        <v>0.67078954003740243</v>
      </c>
      <c r="BH22" s="29">
        <v>0</v>
      </c>
      <c r="BJ22" s="22">
        <v>44567</v>
      </c>
      <c r="BK22" s="26">
        <f t="shared" ca="1" si="14"/>
        <v>0.2718186655493251</v>
      </c>
      <c r="BL22" s="29">
        <v>0</v>
      </c>
      <c r="BN22" s="22">
        <v>44567</v>
      </c>
      <c r="BO22" s="26">
        <f t="shared" ca="1" si="15"/>
        <v>0.1969203502412904</v>
      </c>
      <c r="BP22" s="29">
        <v>0</v>
      </c>
      <c r="BR22" s="22">
        <v>44567</v>
      </c>
      <c r="BS22" s="26">
        <f t="shared" ca="1" si="16"/>
        <v>8.9810913624481792E-2</v>
      </c>
      <c r="BT22" s="29">
        <v>0</v>
      </c>
      <c r="BV22" s="22">
        <v>44567</v>
      </c>
      <c r="BW22" s="26">
        <f t="shared" ca="1" si="17"/>
        <v>0.20989577554609984</v>
      </c>
      <c r="BX22" s="29">
        <v>0</v>
      </c>
      <c r="CA22" s="12">
        <f t="shared" si="18"/>
        <v>44713</v>
      </c>
      <c r="CB22" s="8">
        <v>9021</v>
      </c>
    </row>
    <row r="23" spans="2:80" ht="12.75" x14ac:dyDescent="0.2">
      <c r="B23" s="22">
        <v>44568</v>
      </c>
      <c r="C23" s="26">
        <f t="shared" ca="1" si="0"/>
        <v>0.57772663445626049</v>
      </c>
      <c r="D23" s="29">
        <f t="shared" ca="1" si="19"/>
        <v>79</v>
      </c>
      <c r="F23" s="22">
        <v>44568</v>
      </c>
      <c r="G23" s="26">
        <f t="shared" ca="1" si="1"/>
        <v>0.25342883456809706</v>
      </c>
      <c r="H23" s="29">
        <v>0</v>
      </c>
      <c r="J23" s="22">
        <v>44568</v>
      </c>
      <c r="K23" s="26">
        <f t="shared" ca="1" si="2"/>
        <v>0.16816873495110074</v>
      </c>
      <c r="L23" s="29">
        <v>0</v>
      </c>
      <c r="N23" s="22">
        <v>44568</v>
      </c>
      <c r="O23" s="26">
        <f t="shared" ca="1" si="3"/>
        <v>0.88917936596981151</v>
      </c>
      <c r="P23" s="29">
        <v>0</v>
      </c>
      <c r="R23" s="22">
        <v>44568</v>
      </c>
      <c r="S23" s="26">
        <f t="shared" ca="1" si="4"/>
        <v>0.38628506029175536</v>
      </c>
      <c r="T23" s="29">
        <v>0</v>
      </c>
      <c r="V23" s="22">
        <v>44568</v>
      </c>
      <c r="W23" s="26">
        <f t="shared" ca="1" si="5"/>
        <v>0.27594829386974995</v>
      </c>
      <c r="X23" s="29">
        <v>0</v>
      </c>
      <c r="Z23" s="22">
        <v>44568</v>
      </c>
      <c r="AA23" s="26">
        <f t="shared" ca="1" si="6"/>
        <v>0.34942319114282339</v>
      </c>
      <c r="AB23" s="29">
        <v>0</v>
      </c>
      <c r="AC23"/>
      <c r="AD23" s="25"/>
      <c r="AF23" s="22">
        <v>44568</v>
      </c>
      <c r="AG23" s="26">
        <f t="shared" ca="1" si="7"/>
        <v>0.57736444036061296</v>
      </c>
      <c r="AH23" s="29">
        <v>0</v>
      </c>
      <c r="AJ23" s="22">
        <v>44568</v>
      </c>
      <c r="AK23" s="26">
        <f t="shared" ca="1" si="8"/>
        <v>0.4705142963589547</v>
      </c>
      <c r="AL23" s="29">
        <v>0</v>
      </c>
      <c r="AN23" s="22">
        <v>44568</v>
      </c>
      <c r="AO23" s="26">
        <f t="shared" ca="1" si="9"/>
        <v>0.24417838857799934</v>
      </c>
      <c r="AP23" s="29">
        <v>0</v>
      </c>
      <c r="AR23" s="22">
        <v>44568</v>
      </c>
      <c r="AS23" s="26">
        <f t="shared" ca="1" si="10"/>
        <v>0.65084088406786567</v>
      </c>
      <c r="AT23" s="29">
        <v>0</v>
      </c>
      <c r="AV23" s="22">
        <v>44568</v>
      </c>
      <c r="AW23" s="26">
        <f t="shared" ca="1" si="11"/>
        <v>0.48795838534729097</v>
      </c>
      <c r="AX23" s="29">
        <v>0</v>
      </c>
      <c r="AZ23" s="22">
        <v>44568</v>
      </c>
      <c r="BA23" s="26">
        <f t="shared" ca="1" si="12"/>
        <v>0.78079129123479374</v>
      </c>
      <c r="BB23" s="29">
        <v>0</v>
      </c>
      <c r="BC23"/>
      <c r="BD23" s="25"/>
      <c r="BF23" s="22">
        <v>44568</v>
      </c>
      <c r="BG23" s="26">
        <f t="shared" ca="1" si="13"/>
        <v>0.71106494179664137</v>
      </c>
      <c r="BH23" s="29">
        <v>0</v>
      </c>
      <c r="BJ23" s="22">
        <v>44568</v>
      </c>
      <c r="BK23" s="26">
        <f t="shared" ca="1" si="14"/>
        <v>1.7601004657539887E-2</v>
      </c>
      <c r="BL23" s="29">
        <v>0</v>
      </c>
      <c r="BN23" s="22">
        <v>44568</v>
      </c>
      <c r="BO23" s="26">
        <f t="shared" ca="1" si="15"/>
        <v>0.43429231996092921</v>
      </c>
      <c r="BP23" s="29">
        <v>0</v>
      </c>
      <c r="BR23" s="22">
        <v>44568</v>
      </c>
      <c r="BS23" s="26">
        <f t="shared" ca="1" si="16"/>
        <v>0.92622394149885157</v>
      </c>
      <c r="BT23" s="29">
        <v>0</v>
      </c>
      <c r="BV23" s="22">
        <v>44568</v>
      </c>
      <c r="BW23" s="26">
        <f t="shared" ca="1" si="17"/>
        <v>9.0103409787159472E-2</v>
      </c>
      <c r="BX23" s="29">
        <v>0</v>
      </c>
      <c r="CA23" s="12">
        <f t="shared" si="18"/>
        <v>44743</v>
      </c>
      <c r="CB23" s="8">
        <v>1731</v>
      </c>
    </row>
    <row r="24" spans="2:80" ht="12.75" x14ac:dyDescent="0.2">
      <c r="B24" s="22">
        <v>44569</v>
      </c>
      <c r="C24" s="26">
        <f t="shared" ca="1" si="0"/>
        <v>0.39354025515418589</v>
      </c>
      <c r="D24" s="29">
        <f t="shared" ca="1" si="19"/>
        <v>70</v>
      </c>
      <c r="F24" s="22">
        <v>44569</v>
      </c>
      <c r="G24" s="26">
        <f t="shared" ca="1" si="1"/>
        <v>0.24613023606168449</v>
      </c>
      <c r="H24" s="29">
        <v>0</v>
      </c>
      <c r="J24" s="22">
        <v>44569</v>
      </c>
      <c r="K24" s="26">
        <f t="shared" ca="1" si="2"/>
        <v>0.70852757304172753</v>
      </c>
      <c r="L24" s="29">
        <v>0</v>
      </c>
      <c r="N24" s="22">
        <v>44569</v>
      </c>
      <c r="O24" s="26">
        <f t="shared" ca="1" si="3"/>
        <v>0.22723640927689126</v>
      </c>
      <c r="P24" s="29">
        <v>0</v>
      </c>
      <c r="R24" s="22">
        <v>44569</v>
      </c>
      <c r="S24" s="26">
        <f t="shared" ca="1" si="4"/>
        <v>0.90372555853465242</v>
      </c>
      <c r="T24" s="29">
        <v>0</v>
      </c>
      <c r="V24" s="22">
        <v>44569</v>
      </c>
      <c r="W24" s="26">
        <f t="shared" ca="1" si="5"/>
        <v>0.89694219324089264</v>
      </c>
      <c r="X24" s="29">
        <v>0</v>
      </c>
      <c r="Z24" s="22">
        <v>44569</v>
      </c>
      <c r="AA24" s="26">
        <f t="shared" ca="1" si="6"/>
        <v>0.93311006710944955</v>
      </c>
      <c r="AB24" s="29">
        <v>0</v>
      </c>
      <c r="AC24"/>
      <c r="AD24" s="25"/>
      <c r="AF24" s="22">
        <v>44569</v>
      </c>
      <c r="AG24" s="26">
        <f t="shared" ca="1" si="7"/>
        <v>6.4168660850768222E-2</v>
      </c>
      <c r="AH24" s="29">
        <v>0</v>
      </c>
      <c r="AJ24" s="22">
        <v>44569</v>
      </c>
      <c r="AK24" s="26">
        <f t="shared" ca="1" si="8"/>
        <v>3.7334792445077536E-2</v>
      </c>
      <c r="AL24" s="29">
        <v>0</v>
      </c>
      <c r="AN24" s="22">
        <v>44569</v>
      </c>
      <c r="AO24" s="26">
        <f t="shared" ca="1" si="9"/>
        <v>0.46142749012319462</v>
      </c>
      <c r="AP24" s="29">
        <v>0</v>
      </c>
      <c r="AR24" s="22">
        <v>44569</v>
      </c>
      <c r="AS24" s="26">
        <f t="shared" ca="1" si="10"/>
        <v>0.41977110963204356</v>
      </c>
      <c r="AT24" s="29">
        <v>0</v>
      </c>
      <c r="AV24" s="22">
        <v>44569</v>
      </c>
      <c r="AW24" s="26">
        <f t="shared" ca="1" si="11"/>
        <v>0.83587177213868469</v>
      </c>
      <c r="AX24" s="29">
        <v>0</v>
      </c>
      <c r="AZ24" s="22">
        <v>44569</v>
      </c>
      <c r="BA24" s="26">
        <f t="shared" ca="1" si="12"/>
        <v>3.323471297019942E-2</v>
      </c>
      <c r="BB24" s="29">
        <v>0</v>
      </c>
      <c r="BC24"/>
      <c r="BD24" s="25"/>
      <c r="BF24" s="22">
        <v>44569</v>
      </c>
      <c r="BG24" s="26">
        <f t="shared" ca="1" si="13"/>
        <v>0.84561204946936741</v>
      </c>
      <c r="BH24" s="29">
        <v>0</v>
      </c>
      <c r="BJ24" s="22">
        <v>44569</v>
      </c>
      <c r="BK24" s="26">
        <f t="shared" ca="1" si="14"/>
        <v>0.76346584764904535</v>
      </c>
      <c r="BL24" s="29">
        <v>0</v>
      </c>
      <c r="BN24" s="22">
        <v>44569</v>
      </c>
      <c r="BO24" s="26">
        <f t="shared" ca="1" si="15"/>
        <v>0.22778014438173699</v>
      </c>
      <c r="BP24" s="29">
        <v>0</v>
      </c>
      <c r="BR24" s="22">
        <v>44569</v>
      </c>
      <c r="BS24" s="26">
        <f t="shared" ca="1" si="16"/>
        <v>8.148067833000272E-2</v>
      </c>
      <c r="BT24" s="29">
        <v>0</v>
      </c>
      <c r="BV24" s="22">
        <v>44569</v>
      </c>
      <c r="BW24" s="26">
        <f t="shared" ca="1" si="17"/>
        <v>0.45034918753315145</v>
      </c>
      <c r="BX24" s="29">
        <v>0</v>
      </c>
      <c r="CA24" s="12">
        <f t="shared" si="18"/>
        <v>44774</v>
      </c>
      <c r="CB24" s="8">
        <v>2</v>
      </c>
    </row>
    <row r="25" spans="2:80" ht="12.75" x14ac:dyDescent="0.2">
      <c r="B25" s="22">
        <v>44570</v>
      </c>
      <c r="C25" s="26">
        <f t="shared" ca="1" si="0"/>
        <v>0.13204778342624712</v>
      </c>
      <c r="D25" s="29">
        <f t="shared" ca="1" si="19"/>
        <v>53</v>
      </c>
      <c r="F25" s="22">
        <v>44570</v>
      </c>
      <c r="G25" s="26">
        <f t="shared" ca="1" si="1"/>
        <v>0.28329082373013059</v>
      </c>
      <c r="H25" s="29">
        <v>0</v>
      </c>
      <c r="J25" s="22">
        <v>44570</v>
      </c>
      <c r="K25" s="26">
        <f t="shared" ca="1" si="2"/>
        <v>0.6627531840834826</v>
      </c>
      <c r="L25" s="29">
        <v>0</v>
      </c>
      <c r="N25" s="22">
        <v>44570</v>
      </c>
      <c r="O25" s="26">
        <f t="shared" ca="1" si="3"/>
        <v>0.38728694999453961</v>
      </c>
      <c r="P25" s="29">
        <v>0</v>
      </c>
      <c r="R25" s="22">
        <v>44570</v>
      </c>
      <c r="S25" s="26">
        <f t="shared" ca="1" si="4"/>
        <v>0.1677722798272574</v>
      </c>
      <c r="T25" s="29">
        <v>0</v>
      </c>
      <c r="V25" s="22">
        <v>44570</v>
      </c>
      <c r="W25" s="26">
        <f t="shared" ca="1" si="5"/>
        <v>0.86130036385543796</v>
      </c>
      <c r="X25" s="29">
        <v>0</v>
      </c>
      <c r="Z25" s="22">
        <v>44570</v>
      </c>
      <c r="AA25" s="26">
        <f t="shared" ca="1" si="6"/>
        <v>0.56782291866770063</v>
      </c>
      <c r="AB25" s="29">
        <v>0</v>
      </c>
      <c r="AC25"/>
      <c r="AD25" s="25"/>
      <c r="AF25" s="22">
        <v>44570</v>
      </c>
      <c r="AG25" s="26">
        <f t="shared" ca="1" si="7"/>
        <v>0.60344119902143289</v>
      </c>
      <c r="AH25" s="29">
        <v>0</v>
      </c>
      <c r="AJ25" s="22">
        <v>44570</v>
      </c>
      <c r="AK25" s="26">
        <f t="shared" ca="1" si="8"/>
        <v>4.2056984462332192E-2</v>
      </c>
      <c r="AL25" s="29">
        <v>0</v>
      </c>
      <c r="AN25" s="22">
        <v>44570</v>
      </c>
      <c r="AO25" s="26">
        <f t="shared" ca="1" si="9"/>
        <v>0.71738174478673755</v>
      </c>
      <c r="AP25" s="29">
        <v>0</v>
      </c>
      <c r="AR25" s="22">
        <v>44570</v>
      </c>
      <c r="AS25" s="26">
        <f t="shared" ca="1" si="10"/>
        <v>1.7040653337820899E-2</v>
      </c>
      <c r="AT25" s="29">
        <v>0</v>
      </c>
      <c r="AV25" s="22">
        <v>44570</v>
      </c>
      <c r="AW25" s="26">
        <f t="shared" ca="1" si="11"/>
        <v>0.77566076393631</v>
      </c>
      <c r="AX25" s="29">
        <v>0</v>
      </c>
      <c r="AZ25" s="22">
        <v>44570</v>
      </c>
      <c r="BA25" s="26">
        <f t="shared" ca="1" si="12"/>
        <v>0.81084430733770807</v>
      </c>
      <c r="BB25" s="29">
        <v>0</v>
      </c>
      <c r="BC25"/>
      <c r="BD25" s="25"/>
      <c r="BF25" s="22">
        <v>44570</v>
      </c>
      <c r="BG25" s="26">
        <f t="shared" ca="1" si="13"/>
        <v>0.22832870172640751</v>
      </c>
      <c r="BH25" s="29">
        <v>0</v>
      </c>
      <c r="BJ25" s="22">
        <v>44570</v>
      </c>
      <c r="BK25" s="26">
        <f t="shared" ca="1" si="14"/>
        <v>0.30457032835041342</v>
      </c>
      <c r="BL25" s="29">
        <v>0</v>
      </c>
      <c r="BN25" s="22">
        <v>44570</v>
      </c>
      <c r="BO25" s="26">
        <f t="shared" ca="1" si="15"/>
        <v>0.19413898727933732</v>
      </c>
      <c r="BP25" s="29">
        <v>0</v>
      </c>
      <c r="BR25" s="22">
        <v>44570</v>
      </c>
      <c r="BS25" s="26">
        <f t="shared" ca="1" si="16"/>
        <v>0.83191459011183799</v>
      </c>
      <c r="BT25" s="29">
        <v>0</v>
      </c>
      <c r="BV25" s="22">
        <v>44570</v>
      </c>
      <c r="BW25" s="26">
        <f t="shared" ca="1" si="17"/>
        <v>9.5160063326423017E-2</v>
      </c>
      <c r="BX25" s="29">
        <v>0</v>
      </c>
      <c r="CA25" s="12">
        <f t="shared" si="18"/>
        <v>44805</v>
      </c>
      <c r="CB25" s="8">
        <v>23249</v>
      </c>
    </row>
    <row r="26" spans="2:80" ht="12.75" x14ac:dyDescent="0.2">
      <c r="B26" s="22">
        <v>44571</v>
      </c>
      <c r="C26" s="26">
        <f t="shared" ca="1" si="0"/>
        <v>0.69046898600851814</v>
      </c>
      <c r="D26" s="29">
        <f t="shared" ca="1" si="19"/>
        <v>85</v>
      </c>
      <c r="F26" s="22">
        <v>44571</v>
      </c>
      <c r="G26" s="26">
        <f t="shared" ca="1" si="1"/>
        <v>0.13673262209042092</v>
      </c>
      <c r="H26" s="29">
        <v>0</v>
      </c>
      <c r="J26" s="22">
        <v>44571</v>
      </c>
      <c r="K26" s="26">
        <f t="shared" ca="1" si="2"/>
        <v>0.75922618569393108</v>
      </c>
      <c r="L26" s="29">
        <v>0</v>
      </c>
      <c r="N26" s="22">
        <v>44571</v>
      </c>
      <c r="O26" s="26">
        <f t="shared" ca="1" si="3"/>
        <v>0.28629708829566347</v>
      </c>
      <c r="P26" s="29">
        <v>0</v>
      </c>
      <c r="R26" s="22">
        <v>44571</v>
      </c>
      <c r="S26" s="26">
        <f t="shared" ca="1" si="4"/>
        <v>0.25484894599176655</v>
      </c>
      <c r="T26" s="29">
        <v>0</v>
      </c>
      <c r="V26" s="22">
        <v>44571</v>
      </c>
      <c r="W26" s="26">
        <f t="shared" ca="1" si="5"/>
        <v>0.67251693539870983</v>
      </c>
      <c r="X26" s="29">
        <v>0</v>
      </c>
      <c r="Z26" s="22">
        <v>44571</v>
      </c>
      <c r="AA26" s="26">
        <f t="shared" ca="1" si="6"/>
        <v>0.34112822920986241</v>
      </c>
      <c r="AB26" s="29">
        <v>0</v>
      </c>
      <c r="AC26"/>
      <c r="AD26" s="25"/>
      <c r="AF26" s="22">
        <v>44571</v>
      </c>
      <c r="AG26" s="26">
        <f t="shared" ca="1" si="7"/>
        <v>0.21513110640518218</v>
      </c>
      <c r="AH26" s="29">
        <v>0</v>
      </c>
      <c r="AJ26" s="22">
        <v>44571</v>
      </c>
      <c r="AK26" s="26">
        <f t="shared" ca="1" si="8"/>
        <v>0.94384392244516824</v>
      </c>
      <c r="AL26" s="29">
        <v>0</v>
      </c>
      <c r="AN26" s="22">
        <v>44571</v>
      </c>
      <c r="AO26" s="26">
        <f t="shared" ca="1" si="9"/>
        <v>0.37543011057619058</v>
      </c>
      <c r="AP26" s="29">
        <v>0</v>
      </c>
      <c r="AR26" s="22">
        <v>44571</v>
      </c>
      <c r="AS26" s="26">
        <f t="shared" ca="1" si="10"/>
        <v>0.71363662918694215</v>
      </c>
      <c r="AT26" s="29">
        <v>0</v>
      </c>
      <c r="AV26" s="22">
        <v>44571</v>
      </c>
      <c r="AW26" s="26">
        <f t="shared" ca="1" si="11"/>
        <v>4.0136104703753506E-2</v>
      </c>
      <c r="AX26" s="29">
        <v>0</v>
      </c>
      <c r="AZ26" s="22">
        <v>44571</v>
      </c>
      <c r="BA26" s="26">
        <f t="shared" ca="1" si="12"/>
        <v>0.21777690976759012</v>
      </c>
      <c r="BB26" s="29">
        <v>0</v>
      </c>
      <c r="BC26"/>
      <c r="BD26" s="25"/>
      <c r="BF26" s="22">
        <v>44571</v>
      </c>
      <c r="BG26" s="26">
        <f t="shared" ca="1" si="13"/>
        <v>0.611950382109826</v>
      </c>
      <c r="BH26" s="29">
        <v>0</v>
      </c>
      <c r="BJ26" s="22">
        <v>44571</v>
      </c>
      <c r="BK26" s="26">
        <f t="shared" ca="1" si="14"/>
        <v>0.77038997639534401</v>
      </c>
      <c r="BL26" s="29">
        <v>0</v>
      </c>
      <c r="BN26" s="22">
        <v>44571</v>
      </c>
      <c r="BO26" s="26">
        <f t="shared" ca="1" si="15"/>
        <v>0.63229833226175602</v>
      </c>
      <c r="BP26" s="29">
        <v>0</v>
      </c>
      <c r="BR26" s="22">
        <v>44571</v>
      </c>
      <c r="BS26" s="26">
        <f t="shared" ca="1" si="16"/>
        <v>2.0002827072951868E-2</v>
      </c>
      <c r="BT26" s="29">
        <v>0</v>
      </c>
      <c r="BV26" s="22">
        <v>44571</v>
      </c>
      <c r="BW26" s="26">
        <f t="shared" ca="1" si="17"/>
        <v>0.5965679132538616</v>
      </c>
      <c r="BX26" s="29">
        <v>0</v>
      </c>
      <c r="CA26" s="12">
        <f t="shared" ref="CA26" si="20">EDATE(CA25,1)</f>
        <v>44835</v>
      </c>
      <c r="CB26" s="8">
        <v>17833</v>
      </c>
    </row>
    <row r="27" spans="2:80" ht="12.75" x14ac:dyDescent="0.2">
      <c r="B27" s="22">
        <v>44572</v>
      </c>
      <c r="C27" s="26">
        <f t="shared" ca="1" si="0"/>
        <v>0.36109738683206793</v>
      </c>
      <c r="D27" s="29">
        <f t="shared" ca="1" si="19"/>
        <v>68</v>
      </c>
      <c r="F27" s="22">
        <v>44572</v>
      </c>
      <c r="G27" s="26">
        <f t="shared" ca="1" si="1"/>
        <v>0.74762405799250087</v>
      </c>
      <c r="H27" s="29">
        <v>0</v>
      </c>
      <c r="J27" s="22">
        <v>44572</v>
      </c>
      <c r="K27" s="26">
        <f t="shared" ca="1" si="2"/>
        <v>0.5682729422131646</v>
      </c>
      <c r="L27" s="29">
        <v>0</v>
      </c>
      <c r="N27" s="22">
        <v>44572</v>
      </c>
      <c r="O27" s="26">
        <f t="shared" ca="1" si="3"/>
        <v>0.5376459155016402</v>
      </c>
      <c r="P27" s="29">
        <v>0</v>
      </c>
      <c r="R27" s="22">
        <v>44572</v>
      </c>
      <c r="S27" s="26">
        <f t="shared" ca="1" si="4"/>
        <v>0.12762074957983893</v>
      </c>
      <c r="T27" s="29">
        <v>0</v>
      </c>
      <c r="V27" s="22">
        <v>44572</v>
      </c>
      <c r="W27" s="26">
        <f t="shared" ca="1" si="5"/>
        <v>0.75499682773932686</v>
      </c>
      <c r="X27" s="29">
        <v>0</v>
      </c>
      <c r="Z27" s="22">
        <v>44572</v>
      </c>
      <c r="AA27" s="26">
        <f t="shared" ca="1" si="6"/>
        <v>4.2006980930677895E-2</v>
      </c>
      <c r="AB27" s="29">
        <v>0</v>
      </c>
      <c r="AC27"/>
      <c r="AD27" s="25"/>
      <c r="AF27" s="22">
        <v>44572</v>
      </c>
      <c r="AG27" s="26">
        <f t="shared" ca="1" si="7"/>
        <v>0.48834192825935019</v>
      </c>
      <c r="AH27" s="29">
        <v>0</v>
      </c>
      <c r="AJ27" s="22">
        <v>44572</v>
      </c>
      <c r="AK27" s="26">
        <f t="shared" ca="1" si="8"/>
        <v>0.96007568990335213</v>
      </c>
      <c r="AL27" s="29">
        <v>0</v>
      </c>
      <c r="AN27" s="22">
        <v>44572</v>
      </c>
      <c r="AO27" s="26">
        <f t="shared" ca="1" si="9"/>
        <v>2.3296264832919467E-2</v>
      </c>
      <c r="AP27" s="29">
        <v>0</v>
      </c>
      <c r="AR27" s="22">
        <v>44572</v>
      </c>
      <c r="AS27" s="26">
        <f t="shared" ca="1" si="10"/>
        <v>0.43396427290836559</v>
      </c>
      <c r="AT27" s="29">
        <v>0</v>
      </c>
      <c r="AV27" s="22">
        <v>44572</v>
      </c>
      <c r="AW27" s="26">
        <f t="shared" ca="1" si="11"/>
        <v>0.77975761380648256</v>
      </c>
      <c r="AX27" s="29">
        <v>0</v>
      </c>
      <c r="AZ27" s="22">
        <v>44572</v>
      </c>
      <c r="BA27" s="26">
        <f t="shared" ca="1" si="12"/>
        <v>0.77201655825958271</v>
      </c>
      <c r="BB27" s="29">
        <v>0</v>
      </c>
      <c r="BC27"/>
      <c r="BD27" s="25"/>
      <c r="BF27" s="22">
        <v>44572</v>
      </c>
      <c r="BG27" s="26">
        <f t="shared" ca="1" si="13"/>
        <v>0.763134707231786</v>
      </c>
      <c r="BH27" s="29">
        <v>0</v>
      </c>
      <c r="BJ27" s="22">
        <v>44572</v>
      </c>
      <c r="BK27" s="26">
        <f t="shared" ca="1" si="14"/>
        <v>0.55362499668101917</v>
      </c>
      <c r="BL27" s="29">
        <v>0</v>
      </c>
      <c r="BN27" s="22">
        <v>44572</v>
      </c>
      <c r="BO27" s="26">
        <f t="shared" ca="1" si="15"/>
        <v>0.31349126927000592</v>
      </c>
      <c r="BP27" s="29">
        <v>0</v>
      </c>
      <c r="BR27" s="22">
        <v>44572</v>
      </c>
      <c r="BS27" s="26">
        <f t="shared" ca="1" si="16"/>
        <v>0.91449960897324312</v>
      </c>
      <c r="BT27" s="29">
        <v>0</v>
      </c>
      <c r="BV27" s="22">
        <v>44572</v>
      </c>
      <c r="BW27" s="26">
        <f t="shared" ca="1" si="17"/>
        <v>0.41243838396167143</v>
      </c>
      <c r="BX27" s="29">
        <v>0</v>
      </c>
      <c r="CA27" s="12">
        <f t="shared" ref="CA27:CA52" si="21">EDATE(CA26,1)</f>
        <v>44866</v>
      </c>
      <c r="CB27" s="8">
        <v>24464</v>
      </c>
    </row>
    <row r="28" spans="2:80" ht="12.75" x14ac:dyDescent="0.2">
      <c r="B28" s="22">
        <v>44573</v>
      </c>
      <c r="C28" s="26">
        <f t="shared" ca="1" si="0"/>
        <v>0.55638288325953189</v>
      </c>
      <c r="D28" s="29">
        <f t="shared" ca="1" si="19"/>
        <v>78</v>
      </c>
      <c r="F28" s="22">
        <v>44573</v>
      </c>
      <c r="G28" s="26">
        <f t="shared" ca="1" si="1"/>
        <v>0.64732547905866678</v>
      </c>
      <c r="H28" s="29">
        <v>0</v>
      </c>
      <c r="J28" s="22">
        <v>44573</v>
      </c>
      <c r="K28" s="26">
        <f t="shared" ca="1" si="2"/>
        <v>4.2726040977146162E-2</v>
      </c>
      <c r="L28" s="29">
        <v>0</v>
      </c>
      <c r="N28" s="22">
        <v>44573</v>
      </c>
      <c r="O28" s="26">
        <f t="shared" ca="1" si="3"/>
        <v>0.26782000857898935</v>
      </c>
      <c r="P28" s="29">
        <v>0</v>
      </c>
      <c r="R28" s="22">
        <v>44573</v>
      </c>
      <c r="S28" s="26">
        <f t="shared" ca="1" si="4"/>
        <v>0.59395938558218297</v>
      </c>
      <c r="T28" s="29">
        <v>0</v>
      </c>
      <c r="V28" s="22">
        <v>44573</v>
      </c>
      <c r="W28" s="26">
        <f t="shared" ca="1" si="5"/>
        <v>0.216736990011963</v>
      </c>
      <c r="X28" s="29">
        <v>0</v>
      </c>
      <c r="Z28" s="22">
        <v>44573</v>
      </c>
      <c r="AA28" s="26">
        <f t="shared" ca="1" si="6"/>
        <v>0.38557912778796233</v>
      </c>
      <c r="AB28" s="29">
        <v>0</v>
      </c>
      <c r="AC28"/>
      <c r="AD28" s="25"/>
      <c r="AF28" s="22">
        <v>44573</v>
      </c>
      <c r="AG28" s="26">
        <f t="shared" ca="1" si="7"/>
        <v>0.3124232373342456</v>
      </c>
      <c r="AH28" s="29">
        <v>0</v>
      </c>
      <c r="AJ28" s="22">
        <v>44573</v>
      </c>
      <c r="AK28" s="26">
        <f t="shared" ca="1" si="8"/>
        <v>0.1782678616491401</v>
      </c>
      <c r="AL28" s="29">
        <v>0</v>
      </c>
      <c r="AN28" s="22">
        <v>44573</v>
      </c>
      <c r="AO28" s="26">
        <f t="shared" ca="1" si="9"/>
        <v>0.54277559544554232</v>
      </c>
      <c r="AP28" s="29">
        <v>0</v>
      </c>
      <c r="AR28" s="22">
        <v>44573</v>
      </c>
      <c r="AS28" s="26">
        <f t="shared" ca="1" si="10"/>
        <v>0.84819922334710329</v>
      </c>
      <c r="AT28" s="29">
        <v>0</v>
      </c>
      <c r="AV28" s="22">
        <v>44573</v>
      </c>
      <c r="AW28" s="26">
        <f t="shared" ca="1" si="11"/>
        <v>0.84684708235630168</v>
      </c>
      <c r="AX28" s="29">
        <v>0</v>
      </c>
      <c r="AZ28" s="22">
        <v>44573</v>
      </c>
      <c r="BA28" s="26">
        <f t="shared" ca="1" si="12"/>
        <v>1.501155772939633E-2</v>
      </c>
      <c r="BB28" s="29">
        <v>0</v>
      </c>
      <c r="BC28"/>
      <c r="BD28" s="25"/>
      <c r="BF28" s="22">
        <v>44573</v>
      </c>
      <c r="BG28" s="26">
        <f t="shared" ca="1" si="13"/>
        <v>0.88608018143931655</v>
      </c>
      <c r="BH28" s="29">
        <v>0</v>
      </c>
      <c r="BJ28" s="22">
        <v>44573</v>
      </c>
      <c r="BK28" s="26">
        <f t="shared" ca="1" si="14"/>
        <v>0.98134686361804924</v>
      </c>
      <c r="BL28" s="29">
        <v>0</v>
      </c>
      <c r="BN28" s="22">
        <v>44573</v>
      </c>
      <c r="BO28" s="26">
        <f t="shared" ca="1" si="15"/>
        <v>4.1077242998467489E-2</v>
      </c>
      <c r="BP28" s="29">
        <v>0</v>
      </c>
      <c r="BR28" s="22">
        <v>44573</v>
      </c>
      <c r="BS28" s="26">
        <f t="shared" ca="1" si="16"/>
        <v>0.67248859619587609</v>
      </c>
      <c r="BT28" s="29">
        <v>0</v>
      </c>
      <c r="BV28" s="22">
        <v>44573</v>
      </c>
      <c r="BW28" s="26">
        <f t="shared" ca="1" si="17"/>
        <v>0.97689937157442586</v>
      </c>
      <c r="BX28" s="29">
        <v>0</v>
      </c>
      <c r="CA28" s="12">
        <f t="shared" si="21"/>
        <v>44896</v>
      </c>
      <c r="CB28" s="8">
        <v>14526</v>
      </c>
    </row>
    <row r="29" spans="2:80" ht="12.75" x14ac:dyDescent="0.2">
      <c r="B29" s="22">
        <v>44574</v>
      </c>
      <c r="C29" s="26">
        <f t="shared" ca="1" si="0"/>
        <v>0.16086993320662579</v>
      </c>
      <c r="D29" s="29">
        <f t="shared" ca="1" si="19"/>
        <v>56</v>
      </c>
      <c r="F29" s="22">
        <v>44574</v>
      </c>
      <c r="G29" s="26">
        <f t="shared" ca="1" si="1"/>
        <v>0.31871572491736233</v>
      </c>
      <c r="H29" s="29">
        <v>0</v>
      </c>
      <c r="J29" s="22">
        <v>44574</v>
      </c>
      <c r="K29" s="26">
        <f t="shared" ca="1" si="2"/>
        <v>0.4250400240545199</v>
      </c>
      <c r="L29" s="29">
        <v>0</v>
      </c>
      <c r="N29" s="22">
        <v>44574</v>
      </c>
      <c r="O29" s="26">
        <f t="shared" ca="1" si="3"/>
        <v>0.12779283952776421</v>
      </c>
      <c r="P29" s="29">
        <v>0</v>
      </c>
      <c r="R29" s="22">
        <v>44574</v>
      </c>
      <c r="S29" s="26">
        <f t="shared" ca="1" si="4"/>
        <v>0.90469021406428929</v>
      </c>
      <c r="T29" s="29">
        <v>0</v>
      </c>
      <c r="V29" s="22">
        <v>44574</v>
      </c>
      <c r="W29" s="26">
        <f t="shared" ca="1" si="5"/>
        <v>0.48884151866939762</v>
      </c>
      <c r="X29" s="29">
        <v>0</v>
      </c>
      <c r="Z29" s="22">
        <v>44574</v>
      </c>
      <c r="AA29" s="26">
        <f t="shared" ca="1" si="6"/>
        <v>0.15575622582045523</v>
      </c>
      <c r="AB29" s="29">
        <v>0</v>
      </c>
      <c r="AC29"/>
      <c r="AD29" s="25"/>
      <c r="AF29" s="22">
        <v>44574</v>
      </c>
      <c r="AG29" s="26">
        <f t="shared" ca="1" si="7"/>
        <v>0.37951412383191974</v>
      </c>
      <c r="AH29" s="29">
        <v>0</v>
      </c>
      <c r="AJ29" s="22">
        <v>44574</v>
      </c>
      <c r="AK29" s="26">
        <f t="shared" ca="1" si="8"/>
        <v>0.21493399924374845</v>
      </c>
      <c r="AL29" s="29">
        <v>0</v>
      </c>
      <c r="AN29" s="22">
        <v>44574</v>
      </c>
      <c r="AO29" s="26">
        <f t="shared" ca="1" si="9"/>
        <v>0.51698603178148228</v>
      </c>
      <c r="AP29" s="29">
        <v>0</v>
      </c>
      <c r="AR29" s="22">
        <v>44574</v>
      </c>
      <c r="AS29" s="26">
        <f t="shared" ca="1" si="10"/>
        <v>0.38385498289385478</v>
      </c>
      <c r="AT29" s="29">
        <v>0</v>
      </c>
      <c r="AV29" s="22">
        <v>44574</v>
      </c>
      <c r="AW29" s="26">
        <f t="shared" ca="1" si="11"/>
        <v>0.91179733005775421</v>
      </c>
      <c r="AX29" s="29">
        <v>0</v>
      </c>
      <c r="AZ29" s="22">
        <v>44574</v>
      </c>
      <c r="BA29" s="26">
        <f t="shared" ca="1" si="12"/>
        <v>0.10608181275880935</v>
      </c>
      <c r="BB29" s="29">
        <v>0</v>
      </c>
      <c r="BC29"/>
      <c r="BD29" s="25"/>
      <c r="BF29" s="22">
        <v>44574</v>
      </c>
      <c r="BG29" s="26">
        <f t="shared" ca="1" si="13"/>
        <v>0.78352743722392804</v>
      </c>
      <c r="BH29" s="29">
        <v>0</v>
      </c>
      <c r="BJ29" s="22">
        <v>44574</v>
      </c>
      <c r="BK29" s="26">
        <f t="shared" ca="1" si="14"/>
        <v>0.54998986298100494</v>
      </c>
      <c r="BL29" s="29">
        <v>0</v>
      </c>
      <c r="BN29" s="22">
        <v>44574</v>
      </c>
      <c r="BO29" s="26">
        <f t="shared" ca="1" si="15"/>
        <v>0.51675547195683413</v>
      </c>
      <c r="BP29" s="29">
        <v>0</v>
      </c>
      <c r="BR29" s="22">
        <v>44574</v>
      </c>
      <c r="BS29" s="26">
        <f t="shared" ca="1" si="16"/>
        <v>0.83956301535611888</v>
      </c>
      <c r="BT29" s="29">
        <v>0</v>
      </c>
      <c r="BV29" s="22">
        <v>44574</v>
      </c>
      <c r="BW29" s="26">
        <f t="shared" ca="1" si="17"/>
        <v>0.21606752563404619</v>
      </c>
      <c r="BX29" s="29">
        <v>0</v>
      </c>
      <c r="CA29" s="12">
        <f t="shared" si="21"/>
        <v>44927</v>
      </c>
      <c r="CB29" s="8">
        <v>36433</v>
      </c>
    </row>
    <row r="30" spans="2:80" ht="12.75" x14ac:dyDescent="0.2">
      <c r="B30" s="22">
        <v>44575</v>
      </c>
      <c r="C30" s="26">
        <f t="shared" ca="1" si="0"/>
        <v>0.61878631838071696</v>
      </c>
      <c r="D30" s="29">
        <f t="shared" ca="1" si="19"/>
        <v>82</v>
      </c>
      <c r="F30" s="22">
        <v>44575</v>
      </c>
      <c r="G30" s="26">
        <f t="shared" ca="1" si="1"/>
        <v>0.91063194490821597</v>
      </c>
      <c r="H30" s="29">
        <v>0</v>
      </c>
      <c r="J30" s="22">
        <v>44575</v>
      </c>
      <c r="K30" s="26">
        <f t="shared" ca="1" si="2"/>
        <v>0.88010277922465341</v>
      </c>
      <c r="L30" s="29">
        <v>0</v>
      </c>
      <c r="N30" s="22">
        <v>44575</v>
      </c>
      <c r="O30" s="26">
        <f t="shared" ca="1" si="3"/>
        <v>0.70742163131608793</v>
      </c>
      <c r="P30" s="29">
        <v>0</v>
      </c>
      <c r="R30" s="22">
        <v>44575</v>
      </c>
      <c r="S30" s="26">
        <f t="shared" ca="1" si="4"/>
        <v>0.57026418254420419</v>
      </c>
      <c r="T30" s="29">
        <v>0</v>
      </c>
      <c r="V30" s="22">
        <v>44575</v>
      </c>
      <c r="W30" s="26">
        <f t="shared" ca="1" si="5"/>
        <v>0.49191544834052447</v>
      </c>
      <c r="X30" s="29">
        <v>0</v>
      </c>
      <c r="Z30" s="22">
        <v>44575</v>
      </c>
      <c r="AA30" s="26">
        <f t="shared" ca="1" si="6"/>
        <v>0.23403516186567153</v>
      </c>
      <c r="AB30" s="29">
        <v>0</v>
      </c>
      <c r="AC30"/>
      <c r="AD30" s="25"/>
      <c r="AF30" s="22">
        <v>44575</v>
      </c>
      <c r="AG30" s="26">
        <f t="shared" ca="1" si="7"/>
        <v>0.14889959626580074</v>
      </c>
      <c r="AH30" s="29">
        <v>0</v>
      </c>
      <c r="AJ30" s="22">
        <v>44575</v>
      </c>
      <c r="AK30" s="26">
        <f t="shared" ca="1" si="8"/>
        <v>0.90019259640540172</v>
      </c>
      <c r="AL30" s="29">
        <v>0</v>
      </c>
      <c r="AN30" s="22">
        <v>44575</v>
      </c>
      <c r="AO30" s="26">
        <f t="shared" ca="1" si="9"/>
        <v>0.22355938611130477</v>
      </c>
      <c r="AP30" s="29">
        <v>0</v>
      </c>
      <c r="AR30" s="22">
        <v>44575</v>
      </c>
      <c r="AS30" s="26">
        <f t="shared" ca="1" si="10"/>
        <v>0.44811152688855183</v>
      </c>
      <c r="AT30" s="29">
        <v>0</v>
      </c>
      <c r="AV30" s="22">
        <v>44575</v>
      </c>
      <c r="AW30" s="26">
        <f t="shared" ca="1" si="11"/>
        <v>0.84764581808192974</v>
      </c>
      <c r="AX30" s="29">
        <v>0</v>
      </c>
      <c r="AZ30" s="22">
        <v>44575</v>
      </c>
      <c r="BA30" s="26">
        <f t="shared" ca="1" si="12"/>
        <v>0.80648419848066577</v>
      </c>
      <c r="BB30" s="29">
        <v>0</v>
      </c>
      <c r="BC30"/>
      <c r="BD30" s="25"/>
      <c r="BF30" s="22">
        <v>44575</v>
      </c>
      <c r="BG30" s="26">
        <f t="shared" ca="1" si="13"/>
        <v>0.42328277163844719</v>
      </c>
      <c r="BH30" s="29">
        <v>0</v>
      </c>
      <c r="BJ30" s="22">
        <v>44575</v>
      </c>
      <c r="BK30" s="26">
        <f t="shared" ca="1" si="14"/>
        <v>0.22856631752577106</v>
      </c>
      <c r="BL30" s="29">
        <v>0</v>
      </c>
      <c r="BN30" s="22">
        <v>44575</v>
      </c>
      <c r="BO30" s="26">
        <f t="shared" ca="1" si="15"/>
        <v>0.26773440589155584</v>
      </c>
      <c r="BP30" s="29">
        <v>0</v>
      </c>
      <c r="BR30" s="22">
        <v>44575</v>
      </c>
      <c r="BS30" s="26">
        <f t="shared" ca="1" si="16"/>
        <v>0.47295210686670386</v>
      </c>
      <c r="BT30" s="29">
        <v>0</v>
      </c>
      <c r="BV30" s="22">
        <v>44575</v>
      </c>
      <c r="BW30" s="26">
        <f t="shared" ca="1" si="17"/>
        <v>0.8314238890990665</v>
      </c>
      <c r="BX30" s="29">
        <v>0</v>
      </c>
      <c r="CA30" s="12">
        <f t="shared" si="21"/>
        <v>44958</v>
      </c>
      <c r="CB30" s="8">
        <v>24633</v>
      </c>
    </row>
    <row r="31" spans="2:80" ht="12.75" x14ac:dyDescent="0.2">
      <c r="B31" s="22">
        <v>44576</v>
      </c>
      <c r="C31" s="26">
        <f t="shared" ca="1" si="0"/>
        <v>0.37270845306698885</v>
      </c>
      <c r="D31" s="29">
        <f t="shared" ca="1" si="19"/>
        <v>69</v>
      </c>
      <c r="F31" s="22">
        <v>44576</v>
      </c>
      <c r="G31" s="26">
        <f t="shared" ca="1" si="1"/>
        <v>0.47541179603902395</v>
      </c>
      <c r="H31" s="29">
        <v>0</v>
      </c>
      <c r="J31" s="22">
        <v>44576</v>
      </c>
      <c r="K31" s="26">
        <f t="shared" ca="1" si="2"/>
        <v>0.7033757101933541</v>
      </c>
      <c r="L31" s="29">
        <v>0</v>
      </c>
      <c r="N31" s="22">
        <v>44576</v>
      </c>
      <c r="O31" s="26">
        <f t="shared" ca="1" si="3"/>
        <v>0.54891867413293238</v>
      </c>
      <c r="P31" s="29">
        <v>0</v>
      </c>
      <c r="R31" s="22">
        <v>44576</v>
      </c>
      <c r="S31" s="26">
        <f t="shared" ca="1" si="4"/>
        <v>0.8800243079328216</v>
      </c>
      <c r="T31" s="29">
        <v>0</v>
      </c>
      <c r="V31" s="22">
        <v>44576</v>
      </c>
      <c r="W31" s="26">
        <f t="shared" ca="1" si="5"/>
        <v>0.31545903919652918</v>
      </c>
      <c r="X31" s="29">
        <v>0</v>
      </c>
      <c r="Z31" s="22">
        <v>44576</v>
      </c>
      <c r="AA31" s="26">
        <f t="shared" ca="1" si="6"/>
        <v>0.19593337289085233</v>
      </c>
      <c r="AB31" s="29">
        <v>0</v>
      </c>
      <c r="AC31"/>
      <c r="AD31" s="25"/>
      <c r="AF31" s="22">
        <v>44576</v>
      </c>
      <c r="AG31" s="26">
        <f t="shared" ca="1" si="7"/>
        <v>0.52795116358342786</v>
      </c>
      <c r="AH31" s="29">
        <v>0</v>
      </c>
      <c r="AJ31" s="22">
        <v>44576</v>
      </c>
      <c r="AK31" s="26">
        <f t="shared" ca="1" si="8"/>
        <v>0.2766901783152047</v>
      </c>
      <c r="AL31" s="29">
        <v>0</v>
      </c>
      <c r="AN31" s="22">
        <v>44576</v>
      </c>
      <c r="AO31" s="26">
        <f t="shared" ca="1" si="9"/>
        <v>0.63024403465403367</v>
      </c>
      <c r="AP31" s="29">
        <v>0</v>
      </c>
      <c r="AR31" s="22">
        <v>44576</v>
      </c>
      <c r="AS31" s="26">
        <f t="shared" ca="1" si="10"/>
        <v>0.10519331572848256</v>
      </c>
      <c r="AT31" s="29">
        <v>0</v>
      </c>
      <c r="AV31" s="22">
        <v>44576</v>
      </c>
      <c r="AW31" s="26">
        <f t="shared" ca="1" si="11"/>
        <v>0.49778664158562291</v>
      </c>
      <c r="AX31" s="29">
        <v>0</v>
      </c>
      <c r="AZ31" s="22">
        <v>44576</v>
      </c>
      <c r="BA31" s="26">
        <f t="shared" ca="1" si="12"/>
        <v>0.40750176294433604</v>
      </c>
      <c r="BB31" s="29">
        <v>0</v>
      </c>
      <c r="BC31"/>
      <c r="BD31" s="25"/>
      <c r="BF31" s="22">
        <v>44576</v>
      </c>
      <c r="BG31" s="26">
        <f t="shared" ca="1" si="13"/>
        <v>0.67192706292147519</v>
      </c>
      <c r="BH31" s="29">
        <v>0</v>
      </c>
      <c r="BJ31" s="22">
        <v>44576</v>
      </c>
      <c r="BK31" s="26">
        <f t="shared" ca="1" si="14"/>
        <v>0.88329897018715997</v>
      </c>
      <c r="BL31" s="29">
        <v>0</v>
      </c>
      <c r="BN31" s="22">
        <v>44576</v>
      </c>
      <c r="BO31" s="26">
        <f t="shared" ca="1" si="15"/>
        <v>9.2162146551663993E-2</v>
      </c>
      <c r="BP31" s="29">
        <v>0</v>
      </c>
      <c r="BR31" s="22">
        <v>44576</v>
      </c>
      <c r="BS31" s="26">
        <f t="shared" ca="1" si="16"/>
        <v>0.50770040474988243</v>
      </c>
      <c r="BT31" s="29">
        <v>0</v>
      </c>
      <c r="BV31" s="22">
        <v>44576</v>
      </c>
      <c r="BW31" s="26">
        <f t="shared" ca="1" si="17"/>
        <v>0.73960319790463258</v>
      </c>
      <c r="BX31" s="29">
        <v>0</v>
      </c>
      <c r="CA31" s="12">
        <f t="shared" si="21"/>
        <v>44986</v>
      </c>
      <c r="CB31" s="8">
        <v>40889</v>
      </c>
    </row>
    <row r="32" spans="2:80" ht="12.75" x14ac:dyDescent="0.2">
      <c r="B32" s="22">
        <v>44577</v>
      </c>
      <c r="C32" s="26">
        <f t="shared" ca="1" si="0"/>
        <v>0.21913163907153366</v>
      </c>
      <c r="D32" s="29">
        <f t="shared" ca="1" si="19"/>
        <v>60</v>
      </c>
      <c r="F32" s="22">
        <v>44577</v>
      </c>
      <c r="G32" s="26">
        <f t="shared" ca="1" si="1"/>
        <v>7.1931819220286242E-2</v>
      </c>
      <c r="H32" s="29">
        <v>0</v>
      </c>
      <c r="J32" s="22">
        <v>44577</v>
      </c>
      <c r="K32" s="26">
        <f t="shared" ca="1" si="2"/>
        <v>0.8259626829715484</v>
      </c>
      <c r="L32" s="29">
        <v>0</v>
      </c>
      <c r="N32" s="22">
        <v>44577</v>
      </c>
      <c r="O32" s="26">
        <f t="shared" ca="1" si="3"/>
        <v>0.30873996400300407</v>
      </c>
      <c r="P32" s="29">
        <v>0</v>
      </c>
      <c r="R32" s="22">
        <v>44577</v>
      </c>
      <c r="S32" s="26">
        <f t="shared" ca="1" si="4"/>
        <v>0.47347036853434454</v>
      </c>
      <c r="T32" s="29">
        <v>0</v>
      </c>
      <c r="V32" s="22">
        <v>44577</v>
      </c>
      <c r="W32" s="26">
        <f t="shared" ca="1" si="5"/>
        <v>0.99047439567046291</v>
      </c>
      <c r="X32" s="29">
        <v>0</v>
      </c>
      <c r="Z32" s="22">
        <v>44577</v>
      </c>
      <c r="AA32" s="26">
        <f t="shared" ca="1" si="6"/>
        <v>0.40601356415578038</v>
      </c>
      <c r="AB32" s="29">
        <v>0</v>
      </c>
      <c r="AC32"/>
      <c r="AD32" s="25"/>
      <c r="AF32" s="22">
        <v>44577</v>
      </c>
      <c r="AG32" s="26">
        <f t="shared" ca="1" si="7"/>
        <v>0.28466933663051075</v>
      </c>
      <c r="AH32" s="29">
        <v>0</v>
      </c>
      <c r="AJ32" s="22">
        <v>44577</v>
      </c>
      <c r="AK32" s="26">
        <f t="shared" ca="1" si="8"/>
        <v>7.9665754928258226E-2</v>
      </c>
      <c r="AL32" s="29">
        <v>0</v>
      </c>
      <c r="AN32" s="22">
        <v>44577</v>
      </c>
      <c r="AO32" s="26">
        <f t="shared" ca="1" si="9"/>
        <v>2.3299352050822675E-2</v>
      </c>
      <c r="AP32" s="29">
        <v>0</v>
      </c>
      <c r="AR32" s="22">
        <v>44577</v>
      </c>
      <c r="AS32" s="26">
        <f t="shared" ca="1" si="10"/>
        <v>0.27648516358117226</v>
      </c>
      <c r="AT32" s="29">
        <v>0</v>
      </c>
      <c r="AV32" s="22">
        <v>44577</v>
      </c>
      <c r="AW32" s="26">
        <f t="shared" ca="1" si="11"/>
        <v>0.89264885235756641</v>
      </c>
      <c r="AX32" s="29">
        <v>0</v>
      </c>
      <c r="AZ32" s="22">
        <v>44577</v>
      </c>
      <c r="BA32" s="26">
        <f t="shared" ca="1" si="12"/>
        <v>0.82933088733822224</v>
      </c>
      <c r="BB32" s="29">
        <v>0</v>
      </c>
      <c r="BC32"/>
      <c r="BD32" s="25"/>
      <c r="BF32" s="22">
        <v>44577</v>
      </c>
      <c r="BG32" s="26">
        <f t="shared" ca="1" si="13"/>
        <v>0.8287969159690155</v>
      </c>
      <c r="BH32" s="29">
        <v>0</v>
      </c>
      <c r="BJ32" s="22">
        <v>44577</v>
      </c>
      <c r="BK32" s="26">
        <f t="shared" ca="1" si="14"/>
        <v>0.27059552971735013</v>
      </c>
      <c r="BL32" s="29">
        <v>0</v>
      </c>
      <c r="BN32" s="22">
        <v>44577</v>
      </c>
      <c r="BO32" s="26">
        <f t="shared" ca="1" si="15"/>
        <v>0.13356722432539136</v>
      </c>
      <c r="BP32" s="29">
        <v>0</v>
      </c>
      <c r="BR32" s="22">
        <v>44577</v>
      </c>
      <c r="BS32" s="26">
        <f t="shared" ca="1" si="16"/>
        <v>0.45046670967632119</v>
      </c>
      <c r="BT32" s="29">
        <v>0</v>
      </c>
      <c r="BV32" s="22">
        <v>44577</v>
      </c>
      <c r="BW32" s="26">
        <f t="shared" ca="1" si="17"/>
        <v>0.69350055853386017</v>
      </c>
      <c r="BX32" s="29">
        <v>0</v>
      </c>
      <c r="CA32" s="12">
        <f t="shared" si="21"/>
        <v>45017</v>
      </c>
      <c r="CB32" s="8">
        <v>27090</v>
      </c>
    </row>
    <row r="33" spans="2:80" ht="12.75" x14ac:dyDescent="0.2">
      <c r="B33" s="22">
        <v>44578</v>
      </c>
      <c r="C33" s="26">
        <f t="shared" ca="1" si="0"/>
        <v>0.68160456910144918</v>
      </c>
      <c r="D33" s="29">
        <f t="shared" ca="1" si="19"/>
        <v>85</v>
      </c>
      <c r="F33" s="22">
        <v>44578</v>
      </c>
      <c r="G33" s="26">
        <f t="shared" ca="1" si="1"/>
        <v>0.70781005538976283</v>
      </c>
      <c r="H33" s="29">
        <v>0</v>
      </c>
      <c r="J33" s="22">
        <v>44578</v>
      </c>
      <c r="K33" s="26">
        <f t="shared" ca="1" si="2"/>
        <v>0.74755490293400106</v>
      </c>
      <c r="L33" s="29">
        <v>0</v>
      </c>
      <c r="N33" s="22">
        <v>44578</v>
      </c>
      <c r="O33" s="26">
        <f t="shared" ca="1" si="3"/>
        <v>0.27914387877275226</v>
      </c>
      <c r="P33" s="29">
        <v>0</v>
      </c>
      <c r="R33" s="22">
        <v>44578</v>
      </c>
      <c r="S33" s="26">
        <f t="shared" ca="1" si="4"/>
        <v>0.11352199011051556</v>
      </c>
      <c r="T33" s="29">
        <v>0</v>
      </c>
      <c r="V33" s="22">
        <v>44578</v>
      </c>
      <c r="W33" s="26">
        <f t="shared" ca="1" si="5"/>
        <v>0.30778081315951911</v>
      </c>
      <c r="X33" s="29">
        <v>0</v>
      </c>
      <c r="Z33" s="22">
        <v>44578</v>
      </c>
      <c r="AA33" s="26">
        <f t="shared" ca="1" si="6"/>
        <v>5.1980906828940077E-2</v>
      </c>
      <c r="AB33" s="29">
        <v>0</v>
      </c>
      <c r="AC33"/>
      <c r="AD33" s="25"/>
      <c r="AF33" s="22">
        <v>44578</v>
      </c>
      <c r="AG33" s="26">
        <f t="shared" ca="1" si="7"/>
        <v>0.32249940929212983</v>
      </c>
      <c r="AH33" s="29">
        <v>0</v>
      </c>
      <c r="AJ33" s="22">
        <v>44578</v>
      </c>
      <c r="AK33" s="26">
        <f t="shared" ca="1" si="8"/>
        <v>0.64288165573028722</v>
      </c>
      <c r="AL33" s="29">
        <v>0</v>
      </c>
      <c r="AN33" s="22">
        <v>44578</v>
      </c>
      <c r="AO33" s="26">
        <f t="shared" ca="1" si="9"/>
        <v>0.67758109403579236</v>
      </c>
      <c r="AP33" s="29">
        <v>0</v>
      </c>
      <c r="AR33" s="22">
        <v>44578</v>
      </c>
      <c r="AS33" s="26">
        <f t="shared" ca="1" si="10"/>
        <v>0.11840688535804411</v>
      </c>
      <c r="AT33" s="29">
        <v>0</v>
      </c>
      <c r="AV33" s="22">
        <v>44578</v>
      </c>
      <c r="AW33" s="26">
        <f t="shared" ca="1" si="11"/>
        <v>9.1631191786952115E-2</v>
      </c>
      <c r="AX33" s="29">
        <v>0</v>
      </c>
      <c r="AZ33" s="22">
        <v>44578</v>
      </c>
      <c r="BA33" s="26">
        <f t="shared" ca="1" si="12"/>
        <v>0.10137179662881612</v>
      </c>
      <c r="BB33" s="29">
        <v>0</v>
      </c>
      <c r="BC33"/>
      <c r="BD33" s="25"/>
      <c r="BF33" s="22">
        <v>44578</v>
      </c>
      <c r="BG33" s="26">
        <f t="shared" ca="1" si="13"/>
        <v>0.3524700390206611</v>
      </c>
      <c r="BH33" s="29">
        <v>0</v>
      </c>
      <c r="BJ33" s="22">
        <v>44578</v>
      </c>
      <c r="BK33" s="26">
        <f t="shared" ca="1" si="14"/>
        <v>0.64279635595380014</v>
      </c>
      <c r="BL33" s="29">
        <v>0</v>
      </c>
      <c r="BN33" s="22">
        <v>44578</v>
      </c>
      <c r="BO33" s="26">
        <f t="shared" ca="1" si="15"/>
        <v>0.33294103318043189</v>
      </c>
      <c r="BP33" s="29">
        <v>0</v>
      </c>
      <c r="BR33" s="22">
        <v>44578</v>
      </c>
      <c r="BS33" s="26">
        <f t="shared" ca="1" si="16"/>
        <v>2.6773556726368608E-2</v>
      </c>
      <c r="BT33" s="29">
        <v>0</v>
      </c>
      <c r="BV33" s="22">
        <v>44578</v>
      </c>
      <c r="BW33" s="26">
        <f t="shared" ca="1" si="17"/>
        <v>0.97801962144207</v>
      </c>
      <c r="BX33" s="29">
        <v>0</v>
      </c>
      <c r="CA33" s="12">
        <f t="shared" si="21"/>
        <v>45047</v>
      </c>
      <c r="CB33" s="8">
        <v>40565</v>
      </c>
    </row>
    <row r="34" spans="2:80" ht="12.75" x14ac:dyDescent="0.2">
      <c r="B34" s="22">
        <v>44579</v>
      </c>
      <c r="C34" s="26">
        <f t="shared" ca="1" si="0"/>
        <v>7.623435788854438E-2</v>
      </c>
      <c r="D34" s="29">
        <f t="shared" ca="1" si="19"/>
        <v>47</v>
      </c>
      <c r="F34" s="22">
        <v>44579</v>
      </c>
      <c r="G34" s="26">
        <f t="shared" ca="1" si="1"/>
        <v>0.48544272726187021</v>
      </c>
      <c r="H34" s="29">
        <v>0</v>
      </c>
      <c r="J34" s="22">
        <v>44579</v>
      </c>
      <c r="K34" s="26">
        <f t="shared" ca="1" si="2"/>
        <v>4.9468283582473127E-2</v>
      </c>
      <c r="L34" s="29">
        <v>0</v>
      </c>
      <c r="N34" s="22">
        <v>44579</v>
      </c>
      <c r="O34" s="26">
        <f t="shared" ca="1" si="3"/>
        <v>0.56737414655738339</v>
      </c>
      <c r="P34" s="29">
        <v>0</v>
      </c>
      <c r="R34" s="22">
        <v>44579</v>
      </c>
      <c r="S34" s="26">
        <f t="shared" ca="1" si="4"/>
        <v>0.25594860822559906</v>
      </c>
      <c r="T34" s="29">
        <v>0</v>
      </c>
      <c r="V34" s="22">
        <v>44579</v>
      </c>
      <c r="W34" s="26">
        <f t="shared" ca="1" si="5"/>
        <v>0.74193371154095211</v>
      </c>
      <c r="X34" s="29">
        <v>0</v>
      </c>
      <c r="Z34" s="22">
        <v>44579</v>
      </c>
      <c r="AA34" s="26">
        <f t="shared" ca="1" si="6"/>
        <v>0.37412716888280084</v>
      </c>
      <c r="AB34" s="29">
        <v>0</v>
      </c>
      <c r="AC34"/>
      <c r="AD34" s="25"/>
      <c r="AF34" s="22">
        <v>44579</v>
      </c>
      <c r="AG34" s="26">
        <f t="shared" ca="1" si="7"/>
        <v>0.78572206248056964</v>
      </c>
      <c r="AH34" s="29">
        <v>0</v>
      </c>
      <c r="AJ34" s="22">
        <v>44579</v>
      </c>
      <c r="AK34" s="26">
        <f t="shared" ca="1" si="8"/>
        <v>0.23991421122850132</v>
      </c>
      <c r="AL34" s="29">
        <v>0</v>
      </c>
      <c r="AN34" s="22">
        <v>44579</v>
      </c>
      <c r="AO34" s="26">
        <f t="shared" ca="1" si="9"/>
        <v>0.99976003458238283</v>
      </c>
      <c r="AP34" s="29">
        <v>0</v>
      </c>
      <c r="AR34" s="22">
        <v>44579</v>
      </c>
      <c r="AS34" s="26">
        <f t="shared" ca="1" si="10"/>
        <v>0.23077058998006095</v>
      </c>
      <c r="AT34" s="29">
        <v>0</v>
      </c>
      <c r="AV34" s="22">
        <v>44579</v>
      </c>
      <c r="AW34" s="26">
        <f t="shared" ca="1" si="11"/>
        <v>0.84406839019723645</v>
      </c>
      <c r="AX34" s="29">
        <v>0</v>
      </c>
      <c r="AZ34" s="22">
        <v>44579</v>
      </c>
      <c r="BA34" s="26">
        <f t="shared" ca="1" si="12"/>
        <v>0.42755715647730352</v>
      </c>
      <c r="BB34" s="29">
        <v>0</v>
      </c>
      <c r="BC34"/>
      <c r="BD34" s="25"/>
      <c r="BF34" s="22">
        <v>44579</v>
      </c>
      <c r="BG34" s="26">
        <f t="shared" ca="1" si="13"/>
        <v>0.53812535116067017</v>
      </c>
      <c r="BH34" s="29">
        <v>0</v>
      </c>
      <c r="BJ34" s="22">
        <v>44579</v>
      </c>
      <c r="BK34" s="26">
        <f t="shared" ca="1" si="14"/>
        <v>6.898256855548679E-4</v>
      </c>
      <c r="BL34" s="29">
        <v>0</v>
      </c>
      <c r="BN34" s="22">
        <v>44579</v>
      </c>
      <c r="BO34" s="26">
        <f t="shared" ca="1" si="15"/>
        <v>0.76935446754216275</v>
      </c>
      <c r="BP34" s="29">
        <v>0</v>
      </c>
      <c r="BR34" s="22">
        <v>44579</v>
      </c>
      <c r="BS34" s="26">
        <f t="shared" ca="1" si="16"/>
        <v>0.85296041957743307</v>
      </c>
      <c r="BT34" s="29">
        <v>0</v>
      </c>
      <c r="BV34" s="22">
        <v>44579</v>
      </c>
      <c r="BW34" s="26">
        <f t="shared" ca="1" si="17"/>
        <v>0.6354104747098025</v>
      </c>
      <c r="BX34" s="29">
        <v>0</v>
      </c>
      <c r="CA34" s="12">
        <f t="shared" si="21"/>
        <v>45078</v>
      </c>
      <c r="CB34" s="8">
        <v>39008</v>
      </c>
    </row>
    <row r="35" spans="2:80" ht="12.75" x14ac:dyDescent="0.2">
      <c r="B35" s="22">
        <v>44580</v>
      </c>
      <c r="C35" s="26">
        <f t="shared" ca="1" si="0"/>
        <v>0.26652823654078095</v>
      </c>
      <c r="D35" s="29">
        <f t="shared" ca="1" si="19"/>
        <v>63</v>
      </c>
      <c r="F35" s="22">
        <v>44580</v>
      </c>
      <c r="G35" s="26">
        <f t="shared" ca="1" si="1"/>
        <v>7.5773531981404463E-2</v>
      </c>
      <c r="H35" s="29">
        <v>0</v>
      </c>
      <c r="J35" s="22">
        <v>44580</v>
      </c>
      <c r="K35" s="26">
        <f t="shared" ca="1" si="2"/>
        <v>8.3355102983025287E-2</v>
      </c>
      <c r="L35" s="29">
        <v>0</v>
      </c>
      <c r="N35" s="22">
        <v>44580</v>
      </c>
      <c r="O35" s="26">
        <f t="shared" ca="1" si="3"/>
        <v>5.2708492076497748E-2</v>
      </c>
      <c r="P35" s="29">
        <v>0</v>
      </c>
      <c r="R35" s="22">
        <v>44580</v>
      </c>
      <c r="S35" s="26">
        <f t="shared" ca="1" si="4"/>
        <v>0.38504889344059134</v>
      </c>
      <c r="T35" s="29">
        <v>0</v>
      </c>
      <c r="V35" s="22">
        <v>44580</v>
      </c>
      <c r="W35" s="26">
        <f t="shared" ca="1" si="5"/>
        <v>8.5309216851441327E-2</v>
      </c>
      <c r="X35" s="29">
        <v>0</v>
      </c>
      <c r="Z35" s="22">
        <v>44580</v>
      </c>
      <c r="AA35" s="26">
        <f t="shared" ca="1" si="6"/>
        <v>0.73076176834662654</v>
      </c>
      <c r="AB35" s="29">
        <v>0</v>
      </c>
      <c r="AC35"/>
      <c r="AD35" s="25"/>
      <c r="AF35" s="22">
        <v>44580</v>
      </c>
      <c r="AG35" s="26">
        <f t="shared" ca="1" si="7"/>
        <v>0.25496103234003786</v>
      </c>
      <c r="AH35" s="29">
        <v>0</v>
      </c>
      <c r="AJ35" s="22">
        <v>44580</v>
      </c>
      <c r="AK35" s="26">
        <f t="shared" ca="1" si="8"/>
        <v>0.2912092465374958</v>
      </c>
      <c r="AL35" s="29">
        <v>0</v>
      </c>
      <c r="AN35" s="22">
        <v>44580</v>
      </c>
      <c r="AO35" s="26">
        <f t="shared" ca="1" si="9"/>
        <v>0.45368835574823363</v>
      </c>
      <c r="AP35" s="29">
        <v>0</v>
      </c>
      <c r="AR35" s="22">
        <v>44580</v>
      </c>
      <c r="AS35" s="26">
        <f t="shared" ca="1" si="10"/>
        <v>0.5599395468597802</v>
      </c>
      <c r="AT35" s="29">
        <v>0</v>
      </c>
      <c r="AV35" s="22">
        <v>44580</v>
      </c>
      <c r="AW35" s="26">
        <f t="shared" ca="1" si="11"/>
        <v>0.76480452446521441</v>
      </c>
      <c r="AX35" s="29">
        <v>0</v>
      </c>
      <c r="AZ35" s="22">
        <v>44580</v>
      </c>
      <c r="BA35" s="26">
        <f t="shared" ca="1" si="12"/>
        <v>0.96711038820097506</v>
      </c>
      <c r="BB35" s="29">
        <v>0</v>
      </c>
      <c r="BC35"/>
      <c r="BD35" s="25"/>
      <c r="BF35" s="22">
        <v>44580</v>
      </c>
      <c r="BG35" s="26">
        <f t="shared" ca="1" si="13"/>
        <v>0.25362921391270166</v>
      </c>
      <c r="BH35" s="29">
        <v>0</v>
      </c>
      <c r="BJ35" s="22">
        <v>44580</v>
      </c>
      <c r="BK35" s="26">
        <f t="shared" ca="1" si="14"/>
        <v>0.76559765513472211</v>
      </c>
      <c r="BL35" s="29">
        <v>0</v>
      </c>
      <c r="BN35" s="22">
        <v>44580</v>
      </c>
      <c r="BO35" s="26">
        <f t="shared" ca="1" si="15"/>
        <v>0.43409557754533379</v>
      </c>
      <c r="BP35" s="29">
        <v>0</v>
      </c>
      <c r="BR35" s="22">
        <v>44580</v>
      </c>
      <c r="BS35" s="26">
        <f t="shared" ca="1" si="16"/>
        <v>0.6567242648201822</v>
      </c>
      <c r="BT35" s="29">
        <v>0</v>
      </c>
      <c r="BV35" s="22">
        <v>44580</v>
      </c>
      <c r="BW35" s="26">
        <f t="shared" ca="1" si="17"/>
        <v>0.62799472257961986</v>
      </c>
      <c r="BX35" s="29">
        <v>0</v>
      </c>
      <c r="CA35" s="12">
        <f t="shared" si="21"/>
        <v>45108</v>
      </c>
      <c r="CB35" s="8">
        <v>7775</v>
      </c>
    </row>
    <row r="36" spans="2:80" ht="12.75" x14ac:dyDescent="0.2">
      <c r="B36" s="22">
        <v>44581</v>
      </c>
      <c r="C36" s="26">
        <f t="shared" ca="1" si="0"/>
        <v>0.40944691970401459</v>
      </c>
      <c r="D36" s="29">
        <f t="shared" ca="1" si="19"/>
        <v>71</v>
      </c>
      <c r="F36" s="22">
        <v>44581</v>
      </c>
      <c r="G36" s="26">
        <f t="shared" ca="1" si="1"/>
        <v>0.34999620817888033</v>
      </c>
      <c r="H36" s="29">
        <v>0</v>
      </c>
      <c r="J36" s="22">
        <v>44581</v>
      </c>
      <c r="K36" s="26">
        <f t="shared" ca="1" si="2"/>
        <v>0.14123739634983368</v>
      </c>
      <c r="L36" s="29">
        <v>0</v>
      </c>
      <c r="N36" s="22">
        <v>44581</v>
      </c>
      <c r="O36" s="26">
        <f t="shared" ca="1" si="3"/>
        <v>0.33592841461220591</v>
      </c>
      <c r="P36" s="29">
        <v>0</v>
      </c>
      <c r="R36" s="22">
        <v>44581</v>
      </c>
      <c r="S36" s="26">
        <f t="shared" ca="1" si="4"/>
        <v>0.47484696876712496</v>
      </c>
      <c r="T36" s="29">
        <v>0</v>
      </c>
      <c r="V36" s="22">
        <v>44581</v>
      </c>
      <c r="W36" s="26">
        <f t="shared" ca="1" si="5"/>
        <v>0.32310966702281041</v>
      </c>
      <c r="X36" s="29">
        <v>0</v>
      </c>
      <c r="Z36" s="22">
        <v>44581</v>
      </c>
      <c r="AA36" s="26">
        <f t="shared" ca="1" si="6"/>
        <v>0.19935288945277996</v>
      </c>
      <c r="AB36" s="29">
        <v>0</v>
      </c>
      <c r="AC36"/>
      <c r="AD36" s="25"/>
      <c r="AF36" s="22">
        <v>44581</v>
      </c>
      <c r="AG36" s="26">
        <f t="shared" ca="1" si="7"/>
        <v>0.9878644341004611</v>
      </c>
      <c r="AH36" s="29">
        <v>0</v>
      </c>
      <c r="AJ36" s="22">
        <v>44581</v>
      </c>
      <c r="AK36" s="26">
        <f t="shared" ca="1" si="8"/>
        <v>0.93195352013662824</v>
      </c>
      <c r="AL36" s="29">
        <v>0</v>
      </c>
      <c r="AN36" s="22">
        <v>44581</v>
      </c>
      <c r="AO36" s="26">
        <f t="shared" ca="1" si="9"/>
        <v>0.57489214597910065</v>
      </c>
      <c r="AP36" s="29">
        <v>0</v>
      </c>
      <c r="AR36" s="22">
        <v>44581</v>
      </c>
      <c r="AS36" s="26">
        <f t="shared" ca="1" si="10"/>
        <v>0.26000663859953099</v>
      </c>
      <c r="AT36" s="29">
        <v>0</v>
      </c>
      <c r="AV36" s="22">
        <v>44581</v>
      </c>
      <c r="AW36" s="26">
        <f t="shared" ca="1" si="11"/>
        <v>0.83060054600634103</v>
      </c>
      <c r="AX36" s="29">
        <v>0</v>
      </c>
      <c r="AZ36" s="22">
        <v>44581</v>
      </c>
      <c r="BA36" s="26">
        <f t="shared" ca="1" si="12"/>
        <v>0.65589524273974109</v>
      </c>
      <c r="BB36" s="29">
        <v>0</v>
      </c>
      <c r="BC36"/>
      <c r="BD36" s="25"/>
      <c r="BF36" s="22">
        <v>44581</v>
      </c>
      <c r="BG36" s="26">
        <f t="shared" ca="1" si="13"/>
        <v>0.59759421817664082</v>
      </c>
      <c r="BH36" s="29">
        <v>0</v>
      </c>
      <c r="BJ36" s="22">
        <v>44581</v>
      </c>
      <c r="BK36" s="26">
        <f t="shared" ca="1" si="14"/>
        <v>0.21544583680668317</v>
      </c>
      <c r="BL36" s="29">
        <v>0</v>
      </c>
      <c r="BN36" s="22">
        <v>44581</v>
      </c>
      <c r="BO36" s="26">
        <f t="shared" ca="1" si="15"/>
        <v>0.2167105856723377</v>
      </c>
      <c r="BP36" s="29">
        <v>0</v>
      </c>
      <c r="BR36" s="22">
        <v>44581</v>
      </c>
      <c r="BS36" s="26">
        <f t="shared" ca="1" si="16"/>
        <v>0.67374985106598118</v>
      </c>
      <c r="BT36" s="29">
        <v>0</v>
      </c>
      <c r="BV36" s="22">
        <v>44581</v>
      </c>
      <c r="BW36" s="26">
        <f t="shared" ca="1" si="17"/>
        <v>0.35792203587238414</v>
      </c>
      <c r="BX36" s="29">
        <v>0</v>
      </c>
      <c r="CA36" s="12">
        <f t="shared" si="21"/>
        <v>45139</v>
      </c>
      <c r="CB36" s="8">
        <v>5</v>
      </c>
    </row>
    <row r="37" spans="2:80" ht="12.75" x14ac:dyDescent="0.2">
      <c r="B37" s="22">
        <v>44582</v>
      </c>
      <c r="C37" s="26">
        <f t="shared" ca="1" si="0"/>
        <v>0.34553150212037564</v>
      </c>
      <c r="D37" s="29">
        <f t="shared" ca="1" si="19"/>
        <v>68</v>
      </c>
      <c r="F37" s="22">
        <v>44582</v>
      </c>
      <c r="G37" s="26">
        <f t="shared" ca="1" si="1"/>
        <v>0.55497893955779543</v>
      </c>
      <c r="H37" s="29">
        <v>0</v>
      </c>
      <c r="J37" s="22">
        <v>44582</v>
      </c>
      <c r="K37" s="26">
        <f t="shared" ca="1" si="2"/>
        <v>0.24352999092661587</v>
      </c>
      <c r="L37" s="29">
        <v>0</v>
      </c>
      <c r="N37" s="22">
        <v>44582</v>
      </c>
      <c r="O37" s="26">
        <f t="shared" ca="1" si="3"/>
        <v>0.4960110760620684</v>
      </c>
      <c r="P37" s="29">
        <v>0</v>
      </c>
      <c r="R37" s="22">
        <v>44582</v>
      </c>
      <c r="S37" s="26">
        <f t="shared" ca="1" si="4"/>
        <v>0.84625892420784765</v>
      </c>
      <c r="T37" s="29">
        <v>0</v>
      </c>
      <c r="V37" s="22">
        <v>44582</v>
      </c>
      <c r="W37" s="26">
        <f t="shared" ca="1" si="5"/>
        <v>0.46352727345194566</v>
      </c>
      <c r="X37" s="29">
        <v>0</v>
      </c>
      <c r="Z37" s="22">
        <v>44582</v>
      </c>
      <c r="AA37" s="26">
        <f t="shared" ca="1" si="6"/>
        <v>0.31503044812964065</v>
      </c>
      <c r="AB37" s="29">
        <v>0</v>
      </c>
      <c r="AC37"/>
      <c r="AD37" s="25"/>
      <c r="AF37" s="22">
        <v>44582</v>
      </c>
      <c r="AG37" s="26">
        <f t="shared" ca="1" si="7"/>
        <v>0.77578940885211511</v>
      </c>
      <c r="AH37" s="29">
        <v>0</v>
      </c>
      <c r="AJ37" s="22">
        <v>44582</v>
      </c>
      <c r="AK37" s="26">
        <f t="shared" ca="1" si="8"/>
        <v>3.7699833071212496E-2</v>
      </c>
      <c r="AL37" s="29">
        <v>0</v>
      </c>
      <c r="AN37" s="22">
        <v>44582</v>
      </c>
      <c r="AO37" s="26">
        <f t="shared" ca="1" si="9"/>
        <v>8.5901042320541743E-2</v>
      </c>
      <c r="AP37" s="29">
        <v>0</v>
      </c>
      <c r="AR37" s="22">
        <v>44582</v>
      </c>
      <c r="AS37" s="26">
        <f t="shared" ca="1" si="10"/>
        <v>0.50870339891379424</v>
      </c>
      <c r="AT37" s="29">
        <v>0</v>
      </c>
      <c r="AV37" s="22">
        <v>44582</v>
      </c>
      <c r="AW37" s="26">
        <f t="shared" ca="1" si="11"/>
        <v>0.4330146499821601</v>
      </c>
      <c r="AX37" s="29">
        <v>0</v>
      </c>
      <c r="AZ37" s="22">
        <v>44582</v>
      </c>
      <c r="BA37" s="26">
        <f t="shared" ca="1" si="12"/>
        <v>0.47893938725251628</v>
      </c>
      <c r="BB37" s="29">
        <v>0</v>
      </c>
      <c r="BC37"/>
      <c r="BD37" s="25"/>
      <c r="BF37" s="22">
        <v>44582</v>
      </c>
      <c r="BG37" s="26">
        <f t="shared" ca="1" si="13"/>
        <v>0.46802156293925012</v>
      </c>
      <c r="BH37" s="29">
        <v>0</v>
      </c>
      <c r="BJ37" s="22">
        <v>44582</v>
      </c>
      <c r="BK37" s="26">
        <f t="shared" ca="1" si="14"/>
        <v>2.882982104221643E-2</v>
      </c>
      <c r="BL37" s="29">
        <v>0</v>
      </c>
      <c r="BN37" s="22">
        <v>44582</v>
      </c>
      <c r="BO37" s="26">
        <f t="shared" ca="1" si="15"/>
        <v>0.40691460553312009</v>
      </c>
      <c r="BP37" s="29">
        <v>0</v>
      </c>
      <c r="BR37" s="22">
        <v>44582</v>
      </c>
      <c r="BS37" s="26">
        <f t="shared" ca="1" si="16"/>
        <v>0.36370010659956642</v>
      </c>
      <c r="BT37" s="29">
        <v>0</v>
      </c>
      <c r="BV37" s="22">
        <v>44582</v>
      </c>
      <c r="BW37" s="26">
        <f t="shared" ca="1" si="17"/>
        <v>0.33919395536476127</v>
      </c>
      <c r="BX37" s="29">
        <v>0</v>
      </c>
      <c r="CA37" s="12">
        <f t="shared" si="21"/>
        <v>45170</v>
      </c>
      <c r="CB37" s="8">
        <v>38100</v>
      </c>
    </row>
    <row r="38" spans="2:80" ht="12.75" x14ac:dyDescent="0.2">
      <c r="B38" s="22">
        <v>44583</v>
      </c>
      <c r="C38" s="26">
        <f t="shared" ca="1" si="0"/>
        <v>3.6123070726720496E-2</v>
      </c>
      <c r="D38" s="29">
        <f t="shared" ca="1" si="19"/>
        <v>40</v>
      </c>
      <c r="F38" s="22">
        <v>44583</v>
      </c>
      <c r="G38" s="26">
        <f t="shared" ca="1" si="1"/>
        <v>0.68204032117146851</v>
      </c>
      <c r="H38" s="29">
        <v>0</v>
      </c>
      <c r="J38" s="22">
        <v>44583</v>
      </c>
      <c r="K38" s="26">
        <f t="shared" ca="1" si="2"/>
        <v>0.50838982740531569</v>
      </c>
      <c r="L38" s="29">
        <v>0</v>
      </c>
      <c r="N38" s="22">
        <v>44583</v>
      </c>
      <c r="O38" s="26">
        <f t="shared" ca="1" si="3"/>
        <v>0.36566360083229088</v>
      </c>
      <c r="P38" s="29">
        <v>0</v>
      </c>
      <c r="R38" s="22">
        <v>44583</v>
      </c>
      <c r="S38" s="26">
        <f t="shared" ca="1" si="4"/>
        <v>0.96415614701731878</v>
      </c>
      <c r="T38" s="29">
        <v>0</v>
      </c>
      <c r="V38" s="22">
        <v>44583</v>
      </c>
      <c r="W38" s="26">
        <f t="shared" ca="1" si="5"/>
        <v>0.67425137235944521</v>
      </c>
      <c r="X38" s="29">
        <v>0</v>
      </c>
      <c r="Z38" s="22">
        <v>44583</v>
      </c>
      <c r="AA38" s="26">
        <f t="shared" ca="1" si="6"/>
        <v>0.72255235348281965</v>
      </c>
      <c r="AB38" s="29">
        <v>0</v>
      </c>
      <c r="AC38"/>
      <c r="AD38" s="25"/>
      <c r="AF38" s="22">
        <v>44583</v>
      </c>
      <c r="AG38" s="26">
        <f t="shared" ca="1" si="7"/>
        <v>0.58345851212771149</v>
      </c>
      <c r="AH38" s="29">
        <v>0</v>
      </c>
      <c r="AJ38" s="22">
        <v>44583</v>
      </c>
      <c r="AK38" s="26">
        <f t="shared" ca="1" si="8"/>
        <v>5.0031554209876705E-2</v>
      </c>
      <c r="AL38" s="29">
        <v>0</v>
      </c>
      <c r="AN38" s="22">
        <v>44583</v>
      </c>
      <c r="AO38" s="26">
        <f t="shared" ca="1" si="9"/>
        <v>0.24143189987554647</v>
      </c>
      <c r="AP38" s="29">
        <v>0</v>
      </c>
      <c r="AR38" s="22">
        <v>44583</v>
      </c>
      <c r="AS38" s="26">
        <f t="shared" ca="1" si="10"/>
        <v>0.23203362988694076</v>
      </c>
      <c r="AT38" s="29">
        <v>0</v>
      </c>
      <c r="AV38" s="22">
        <v>44583</v>
      </c>
      <c r="AW38" s="26">
        <f t="shared" ca="1" si="11"/>
        <v>0.7543379632567383</v>
      </c>
      <c r="AX38" s="29">
        <v>0</v>
      </c>
      <c r="AZ38" s="22">
        <v>44583</v>
      </c>
      <c r="BA38" s="26">
        <f t="shared" ca="1" si="12"/>
        <v>5.3237720485376561E-2</v>
      </c>
      <c r="BB38" s="29">
        <v>0</v>
      </c>
      <c r="BC38"/>
      <c r="BD38" s="25"/>
      <c r="BF38" s="22">
        <v>44583</v>
      </c>
      <c r="BG38" s="26">
        <f t="shared" ca="1" si="13"/>
        <v>0.56937718269844495</v>
      </c>
      <c r="BH38" s="29">
        <v>0</v>
      </c>
      <c r="BJ38" s="22">
        <v>44583</v>
      </c>
      <c r="BK38" s="26">
        <f t="shared" ca="1" si="14"/>
        <v>0.56326177259418075</v>
      </c>
      <c r="BL38" s="29">
        <v>0</v>
      </c>
      <c r="BN38" s="22">
        <v>44583</v>
      </c>
      <c r="BO38" s="26">
        <f t="shared" ca="1" si="15"/>
        <v>0.61224475868583583</v>
      </c>
      <c r="BP38" s="29">
        <v>0</v>
      </c>
      <c r="BR38" s="22">
        <v>44583</v>
      </c>
      <c r="BS38" s="26">
        <f t="shared" ca="1" si="16"/>
        <v>0.46750570780664591</v>
      </c>
      <c r="BT38" s="29">
        <v>0</v>
      </c>
      <c r="BV38" s="22">
        <v>44583</v>
      </c>
      <c r="BW38" s="26">
        <f t="shared" ca="1" si="17"/>
        <v>0.53737645318631733</v>
      </c>
      <c r="BX38" s="29">
        <v>0</v>
      </c>
      <c r="CA38" s="12">
        <f t="shared" si="21"/>
        <v>45200</v>
      </c>
      <c r="CB38" s="8">
        <v>25467</v>
      </c>
    </row>
    <row r="39" spans="2:80" ht="12.75" x14ac:dyDescent="0.2">
      <c r="B39" s="22">
        <v>44584</v>
      </c>
      <c r="C39" s="26">
        <f t="shared" ca="1" si="0"/>
        <v>5.88136873059808E-5</v>
      </c>
      <c r="D39" s="29">
        <f t="shared" ca="1" si="19"/>
        <v>-3</v>
      </c>
      <c r="F39" s="22">
        <v>44584</v>
      </c>
      <c r="G39" s="26">
        <f t="shared" ca="1" si="1"/>
        <v>0.35458647027215628</v>
      </c>
      <c r="H39" s="29">
        <v>0</v>
      </c>
      <c r="J39" s="22">
        <v>44584</v>
      </c>
      <c r="K39" s="26">
        <f t="shared" ca="1" si="2"/>
        <v>0.97955582275717024</v>
      </c>
      <c r="L39" s="29">
        <v>0</v>
      </c>
      <c r="N39" s="22">
        <v>44584</v>
      </c>
      <c r="O39" s="26">
        <f t="shared" ca="1" si="3"/>
        <v>0.21785170195558878</v>
      </c>
      <c r="P39" s="29">
        <v>0</v>
      </c>
      <c r="R39" s="22">
        <v>44584</v>
      </c>
      <c r="S39" s="26">
        <f t="shared" ca="1" si="4"/>
        <v>0.79840844701273606</v>
      </c>
      <c r="T39" s="29">
        <v>0</v>
      </c>
      <c r="V39" s="22">
        <v>44584</v>
      </c>
      <c r="W39" s="26">
        <f t="shared" ca="1" si="5"/>
        <v>0.796512750024994</v>
      </c>
      <c r="X39" s="29">
        <v>0</v>
      </c>
      <c r="Z39" s="22">
        <v>44584</v>
      </c>
      <c r="AA39" s="26">
        <f t="shared" ca="1" si="6"/>
        <v>8.50980517162373E-2</v>
      </c>
      <c r="AB39" s="29">
        <v>0</v>
      </c>
      <c r="AC39"/>
      <c r="AD39" s="25"/>
      <c r="AF39" s="22">
        <v>44584</v>
      </c>
      <c r="AG39" s="26">
        <f t="shared" ca="1" si="7"/>
        <v>0.19402965077298462</v>
      </c>
      <c r="AH39" s="29">
        <v>0</v>
      </c>
      <c r="AJ39" s="22">
        <v>44584</v>
      </c>
      <c r="AK39" s="26">
        <f t="shared" ca="1" si="8"/>
        <v>0.59727483503276058</v>
      </c>
      <c r="AL39" s="29">
        <v>0</v>
      </c>
      <c r="AN39" s="22">
        <v>44584</v>
      </c>
      <c r="AO39" s="26">
        <f t="shared" ca="1" si="9"/>
        <v>6.9249540698409828E-2</v>
      </c>
      <c r="AP39" s="29">
        <v>0</v>
      </c>
      <c r="AR39" s="22">
        <v>44584</v>
      </c>
      <c r="AS39" s="26">
        <f t="shared" ca="1" si="10"/>
        <v>0.2740928952604057</v>
      </c>
      <c r="AT39" s="29">
        <v>0</v>
      </c>
      <c r="AV39" s="22">
        <v>44584</v>
      </c>
      <c r="AW39" s="26">
        <f t="shared" ca="1" si="11"/>
        <v>0.43416655019983053</v>
      </c>
      <c r="AX39" s="29">
        <v>0</v>
      </c>
      <c r="AZ39" s="22">
        <v>44584</v>
      </c>
      <c r="BA39" s="26">
        <f t="shared" ca="1" si="12"/>
        <v>2.9906646494091804E-2</v>
      </c>
      <c r="BB39" s="29">
        <v>0</v>
      </c>
      <c r="BC39"/>
      <c r="BD39" s="25"/>
      <c r="BF39" s="22">
        <v>44584</v>
      </c>
      <c r="BG39" s="26">
        <f t="shared" ca="1" si="13"/>
        <v>0.84895225878946057</v>
      </c>
      <c r="BH39" s="29">
        <v>0</v>
      </c>
      <c r="BJ39" s="22">
        <v>44584</v>
      </c>
      <c r="BK39" s="26">
        <f t="shared" ca="1" si="14"/>
        <v>6.6169467494267331E-2</v>
      </c>
      <c r="BL39" s="29">
        <v>0</v>
      </c>
      <c r="BN39" s="22">
        <v>44584</v>
      </c>
      <c r="BO39" s="26">
        <f t="shared" ca="1" si="15"/>
        <v>0.39062793433835197</v>
      </c>
      <c r="BP39" s="29">
        <v>0</v>
      </c>
      <c r="BR39" s="22">
        <v>44584</v>
      </c>
      <c r="BS39" s="26">
        <f t="shared" ca="1" si="16"/>
        <v>0.63921514646020283</v>
      </c>
      <c r="BT39" s="29">
        <v>0</v>
      </c>
      <c r="BV39" s="22">
        <v>44584</v>
      </c>
      <c r="BW39" s="26">
        <f t="shared" ca="1" si="17"/>
        <v>0.58007739987343798</v>
      </c>
      <c r="BX39" s="29">
        <v>0</v>
      </c>
      <c r="CA39" s="12">
        <f t="shared" si="21"/>
        <v>45231</v>
      </c>
      <c r="CB39" s="8">
        <v>34831</v>
      </c>
    </row>
    <row r="40" spans="2:80" ht="12.75" x14ac:dyDescent="0.2">
      <c r="B40" s="22">
        <v>44585</v>
      </c>
      <c r="C40" s="26">
        <f t="shared" ca="1" si="0"/>
        <v>0.8345411312372133</v>
      </c>
      <c r="D40" s="29">
        <f t="shared" ca="1" si="19"/>
        <v>95</v>
      </c>
      <c r="F40" s="22">
        <v>44585</v>
      </c>
      <c r="G40" s="26">
        <f t="shared" ca="1" si="1"/>
        <v>0.73385377159118981</v>
      </c>
      <c r="H40" s="29">
        <v>0</v>
      </c>
      <c r="J40" s="22">
        <v>44585</v>
      </c>
      <c r="K40" s="26">
        <f t="shared" ca="1" si="2"/>
        <v>0.75342150613974646</v>
      </c>
      <c r="L40" s="29">
        <v>0</v>
      </c>
      <c r="N40" s="22">
        <v>44585</v>
      </c>
      <c r="O40" s="26">
        <f t="shared" ca="1" si="3"/>
        <v>0.15097081414668634</v>
      </c>
      <c r="P40" s="29">
        <v>0</v>
      </c>
      <c r="R40" s="22">
        <v>44585</v>
      </c>
      <c r="S40" s="26">
        <f t="shared" ca="1" si="4"/>
        <v>0.59999218052297854</v>
      </c>
      <c r="T40" s="29">
        <v>0</v>
      </c>
      <c r="V40" s="22">
        <v>44585</v>
      </c>
      <c r="W40" s="26">
        <f t="shared" ca="1" si="5"/>
        <v>0.83331436201439257</v>
      </c>
      <c r="X40" s="29">
        <v>0</v>
      </c>
      <c r="Z40" s="22">
        <v>44585</v>
      </c>
      <c r="AA40" s="26">
        <f t="shared" ca="1" si="6"/>
        <v>0.58947282390152911</v>
      </c>
      <c r="AB40" s="29">
        <v>0</v>
      </c>
      <c r="AC40"/>
      <c r="AD40" s="25"/>
      <c r="AF40" s="22">
        <v>44585</v>
      </c>
      <c r="AG40" s="26">
        <f t="shared" ca="1" si="7"/>
        <v>8.6592870603873662E-2</v>
      </c>
      <c r="AH40" s="29">
        <v>0</v>
      </c>
      <c r="AJ40" s="22">
        <v>44585</v>
      </c>
      <c r="AK40" s="26">
        <f t="shared" ca="1" si="8"/>
        <v>0.88922616064644455</v>
      </c>
      <c r="AL40" s="29">
        <v>0</v>
      </c>
      <c r="AN40" s="22">
        <v>44585</v>
      </c>
      <c r="AO40" s="26">
        <f t="shared" ca="1" si="9"/>
        <v>0.42306270278734681</v>
      </c>
      <c r="AP40" s="29">
        <v>0</v>
      </c>
      <c r="AR40" s="22">
        <v>44585</v>
      </c>
      <c r="AS40" s="26">
        <f t="shared" ca="1" si="10"/>
        <v>0.818933217170844</v>
      </c>
      <c r="AT40" s="29">
        <v>0</v>
      </c>
      <c r="AV40" s="22">
        <v>44585</v>
      </c>
      <c r="AW40" s="26">
        <f t="shared" ca="1" si="11"/>
        <v>0.9421479599832534</v>
      </c>
      <c r="AX40" s="29">
        <v>0</v>
      </c>
      <c r="AZ40" s="22">
        <v>44585</v>
      </c>
      <c r="BA40" s="26">
        <f t="shared" ca="1" si="12"/>
        <v>0.34276056905155172</v>
      </c>
      <c r="BB40" s="29">
        <v>0</v>
      </c>
      <c r="BC40"/>
      <c r="BD40" s="25"/>
      <c r="BF40" s="22">
        <v>44585</v>
      </c>
      <c r="BG40" s="26">
        <f t="shared" ca="1" si="13"/>
        <v>0.88898788589949307</v>
      </c>
      <c r="BH40" s="29">
        <v>0</v>
      </c>
      <c r="BJ40" s="22">
        <v>44585</v>
      </c>
      <c r="BK40" s="26">
        <f t="shared" ca="1" si="14"/>
        <v>0.1629369010142333</v>
      </c>
      <c r="BL40" s="29">
        <v>0</v>
      </c>
      <c r="BN40" s="22">
        <v>44585</v>
      </c>
      <c r="BO40" s="26">
        <f t="shared" ca="1" si="15"/>
        <v>2.6215089983483431E-2</v>
      </c>
      <c r="BP40" s="29">
        <v>0</v>
      </c>
      <c r="BR40" s="22">
        <v>44585</v>
      </c>
      <c r="BS40" s="26">
        <f t="shared" ca="1" si="16"/>
        <v>0.1249790752572647</v>
      </c>
      <c r="BT40" s="29">
        <v>0</v>
      </c>
      <c r="BV40" s="22">
        <v>44585</v>
      </c>
      <c r="BW40" s="26">
        <f t="shared" ca="1" si="17"/>
        <v>0.69005749849967724</v>
      </c>
      <c r="BX40" s="29">
        <v>0</v>
      </c>
      <c r="CA40" s="12">
        <f t="shared" si="21"/>
        <v>45261</v>
      </c>
      <c r="CB40" s="8">
        <v>22580</v>
      </c>
    </row>
    <row r="41" spans="2:80" ht="12.75" x14ac:dyDescent="0.2">
      <c r="B41" s="22">
        <v>44586</v>
      </c>
      <c r="C41" s="26">
        <f t="shared" ca="1" si="0"/>
        <v>0.74028801745276929</v>
      </c>
      <c r="D41" s="29">
        <f t="shared" ca="1" si="19"/>
        <v>88</v>
      </c>
      <c r="F41" s="22">
        <v>44586</v>
      </c>
      <c r="G41" s="26">
        <f t="shared" ca="1" si="1"/>
        <v>0.16460457875090329</v>
      </c>
      <c r="H41" s="29">
        <v>0</v>
      </c>
      <c r="J41" s="22">
        <v>44586</v>
      </c>
      <c r="K41" s="26">
        <f t="shared" ca="1" si="2"/>
        <v>0.21051697528504576</v>
      </c>
      <c r="L41" s="29">
        <v>0</v>
      </c>
      <c r="N41" s="22">
        <v>44586</v>
      </c>
      <c r="O41" s="26">
        <f t="shared" ca="1" si="3"/>
        <v>0.85347535929318896</v>
      </c>
      <c r="P41" s="29">
        <v>0</v>
      </c>
      <c r="R41" s="22">
        <v>44586</v>
      </c>
      <c r="S41" s="26">
        <f t="shared" ca="1" si="4"/>
        <v>2.1877413882457231E-2</v>
      </c>
      <c r="T41" s="29">
        <v>0</v>
      </c>
      <c r="V41" s="22">
        <v>44586</v>
      </c>
      <c r="W41" s="26">
        <f t="shared" ca="1" si="5"/>
        <v>9.9085651646828699E-2</v>
      </c>
      <c r="X41" s="29">
        <v>0</v>
      </c>
      <c r="Z41" s="22">
        <v>44586</v>
      </c>
      <c r="AA41" s="26">
        <f t="shared" ca="1" si="6"/>
        <v>0.49850322155155091</v>
      </c>
      <c r="AB41" s="29">
        <v>0</v>
      </c>
      <c r="AC41"/>
      <c r="AD41" s="25"/>
      <c r="AF41" s="22">
        <v>44586</v>
      </c>
      <c r="AG41" s="26">
        <f t="shared" ca="1" si="7"/>
        <v>0.48996767665494145</v>
      </c>
      <c r="AH41" s="29">
        <v>0</v>
      </c>
      <c r="AJ41" s="22">
        <v>44586</v>
      </c>
      <c r="AK41" s="26">
        <f t="shared" ca="1" si="8"/>
        <v>0.50414289114027966</v>
      </c>
      <c r="AL41" s="29">
        <v>0</v>
      </c>
      <c r="AN41" s="22">
        <v>44586</v>
      </c>
      <c r="AO41" s="26">
        <f t="shared" ca="1" si="9"/>
        <v>0.12736152324383598</v>
      </c>
      <c r="AP41" s="29">
        <v>0</v>
      </c>
      <c r="AR41" s="22">
        <v>44586</v>
      </c>
      <c r="AS41" s="26">
        <f t="shared" ca="1" si="10"/>
        <v>0.13494685136501738</v>
      </c>
      <c r="AT41" s="29">
        <v>0</v>
      </c>
      <c r="AV41" s="22">
        <v>44586</v>
      </c>
      <c r="AW41" s="26">
        <f t="shared" ca="1" si="11"/>
        <v>0.11598530711761146</v>
      </c>
      <c r="AX41" s="29">
        <v>0</v>
      </c>
      <c r="AZ41" s="22">
        <v>44586</v>
      </c>
      <c r="BA41" s="26">
        <f t="shared" ca="1" si="12"/>
        <v>6.7832392393824659E-2</v>
      </c>
      <c r="BB41" s="29">
        <v>0</v>
      </c>
      <c r="BC41"/>
      <c r="BD41" s="25"/>
      <c r="BF41" s="22">
        <v>44586</v>
      </c>
      <c r="BG41" s="26">
        <f t="shared" ca="1" si="13"/>
        <v>1.4744250350798294E-2</v>
      </c>
      <c r="BH41" s="29">
        <v>0</v>
      </c>
      <c r="BJ41" s="22">
        <v>44586</v>
      </c>
      <c r="BK41" s="26">
        <f t="shared" ca="1" si="14"/>
        <v>0.82510371292853657</v>
      </c>
      <c r="BL41" s="29">
        <v>0</v>
      </c>
      <c r="BN41" s="22">
        <v>44586</v>
      </c>
      <c r="BO41" s="26">
        <f t="shared" ca="1" si="15"/>
        <v>0.50808064179467405</v>
      </c>
      <c r="BP41" s="29">
        <v>0</v>
      </c>
      <c r="BR41" s="22">
        <v>44586</v>
      </c>
      <c r="BS41" s="26">
        <f t="shared" ca="1" si="16"/>
        <v>0.80018195435179273</v>
      </c>
      <c r="BT41" s="29">
        <v>0</v>
      </c>
      <c r="BV41" s="22">
        <v>44586</v>
      </c>
      <c r="BW41" s="26">
        <f t="shared" ca="1" si="17"/>
        <v>0.97517252547311628</v>
      </c>
      <c r="BX41" s="29">
        <v>0</v>
      </c>
      <c r="CA41" s="12">
        <f t="shared" si="21"/>
        <v>45292</v>
      </c>
      <c r="CB41" s="8">
        <v>42631</v>
      </c>
    </row>
    <row r="42" spans="2:80" ht="12.75" x14ac:dyDescent="0.2">
      <c r="B42" s="22">
        <v>44587</v>
      </c>
      <c r="C42" s="26">
        <f t="shared" ca="1" si="0"/>
        <v>0.49608025659310373</v>
      </c>
      <c r="D42" s="29">
        <f t="shared" ca="1" si="19"/>
        <v>75</v>
      </c>
      <c r="F42" s="22">
        <v>44587</v>
      </c>
      <c r="G42" s="26">
        <f t="shared" ca="1" si="1"/>
        <v>2.5161830158979437E-2</v>
      </c>
      <c r="H42" s="29">
        <v>0</v>
      </c>
      <c r="J42" s="22">
        <v>44587</v>
      </c>
      <c r="K42" s="26">
        <f t="shared" ca="1" si="2"/>
        <v>0.27641743158422205</v>
      </c>
      <c r="L42" s="29">
        <v>0</v>
      </c>
      <c r="N42" s="22">
        <v>44587</v>
      </c>
      <c r="O42" s="26">
        <f t="shared" ca="1" si="3"/>
        <v>0.74977055207453491</v>
      </c>
      <c r="P42" s="29">
        <v>0</v>
      </c>
      <c r="R42" s="22">
        <v>44587</v>
      </c>
      <c r="S42" s="26">
        <f t="shared" ca="1" si="4"/>
        <v>0.7002609753861887</v>
      </c>
      <c r="T42" s="29">
        <v>0</v>
      </c>
      <c r="V42" s="22">
        <v>44587</v>
      </c>
      <c r="W42" s="26">
        <f t="shared" ca="1" si="5"/>
        <v>0.31055006760137227</v>
      </c>
      <c r="X42" s="29">
        <v>0</v>
      </c>
      <c r="Z42" s="22">
        <v>44587</v>
      </c>
      <c r="AA42" s="26">
        <f t="shared" ca="1" si="6"/>
        <v>0.26156413715004723</v>
      </c>
      <c r="AB42" s="29">
        <v>0</v>
      </c>
      <c r="AC42"/>
      <c r="AD42" s="25"/>
      <c r="AF42" s="22">
        <v>44587</v>
      </c>
      <c r="AG42" s="26">
        <f t="shared" ca="1" si="7"/>
        <v>0.85579367292261155</v>
      </c>
      <c r="AH42" s="29">
        <v>0</v>
      </c>
      <c r="AJ42" s="22">
        <v>44587</v>
      </c>
      <c r="AK42" s="26">
        <f t="shared" ca="1" si="8"/>
        <v>0.50340848814571426</v>
      </c>
      <c r="AL42" s="29">
        <v>0</v>
      </c>
      <c r="AN42" s="22">
        <v>44587</v>
      </c>
      <c r="AO42" s="26">
        <f t="shared" ca="1" si="9"/>
        <v>0.39955031885428149</v>
      </c>
      <c r="AP42" s="29">
        <v>0</v>
      </c>
      <c r="AR42" s="22">
        <v>44587</v>
      </c>
      <c r="AS42" s="26">
        <f t="shared" ca="1" si="10"/>
        <v>0.57478747810203257</v>
      </c>
      <c r="AT42" s="29">
        <v>0</v>
      </c>
      <c r="AV42" s="22">
        <v>44587</v>
      </c>
      <c r="AW42" s="26">
        <f t="shared" ca="1" si="11"/>
        <v>0.50060464908157709</v>
      </c>
      <c r="AX42" s="29">
        <v>0</v>
      </c>
      <c r="AZ42" s="22">
        <v>44587</v>
      </c>
      <c r="BA42" s="26">
        <f t="shared" ca="1" si="12"/>
        <v>0.77729875706521934</v>
      </c>
      <c r="BB42" s="29">
        <v>0</v>
      </c>
      <c r="BC42"/>
      <c r="BD42" s="25"/>
      <c r="BF42" s="22">
        <v>44587</v>
      </c>
      <c r="BG42" s="26">
        <f t="shared" ca="1" si="13"/>
        <v>7.3836986455412035E-2</v>
      </c>
      <c r="BH42" s="29">
        <v>0</v>
      </c>
      <c r="BJ42" s="22">
        <v>44587</v>
      </c>
      <c r="BK42" s="26">
        <f t="shared" ca="1" si="14"/>
        <v>0.66168914725788197</v>
      </c>
      <c r="BL42" s="29">
        <v>0</v>
      </c>
      <c r="BN42" s="22">
        <v>44587</v>
      </c>
      <c r="BO42" s="26">
        <f t="shared" ca="1" si="15"/>
        <v>0.81602976309764419</v>
      </c>
      <c r="BP42" s="29">
        <v>0</v>
      </c>
      <c r="BR42" s="22">
        <v>44587</v>
      </c>
      <c r="BS42" s="26">
        <f t="shared" ca="1" si="16"/>
        <v>3.0949086939712656E-2</v>
      </c>
      <c r="BT42" s="29">
        <v>0</v>
      </c>
      <c r="BV42" s="22">
        <v>44587</v>
      </c>
      <c r="BW42" s="26">
        <f t="shared" ca="1" si="17"/>
        <v>0.52677308228454711</v>
      </c>
      <c r="BX42" s="29">
        <v>0</v>
      </c>
      <c r="CA42" s="12">
        <f t="shared" si="21"/>
        <v>45323</v>
      </c>
      <c r="CB42" s="8">
        <v>32096</v>
      </c>
    </row>
    <row r="43" spans="2:80" ht="12.75" x14ac:dyDescent="0.2">
      <c r="B43" s="22">
        <v>44588</v>
      </c>
      <c r="C43" s="26">
        <f t="shared" ca="1" si="0"/>
        <v>0.40807303610923884</v>
      </c>
      <c r="D43" s="29">
        <f t="shared" ca="1" si="19"/>
        <v>71</v>
      </c>
      <c r="F43" s="22">
        <v>44588</v>
      </c>
      <c r="G43" s="26">
        <f t="shared" ca="1" si="1"/>
        <v>0.4483302179754739</v>
      </c>
      <c r="H43" s="29">
        <v>0</v>
      </c>
      <c r="J43" s="22">
        <v>44588</v>
      </c>
      <c r="K43" s="26">
        <f t="shared" ca="1" si="2"/>
        <v>0.26366157136238855</v>
      </c>
      <c r="L43" s="29">
        <v>0</v>
      </c>
      <c r="N43" s="22">
        <v>44588</v>
      </c>
      <c r="O43" s="26">
        <f t="shared" ca="1" si="3"/>
        <v>0.6558056329180606</v>
      </c>
      <c r="P43" s="29">
        <v>0</v>
      </c>
      <c r="R43" s="22">
        <v>44588</v>
      </c>
      <c r="S43" s="26">
        <f t="shared" ca="1" si="4"/>
        <v>0.88479766904689505</v>
      </c>
      <c r="T43" s="29">
        <v>0</v>
      </c>
      <c r="V43" s="22">
        <v>44588</v>
      </c>
      <c r="W43" s="26">
        <f t="shared" ca="1" si="5"/>
        <v>0.88564864700641854</v>
      </c>
      <c r="X43" s="29">
        <v>0</v>
      </c>
      <c r="Z43" s="22">
        <v>44588</v>
      </c>
      <c r="AA43" s="26">
        <f t="shared" ca="1" si="6"/>
        <v>0.37584257289429213</v>
      </c>
      <c r="AB43" s="29">
        <v>0</v>
      </c>
      <c r="AC43"/>
      <c r="AD43" s="25"/>
      <c r="AF43" s="22">
        <v>44588</v>
      </c>
      <c r="AG43" s="26">
        <f t="shared" ca="1" si="7"/>
        <v>0.74458387258551129</v>
      </c>
      <c r="AH43" s="29">
        <v>0</v>
      </c>
      <c r="AJ43" s="22">
        <v>44588</v>
      </c>
      <c r="AK43" s="26">
        <f t="shared" ca="1" si="8"/>
        <v>0.50622087162174478</v>
      </c>
      <c r="AL43" s="29">
        <v>0</v>
      </c>
      <c r="AN43" s="22">
        <v>44588</v>
      </c>
      <c r="AO43" s="26">
        <f t="shared" ca="1" si="9"/>
        <v>0.99069840613512106</v>
      </c>
      <c r="AP43" s="29">
        <v>0</v>
      </c>
      <c r="AR43" s="22">
        <v>44588</v>
      </c>
      <c r="AS43" s="26">
        <f t="shared" ca="1" si="10"/>
        <v>0.71306997228511015</v>
      </c>
      <c r="AT43" s="29">
        <v>0</v>
      </c>
      <c r="AV43" s="22">
        <v>44588</v>
      </c>
      <c r="AW43" s="26">
        <f t="shared" ca="1" si="11"/>
        <v>0.82755620279518682</v>
      </c>
      <c r="AX43" s="29">
        <v>0</v>
      </c>
      <c r="AZ43" s="22">
        <v>44588</v>
      </c>
      <c r="BA43" s="26">
        <f t="shared" ca="1" si="12"/>
        <v>0.11038387196946076</v>
      </c>
      <c r="BB43" s="29">
        <v>0</v>
      </c>
      <c r="BC43"/>
      <c r="BD43" s="25"/>
      <c r="BF43" s="22">
        <v>44588</v>
      </c>
      <c r="BG43" s="26">
        <f t="shared" ca="1" si="13"/>
        <v>0.68758973038709958</v>
      </c>
      <c r="BH43" s="29">
        <v>0</v>
      </c>
      <c r="BJ43" s="22">
        <v>44588</v>
      </c>
      <c r="BK43" s="26">
        <f t="shared" ca="1" si="14"/>
        <v>0.28670226982748392</v>
      </c>
      <c r="BL43" s="29">
        <v>0</v>
      </c>
      <c r="BN43" s="22">
        <v>44588</v>
      </c>
      <c r="BO43" s="26">
        <f t="shared" ca="1" si="15"/>
        <v>0.22726976070488003</v>
      </c>
      <c r="BP43" s="29">
        <v>0</v>
      </c>
      <c r="BR43" s="22">
        <v>44588</v>
      </c>
      <c r="BS43" s="26">
        <f t="shared" ca="1" si="16"/>
        <v>0.9777184597184766</v>
      </c>
      <c r="BT43" s="29">
        <v>0</v>
      </c>
      <c r="BV43" s="22">
        <v>44588</v>
      </c>
      <c r="BW43" s="26">
        <f t="shared" ca="1" si="17"/>
        <v>0.90348861229128419</v>
      </c>
      <c r="BX43" s="29">
        <v>0</v>
      </c>
      <c r="CA43" s="12">
        <f t="shared" si="21"/>
        <v>45352</v>
      </c>
      <c r="CB43" s="8">
        <v>56030</v>
      </c>
    </row>
    <row r="44" spans="2:80" ht="12.75" x14ac:dyDescent="0.2">
      <c r="B44" s="22">
        <v>44589</v>
      </c>
      <c r="C44" s="26">
        <f t="shared" ca="1" si="0"/>
        <v>0.57260166392641143</v>
      </c>
      <c r="D44" s="29">
        <f t="shared" ca="1" si="19"/>
        <v>79</v>
      </c>
      <c r="F44" s="22">
        <v>44589</v>
      </c>
      <c r="G44" s="26">
        <f t="shared" ca="1" si="1"/>
        <v>0.75962915795647112</v>
      </c>
      <c r="H44" s="29">
        <v>0</v>
      </c>
      <c r="J44" s="22">
        <v>44589</v>
      </c>
      <c r="K44" s="26">
        <f t="shared" ca="1" si="2"/>
        <v>0.83738319629375368</v>
      </c>
      <c r="L44" s="29">
        <v>0</v>
      </c>
      <c r="N44" s="22">
        <v>44589</v>
      </c>
      <c r="O44" s="26">
        <f t="shared" ca="1" si="3"/>
        <v>0.87922709672747057</v>
      </c>
      <c r="P44" s="29">
        <v>0</v>
      </c>
      <c r="R44" s="22">
        <v>44589</v>
      </c>
      <c r="S44" s="26">
        <f t="shared" ca="1" si="4"/>
        <v>0.93070017113575132</v>
      </c>
      <c r="T44" s="29">
        <v>0</v>
      </c>
      <c r="V44" s="22">
        <v>44589</v>
      </c>
      <c r="W44" s="26">
        <f t="shared" ca="1" si="5"/>
        <v>0.62648891421761244</v>
      </c>
      <c r="X44" s="29">
        <v>0</v>
      </c>
      <c r="Z44" s="22">
        <v>44589</v>
      </c>
      <c r="AA44" s="26">
        <f t="shared" ca="1" si="6"/>
        <v>0.5685706639631114</v>
      </c>
      <c r="AB44" s="29">
        <v>0</v>
      </c>
      <c r="AC44"/>
      <c r="AD44" s="25"/>
      <c r="AF44" s="22">
        <v>44589</v>
      </c>
      <c r="AG44" s="26">
        <f t="shared" ca="1" si="7"/>
        <v>0.78025076812110095</v>
      </c>
      <c r="AH44" s="29">
        <v>0</v>
      </c>
      <c r="AJ44" s="22">
        <v>44589</v>
      </c>
      <c r="AK44" s="26">
        <f t="shared" ca="1" si="8"/>
        <v>0.36309151938729423</v>
      </c>
      <c r="AL44" s="29">
        <v>0</v>
      </c>
      <c r="AN44" s="22">
        <v>44589</v>
      </c>
      <c r="AO44" s="26">
        <f t="shared" ca="1" si="9"/>
        <v>0.37742463850056562</v>
      </c>
      <c r="AP44" s="29">
        <v>0</v>
      </c>
      <c r="AR44" s="22">
        <v>44589</v>
      </c>
      <c r="AS44" s="26">
        <f t="shared" ca="1" si="10"/>
        <v>0.21829096449346774</v>
      </c>
      <c r="AT44" s="29">
        <v>0</v>
      </c>
      <c r="AV44" s="22">
        <v>44589</v>
      </c>
      <c r="AW44" s="26">
        <f t="shared" ca="1" si="11"/>
        <v>0.80155449160148184</v>
      </c>
      <c r="AX44" s="29">
        <v>0</v>
      </c>
      <c r="AZ44" s="22">
        <v>44589</v>
      </c>
      <c r="BA44" s="26">
        <f t="shared" ca="1" si="12"/>
        <v>0.58446442091076667</v>
      </c>
      <c r="BB44" s="29">
        <v>0</v>
      </c>
      <c r="BC44"/>
      <c r="BD44" s="25"/>
      <c r="BF44" s="22">
        <v>44589</v>
      </c>
      <c r="BG44" s="26">
        <f t="shared" ca="1" si="13"/>
        <v>0.9200040874955876</v>
      </c>
      <c r="BH44" s="29">
        <v>0</v>
      </c>
      <c r="BJ44" s="22">
        <v>44589</v>
      </c>
      <c r="BK44" s="26">
        <f t="shared" ca="1" si="14"/>
        <v>0.53455751594063827</v>
      </c>
      <c r="BL44" s="29">
        <v>0</v>
      </c>
      <c r="BN44" s="22">
        <v>44589</v>
      </c>
      <c r="BO44" s="26">
        <f t="shared" ca="1" si="15"/>
        <v>0.67383823060841042</v>
      </c>
      <c r="BP44" s="29">
        <v>0</v>
      </c>
      <c r="BR44" s="22">
        <v>44589</v>
      </c>
      <c r="BS44" s="26">
        <f t="shared" ca="1" si="16"/>
        <v>0.53377277370755094</v>
      </c>
      <c r="BT44" s="29">
        <v>0</v>
      </c>
      <c r="BV44" s="22">
        <v>44589</v>
      </c>
      <c r="BW44" s="26">
        <f t="shared" ca="1" si="17"/>
        <v>0.37092652933767756</v>
      </c>
      <c r="BX44" s="29">
        <v>0</v>
      </c>
      <c r="CA44" s="12">
        <f t="shared" si="21"/>
        <v>45383</v>
      </c>
      <c r="CB44" s="8">
        <v>37726</v>
      </c>
    </row>
    <row r="45" spans="2:80" ht="12.75" x14ac:dyDescent="0.2">
      <c r="B45" s="22">
        <v>44590</v>
      </c>
      <c r="C45" s="26">
        <f t="shared" ca="1" si="0"/>
        <v>0.8575139553043708</v>
      </c>
      <c r="D45" s="29">
        <f t="shared" ca="1" si="19"/>
        <v>97</v>
      </c>
      <c r="F45" s="22">
        <v>44590</v>
      </c>
      <c r="G45" s="26">
        <f t="shared" ca="1" si="1"/>
        <v>0.56445049947882142</v>
      </c>
      <c r="H45" s="29">
        <v>0</v>
      </c>
      <c r="J45" s="22">
        <v>44590</v>
      </c>
      <c r="K45" s="26">
        <f t="shared" ca="1" si="2"/>
        <v>0.96868425495868382</v>
      </c>
      <c r="L45" s="29">
        <v>0</v>
      </c>
      <c r="N45" s="22">
        <v>44590</v>
      </c>
      <c r="O45" s="26">
        <f t="shared" ca="1" si="3"/>
        <v>0.54751147638590025</v>
      </c>
      <c r="P45" s="29">
        <v>0</v>
      </c>
      <c r="R45" s="22">
        <v>44590</v>
      </c>
      <c r="S45" s="26">
        <f t="shared" ca="1" si="4"/>
        <v>0.19974168863680231</v>
      </c>
      <c r="T45" s="29">
        <v>0</v>
      </c>
      <c r="V45" s="22">
        <v>44590</v>
      </c>
      <c r="W45" s="26">
        <f t="shared" ca="1" si="5"/>
        <v>0.53898121217505868</v>
      </c>
      <c r="X45" s="29">
        <v>0</v>
      </c>
      <c r="Z45" s="22">
        <v>44590</v>
      </c>
      <c r="AA45" s="26">
        <f t="shared" ca="1" si="6"/>
        <v>0.52286585686409104</v>
      </c>
      <c r="AB45" s="29">
        <v>0</v>
      </c>
      <c r="AC45"/>
      <c r="AD45" s="25"/>
      <c r="AF45" s="22">
        <v>44590</v>
      </c>
      <c r="AG45" s="26">
        <f t="shared" ca="1" si="7"/>
        <v>0.7756617831235042</v>
      </c>
      <c r="AH45" s="29">
        <v>0</v>
      </c>
      <c r="AJ45" s="22">
        <v>44590</v>
      </c>
      <c r="AK45" s="26">
        <f t="shared" ca="1" si="8"/>
        <v>0.3643967779804157</v>
      </c>
      <c r="AL45" s="29">
        <v>0</v>
      </c>
      <c r="AN45" s="22">
        <v>44590</v>
      </c>
      <c r="AO45" s="26">
        <f t="shared" ca="1" si="9"/>
        <v>0.92114500897200824</v>
      </c>
      <c r="AP45" s="29">
        <v>0</v>
      </c>
      <c r="AR45" s="22">
        <v>44590</v>
      </c>
      <c r="AS45" s="26">
        <f t="shared" ca="1" si="10"/>
        <v>0.60534472904585923</v>
      </c>
      <c r="AT45" s="29">
        <v>0</v>
      </c>
      <c r="AV45" s="22">
        <v>44590</v>
      </c>
      <c r="AW45" s="26">
        <f t="shared" ca="1" si="11"/>
        <v>0.42668406364821221</v>
      </c>
      <c r="AX45" s="29">
        <v>0</v>
      </c>
      <c r="AZ45" s="22">
        <v>44590</v>
      </c>
      <c r="BA45" s="26">
        <f t="shared" ca="1" si="12"/>
        <v>0.30523328295991159</v>
      </c>
      <c r="BB45" s="29">
        <v>0</v>
      </c>
      <c r="BC45"/>
      <c r="BD45" s="25"/>
      <c r="BF45" s="22">
        <v>44590</v>
      </c>
      <c r="BG45" s="26">
        <f t="shared" ca="1" si="13"/>
        <v>0.56667193183839426</v>
      </c>
      <c r="BH45" s="29">
        <v>0</v>
      </c>
      <c r="BJ45" s="22">
        <v>44590</v>
      </c>
      <c r="BK45" s="26">
        <f t="shared" ca="1" si="14"/>
        <v>0.84895453935321286</v>
      </c>
      <c r="BL45" s="29">
        <v>0</v>
      </c>
      <c r="BN45" s="22">
        <v>44590</v>
      </c>
      <c r="BO45" s="26">
        <f t="shared" ca="1" si="15"/>
        <v>0.5924189762100267</v>
      </c>
      <c r="BP45" s="29">
        <v>0</v>
      </c>
      <c r="BR45" s="22">
        <v>44590</v>
      </c>
      <c r="BS45" s="26">
        <f t="shared" ca="1" si="16"/>
        <v>0.95987130825418887</v>
      </c>
      <c r="BT45" s="29">
        <v>0</v>
      </c>
      <c r="BV45" s="22">
        <v>44590</v>
      </c>
      <c r="BW45" s="26">
        <f t="shared" ca="1" si="17"/>
        <v>0.14351980879314541</v>
      </c>
      <c r="BX45" s="29">
        <v>0</v>
      </c>
      <c r="CA45" s="12">
        <f t="shared" si="21"/>
        <v>45413</v>
      </c>
      <c r="CB45" s="8">
        <v>55813</v>
      </c>
    </row>
    <row r="46" spans="2:80" ht="12.75" x14ac:dyDescent="0.2">
      <c r="B46" s="22">
        <v>44591</v>
      </c>
      <c r="C46" s="26">
        <f t="shared" ca="1" si="0"/>
        <v>0.63908424947760767</v>
      </c>
      <c r="D46" s="29">
        <f t="shared" ca="1" si="19"/>
        <v>83</v>
      </c>
      <c r="F46" s="22">
        <v>44591</v>
      </c>
      <c r="G46" s="26">
        <f t="shared" ca="1" si="1"/>
        <v>0.6521757923353505</v>
      </c>
      <c r="H46" s="29">
        <v>0</v>
      </c>
      <c r="J46" s="22">
        <v>44591</v>
      </c>
      <c r="K46" s="26">
        <f t="shared" ca="1" si="2"/>
        <v>0.55098976761607088</v>
      </c>
      <c r="L46" s="29">
        <v>0</v>
      </c>
      <c r="N46" s="22">
        <v>44591</v>
      </c>
      <c r="O46" s="26">
        <f t="shared" ca="1" si="3"/>
        <v>0.13405394836662909</v>
      </c>
      <c r="P46" s="29">
        <v>0</v>
      </c>
      <c r="R46" s="22">
        <v>44591</v>
      </c>
      <c r="S46" s="26">
        <f t="shared" ca="1" si="4"/>
        <v>0.78401907458992182</v>
      </c>
      <c r="T46" s="29">
        <v>0</v>
      </c>
      <c r="V46" s="22">
        <v>44591</v>
      </c>
      <c r="W46" s="26">
        <f t="shared" ca="1" si="5"/>
        <v>0.36769763029593738</v>
      </c>
      <c r="X46" s="29">
        <v>0</v>
      </c>
      <c r="Z46" s="22">
        <v>44591</v>
      </c>
      <c r="AA46" s="26">
        <f t="shared" ca="1" si="6"/>
        <v>0.90889371761340398</v>
      </c>
      <c r="AB46" s="29">
        <v>0</v>
      </c>
      <c r="AC46"/>
      <c r="AD46" s="25"/>
      <c r="AF46" s="22">
        <v>44591</v>
      </c>
      <c r="AG46" s="26">
        <f t="shared" ca="1" si="7"/>
        <v>0.36413277465327387</v>
      </c>
      <c r="AH46" s="29">
        <v>0</v>
      </c>
      <c r="AJ46" s="22">
        <v>44591</v>
      </c>
      <c r="AK46" s="26">
        <f t="shared" ca="1" si="8"/>
        <v>0.12426725020301232</v>
      </c>
      <c r="AL46" s="29">
        <v>0</v>
      </c>
      <c r="AN46" s="22">
        <v>44591</v>
      </c>
      <c r="AO46" s="26">
        <f t="shared" ca="1" si="9"/>
        <v>0.81385743741837924</v>
      </c>
      <c r="AP46" s="29">
        <v>0</v>
      </c>
      <c r="AR46" s="22">
        <v>44591</v>
      </c>
      <c r="AS46" s="26">
        <f t="shared" ca="1" si="10"/>
        <v>0.93519824494101955</v>
      </c>
      <c r="AT46" s="29">
        <v>0</v>
      </c>
      <c r="AV46" s="22">
        <v>44591</v>
      </c>
      <c r="AW46" s="26">
        <f t="shared" ca="1" si="11"/>
        <v>0.34104987995537728</v>
      </c>
      <c r="AX46" s="29">
        <v>0</v>
      </c>
      <c r="AZ46" s="22">
        <v>44591</v>
      </c>
      <c r="BA46" s="26">
        <f t="shared" ca="1" si="12"/>
        <v>0.56759928486641043</v>
      </c>
      <c r="BB46" s="29">
        <v>0</v>
      </c>
      <c r="BC46"/>
      <c r="BD46" s="25"/>
      <c r="BF46" s="22">
        <v>44591</v>
      </c>
      <c r="BG46" s="26">
        <f t="shared" ca="1" si="13"/>
        <v>0.2188038519597032</v>
      </c>
      <c r="BH46" s="29">
        <v>0</v>
      </c>
      <c r="BJ46" s="22">
        <v>44591</v>
      </c>
      <c r="BK46" s="26">
        <f t="shared" ca="1" si="14"/>
        <v>0.96005457058969157</v>
      </c>
      <c r="BL46" s="29">
        <v>0</v>
      </c>
      <c r="BN46" s="22">
        <v>44591</v>
      </c>
      <c r="BO46" s="26">
        <f t="shared" ca="1" si="15"/>
        <v>2.185016834728426E-2</v>
      </c>
      <c r="BP46" s="29">
        <v>0</v>
      </c>
      <c r="BR46" s="22">
        <v>44591</v>
      </c>
      <c r="BS46" s="26">
        <f t="shared" ca="1" si="16"/>
        <v>7.0666977306492962E-2</v>
      </c>
      <c r="BT46" s="29">
        <v>0</v>
      </c>
      <c r="BV46" s="22">
        <v>44591</v>
      </c>
      <c r="BW46" s="26">
        <f t="shared" ca="1" si="17"/>
        <v>0.34677735216441541</v>
      </c>
      <c r="BX46" s="29">
        <v>0</v>
      </c>
      <c r="CA46" s="12">
        <f t="shared" si="21"/>
        <v>45444</v>
      </c>
      <c r="CB46" s="8">
        <v>53474</v>
      </c>
    </row>
    <row r="47" spans="2:80" ht="12.75" x14ac:dyDescent="0.2">
      <c r="B47" s="22">
        <v>44592</v>
      </c>
      <c r="C47" s="26">
        <f t="shared" ca="1" si="0"/>
        <v>0.77548841954974523</v>
      </c>
      <c r="D47" s="29">
        <f t="shared" ca="1" si="19"/>
        <v>91</v>
      </c>
      <c r="E47">
        <v>2159</v>
      </c>
      <c r="F47" s="22">
        <v>44592</v>
      </c>
      <c r="G47" s="26">
        <f t="shared" ca="1" si="1"/>
        <v>0.40700588582066066</v>
      </c>
      <c r="H47" s="29">
        <v>0</v>
      </c>
      <c r="I47">
        <v>0</v>
      </c>
      <c r="J47" s="22">
        <v>44592</v>
      </c>
      <c r="K47" s="26">
        <f t="shared" ca="1" si="2"/>
        <v>0.67019797802635772</v>
      </c>
      <c r="L47" s="29">
        <v>0</v>
      </c>
      <c r="M47">
        <v>0</v>
      </c>
      <c r="N47" s="22">
        <v>44592</v>
      </c>
      <c r="O47" s="26">
        <f t="shared" ca="1" si="3"/>
        <v>0.63217681130063363</v>
      </c>
      <c r="P47" s="29">
        <v>0</v>
      </c>
      <c r="Q47">
        <v>0</v>
      </c>
      <c r="R47" s="22">
        <v>44592</v>
      </c>
      <c r="S47" s="26">
        <f t="shared" ca="1" si="4"/>
        <v>0.66981649804956511</v>
      </c>
      <c r="T47" s="29">
        <v>0</v>
      </c>
      <c r="U47">
        <v>0</v>
      </c>
      <c r="V47" s="22">
        <v>44592</v>
      </c>
      <c r="W47" s="26">
        <f t="shared" ca="1" si="5"/>
        <v>0.95275587763341085</v>
      </c>
      <c r="X47" s="29">
        <v>0</v>
      </c>
      <c r="Y47">
        <v>0</v>
      </c>
      <c r="Z47" s="22">
        <v>44592</v>
      </c>
      <c r="AA47" s="26">
        <f t="shared" ca="1" si="6"/>
        <v>0.82889788900615879</v>
      </c>
      <c r="AB47" s="29">
        <v>0</v>
      </c>
      <c r="AC47">
        <v>0</v>
      </c>
      <c r="AD47" s="25"/>
      <c r="AF47" s="22">
        <v>44592</v>
      </c>
      <c r="AG47" s="26">
        <f t="shared" ca="1" si="7"/>
        <v>0.28783507941330899</v>
      </c>
      <c r="AH47" s="29">
        <v>0</v>
      </c>
      <c r="AI47">
        <v>0</v>
      </c>
      <c r="AJ47" s="22">
        <v>44592</v>
      </c>
      <c r="AK47" s="26">
        <f t="shared" ca="1" si="8"/>
        <v>0.93938121826909493</v>
      </c>
      <c r="AL47" s="29">
        <v>0</v>
      </c>
      <c r="AM47">
        <v>0</v>
      </c>
      <c r="AN47" s="22">
        <v>44592</v>
      </c>
      <c r="AO47" s="26">
        <f t="shared" ca="1" si="9"/>
        <v>0.59173770176406981</v>
      </c>
      <c r="AP47" s="29">
        <v>0</v>
      </c>
      <c r="AQ47">
        <v>0</v>
      </c>
      <c r="AR47" s="22">
        <v>44592</v>
      </c>
      <c r="AS47" s="26">
        <f t="shared" ca="1" si="10"/>
        <v>0.75912223002518775</v>
      </c>
      <c r="AT47" s="29">
        <v>0</v>
      </c>
      <c r="AU47">
        <v>0</v>
      </c>
      <c r="AV47" s="22">
        <v>44592</v>
      </c>
      <c r="AW47" s="26">
        <f t="shared" ca="1" si="11"/>
        <v>0.58046530910568583</v>
      </c>
      <c r="AX47" s="29">
        <v>0</v>
      </c>
      <c r="AY47">
        <v>0</v>
      </c>
      <c r="AZ47" s="22">
        <v>44592</v>
      </c>
      <c r="BA47" s="26">
        <f t="shared" ca="1" si="12"/>
        <v>0.75629884843306583</v>
      </c>
      <c r="BB47" s="29">
        <v>0</v>
      </c>
      <c r="BC47">
        <v>0</v>
      </c>
      <c r="BD47" s="25"/>
      <c r="BF47" s="22">
        <v>44592</v>
      </c>
      <c r="BG47" s="26">
        <f t="shared" ca="1" si="13"/>
        <v>0.14420554131102026</v>
      </c>
      <c r="BH47" s="29">
        <v>0</v>
      </c>
      <c r="BI47">
        <v>0</v>
      </c>
      <c r="BJ47" s="22">
        <v>44592</v>
      </c>
      <c r="BK47" s="26">
        <f t="shared" ca="1" si="14"/>
        <v>0.8675226822873241</v>
      </c>
      <c r="BL47" s="29">
        <v>0</v>
      </c>
      <c r="BM47">
        <v>0</v>
      </c>
      <c r="BN47" s="22">
        <v>44592</v>
      </c>
      <c r="BO47" s="26">
        <f t="shared" ca="1" si="15"/>
        <v>0.56595168009778773</v>
      </c>
      <c r="BP47" s="29">
        <v>0</v>
      </c>
      <c r="BQ47">
        <v>0</v>
      </c>
      <c r="BR47" s="22">
        <v>44592</v>
      </c>
      <c r="BS47" s="26">
        <f t="shared" ca="1" si="16"/>
        <v>0.8877054317735209</v>
      </c>
      <c r="BT47" s="29">
        <v>0</v>
      </c>
      <c r="BU47">
        <v>0</v>
      </c>
      <c r="BV47" s="22">
        <v>44592</v>
      </c>
      <c r="BW47" s="26">
        <f t="shared" ca="1" si="17"/>
        <v>9.9325751898460157E-2</v>
      </c>
      <c r="BX47" s="29">
        <v>0</v>
      </c>
      <c r="BY47">
        <v>0</v>
      </c>
      <c r="CA47" s="12">
        <f t="shared" si="21"/>
        <v>45474</v>
      </c>
      <c r="CB47" s="8">
        <v>9258</v>
      </c>
    </row>
    <row r="48" spans="2:80" ht="12.75" x14ac:dyDescent="0.2">
      <c r="B48" s="22">
        <v>44593</v>
      </c>
      <c r="C48" s="26">
        <f t="shared" ca="1" si="0"/>
        <v>0.77044550381736576</v>
      </c>
      <c r="D48" s="36">
        <f ca="1">ROUNDUP(_xlfn.NORM.INV(C47,C$10,C$12),0)</f>
        <v>91</v>
      </c>
      <c r="F48" s="22">
        <v>44593</v>
      </c>
      <c r="G48" s="26">
        <f t="shared" ca="1" si="1"/>
        <v>8.6001102937296015E-2</v>
      </c>
      <c r="H48" s="29">
        <v>0</v>
      </c>
      <c r="J48" s="22">
        <v>44593</v>
      </c>
      <c r="K48" s="26">
        <f t="shared" ca="1" si="2"/>
        <v>0.76777559625223413</v>
      </c>
      <c r="L48" s="29">
        <v>0</v>
      </c>
      <c r="N48" s="22">
        <v>44593</v>
      </c>
      <c r="O48" s="26">
        <f t="shared" ca="1" si="3"/>
        <v>0.62908477953348496</v>
      </c>
      <c r="P48" s="29">
        <v>0</v>
      </c>
      <c r="R48" s="22">
        <v>44593</v>
      </c>
      <c r="S48" s="26">
        <f t="shared" ca="1" si="4"/>
        <v>0.40665430724137575</v>
      </c>
      <c r="T48" s="29">
        <v>0</v>
      </c>
      <c r="V48" s="22">
        <v>44593</v>
      </c>
      <c r="W48" s="26">
        <f t="shared" ca="1" si="5"/>
        <v>7.9757218571226862E-2</v>
      </c>
      <c r="X48" s="29">
        <v>0</v>
      </c>
      <c r="Z48" s="22">
        <v>44593</v>
      </c>
      <c r="AA48" s="26">
        <f t="shared" ca="1" si="6"/>
        <v>0.53238868677220408</v>
      </c>
      <c r="AB48" s="29">
        <v>0</v>
      </c>
      <c r="AC48"/>
      <c r="AD48" s="25"/>
      <c r="AF48" s="22">
        <v>44593</v>
      </c>
      <c r="AG48" s="26">
        <f t="shared" ca="1" si="7"/>
        <v>0.63405990438274573</v>
      </c>
      <c r="AH48" s="29">
        <v>0</v>
      </c>
      <c r="AJ48" s="22">
        <v>44593</v>
      </c>
      <c r="AK48" s="26">
        <f t="shared" ca="1" si="8"/>
        <v>0.19139431505537374</v>
      </c>
      <c r="AL48" s="29">
        <v>0</v>
      </c>
      <c r="AN48" s="22">
        <v>44593</v>
      </c>
      <c r="AO48" s="26">
        <f t="shared" ca="1" si="9"/>
        <v>0.13708107565382954</v>
      </c>
      <c r="AP48" s="29">
        <v>0</v>
      </c>
      <c r="AR48" s="22">
        <v>44593</v>
      </c>
      <c r="AS48" s="26">
        <f t="shared" ca="1" si="10"/>
        <v>0.62043786658647815</v>
      </c>
      <c r="AT48" s="29">
        <v>0</v>
      </c>
      <c r="AV48" s="22">
        <v>44593</v>
      </c>
      <c r="AW48" s="26">
        <f t="shared" ca="1" si="11"/>
        <v>0.98811518156248979</v>
      </c>
      <c r="AX48" s="29">
        <v>0</v>
      </c>
      <c r="AZ48" s="22">
        <v>44593</v>
      </c>
      <c r="BA48" s="26">
        <f t="shared" ca="1" si="12"/>
        <v>4.4221181513200203E-2</v>
      </c>
      <c r="BB48" s="29">
        <v>0</v>
      </c>
      <c r="BC48"/>
      <c r="BD48" s="25"/>
      <c r="BF48" s="22">
        <v>44593</v>
      </c>
      <c r="BG48" s="26">
        <f t="shared" ca="1" si="13"/>
        <v>0.34717283192242954</v>
      </c>
      <c r="BH48" s="29">
        <v>0</v>
      </c>
      <c r="BJ48" s="22">
        <v>44593</v>
      </c>
      <c r="BK48" s="26">
        <f t="shared" ca="1" si="14"/>
        <v>1.668767488444256E-2</v>
      </c>
      <c r="BL48" s="29">
        <v>0</v>
      </c>
      <c r="BN48" s="22">
        <v>44593</v>
      </c>
      <c r="BO48" s="26">
        <f t="shared" ca="1" si="15"/>
        <v>0.28648338375307014</v>
      </c>
      <c r="BP48" s="29">
        <v>0</v>
      </c>
      <c r="BR48" s="22">
        <v>44593</v>
      </c>
      <c r="BS48" s="26">
        <f t="shared" ca="1" si="16"/>
        <v>8.4982030871111336E-2</v>
      </c>
      <c r="BT48" s="29">
        <v>0</v>
      </c>
      <c r="BV48" s="22">
        <v>44593</v>
      </c>
      <c r="BW48" s="26">
        <f t="shared" ca="1" si="17"/>
        <v>0.36448315664389919</v>
      </c>
      <c r="BX48" s="29">
        <v>0</v>
      </c>
      <c r="CA48" s="12">
        <f t="shared" si="21"/>
        <v>45505</v>
      </c>
      <c r="CB48" s="8">
        <v>1716</v>
      </c>
    </row>
    <row r="49" spans="2:80" ht="12.75" x14ac:dyDescent="0.2">
      <c r="B49" s="22">
        <v>44594</v>
      </c>
      <c r="C49" s="26">
        <f t="shared" ca="1" si="0"/>
        <v>0.98884952142859739</v>
      </c>
      <c r="D49" s="29">
        <f t="shared" ca="1" si="19"/>
        <v>121</v>
      </c>
      <c r="F49" s="22">
        <v>44594</v>
      </c>
      <c r="G49" s="26">
        <f t="shared" ca="1" si="1"/>
        <v>0.45847033102653256</v>
      </c>
      <c r="H49" s="29">
        <v>0</v>
      </c>
      <c r="J49" s="22">
        <v>44594</v>
      </c>
      <c r="K49" s="26">
        <f t="shared" ca="1" si="2"/>
        <v>0.41394933073934004</v>
      </c>
      <c r="L49" s="29">
        <v>0</v>
      </c>
      <c r="N49" s="22">
        <v>44594</v>
      </c>
      <c r="O49" s="26">
        <f t="shared" ca="1" si="3"/>
        <v>0.89161051025597282</v>
      </c>
      <c r="P49" s="29">
        <v>0</v>
      </c>
      <c r="R49" s="22">
        <v>44594</v>
      </c>
      <c r="S49" s="26">
        <f t="shared" ca="1" si="4"/>
        <v>0.72351415401185648</v>
      </c>
      <c r="T49" s="29">
        <v>0</v>
      </c>
      <c r="V49" s="22">
        <v>44594</v>
      </c>
      <c r="W49" s="26">
        <f t="shared" ca="1" si="5"/>
        <v>0.15930506049901239</v>
      </c>
      <c r="X49" s="29">
        <v>0</v>
      </c>
      <c r="Z49" s="22">
        <v>44594</v>
      </c>
      <c r="AA49" s="26">
        <f t="shared" ca="1" si="6"/>
        <v>0.11787775105354392</v>
      </c>
      <c r="AB49" s="29">
        <v>0</v>
      </c>
      <c r="AC49"/>
      <c r="AD49" s="25"/>
      <c r="AF49" s="22">
        <v>44594</v>
      </c>
      <c r="AG49" s="26">
        <f t="shared" ca="1" si="7"/>
        <v>0.27567449608088046</v>
      </c>
      <c r="AH49" s="29">
        <v>0</v>
      </c>
      <c r="AJ49" s="22">
        <v>44594</v>
      </c>
      <c r="AK49" s="26">
        <f t="shared" ca="1" si="8"/>
        <v>0.91281413993388305</v>
      </c>
      <c r="AL49" s="29">
        <v>0</v>
      </c>
      <c r="AN49" s="22">
        <v>44594</v>
      </c>
      <c r="AO49" s="26">
        <f t="shared" ca="1" si="9"/>
        <v>0.46154285327120248</v>
      </c>
      <c r="AP49" s="29">
        <v>0</v>
      </c>
      <c r="AR49" s="22">
        <v>44594</v>
      </c>
      <c r="AS49" s="26">
        <f t="shared" ca="1" si="10"/>
        <v>0.81077053481167327</v>
      </c>
      <c r="AT49" s="29">
        <v>0</v>
      </c>
      <c r="AV49" s="22">
        <v>44594</v>
      </c>
      <c r="AW49" s="26">
        <f t="shared" ca="1" si="11"/>
        <v>0.4248432542997761</v>
      </c>
      <c r="AX49" s="29">
        <v>0</v>
      </c>
      <c r="AZ49" s="22">
        <v>44594</v>
      </c>
      <c r="BA49" s="26">
        <f t="shared" ca="1" si="12"/>
        <v>0.38794354793963826</v>
      </c>
      <c r="BB49" s="29">
        <v>0</v>
      </c>
      <c r="BC49"/>
      <c r="BD49" s="25"/>
      <c r="BF49" s="22">
        <v>44594</v>
      </c>
      <c r="BG49" s="26">
        <f t="shared" ca="1" si="13"/>
        <v>0.4262413145915237</v>
      </c>
      <c r="BH49" s="29">
        <v>0</v>
      </c>
      <c r="BJ49" s="22">
        <v>44594</v>
      </c>
      <c r="BK49" s="26">
        <f t="shared" ca="1" si="14"/>
        <v>0.80337036871124023</v>
      </c>
      <c r="BL49" s="29">
        <v>0</v>
      </c>
      <c r="BN49" s="22">
        <v>44594</v>
      </c>
      <c r="BO49" s="26">
        <f t="shared" ca="1" si="15"/>
        <v>0.2615277914502202</v>
      </c>
      <c r="BP49" s="29">
        <v>0</v>
      </c>
      <c r="BR49" s="22">
        <v>44594</v>
      </c>
      <c r="BS49" s="26">
        <f t="shared" ca="1" si="16"/>
        <v>0.43054507702546008</v>
      </c>
      <c r="BT49" s="29">
        <v>0</v>
      </c>
      <c r="BV49" s="22">
        <v>44594</v>
      </c>
      <c r="BW49" s="26">
        <f t="shared" ca="1" si="17"/>
        <v>6.4358597842985699E-2</v>
      </c>
      <c r="BX49" s="29">
        <v>0</v>
      </c>
      <c r="CA49" s="12">
        <f t="shared" si="21"/>
        <v>45536</v>
      </c>
      <c r="CB49" s="8">
        <v>53870</v>
      </c>
    </row>
    <row r="50" spans="2:80" ht="12.75" x14ac:dyDescent="0.2">
      <c r="B50" s="22">
        <v>44595</v>
      </c>
      <c r="C50" s="26">
        <f t="shared" ca="1" si="0"/>
        <v>0.56495087288027079</v>
      </c>
      <c r="D50" s="29">
        <f t="shared" ca="1" si="19"/>
        <v>79</v>
      </c>
      <c r="F50" s="22">
        <v>44595</v>
      </c>
      <c r="G50" s="26">
        <f t="shared" ca="1" si="1"/>
        <v>0.94294663927934363</v>
      </c>
      <c r="H50" s="29">
        <v>0</v>
      </c>
      <c r="J50" s="22">
        <v>44595</v>
      </c>
      <c r="K50" s="26">
        <f t="shared" ca="1" si="2"/>
        <v>0.61921532010179936</v>
      </c>
      <c r="L50" s="29">
        <v>0</v>
      </c>
      <c r="N50" s="22">
        <v>44595</v>
      </c>
      <c r="O50" s="26">
        <f t="shared" ca="1" si="3"/>
        <v>0.54158107398070876</v>
      </c>
      <c r="P50" s="29">
        <v>0</v>
      </c>
      <c r="R50" s="22">
        <v>44595</v>
      </c>
      <c r="S50" s="26">
        <f t="shared" ca="1" si="4"/>
        <v>0.98390257354065946</v>
      </c>
      <c r="T50" s="29">
        <v>0</v>
      </c>
      <c r="V50" s="22">
        <v>44595</v>
      </c>
      <c r="W50" s="26">
        <f t="shared" ca="1" si="5"/>
        <v>0.30955648654106283</v>
      </c>
      <c r="X50" s="29">
        <v>0</v>
      </c>
      <c r="Z50" s="22">
        <v>44595</v>
      </c>
      <c r="AA50" s="26">
        <f t="shared" ca="1" si="6"/>
        <v>0.74663897957797298</v>
      </c>
      <c r="AB50" s="29">
        <v>0</v>
      </c>
      <c r="AC50"/>
      <c r="AD50" s="25"/>
      <c r="AF50" s="22">
        <v>44595</v>
      </c>
      <c r="AG50" s="26">
        <f t="shared" ca="1" si="7"/>
        <v>0.8135827940645789</v>
      </c>
      <c r="AH50" s="29">
        <v>0</v>
      </c>
      <c r="AJ50" s="22">
        <v>44595</v>
      </c>
      <c r="AK50" s="26">
        <f t="shared" ca="1" si="8"/>
        <v>0.64195799645026619</v>
      </c>
      <c r="AL50" s="29">
        <v>0</v>
      </c>
      <c r="AN50" s="22">
        <v>44595</v>
      </c>
      <c r="AO50" s="26">
        <f t="shared" ca="1" si="9"/>
        <v>0.55844407029239929</v>
      </c>
      <c r="AP50" s="29">
        <v>0</v>
      </c>
      <c r="AR50" s="22">
        <v>44595</v>
      </c>
      <c r="AS50" s="26">
        <f t="shared" ca="1" si="10"/>
        <v>0.36014906539037062</v>
      </c>
      <c r="AT50" s="29">
        <v>0</v>
      </c>
      <c r="AV50" s="22">
        <v>44595</v>
      </c>
      <c r="AW50" s="26">
        <f t="shared" ca="1" si="11"/>
        <v>0.49729399078115832</v>
      </c>
      <c r="AX50" s="29">
        <v>0</v>
      </c>
      <c r="AZ50" s="22">
        <v>44595</v>
      </c>
      <c r="BA50" s="26">
        <f t="shared" ca="1" si="12"/>
        <v>0.70603082266912487</v>
      </c>
      <c r="BB50" s="29">
        <v>0</v>
      </c>
      <c r="BC50"/>
      <c r="BD50" s="25"/>
      <c r="BF50" s="22">
        <v>44595</v>
      </c>
      <c r="BG50" s="26">
        <f t="shared" ca="1" si="13"/>
        <v>0.5122300492720171</v>
      </c>
      <c r="BH50" s="29">
        <v>0</v>
      </c>
      <c r="BJ50" s="22">
        <v>44595</v>
      </c>
      <c r="BK50" s="26">
        <f t="shared" ca="1" si="14"/>
        <v>0.44142659187990874</v>
      </c>
      <c r="BL50" s="29">
        <v>0</v>
      </c>
      <c r="BN50" s="22">
        <v>44595</v>
      </c>
      <c r="BO50" s="26">
        <f t="shared" ca="1" si="15"/>
        <v>0.46060048314748459</v>
      </c>
      <c r="BP50" s="29">
        <v>0</v>
      </c>
      <c r="BR50" s="22">
        <v>44595</v>
      </c>
      <c r="BS50" s="26">
        <f t="shared" ca="1" si="16"/>
        <v>0.32442538857319692</v>
      </c>
      <c r="BT50" s="29">
        <v>0</v>
      </c>
      <c r="BV50" s="22">
        <v>44595</v>
      </c>
      <c r="BW50" s="26">
        <f t="shared" ca="1" si="17"/>
        <v>4.3140640910502737E-2</v>
      </c>
      <c r="BX50" s="29">
        <v>0</v>
      </c>
      <c r="CA50" s="12">
        <f t="shared" si="21"/>
        <v>45566</v>
      </c>
      <c r="CB50" s="8">
        <v>39048</v>
      </c>
    </row>
    <row r="51" spans="2:80" ht="12.75" x14ac:dyDescent="0.2">
      <c r="B51" s="22">
        <v>44596</v>
      </c>
      <c r="C51" s="26">
        <f t="shared" ca="1" si="0"/>
        <v>0.55852874190457447</v>
      </c>
      <c r="D51" s="29">
        <f t="shared" ca="1" si="19"/>
        <v>78</v>
      </c>
      <c r="F51" s="22">
        <v>44596</v>
      </c>
      <c r="G51" s="26">
        <f t="shared" ca="1" si="1"/>
        <v>0.17186343298216156</v>
      </c>
      <c r="H51" s="29">
        <v>0</v>
      </c>
      <c r="J51" s="22">
        <v>44596</v>
      </c>
      <c r="K51" s="26">
        <f t="shared" ca="1" si="2"/>
        <v>0.21146251922557224</v>
      </c>
      <c r="L51" s="29">
        <v>0</v>
      </c>
      <c r="N51" s="22">
        <v>44596</v>
      </c>
      <c r="O51" s="26">
        <f t="shared" ca="1" si="3"/>
        <v>7.0823437484165086E-2</v>
      </c>
      <c r="P51" s="29">
        <v>0</v>
      </c>
      <c r="R51" s="22">
        <v>44596</v>
      </c>
      <c r="S51" s="26">
        <f t="shared" ca="1" si="4"/>
        <v>0.30269518851472044</v>
      </c>
      <c r="T51" s="29">
        <v>0</v>
      </c>
      <c r="V51" s="22">
        <v>44596</v>
      </c>
      <c r="W51" s="26">
        <f t="shared" ca="1" si="5"/>
        <v>0.60897599285760917</v>
      </c>
      <c r="X51" s="29">
        <v>0</v>
      </c>
      <c r="Z51" s="22">
        <v>44596</v>
      </c>
      <c r="AA51" s="26">
        <f t="shared" ca="1" si="6"/>
        <v>0.51883411831861281</v>
      </c>
      <c r="AB51" s="29">
        <v>0</v>
      </c>
      <c r="AC51"/>
      <c r="AD51" s="25"/>
      <c r="AF51" s="22">
        <v>44596</v>
      </c>
      <c r="AG51" s="26">
        <f t="shared" ca="1" si="7"/>
        <v>0.71632546445815315</v>
      </c>
      <c r="AH51" s="29">
        <v>0</v>
      </c>
      <c r="AJ51" s="22">
        <v>44596</v>
      </c>
      <c r="AK51" s="26">
        <f t="shared" ca="1" si="8"/>
        <v>0.20655936253947171</v>
      </c>
      <c r="AL51" s="29">
        <v>0</v>
      </c>
      <c r="AN51" s="22">
        <v>44596</v>
      </c>
      <c r="AO51" s="26">
        <f t="shared" ca="1" si="9"/>
        <v>0.4030151128142383</v>
      </c>
      <c r="AP51" s="29">
        <v>0</v>
      </c>
      <c r="AR51" s="22">
        <v>44596</v>
      </c>
      <c r="AS51" s="26">
        <f t="shared" ca="1" si="10"/>
        <v>0.49019311241916486</v>
      </c>
      <c r="AT51" s="29">
        <v>0</v>
      </c>
      <c r="AV51" s="22">
        <v>44596</v>
      </c>
      <c r="AW51" s="26">
        <f t="shared" ca="1" si="11"/>
        <v>5.4956116663467225E-2</v>
      </c>
      <c r="AX51" s="29">
        <v>0</v>
      </c>
      <c r="AZ51" s="22">
        <v>44596</v>
      </c>
      <c r="BA51" s="26">
        <f t="shared" ca="1" si="12"/>
        <v>0.37376364872793388</v>
      </c>
      <c r="BB51" s="29">
        <v>0</v>
      </c>
      <c r="BC51"/>
      <c r="BD51" s="25"/>
      <c r="BF51" s="22">
        <v>44596</v>
      </c>
      <c r="BG51" s="26">
        <f t="shared" ca="1" si="13"/>
        <v>0.79908254351948982</v>
      </c>
      <c r="BH51" s="29">
        <v>0</v>
      </c>
      <c r="BJ51" s="22">
        <v>44596</v>
      </c>
      <c r="BK51" s="26">
        <f t="shared" ca="1" si="14"/>
        <v>0.58157359580217671</v>
      </c>
      <c r="BL51" s="29">
        <v>0</v>
      </c>
      <c r="BN51" s="22">
        <v>44596</v>
      </c>
      <c r="BO51" s="26">
        <f t="shared" ca="1" si="15"/>
        <v>0.77384092926943882</v>
      </c>
      <c r="BP51" s="29">
        <v>0</v>
      </c>
      <c r="BR51" s="22">
        <v>44596</v>
      </c>
      <c r="BS51" s="26">
        <f t="shared" ca="1" si="16"/>
        <v>0.88210889829991312</v>
      </c>
      <c r="BT51" s="29">
        <v>0</v>
      </c>
      <c r="BV51" s="22">
        <v>44596</v>
      </c>
      <c r="BW51" s="26">
        <f t="shared" ca="1" si="17"/>
        <v>0.2602253307855763</v>
      </c>
      <c r="BX51" s="29">
        <v>0</v>
      </c>
      <c r="CA51" s="12">
        <f t="shared" si="21"/>
        <v>45597</v>
      </c>
      <c r="CB51" s="8">
        <v>53421</v>
      </c>
    </row>
    <row r="52" spans="2:80" ht="12.75" x14ac:dyDescent="0.2">
      <c r="B52" s="22">
        <v>44597</v>
      </c>
      <c r="C52" s="26">
        <f t="shared" ca="1" si="0"/>
        <v>0.9874963262118267</v>
      </c>
      <c r="D52" s="29">
        <f t="shared" ca="1" si="19"/>
        <v>120</v>
      </c>
      <c r="F52" s="22">
        <v>44597</v>
      </c>
      <c r="G52" s="26">
        <f t="shared" ca="1" si="1"/>
        <v>0.59240701747224001</v>
      </c>
      <c r="H52" s="29">
        <v>0</v>
      </c>
      <c r="J52" s="22">
        <v>44597</v>
      </c>
      <c r="K52" s="26">
        <f t="shared" ca="1" si="2"/>
        <v>0.59244878408261659</v>
      </c>
      <c r="L52" s="29">
        <v>0</v>
      </c>
      <c r="N52" s="22">
        <v>44597</v>
      </c>
      <c r="O52" s="26">
        <f t="shared" ca="1" si="3"/>
        <v>0.35692839708677315</v>
      </c>
      <c r="P52" s="29">
        <v>0</v>
      </c>
      <c r="R52" s="22">
        <v>44597</v>
      </c>
      <c r="S52" s="26">
        <f t="shared" ca="1" si="4"/>
        <v>0.6187480182226619</v>
      </c>
      <c r="T52" s="29">
        <v>0</v>
      </c>
      <c r="V52" s="22">
        <v>44597</v>
      </c>
      <c r="W52" s="26">
        <f t="shared" ca="1" si="5"/>
        <v>6.9251043250835753E-2</v>
      </c>
      <c r="X52" s="29">
        <v>0</v>
      </c>
      <c r="Z52" s="22">
        <v>44597</v>
      </c>
      <c r="AA52" s="26">
        <f t="shared" ca="1" si="6"/>
        <v>0.42553047462817717</v>
      </c>
      <c r="AB52" s="29">
        <v>0</v>
      </c>
      <c r="AC52"/>
      <c r="AD52" s="25"/>
      <c r="AF52" s="22">
        <v>44597</v>
      </c>
      <c r="AG52" s="26">
        <f t="shared" ca="1" si="7"/>
        <v>0.65122702755276229</v>
      </c>
      <c r="AH52" s="29">
        <v>0</v>
      </c>
      <c r="AJ52" s="22">
        <v>44597</v>
      </c>
      <c r="AK52" s="26">
        <f t="shared" ca="1" si="8"/>
        <v>0.84939211369737511</v>
      </c>
      <c r="AL52" s="29">
        <v>0</v>
      </c>
      <c r="AN52" s="22">
        <v>44597</v>
      </c>
      <c r="AO52" s="26">
        <f t="shared" ca="1" si="9"/>
        <v>5.4354395076966155E-2</v>
      </c>
      <c r="AP52" s="29">
        <v>0</v>
      </c>
      <c r="AR52" s="22">
        <v>44597</v>
      </c>
      <c r="AS52" s="26">
        <f t="shared" ca="1" si="10"/>
        <v>0.51978970430203719</v>
      </c>
      <c r="AT52" s="29">
        <v>0</v>
      </c>
      <c r="AV52" s="22">
        <v>44597</v>
      </c>
      <c r="AW52" s="26">
        <f t="shared" ca="1" si="11"/>
        <v>0.18834435266267546</v>
      </c>
      <c r="AX52" s="29">
        <v>0</v>
      </c>
      <c r="AZ52" s="22">
        <v>44597</v>
      </c>
      <c r="BA52" s="26">
        <f t="shared" ca="1" si="12"/>
        <v>0.57206605154849866</v>
      </c>
      <c r="BB52" s="29">
        <v>0</v>
      </c>
      <c r="BC52"/>
      <c r="BD52" s="25"/>
      <c r="BF52" s="22">
        <v>44597</v>
      </c>
      <c r="BG52" s="26">
        <f t="shared" ca="1" si="13"/>
        <v>0.70230819953840029</v>
      </c>
      <c r="BH52" s="29">
        <v>0</v>
      </c>
      <c r="BJ52" s="22">
        <v>44597</v>
      </c>
      <c r="BK52" s="26">
        <f t="shared" ca="1" si="14"/>
        <v>0.66319107609928907</v>
      </c>
      <c r="BL52" s="29">
        <v>0</v>
      </c>
      <c r="BN52" s="22">
        <v>44597</v>
      </c>
      <c r="BO52" s="26">
        <f t="shared" ca="1" si="15"/>
        <v>0.5411348499742189</v>
      </c>
      <c r="BP52" s="29">
        <v>0</v>
      </c>
      <c r="BR52" s="22">
        <v>44597</v>
      </c>
      <c r="BS52" s="26">
        <f t="shared" ca="1" si="16"/>
        <v>0.50902541527495559</v>
      </c>
      <c r="BT52" s="29">
        <v>0</v>
      </c>
      <c r="BV52" s="22">
        <v>44597</v>
      </c>
      <c r="BW52" s="26">
        <f t="shared" ca="1" si="17"/>
        <v>0.54791230803309354</v>
      </c>
      <c r="BX52" s="29">
        <v>0</v>
      </c>
      <c r="CA52" s="12">
        <f t="shared" si="21"/>
        <v>45627</v>
      </c>
      <c r="CB52" s="8">
        <v>29645</v>
      </c>
    </row>
    <row r="53" spans="2:80" ht="12.75" x14ac:dyDescent="0.2">
      <c r="B53" s="22">
        <v>44598</v>
      </c>
      <c r="C53" s="26">
        <f t="shared" ca="1" si="0"/>
        <v>0.12037415262939888</v>
      </c>
      <c r="D53" s="29">
        <v>0</v>
      </c>
      <c r="F53" s="22">
        <v>44598</v>
      </c>
      <c r="G53" s="26">
        <f t="shared" ca="1" si="1"/>
        <v>0.55019779664147539</v>
      </c>
      <c r="H53" s="29">
        <v>0</v>
      </c>
      <c r="J53" s="22">
        <v>44598</v>
      </c>
      <c r="K53" s="26">
        <f t="shared" ca="1" si="2"/>
        <v>0.56625252504750712</v>
      </c>
      <c r="L53" s="29">
        <v>0</v>
      </c>
      <c r="N53" s="22">
        <v>44598</v>
      </c>
      <c r="O53" s="26">
        <f t="shared" ca="1" si="3"/>
        <v>0.70336593665455815</v>
      </c>
      <c r="P53" s="29">
        <v>0</v>
      </c>
      <c r="R53" s="22">
        <v>44598</v>
      </c>
      <c r="S53" s="26">
        <f t="shared" ca="1" si="4"/>
        <v>0.24744405290645699</v>
      </c>
      <c r="T53" s="29">
        <v>0</v>
      </c>
      <c r="V53" s="22">
        <v>44598</v>
      </c>
      <c r="W53" s="26">
        <f t="shared" ca="1" si="5"/>
        <v>0.26927609231177552</v>
      </c>
      <c r="X53" s="29">
        <v>0</v>
      </c>
      <c r="Z53" s="22">
        <v>44598</v>
      </c>
      <c r="AA53" s="26">
        <f t="shared" ca="1" si="6"/>
        <v>0.92505424857581076</v>
      </c>
      <c r="AB53" s="29">
        <v>0</v>
      </c>
      <c r="AC53"/>
      <c r="AD53" s="25"/>
      <c r="AF53" s="22">
        <v>44598</v>
      </c>
      <c r="AG53" s="26">
        <f t="shared" ca="1" si="7"/>
        <v>0.51219353887244956</v>
      </c>
      <c r="AH53" s="29">
        <v>0</v>
      </c>
      <c r="AJ53" s="22">
        <v>44598</v>
      </c>
      <c r="AK53" s="26">
        <f t="shared" ca="1" si="8"/>
        <v>0.323586043277452</v>
      </c>
      <c r="AL53" s="29">
        <v>0</v>
      </c>
      <c r="AN53" s="22">
        <v>44598</v>
      </c>
      <c r="AO53" s="26">
        <f t="shared" ca="1" si="9"/>
        <v>0.92128332052524975</v>
      </c>
      <c r="AP53" s="29">
        <v>0</v>
      </c>
      <c r="AR53" s="22">
        <v>44598</v>
      </c>
      <c r="AS53" s="26">
        <f t="shared" ca="1" si="10"/>
        <v>0.36610379301012774</v>
      </c>
      <c r="AT53" s="29">
        <v>0</v>
      </c>
      <c r="AV53" s="22">
        <v>44598</v>
      </c>
      <c r="AW53" s="26">
        <f t="shared" ca="1" si="11"/>
        <v>0.965171805052222</v>
      </c>
      <c r="AX53" s="29">
        <v>0</v>
      </c>
      <c r="AZ53" s="22">
        <v>44598</v>
      </c>
      <c r="BA53" s="26">
        <f t="shared" ca="1" si="12"/>
        <v>0.93485091041886548</v>
      </c>
      <c r="BB53" s="29">
        <v>0</v>
      </c>
      <c r="BC53"/>
      <c r="BD53" s="25"/>
      <c r="BF53" s="22">
        <v>44598</v>
      </c>
      <c r="BG53" s="26">
        <f t="shared" ca="1" si="13"/>
        <v>0.24660592190598796</v>
      </c>
      <c r="BH53" s="29">
        <v>0</v>
      </c>
      <c r="BJ53" s="22">
        <v>44598</v>
      </c>
      <c r="BK53" s="26">
        <f t="shared" ca="1" si="14"/>
        <v>4.241531664590914E-2</v>
      </c>
      <c r="BL53" s="29">
        <v>0</v>
      </c>
      <c r="BN53" s="22">
        <v>44598</v>
      </c>
      <c r="BO53" s="26">
        <f t="shared" ca="1" si="15"/>
        <v>0.79500092387300392</v>
      </c>
      <c r="BP53" s="29">
        <v>0</v>
      </c>
      <c r="BR53" s="22">
        <v>44598</v>
      </c>
      <c r="BS53" s="26">
        <f t="shared" ca="1" si="16"/>
        <v>0.33246179637454532</v>
      </c>
      <c r="BT53" s="29">
        <v>0</v>
      </c>
      <c r="BV53" s="22">
        <v>44598</v>
      </c>
      <c r="BW53" s="26">
        <f t="shared" ca="1" si="17"/>
        <v>0.1538585815362703</v>
      </c>
      <c r="BX53" s="29">
        <v>0</v>
      </c>
      <c r="CA53" s="12"/>
      <c r="CB53" s="8"/>
    </row>
    <row r="54" spans="2:80" ht="12.75" x14ac:dyDescent="0.2">
      <c r="B54" s="22">
        <v>44599</v>
      </c>
      <c r="C54" s="26">
        <f t="shared" ca="1" si="0"/>
        <v>2.8028898942265568E-2</v>
      </c>
      <c r="D54" s="29">
        <v>0</v>
      </c>
      <c r="F54" s="22">
        <v>44599</v>
      </c>
      <c r="G54" s="26">
        <f t="shared" ca="1" si="1"/>
        <v>0.20807467645756339</v>
      </c>
      <c r="H54" s="29">
        <v>0</v>
      </c>
      <c r="J54" s="22">
        <v>44599</v>
      </c>
      <c r="K54" s="26">
        <f t="shared" ca="1" si="2"/>
        <v>0.54317402500452172</v>
      </c>
      <c r="L54" s="29">
        <v>0</v>
      </c>
      <c r="N54" s="22">
        <v>44599</v>
      </c>
      <c r="O54" s="26">
        <f t="shared" ca="1" si="3"/>
        <v>0.99160732614008318</v>
      </c>
      <c r="P54" s="29">
        <v>0</v>
      </c>
      <c r="R54" s="22">
        <v>44599</v>
      </c>
      <c r="S54" s="26">
        <f t="shared" ca="1" si="4"/>
        <v>0.68056896123791288</v>
      </c>
      <c r="T54" s="29">
        <v>0</v>
      </c>
      <c r="V54" s="22">
        <v>44599</v>
      </c>
      <c r="W54" s="26">
        <f t="shared" ca="1" si="5"/>
        <v>0.31966904650359285</v>
      </c>
      <c r="X54" s="29">
        <v>0</v>
      </c>
      <c r="Z54" s="22">
        <v>44599</v>
      </c>
      <c r="AA54" s="26">
        <f t="shared" ca="1" si="6"/>
        <v>0.68450174687039012</v>
      </c>
      <c r="AB54" s="29">
        <v>0</v>
      </c>
      <c r="AC54"/>
      <c r="AD54" s="25"/>
      <c r="AF54" s="22">
        <v>44599</v>
      </c>
      <c r="AG54" s="26">
        <f t="shared" ca="1" si="7"/>
        <v>0.73658875967818616</v>
      </c>
      <c r="AH54" s="29">
        <v>0</v>
      </c>
      <c r="AJ54" s="22">
        <v>44599</v>
      </c>
      <c r="AK54" s="26">
        <f t="shared" ca="1" si="8"/>
        <v>0.43973631413025183</v>
      </c>
      <c r="AL54" s="29">
        <v>0</v>
      </c>
      <c r="AN54" s="22">
        <v>44599</v>
      </c>
      <c r="AO54" s="26">
        <f t="shared" ca="1" si="9"/>
        <v>0.12512081513724349</v>
      </c>
      <c r="AP54" s="29">
        <v>0</v>
      </c>
      <c r="AR54" s="22">
        <v>44599</v>
      </c>
      <c r="AS54" s="26">
        <f t="shared" ca="1" si="10"/>
        <v>5.2161833745909991E-2</v>
      </c>
      <c r="AT54" s="29">
        <v>0</v>
      </c>
      <c r="AV54" s="22">
        <v>44599</v>
      </c>
      <c r="AW54" s="26">
        <f t="shared" ca="1" si="11"/>
        <v>0.95074093787505276</v>
      </c>
      <c r="AX54" s="29">
        <v>0</v>
      </c>
      <c r="AZ54" s="22">
        <v>44599</v>
      </c>
      <c r="BA54" s="26">
        <f t="shared" ca="1" si="12"/>
        <v>0.35229567601806033</v>
      </c>
      <c r="BB54" s="29">
        <v>0</v>
      </c>
      <c r="BC54"/>
      <c r="BD54" s="25"/>
      <c r="BF54" s="22">
        <v>44599</v>
      </c>
      <c r="BG54" s="26">
        <f t="shared" ca="1" si="13"/>
        <v>0.12857349957978781</v>
      </c>
      <c r="BH54" s="29">
        <v>0</v>
      </c>
      <c r="BJ54" s="22">
        <v>44599</v>
      </c>
      <c r="BK54" s="26">
        <f t="shared" ca="1" si="14"/>
        <v>0.88751500871499156</v>
      </c>
      <c r="BL54" s="29">
        <v>0</v>
      </c>
      <c r="BN54" s="22">
        <v>44599</v>
      </c>
      <c r="BO54" s="26">
        <f t="shared" ca="1" si="15"/>
        <v>0.98443628504141023</v>
      </c>
      <c r="BP54" s="29">
        <v>0</v>
      </c>
      <c r="BR54" s="22">
        <v>44599</v>
      </c>
      <c r="BS54" s="26">
        <f t="shared" ca="1" si="16"/>
        <v>0.79041843479457075</v>
      </c>
      <c r="BT54" s="29">
        <v>0</v>
      </c>
      <c r="BV54" s="22">
        <v>44599</v>
      </c>
      <c r="BW54" s="26">
        <f t="shared" ca="1" si="17"/>
        <v>6.1061055958376076E-2</v>
      </c>
      <c r="BX54" s="29">
        <v>0</v>
      </c>
      <c r="CA54" s="35"/>
      <c r="CB54" s="35"/>
    </row>
    <row r="55" spans="2:80" ht="12.75" x14ac:dyDescent="0.2">
      <c r="B55" s="22">
        <v>44600</v>
      </c>
      <c r="C55" s="26">
        <f t="shared" ca="1" si="0"/>
        <v>0.25126840526645844</v>
      </c>
      <c r="D55" s="29">
        <v>0</v>
      </c>
      <c r="F55" s="22">
        <v>44600</v>
      </c>
      <c r="G55" s="26">
        <f t="shared" ca="1" si="1"/>
        <v>0.84827586641763497</v>
      </c>
      <c r="H55" s="29">
        <v>0</v>
      </c>
      <c r="J55" s="22">
        <v>44600</v>
      </c>
      <c r="K55" s="26">
        <f t="shared" ca="1" si="2"/>
        <v>0.54756735196398176</v>
      </c>
      <c r="L55" s="29">
        <v>0</v>
      </c>
      <c r="N55" s="22">
        <v>44600</v>
      </c>
      <c r="O55" s="26">
        <f t="shared" ca="1" si="3"/>
        <v>0.18025929251912809</v>
      </c>
      <c r="P55" s="29">
        <v>0</v>
      </c>
      <c r="R55" s="22">
        <v>44600</v>
      </c>
      <c r="S55" s="26">
        <f t="shared" ca="1" si="4"/>
        <v>0.52502077957966886</v>
      </c>
      <c r="T55" s="29">
        <v>0</v>
      </c>
      <c r="V55" s="22">
        <v>44600</v>
      </c>
      <c r="W55" s="26">
        <f t="shared" ca="1" si="5"/>
        <v>0.18044362535851866</v>
      </c>
      <c r="X55" s="29">
        <v>0</v>
      </c>
      <c r="Z55" s="22">
        <v>44600</v>
      </c>
      <c r="AA55" s="26">
        <f t="shared" ca="1" si="6"/>
        <v>0.87401088887477274</v>
      </c>
      <c r="AB55" s="29">
        <v>0</v>
      </c>
      <c r="AC55"/>
      <c r="AD55" s="25"/>
      <c r="AF55" s="22">
        <v>44600</v>
      </c>
      <c r="AG55" s="26">
        <f t="shared" ca="1" si="7"/>
        <v>0.90590358675597993</v>
      </c>
      <c r="AH55" s="29">
        <v>0</v>
      </c>
      <c r="AJ55" s="22">
        <v>44600</v>
      </c>
      <c r="AK55" s="26">
        <f t="shared" ca="1" si="8"/>
        <v>0.50993275665968041</v>
      </c>
      <c r="AL55" s="29">
        <v>0</v>
      </c>
      <c r="AN55" s="22">
        <v>44600</v>
      </c>
      <c r="AO55" s="26">
        <f t="shared" ca="1" si="9"/>
        <v>0.32600750397279477</v>
      </c>
      <c r="AP55" s="29">
        <v>0</v>
      </c>
      <c r="AR55" s="22">
        <v>44600</v>
      </c>
      <c r="AS55" s="26">
        <f t="shared" ca="1" si="10"/>
        <v>0.84517761647865919</v>
      </c>
      <c r="AT55" s="29">
        <v>0</v>
      </c>
      <c r="AV55" s="22">
        <v>44600</v>
      </c>
      <c r="AW55" s="26">
        <f t="shared" ca="1" si="11"/>
        <v>0.96268872802081695</v>
      </c>
      <c r="AX55" s="29">
        <v>0</v>
      </c>
      <c r="AZ55" s="22">
        <v>44600</v>
      </c>
      <c r="BA55" s="26">
        <f t="shared" ca="1" si="12"/>
        <v>0.81512749329378198</v>
      </c>
      <c r="BB55" s="29">
        <v>0</v>
      </c>
      <c r="BC55"/>
      <c r="BD55" s="25"/>
      <c r="BF55" s="22">
        <v>44600</v>
      </c>
      <c r="BG55" s="26">
        <f t="shared" ca="1" si="13"/>
        <v>0.64083548378255895</v>
      </c>
      <c r="BH55" s="29">
        <v>0</v>
      </c>
      <c r="BJ55" s="22">
        <v>44600</v>
      </c>
      <c r="BK55" s="26">
        <f t="shared" ca="1" si="14"/>
        <v>0.85025153804376086</v>
      </c>
      <c r="BL55" s="29">
        <v>0</v>
      </c>
      <c r="BN55" s="22">
        <v>44600</v>
      </c>
      <c r="BO55" s="26">
        <f t="shared" ca="1" si="15"/>
        <v>0.74576197590423277</v>
      </c>
      <c r="BP55" s="29">
        <v>0</v>
      </c>
      <c r="BR55" s="22">
        <v>44600</v>
      </c>
      <c r="BS55" s="26">
        <f t="shared" ca="1" si="16"/>
        <v>0.92202286445006509</v>
      </c>
      <c r="BT55" s="29">
        <v>0</v>
      </c>
      <c r="BV55" s="22">
        <v>44600</v>
      </c>
      <c r="BW55" s="26">
        <f t="shared" ca="1" si="17"/>
        <v>3.2488627285882421E-2</v>
      </c>
      <c r="BX55" s="29">
        <v>0</v>
      </c>
      <c r="CA55" s="35"/>
      <c r="CB55" s="35"/>
    </row>
    <row r="56" spans="2:80" ht="12.75" x14ac:dyDescent="0.2">
      <c r="B56" s="22">
        <v>44601</v>
      </c>
      <c r="C56" s="26">
        <f t="shared" ca="1" si="0"/>
        <v>0.97239454601545994</v>
      </c>
      <c r="D56" s="29">
        <v>0</v>
      </c>
      <c r="F56" s="22">
        <v>44601</v>
      </c>
      <c r="G56" s="26">
        <f t="shared" ca="1" si="1"/>
        <v>0.29676025543832663</v>
      </c>
      <c r="H56" s="29">
        <v>0</v>
      </c>
      <c r="J56" s="22">
        <v>44601</v>
      </c>
      <c r="K56" s="26">
        <f t="shared" ca="1" si="2"/>
        <v>0.21119436771156064</v>
      </c>
      <c r="L56" s="29">
        <v>0</v>
      </c>
      <c r="N56" s="22">
        <v>44601</v>
      </c>
      <c r="O56" s="26">
        <f t="shared" ca="1" si="3"/>
        <v>0.32913608399270589</v>
      </c>
      <c r="P56" s="29">
        <v>0</v>
      </c>
      <c r="R56" s="22">
        <v>44601</v>
      </c>
      <c r="S56" s="26">
        <f t="shared" ca="1" si="4"/>
        <v>0.1440940634238943</v>
      </c>
      <c r="T56" s="29">
        <v>0</v>
      </c>
      <c r="V56" s="22">
        <v>44601</v>
      </c>
      <c r="W56" s="26">
        <f t="shared" ca="1" si="5"/>
        <v>2.1826706206085289E-2</v>
      </c>
      <c r="X56" s="29">
        <v>0</v>
      </c>
      <c r="Z56" s="22">
        <v>44601</v>
      </c>
      <c r="AA56" s="26">
        <f t="shared" ca="1" si="6"/>
        <v>0.45308348195796933</v>
      </c>
      <c r="AB56" s="29">
        <v>0</v>
      </c>
      <c r="AC56"/>
      <c r="AD56" s="25"/>
      <c r="AF56" s="22">
        <v>44601</v>
      </c>
      <c r="AG56" s="26">
        <f t="shared" ca="1" si="7"/>
        <v>0.89198431452048121</v>
      </c>
      <c r="AH56" s="29">
        <v>0</v>
      </c>
      <c r="AJ56" s="22">
        <v>44601</v>
      </c>
      <c r="AK56" s="26">
        <f t="shared" ca="1" si="8"/>
        <v>0.81017569437170955</v>
      </c>
      <c r="AL56" s="29">
        <v>0</v>
      </c>
      <c r="AN56" s="22">
        <v>44601</v>
      </c>
      <c r="AO56" s="26">
        <f t="shared" ca="1" si="9"/>
        <v>0.29799778079218642</v>
      </c>
      <c r="AP56" s="29">
        <v>0</v>
      </c>
      <c r="AR56" s="22">
        <v>44601</v>
      </c>
      <c r="AS56" s="26">
        <f t="shared" ca="1" si="10"/>
        <v>0.97188555113289754</v>
      </c>
      <c r="AT56" s="29">
        <v>0</v>
      </c>
      <c r="AV56" s="22">
        <v>44601</v>
      </c>
      <c r="AW56" s="26">
        <f t="shared" ca="1" si="11"/>
        <v>0.81092195178715809</v>
      </c>
      <c r="AX56" s="29">
        <v>0</v>
      </c>
      <c r="AZ56" s="22">
        <v>44601</v>
      </c>
      <c r="BA56" s="26">
        <f t="shared" ca="1" si="12"/>
        <v>6.1004831497148415E-2</v>
      </c>
      <c r="BB56" s="29">
        <v>0</v>
      </c>
      <c r="BC56"/>
      <c r="BD56" s="25"/>
      <c r="BF56" s="22">
        <v>44601</v>
      </c>
      <c r="BG56" s="26">
        <f t="shared" ca="1" si="13"/>
        <v>0.31953700846992106</v>
      </c>
      <c r="BH56" s="29">
        <v>0</v>
      </c>
      <c r="BJ56" s="22">
        <v>44601</v>
      </c>
      <c r="BK56" s="26">
        <f t="shared" ca="1" si="14"/>
        <v>0.87180032345733283</v>
      </c>
      <c r="BL56" s="29">
        <v>0</v>
      </c>
      <c r="BN56" s="22">
        <v>44601</v>
      </c>
      <c r="BO56" s="26">
        <f t="shared" ca="1" si="15"/>
        <v>0.37898050921088289</v>
      </c>
      <c r="BP56" s="29">
        <v>0</v>
      </c>
      <c r="BR56" s="22">
        <v>44601</v>
      </c>
      <c r="BS56" s="26">
        <f t="shared" ca="1" si="16"/>
        <v>0.62195315500682713</v>
      </c>
      <c r="BT56" s="29">
        <v>0</v>
      </c>
      <c r="BV56" s="22">
        <v>44601</v>
      </c>
      <c r="BW56" s="26">
        <f t="shared" ca="1" si="17"/>
        <v>0.30104610007129262</v>
      </c>
      <c r="BX56" s="29">
        <v>0</v>
      </c>
      <c r="CA56" s="35"/>
      <c r="CB56" s="35"/>
    </row>
    <row r="57" spans="2:80" ht="12.75" x14ac:dyDescent="0.2">
      <c r="B57" s="22">
        <v>44602</v>
      </c>
      <c r="C57" s="26">
        <f t="shared" ca="1" si="0"/>
        <v>4.7996178226020425E-2</v>
      </c>
      <c r="D57" s="29">
        <v>0</v>
      </c>
      <c r="F57" s="22">
        <v>44602</v>
      </c>
      <c r="G57" s="26">
        <f t="shared" ca="1" si="1"/>
        <v>0.95603145048881033</v>
      </c>
      <c r="H57" s="29">
        <v>0</v>
      </c>
      <c r="J57" s="22">
        <v>44602</v>
      </c>
      <c r="K57" s="26">
        <f t="shared" ca="1" si="2"/>
        <v>0.9067358831126392</v>
      </c>
      <c r="L57" s="29">
        <v>0</v>
      </c>
      <c r="N57" s="22">
        <v>44602</v>
      </c>
      <c r="O57" s="26">
        <f t="shared" ca="1" si="3"/>
        <v>0.58751299927865597</v>
      </c>
      <c r="P57" s="29">
        <v>0</v>
      </c>
      <c r="R57" s="22">
        <v>44602</v>
      </c>
      <c r="S57" s="26">
        <f t="shared" ca="1" si="4"/>
        <v>0.20348857886994809</v>
      </c>
      <c r="T57" s="29">
        <v>0</v>
      </c>
      <c r="V57" s="22">
        <v>44602</v>
      </c>
      <c r="W57" s="26">
        <f t="shared" ca="1" si="5"/>
        <v>0.62531581887884202</v>
      </c>
      <c r="X57" s="29">
        <v>0</v>
      </c>
      <c r="Z57" s="22">
        <v>44602</v>
      </c>
      <c r="AA57" s="26">
        <f t="shared" ca="1" si="6"/>
        <v>0.4828448511714557</v>
      </c>
      <c r="AB57" s="29">
        <v>0</v>
      </c>
      <c r="AC57"/>
      <c r="AD57" s="25"/>
      <c r="AF57" s="22">
        <v>44602</v>
      </c>
      <c r="AG57" s="26">
        <f t="shared" ca="1" si="7"/>
        <v>0.79585316778090343</v>
      </c>
      <c r="AH57" s="29">
        <v>0</v>
      </c>
      <c r="AJ57" s="22">
        <v>44602</v>
      </c>
      <c r="AK57" s="26">
        <f t="shared" ca="1" si="8"/>
        <v>4.4875832121088144E-2</v>
      </c>
      <c r="AL57" s="29">
        <v>0</v>
      </c>
      <c r="AN57" s="22">
        <v>44602</v>
      </c>
      <c r="AO57" s="26">
        <f t="shared" ca="1" si="9"/>
        <v>0.74470832954049915</v>
      </c>
      <c r="AP57" s="29">
        <v>0</v>
      </c>
      <c r="AR57" s="22">
        <v>44602</v>
      </c>
      <c r="AS57" s="26">
        <f t="shared" ca="1" si="10"/>
        <v>0.84163188732760341</v>
      </c>
      <c r="AT57" s="29">
        <v>0</v>
      </c>
      <c r="AV57" s="22">
        <v>44602</v>
      </c>
      <c r="AW57" s="26">
        <f t="shared" ca="1" si="11"/>
        <v>0.96561347430516875</v>
      </c>
      <c r="AX57" s="29">
        <v>0</v>
      </c>
      <c r="AZ57" s="22">
        <v>44602</v>
      </c>
      <c r="BA57" s="26">
        <f t="shared" ca="1" si="12"/>
        <v>0.60602087705337759</v>
      </c>
      <c r="BB57" s="29">
        <v>0</v>
      </c>
      <c r="BC57"/>
      <c r="BD57" s="25"/>
      <c r="BF57" s="22">
        <v>44602</v>
      </c>
      <c r="BG57" s="26">
        <f t="shared" ca="1" si="13"/>
        <v>5.9893951515526345E-2</v>
      </c>
      <c r="BH57" s="29">
        <v>0</v>
      </c>
      <c r="BJ57" s="22">
        <v>44602</v>
      </c>
      <c r="BK57" s="26">
        <f t="shared" ca="1" si="14"/>
        <v>0.73923044076622058</v>
      </c>
      <c r="BL57" s="29">
        <v>0</v>
      </c>
      <c r="BN57" s="22">
        <v>44602</v>
      </c>
      <c r="BO57" s="26">
        <f t="shared" ca="1" si="15"/>
        <v>0.67256816339992542</v>
      </c>
      <c r="BP57" s="29">
        <v>0</v>
      </c>
      <c r="BR57" s="22">
        <v>44602</v>
      </c>
      <c r="BS57" s="26">
        <f t="shared" ca="1" si="16"/>
        <v>0.19659305688442263</v>
      </c>
      <c r="BT57" s="29">
        <v>0</v>
      </c>
      <c r="BV57" s="22">
        <v>44602</v>
      </c>
      <c r="BW57" s="26">
        <f t="shared" ca="1" si="17"/>
        <v>0.40580531489145655</v>
      </c>
      <c r="BX57" s="29">
        <v>0</v>
      </c>
      <c r="CA57" s="37"/>
    </row>
    <row r="58" spans="2:80" ht="12.75" x14ac:dyDescent="0.2">
      <c r="B58" s="22">
        <v>44603</v>
      </c>
      <c r="C58" s="26">
        <f t="shared" ca="1" si="0"/>
        <v>0.21442646911078378</v>
      </c>
      <c r="D58" s="29">
        <v>0</v>
      </c>
      <c r="F58" s="22">
        <v>44603</v>
      </c>
      <c r="G58" s="26">
        <f t="shared" ca="1" si="1"/>
        <v>0.72358591718156784</v>
      </c>
      <c r="H58" s="29">
        <v>0</v>
      </c>
      <c r="J58" s="22">
        <v>44603</v>
      </c>
      <c r="K58" s="26">
        <f t="shared" ca="1" si="2"/>
        <v>0.47443659495335688</v>
      </c>
      <c r="L58" s="29">
        <v>0</v>
      </c>
      <c r="N58" s="22">
        <v>44603</v>
      </c>
      <c r="O58" s="26">
        <f t="shared" ca="1" si="3"/>
        <v>0.64739020353890864</v>
      </c>
      <c r="P58" s="29">
        <v>0</v>
      </c>
      <c r="R58" s="22">
        <v>44603</v>
      </c>
      <c r="S58" s="26">
        <f t="shared" ca="1" si="4"/>
        <v>0.68998164872843204</v>
      </c>
      <c r="T58" s="29">
        <v>0</v>
      </c>
      <c r="V58" s="22">
        <v>44603</v>
      </c>
      <c r="W58" s="26">
        <f t="shared" ca="1" si="5"/>
        <v>0.43627510313858797</v>
      </c>
      <c r="X58" s="29">
        <v>0</v>
      </c>
      <c r="Z58" s="22">
        <v>44603</v>
      </c>
      <c r="AA58" s="26">
        <f t="shared" ca="1" si="6"/>
        <v>0.98213741608943028</v>
      </c>
      <c r="AB58" s="29">
        <v>0</v>
      </c>
      <c r="AC58"/>
      <c r="AD58" s="25"/>
      <c r="AF58" s="22">
        <v>44603</v>
      </c>
      <c r="AG58" s="26">
        <f t="shared" ca="1" si="7"/>
        <v>0.43004395033038989</v>
      </c>
      <c r="AH58" s="29">
        <v>0</v>
      </c>
      <c r="AJ58" s="22">
        <v>44603</v>
      </c>
      <c r="AK58" s="26">
        <f t="shared" ca="1" si="8"/>
        <v>0.83070281522911782</v>
      </c>
      <c r="AL58" s="29">
        <v>0</v>
      </c>
      <c r="AN58" s="22">
        <v>44603</v>
      </c>
      <c r="AO58" s="26">
        <f t="shared" ca="1" si="9"/>
        <v>0.84734811558519973</v>
      </c>
      <c r="AP58" s="29">
        <v>0</v>
      </c>
      <c r="AR58" s="22">
        <v>44603</v>
      </c>
      <c r="AS58" s="26">
        <f t="shared" ca="1" si="10"/>
        <v>0.87759732178060612</v>
      </c>
      <c r="AT58" s="29">
        <v>0</v>
      </c>
      <c r="AV58" s="22">
        <v>44603</v>
      </c>
      <c r="AW58" s="26">
        <f t="shared" ca="1" si="11"/>
        <v>0.97010208228868189</v>
      </c>
      <c r="AX58" s="29">
        <v>0</v>
      </c>
      <c r="AZ58" s="22">
        <v>44603</v>
      </c>
      <c r="BA58" s="26">
        <f t="shared" ca="1" si="12"/>
        <v>0.35443243573596617</v>
      </c>
      <c r="BB58" s="29">
        <v>0</v>
      </c>
      <c r="BC58"/>
      <c r="BD58" s="25"/>
      <c r="BF58" s="22">
        <v>44603</v>
      </c>
      <c r="BG58" s="26">
        <f t="shared" ca="1" si="13"/>
        <v>0.86448329380111211</v>
      </c>
      <c r="BH58" s="29">
        <v>0</v>
      </c>
      <c r="BJ58" s="22">
        <v>44603</v>
      </c>
      <c r="BK58" s="26">
        <f t="shared" ca="1" si="14"/>
        <v>0.34187229997847757</v>
      </c>
      <c r="BL58" s="29">
        <v>0</v>
      </c>
      <c r="BN58" s="22">
        <v>44603</v>
      </c>
      <c r="BO58" s="26">
        <f t="shared" ca="1" si="15"/>
        <v>0.79345033173169344</v>
      </c>
      <c r="BP58" s="29">
        <v>0</v>
      </c>
      <c r="BR58" s="22">
        <v>44603</v>
      </c>
      <c r="BS58" s="26">
        <f t="shared" ca="1" si="16"/>
        <v>0.85715345536356458</v>
      </c>
      <c r="BT58" s="29">
        <v>0</v>
      </c>
      <c r="BV58" s="22">
        <v>44603</v>
      </c>
      <c r="BW58" s="26">
        <f t="shared" ca="1" si="17"/>
        <v>0.44684159807187795</v>
      </c>
      <c r="BX58" s="29">
        <v>0</v>
      </c>
      <c r="CA58" s="37"/>
    </row>
    <row r="59" spans="2:80" ht="12.75" x14ac:dyDescent="0.2">
      <c r="B59" s="22">
        <v>44604</v>
      </c>
      <c r="C59" s="26">
        <f t="shared" ca="1" si="0"/>
        <v>0.42763840300895928</v>
      </c>
      <c r="D59" s="29">
        <v>0</v>
      </c>
      <c r="F59" s="22">
        <v>44604</v>
      </c>
      <c r="G59" s="26">
        <f t="shared" ca="1" si="1"/>
        <v>0.29571207197918914</v>
      </c>
      <c r="H59" s="29">
        <v>0</v>
      </c>
      <c r="J59" s="22">
        <v>44604</v>
      </c>
      <c r="K59" s="26">
        <f t="shared" ca="1" si="2"/>
        <v>0.86704762690238635</v>
      </c>
      <c r="L59" s="29">
        <v>0</v>
      </c>
      <c r="N59" s="22">
        <v>44604</v>
      </c>
      <c r="O59" s="26">
        <f t="shared" ca="1" si="3"/>
        <v>5.4606569008365469E-2</v>
      </c>
      <c r="P59" s="29">
        <v>0</v>
      </c>
      <c r="R59" s="22">
        <v>44604</v>
      </c>
      <c r="S59" s="26">
        <f t="shared" ca="1" si="4"/>
        <v>0.89195589169486766</v>
      </c>
      <c r="T59" s="29">
        <v>0</v>
      </c>
      <c r="V59" s="22">
        <v>44604</v>
      </c>
      <c r="W59" s="26">
        <f t="shared" ca="1" si="5"/>
        <v>0.26924837684700575</v>
      </c>
      <c r="X59" s="29">
        <v>0</v>
      </c>
      <c r="Z59" s="22">
        <v>44604</v>
      </c>
      <c r="AA59" s="26">
        <f t="shared" ca="1" si="6"/>
        <v>0.57554416681338505</v>
      </c>
      <c r="AB59" s="29">
        <v>0</v>
      </c>
      <c r="AC59"/>
      <c r="AD59" s="25"/>
      <c r="AF59" s="22">
        <v>44604</v>
      </c>
      <c r="AG59" s="26">
        <f t="shared" ca="1" si="7"/>
        <v>0.21915443662881029</v>
      </c>
      <c r="AH59" s="29">
        <v>0</v>
      </c>
      <c r="AJ59" s="22">
        <v>44604</v>
      </c>
      <c r="AK59" s="26">
        <f t="shared" ca="1" si="8"/>
        <v>0.36304434902017102</v>
      </c>
      <c r="AL59" s="29">
        <v>0</v>
      </c>
      <c r="AN59" s="22">
        <v>44604</v>
      </c>
      <c r="AO59" s="26">
        <f t="shared" ca="1" si="9"/>
        <v>0.38596047197558059</v>
      </c>
      <c r="AP59" s="29">
        <v>0</v>
      </c>
      <c r="AR59" s="22">
        <v>44604</v>
      </c>
      <c r="AS59" s="26">
        <f t="shared" ca="1" si="10"/>
        <v>0.83391792137927867</v>
      </c>
      <c r="AT59" s="29">
        <v>0</v>
      </c>
      <c r="AV59" s="22">
        <v>44604</v>
      </c>
      <c r="AW59" s="26">
        <f t="shared" ca="1" si="11"/>
        <v>0.92751066994440701</v>
      </c>
      <c r="AX59" s="29">
        <v>0</v>
      </c>
      <c r="AZ59" s="22">
        <v>44604</v>
      </c>
      <c r="BA59" s="26">
        <f t="shared" ca="1" si="12"/>
        <v>0.17099239360532026</v>
      </c>
      <c r="BB59" s="29">
        <v>0</v>
      </c>
      <c r="BC59"/>
      <c r="BD59" s="25"/>
      <c r="BF59" s="22">
        <v>44604</v>
      </c>
      <c r="BG59" s="26">
        <f t="shared" ca="1" si="13"/>
        <v>4.9377545135150469E-2</v>
      </c>
      <c r="BH59" s="29">
        <v>0</v>
      </c>
      <c r="BJ59" s="22">
        <v>44604</v>
      </c>
      <c r="BK59" s="26">
        <f t="shared" ca="1" si="14"/>
        <v>0.37493080983629445</v>
      </c>
      <c r="BL59" s="29">
        <v>0</v>
      </c>
      <c r="BN59" s="22">
        <v>44604</v>
      </c>
      <c r="BO59" s="26">
        <f t="shared" ca="1" si="15"/>
        <v>0.55373393388740988</v>
      </c>
      <c r="BP59" s="29">
        <v>0</v>
      </c>
      <c r="BR59" s="22">
        <v>44604</v>
      </c>
      <c r="BS59" s="26">
        <f t="shared" ca="1" si="16"/>
        <v>0.1188133183748824</v>
      </c>
      <c r="BT59" s="29">
        <v>0</v>
      </c>
      <c r="BV59" s="22">
        <v>44604</v>
      </c>
      <c r="BW59" s="26">
        <f t="shared" ca="1" si="17"/>
        <v>0.40551894852364478</v>
      </c>
      <c r="BX59" s="29">
        <v>0</v>
      </c>
      <c r="CA59" s="37"/>
    </row>
    <row r="60" spans="2:80" ht="12.75" x14ac:dyDescent="0.2">
      <c r="B60" s="22">
        <v>44605</v>
      </c>
      <c r="C60" s="26">
        <f t="shared" ca="1" si="0"/>
        <v>0.6074279434973</v>
      </c>
      <c r="D60" s="29">
        <v>0</v>
      </c>
      <c r="F60" s="22">
        <v>44605</v>
      </c>
      <c r="G60" s="26">
        <f t="shared" ca="1" si="1"/>
        <v>0.61834673472186752</v>
      </c>
      <c r="H60" s="29">
        <v>0</v>
      </c>
      <c r="J60" s="22">
        <v>44605</v>
      </c>
      <c r="K60" s="26">
        <f t="shared" ca="1" si="2"/>
        <v>0.62547376532828758</v>
      </c>
      <c r="L60" s="29">
        <v>0</v>
      </c>
      <c r="N60" s="22">
        <v>44605</v>
      </c>
      <c r="O60" s="26">
        <f t="shared" ca="1" si="3"/>
        <v>0.9237470716592584</v>
      </c>
      <c r="P60" s="29">
        <v>0</v>
      </c>
      <c r="R60" s="22">
        <v>44605</v>
      </c>
      <c r="S60" s="26">
        <f t="shared" ca="1" si="4"/>
        <v>0.85997032152534458</v>
      </c>
      <c r="T60" s="29">
        <v>0</v>
      </c>
      <c r="V60" s="22">
        <v>44605</v>
      </c>
      <c r="W60" s="26">
        <f t="shared" ca="1" si="5"/>
        <v>0.54035423333376742</v>
      </c>
      <c r="X60" s="29">
        <v>0</v>
      </c>
      <c r="Z60" s="22">
        <v>44605</v>
      </c>
      <c r="AA60" s="26">
        <f t="shared" ca="1" si="6"/>
        <v>0.25133648771910211</v>
      </c>
      <c r="AB60" s="29">
        <v>0</v>
      </c>
      <c r="AC60"/>
      <c r="AD60" s="25"/>
      <c r="AF60" s="22">
        <v>44605</v>
      </c>
      <c r="AG60" s="26">
        <f t="shared" ca="1" si="7"/>
        <v>0.79951307726017318</v>
      </c>
      <c r="AH60" s="29">
        <v>0</v>
      </c>
      <c r="AJ60" s="22">
        <v>44605</v>
      </c>
      <c r="AK60" s="26">
        <f t="shared" ca="1" si="8"/>
        <v>0.42822433953731676</v>
      </c>
      <c r="AL60" s="29">
        <v>0</v>
      </c>
      <c r="AN60" s="22">
        <v>44605</v>
      </c>
      <c r="AO60" s="26">
        <f t="shared" ca="1" si="9"/>
        <v>0.46704719060609401</v>
      </c>
      <c r="AP60" s="29">
        <v>0</v>
      </c>
      <c r="AR60" s="22">
        <v>44605</v>
      </c>
      <c r="AS60" s="26">
        <f t="shared" ca="1" si="10"/>
        <v>0.84709255343971257</v>
      </c>
      <c r="AT60" s="29">
        <v>0</v>
      </c>
      <c r="AV60" s="22">
        <v>44605</v>
      </c>
      <c r="AW60" s="26">
        <f t="shared" ca="1" si="11"/>
        <v>0.57089274595950457</v>
      </c>
      <c r="AX60" s="29">
        <v>0</v>
      </c>
      <c r="AZ60" s="22">
        <v>44605</v>
      </c>
      <c r="BA60" s="26">
        <f t="shared" ca="1" si="12"/>
        <v>0.82209495042467307</v>
      </c>
      <c r="BB60" s="29">
        <v>0</v>
      </c>
      <c r="BC60"/>
      <c r="BD60" s="25"/>
      <c r="BF60" s="22">
        <v>44605</v>
      </c>
      <c r="BG60" s="26">
        <f t="shared" ca="1" si="13"/>
        <v>8.0359591441971912E-3</v>
      </c>
      <c r="BH60" s="29">
        <v>0</v>
      </c>
      <c r="BJ60" s="22">
        <v>44605</v>
      </c>
      <c r="BK60" s="26">
        <f t="shared" ca="1" si="14"/>
        <v>0.7236709440382173</v>
      </c>
      <c r="BL60" s="29">
        <v>0</v>
      </c>
      <c r="BN60" s="22">
        <v>44605</v>
      </c>
      <c r="BO60" s="26">
        <f t="shared" ca="1" si="15"/>
        <v>0.28852724182022826</v>
      </c>
      <c r="BP60" s="29">
        <v>0</v>
      </c>
      <c r="BR60" s="22">
        <v>44605</v>
      </c>
      <c r="BS60" s="26">
        <f t="shared" ca="1" si="16"/>
        <v>0.2640411446716856</v>
      </c>
      <c r="BT60" s="29">
        <v>0</v>
      </c>
      <c r="BV60" s="22">
        <v>44605</v>
      </c>
      <c r="BW60" s="26">
        <f t="shared" ca="1" si="17"/>
        <v>0.90590159730453623</v>
      </c>
      <c r="BX60" s="29">
        <v>0</v>
      </c>
    </row>
    <row r="61" spans="2:80" ht="12.75" x14ac:dyDescent="0.2">
      <c r="B61" s="22">
        <v>44606</v>
      </c>
      <c r="C61" s="26">
        <f t="shared" ca="1" si="0"/>
        <v>0.36596515860364198</v>
      </c>
      <c r="D61" s="29">
        <v>0</v>
      </c>
      <c r="F61" s="22">
        <v>44606</v>
      </c>
      <c r="G61" s="26">
        <f t="shared" ca="1" si="1"/>
        <v>0.36332538801181191</v>
      </c>
      <c r="H61" s="29">
        <v>0</v>
      </c>
      <c r="J61" s="22">
        <v>44606</v>
      </c>
      <c r="K61" s="26">
        <f t="shared" ca="1" si="2"/>
        <v>9.9145732052554725E-2</v>
      </c>
      <c r="L61" s="29">
        <v>0</v>
      </c>
      <c r="N61" s="22">
        <v>44606</v>
      </c>
      <c r="O61" s="26">
        <f t="shared" ca="1" si="3"/>
        <v>0.86410197229555818</v>
      </c>
      <c r="P61" s="29">
        <v>0</v>
      </c>
      <c r="R61" s="22">
        <v>44606</v>
      </c>
      <c r="S61" s="26">
        <f t="shared" ca="1" si="4"/>
        <v>9.8758082755802112E-3</v>
      </c>
      <c r="T61" s="29">
        <v>0</v>
      </c>
      <c r="V61" s="22">
        <v>44606</v>
      </c>
      <c r="W61" s="26">
        <f t="shared" ca="1" si="5"/>
        <v>0.92420765635276858</v>
      </c>
      <c r="X61" s="29">
        <v>0</v>
      </c>
      <c r="Z61" s="22">
        <v>44606</v>
      </c>
      <c r="AA61" s="26">
        <f t="shared" ca="1" si="6"/>
        <v>0.4405899947204952</v>
      </c>
      <c r="AB61" s="29">
        <v>0</v>
      </c>
      <c r="AC61"/>
      <c r="AD61" s="25"/>
      <c r="AF61" s="22">
        <v>44606</v>
      </c>
      <c r="AG61" s="26">
        <f t="shared" ca="1" si="7"/>
        <v>0.28680225263661041</v>
      </c>
      <c r="AH61" s="29">
        <v>0</v>
      </c>
      <c r="AJ61" s="22">
        <v>44606</v>
      </c>
      <c r="AK61" s="26">
        <f t="shared" ca="1" si="8"/>
        <v>0.51965535566110554</v>
      </c>
      <c r="AL61" s="29">
        <v>0</v>
      </c>
      <c r="AN61" s="22">
        <v>44606</v>
      </c>
      <c r="AO61" s="26">
        <f t="shared" ca="1" si="9"/>
        <v>0.27732387544678871</v>
      </c>
      <c r="AP61" s="29">
        <v>0</v>
      </c>
      <c r="AR61" s="22">
        <v>44606</v>
      </c>
      <c r="AS61" s="26">
        <f t="shared" ca="1" si="10"/>
        <v>0.60847378398569429</v>
      </c>
      <c r="AT61" s="29">
        <v>0</v>
      </c>
      <c r="AV61" s="22">
        <v>44606</v>
      </c>
      <c r="AW61" s="26">
        <f t="shared" ca="1" si="11"/>
        <v>0.55506133256591106</v>
      </c>
      <c r="AX61" s="29">
        <v>0</v>
      </c>
      <c r="AZ61" s="22">
        <v>44606</v>
      </c>
      <c r="BA61" s="26">
        <f t="shared" ca="1" si="12"/>
        <v>0.3991965945202931</v>
      </c>
      <c r="BB61" s="29">
        <v>0</v>
      </c>
      <c r="BC61"/>
      <c r="BD61" s="25"/>
      <c r="BF61" s="22">
        <v>44606</v>
      </c>
      <c r="BG61" s="26">
        <f t="shared" ca="1" si="13"/>
        <v>0.87465745033718878</v>
      </c>
      <c r="BH61" s="29">
        <v>0</v>
      </c>
      <c r="BJ61" s="22">
        <v>44606</v>
      </c>
      <c r="BK61" s="26">
        <f t="shared" ca="1" si="14"/>
        <v>4.1868081523178224E-2</v>
      </c>
      <c r="BL61" s="29">
        <v>0</v>
      </c>
      <c r="BN61" s="22">
        <v>44606</v>
      </c>
      <c r="BO61" s="26">
        <f t="shared" ca="1" si="15"/>
        <v>0.33152669873829088</v>
      </c>
      <c r="BP61" s="29">
        <v>0</v>
      </c>
      <c r="BR61" s="22">
        <v>44606</v>
      </c>
      <c r="BS61" s="26">
        <f t="shared" ca="1" si="16"/>
        <v>0.17123400203894834</v>
      </c>
      <c r="BT61" s="29">
        <v>0</v>
      </c>
      <c r="BV61" s="22">
        <v>44606</v>
      </c>
      <c r="BW61" s="26">
        <f t="shared" ca="1" si="17"/>
        <v>0.40194915571815371</v>
      </c>
      <c r="BX61" s="29">
        <v>0</v>
      </c>
    </row>
    <row r="62" spans="2:80" ht="12.75" x14ac:dyDescent="0.2">
      <c r="B62" s="22">
        <v>44607</v>
      </c>
      <c r="C62" s="26">
        <f t="shared" ca="1" si="0"/>
        <v>0.240216863196547</v>
      </c>
      <c r="D62" s="29">
        <f t="shared" ca="1" si="19"/>
        <v>61</v>
      </c>
      <c r="F62" s="22">
        <v>44607</v>
      </c>
      <c r="G62" s="26">
        <f t="shared" ca="1" si="1"/>
        <v>0.97960738437454509</v>
      </c>
      <c r="H62" s="29">
        <v>0</v>
      </c>
      <c r="J62" s="22">
        <v>44607</v>
      </c>
      <c r="K62" s="26">
        <f t="shared" ca="1" si="2"/>
        <v>0.32041038058873861</v>
      </c>
      <c r="L62" s="29">
        <v>0</v>
      </c>
      <c r="N62" s="22">
        <v>44607</v>
      </c>
      <c r="O62" s="26">
        <f t="shared" ca="1" si="3"/>
        <v>0.12639387458757823</v>
      </c>
      <c r="P62" s="29">
        <v>0</v>
      </c>
      <c r="R62" s="22">
        <v>44607</v>
      </c>
      <c r="S62" s="26">
        <f t="shared" ca="1" si="4"/>
        <v>0.50178804786448117</v>
      </c>
      <c r="T62" s="29">
        <v>0</v>
      </c>
      <c r="V62" s="22">
        <v>44607</v>
      </c>
      <c r="W62" s="26">
        <f t="shared" ca="1" si="5"/>
        <v>2.1579546831124619E-2</v>
      </c>
      <c r="X62" s="29">
        <v>0</v>
      </c>
      <c r="Z62" s="22">
        <v>44607</v>
      </c>
      <c r="AA62" s="26">
        <f t="shared" ca="1" si="6"/>
        <v>0.62843583943087922</v>
      </c>
      <c r="AB62" s="29">
        <v>0</v>
      </c>
      <c r="AC62"/>
      <c r="AD62" s="25"/>
      <c r="AF62" s="22">
        <v>44607</v>
      </c>
      <c r="AG62" s="26">
        <f t="shared" ca="1" si="7"/>
        <v>0.1959533884082999</v>
      </c>
      <c r="AH62" s="29">
        <v>0</v>
      </c>
      <c r="AJ62" s="22">
        <v>44607</v>
      </c>
      <c r="AK62" s="26">
        <f t="shared" ca="1" si="8"/>
        <v>0.26007669025103941</v>
      </c>
      <c r="AL62" s="29">
        <v>0</v>
      </c>
      <c r="AN62" s="22">
        <v>44607</v>
      </c>
      <c r="AO62" s="26">
        <f t="shared" ca="1" si="9"/>
        <v>0.92254764088669483</v>
      </c>
      <c r="AP62" s="29">
        <v>0</v>
      </c>
      <c r="AR62" s="22">
        <v>44607</v>
      </c>
      <c r="AS62" s="26">
        <f t="shared" ca="1" si="10"/>
        <v>0.22337449733242698</v>
      </c>
      <c r="AT62" s="29">
        <v>0</v>
      </c>
      <c r="AV62" s="22">
        <v>44607</v>
      </c>
      <c r="AW62" s="26">
        <f t="shared" ca="1" si="11"/>
        <v>0.43400871441366073</v>
      </c>
      <c r="AX62" s="29">
        <v>0</v>
      </c>
      <c r="AZ62" s="22">
        <v>44607</v>
      </c>
      <c r="BA62" s="26">
        <f t="shared" ca="1" si="12"/>
        <v>0.69834395991178888</v>
      </c>
      <c r="BB62" s="29">
        <v>0</v>
      </c>
      <c r="BC62"/>
      <c r="BD62" s="25"/>
      <c r="BF62" s="22">
        <v>44607</v>
      </c>
      <c r="BG62" s="26">
        <f t="shared" ca="1" si="13"/>
        <v>0.31981694953359396</v>
      </c>
      <c r="BH62" s="29">
        <v>0</v>
      </c>
      <c r="BJ62" s="22">
        <v>44607</v>
      </c>
      <c r="BK62" s="26">
        <f t="shared" ca="1" si="14"/>
        <v>6.2814473126007853E-2</v>
      </c>
      <c r="BL62" s="29">
        <v>0</v>
      </c>
      <c r="BN62" s="22">
        <v>44607</v>
      </c>
      <c r="BO62" s="26">
        <f t="shared" ca="1" si="15"/>
        <v>0.83147496071286109</v>
      </c>
      <c r="BP62" s="29">
        <v>0</v>
      </c>
      <c r="BR62" s="22">
        <v>44607</v>
      </c>
      <c r="BS62" s="26">
        <f t="shared" ca="1" si="16"/>
        <v>0.54198203176672699</v>
      </c>
      <c r="BT62" s="29">
        <v>0</v>
      </c>
      <c r="BV62" s="22">
        <v>44607</v>
      </c>
      <c r="BW62" s="26">
        <f t="shared" ca="1" si="17"/>
        <v>0.12560260676861423</v>
      </c>
      <c r="BX62" s="29">
        <v>0</v>
      </c>
    </row>
    <row r="63" spans="2:80" ht="12.75" x14ac:dyDescent="0.2">
      <c r="B63" s="22">
        <v>44608</v>
      </c>
      <c r="C63" s="26">
        <f t="shared" ca="1" si="0"/>
        <v>9.6779484432244822E-2</v>
      </c>
      <c r="D63" s="29">
        <f t="shared" ca="1" si="19"/>
        <v>49</v>
      </c>
      <c r="F63" s="22">
        <v>44608</v>
      </c>
      <c r="G63" s="26">
        <f t="shared" ca="1" si="1"/>
        <v>0.80264062529234526</v>
      </c>
      <c r="H63" s="29">
        <v>0</v>
      </c>
      <c r="J63" s="22">
        <v>44608</v>
      </c>
      <c r="K63" s="26">
        <f t="shared" ca="1" si="2"/>
        <v>0.14698075067088567</v>
      </c>
      <c r="L63" s="29">
        <v>0</v>
      </c>
      <c r="N63" s="22">
        <v>44608</v>
      </c>
      <c r="O63" s="26">
        <f t="shared" ca="1" si="3"/>
        <v>0.53273106365388556</v>
      </c>
      <c r="P63" s="29">
        <v>0</v>
      </c>
      <c r="R63" s="22">
        <v>44608</v>
      </c>
      <c r="S63" s="26">
        <f t="shared" ca="1" si="4"/>
        <v>0.80648546429318002</v>
      </c>
      <c r="T63" s="29">
        <v>0</v>
      </c>
      <c r="V63" s="22">
        <v>44608</v>
      </c>
      <c r="W63" s="26">
        <f t="shared" ca="1" si="5"/>
        <v>0.52474021861894693</v>
      </c>
      <c r="X63" s="29">
        <v>0</v>
      </c>
      <c r="Z63" s="22">
        <v>44608</v>
      </c>
      <c r="AA63" s="26">
        <f t="shared" ca="1" si="6"/>
        <v>9.0221452688615811E-2</v>
      </c>
      <c r="AB63" s="29">
        <v>0</v>
      </c>
      <c r="AC63"/>
      <c r="AD63" s="25"/>
      <c r="AF63" s="22">
        <v>44608</v>
      </c>
      <c r="AG63" s="26">
        <f t="shared" ca="1" si="7"/>
        <v>0.20520761258235309</v>
      </c>
      <c r="AH63" s="29">
        <v>0</v>
      </c>
      <c r="AJ63" s="22">
        <v>44608</v>
      </c>
      <c r="AK63" s="26">
        <f t="shared" ca="1" si="8"/>
        <v>0.74060959086173539</v>
      </c>
      <c r="AL63" s="29">
        <v>0</v>
      </c>
      <c r="AN63" s="22">
        <v>44608</v>
      </c>
      <c r="AO63" s="26">
        <f t="shared" ca="1" si="9"/>
        <v>0.24013384594327558</v>
      </c>
      <c r="AP63" s="29">
        <v>0</v>
      </c>
      <c r="AR63" s="22">
        <v>44608</v>
      </c>
      <c r="AS63" s="26">
        <f t="shared" ca="1" si="10"/>
        <v>0.42933437156157661</v>
      </c>
      <c r="AT63" s="29">
        <v>0</v>
      </c>
      <c r="AV63" s="22">
        <v>44608</v>
      </c>
      <c r="AW63" s="26">
        <f t="shared" ca="1" si="11"/>
        <v>0.836224659073869</v>
      </c>
      <c r="AX63" s="29">
        <v>0</v>
      </c>
      <c r="AZ63" s="22">
        <v>44608</v>
      </c>
      <c r="BA63" s="26">
        <f t="shared" ca="1" si="12"/>
        <v>0.3452885138008257</v>
      </c>
      <c r="BB63" s="29">
        <v>0</v>
      </c>
      <c r="BC63"/>
      <c r="BD63" s="25"/>
      <c r="BF63" s="22">
        <v>44608</v>
      </c>
      <c r="BG63" s="26">
        <f t="shared" ca="1" si="13"/>
        <v>3.4435428168028026E-2</v>
      </c>
      <c r="BH63" s="29">
        <v>0</v>
      </c>
      <c r="BJ63" s="22">
        <v>44608</v>
      </c>
      <c r="BK63" s="26">
        <f t="shared" ca="1" si="14"/>
        <v>0.8220114985290401</v>
      </c>
      <c r="BL63" s="29">
        <v>0</v>
      </c>
      <c r="BN63" s="22">
        <v>44608</v>
      </c>
      <c r="BO63" s="26">
        <f t="shared" ca="1" si="15"/>
        <v>0.53022713689532885</v>
      </c>
      <c r="BP63" s="29">
        <v>0</v>
      </c>
      <c r="BR63" s="22">
        <v>44608</v>
      </c>
      <c r="BS63" s="26">
        <f t="shared" ca="1" si="16"/>
        <v>0.75565560096942486</v>
      </c>
      <c r="BT63" s="29">
        <v>0</v>
      </c>
      <c r="BV63" s="22">
        <v>44608</v>
      </c>
      <c r="BW63" s="26">
        <f t="shared" ca="1" si="17"/>
        <v>0.96935961168484774</v>
      </c>
      <c r="BX63" s="29">
        <v>0</v>
      </c>
    </row>
    <row r="64" spans="2:80" ht="12.75" x14ac:dyDescent="0.2">
      <c r="B64" s="22">
        <v>44609</v>
      </c>
      <c r="C64" s="26">
        <f t="shared" ca="1" si="0"/>
        <v>0.56046506368694982</v>
      </c>
      <c r="D64" s="29">
        <f t="shared" ca="1" si="19"/>
        <v>79</v>
      </c>
      <c r="F64" s="22">
        <v>44609</v>
      </c>
      <c r="G64" s="26">
        <f t="shared" ca="1" si="1"/>
        <v>0.68374336103629085</v>
      </c>
      <c r="H64" s="29">
        <v>0</v>
      </c>
      <c r="J64" s="22">
        <v>44609</v>
      </c>
      <c r="K64" s="26">
        <f t="shared" ca="1" si="2"/>
        <v>0.30115775722890603</v>
      </c>
      <c r="L64" s="29">
        <v>0</v>
      </c>
      <c r="N64" s="22">
        <v>44609</v>
      </c>
      <c r="O64" s="26">
        <f t="shared" ca="1" si="3"/>
        <v>0.20814012649333202</v>
      </c>
      <c r="P64" s="29">
        <v>0</v>
      </c>
      <c r="R64" s="22">
        <v>44609</v>
      </c>
      <c r="S64" s="26">
        <f t="shared" ca="1" si="4"/>
        <v>0.27970666335248873</v>
      </c>
      <c r="T64" s="29">
        <v>0</v>
      </c>
      <c r="V64" s="22">
        <v>44609</v>
      </c>
      <c r="W64" s="26">
        <f t="shared" ca="1" si="5"/>
        <v>2.7175913187228229E-2</v>
      </c>
      <c r="X64" s="29">
        <v>0</v>
      </c>
      <c r="Z64" s="22">
        <v>44609</v>
      </c>
      <c r="AA64" s="26">
        <f t="shared" ca="1" si="6"/>
        <v>0.37508729554841946</v>
      </c>
      <c r="AB64" s="29">
        <v>0</v>
      </c>
      <c r="AC64"/>
      <c r="AD64" s="25"/>
      <c r="AF64" s="22">
        <v>44609</v>
      </c>
      <c r="AG64" s="26">
        <f t="shared" ca="1" si="7"/>
        <v>0.36839944003499103</v>
      </c>
      <c r="AH64" s="29">
        <v>0</v>
      </c>
      <c r="AJ64" s="22">
        <v>44609</v>
      </c>
      <c r="AK64" s="26">
        <f t="shared" ca="1" si="8"/>
        <v>0.41977887909847267</v>
      </c>
      <c r="AL64" s="29">
        <v>0</v>
      </c>
      <c r="AN64" s="22">
        <v>44609</v>
      </c>
      <c r="AO64" s="26">
        <f t="shared" ca="1" si="9"/>
        <v>1.6492863998599283E-2</v>
      </c>
      <c r="AP64" s="29">
        <v>0</v>
      </c>
      <c r="AR64" s="22">
        <v>44609</v>
      </c>
      <c r="AS64" s="26">
        <f t="shared" ca="1" si="10"/>
        <v>0.9760568618355786</v>
      </c>
      <c r="AT64" s="29">
        <v>0</v>
      </c>
      <c r="AV64" s="22">
        <v>44609</v>
      </c>
      <c r="AW64" s="26">
        <f t="shared" ca="1" si="11"/>
        <v>0.48233532703144566</v>
      </c>
      <c r="AX64" s="29">
        <v>0</v>
      </c>
      <c r="AZ64" s="22">
        <v>44609</v>
      </c>
      <c r="BA64" s="26">
        <f t="shared" ca="1" si="12"/>
        <v>0.78014451538000018</v>
      </c>
      <c r="BB64" s="29">
        <v>0</v>
      </c>
      <c r="BC64"/>
      <c r="BD64" s="25"/>
      <c r="BF64" s="22">
        <v>44609</v>
      </c>
      <c r="BG64" s="26">
        <f t="shared" ca="1" si="13"/>
        <v>7.4054906208609217E-2</v>
      </c>
      <c r="BH64" s="29">
        <v>0</v>
      </c>
      <c r="BJ64" s="22">
        <v>44609</v>
      </c>
      <c r="BK64" s="26">
        <f t="shared" ca="1" si="14"/>
        <v>0.48292539527983547</v>
      </c>
      <c r="BL64" s="29">
        <v>0</v>
      </c>
      <c r="BN64" s="22">
        <v>44609</v>
      </c>
      <c r="BO64" s="26">
        <f t="shared" ca="1" si="15"/>
        <v>0.70116020937945167</v>
      </c>
      <c r="BP64" s="29">
        <v>0</v>
      </c>
      <c r="BR64" s="22">
        <v>44609</v>
      </c>
      <c r="BS64" s="26">
        <f t="shared" ca="1" si="16"/>
        <v>0.75410125666836381</v>
      </c>
      <c r="BT64" s="29">
        <v>0</v>
      </c>
      <c r="BV64" s="22">
        <v>44609</v>
      </c>
      <c r="BW64" s="26">
        <f t="shared" ca="1" si="17"/>
        <v>0.70964566224332559</v>
      </c>
      <c r="BX64" s="29">
        <v>0</v>
      </c>
    </row>
    <row r="65" spans="2:77" ht="12.75" x14ac:dyDescent="0.2">
      <c r="B65" s="22">
        <v>44610</v>
      </c>
      <c r="C65" s="26">
        <f t="shared" ca="1" si="0"/>
        <v>5.4401990533081257E-2</v>
      </c>
      <c r="D65" s="29">
        <f t="shared" ca="1" si="19"/>
        <v>43</v>
      </c>
      <c r="F65" s="22">
        <v>44610</v>
      </c>
      <c r="G65" s="26">
        <f t="shared" ca="1" si="1"/>
        <v>0.33642824134625582</v>
      </c>
      <c r="H65" s="29">
        <v>0</v>
      </c>
      <c r="J65" s="22">
        <v>44610</v>
      </c>
      <c r="K65" s="26">
        <f t="shared" ca="1" si="2"/>
        <v>0.6716551226736811</v>
      </c>
      <c r="L65" s="29">
        <v>0</v>
      </c>
      <c r="N65" s="22">
        <v>44610</v>
      </c>
      <c r="O65" s="26">
        <f t="shared" ca="1" si="3"/>
        <v>0.25507629527911146</v>
      </c>
      <c r="P65" s="29">
        <v>0</v>
      </c>
      <c r="R65" s="22">
        <v>44610</v>
      </c>
      <c r="S65" s="26">
        <f t="shared" ca="1" si="4"/>
        <v>0.92836090336736576</v>
      </c>
      <c r="T65" s="29">
        <v>0</v>
      </c>
      <c r="V65" s="22">
        <v>44610</v>
      </c>
      <c r="W65" s="26">
        <f t="shared" ca="1" si="5"/>
        <v>3.5157433532262305E-2</v>
      </c>
      <c r="X65" s="29">
        <v>0</v>
      </c>
      <c r="Z65" s="22">
        <v>44610</v>
      </c>
      <c r="AA65" s="26">
        <f t="shared" ca="1" si="6"/>
        <v>0.37625079612795265</v>
      </c>
      <c r="AB65" s="29">
        <v>0</v>
      </c>
      <c r="AC65"/>
      <c r="AD65" s="25"/>
      <c r="AF65" s="22">
        <v>44610</v>
      </c>
      <c r="AG65" s="26">
        <f t="shared" ca="1" si="7"/>
        <v>0.41222330490751813</v>
      </c>
      <c r="AH65" s="29">
        <v>0</v>
      </c>
      <c r="AJ65" s="22">
        <v>44610</v>
      </c>
      <c r="AK65" s="26">
        <f t="shared" ca="1" si="8"/>
        <v>0.90308764590080126</v>
      </c>
      <c r="AL65" s="29">
        <v>0</v>
      </c>
      <c r="AN65" s="22">
        <v>44610</v>
      </c>
      <c r="AO65" s="26">
        <f t="shared" ca="1" si="9"/>
        <v>0.96965260984467838</v>
      </c>
      <c r="AP65" s="29">
        <v>0</v>
      </c>
      <c r="AR65" s="22">
        <v>44610</v>
      </c>
      <c r="AS65" s="26">
        <f t="shared" ca="1" si="10"/>
        <v>0.50266572716630664</v>
      </c>
      <c r="AT65" s="29">
        <v>0</v>
      </c>
      <c r="AV65" s="22">
        <v>44610</v>
      </c>
      <c r="AW65" s="26">
        <f t="shared" ca="1" si="11"/>
        <v>0.94239657064100324</v>
      </c>
      <c r="AX65" s="29">
        <v>0</v>
      </c>
      <c r="AZ65" s="22">
        <v>44610</v>
      </c>
      <c r="BA65" s="26">
        <f t="shared" ca="1" si="12"/>
        <v>0.3000844021397342</v>
      </c>
      <c r="BB65" s="29">
        <v>0</v>
      </c>
      <c r="BC65"/>
      <c r="BD65" s="25"/>
      <c r="BF65" s="22">
        <v>44610</v>
      </c>
      <c r="BG65" s="26">
        <f t="shared" ca="1" si="13"/>
        <v>4.7730140620301564E-2</v>
      </c>
      <c r="BH65" s="29">
        <v>0</v>
      </c>
      <c r="BJ65" s="22">
        <v>44610</v>
      </c>
      <c r="BK65" s="26">
        <f t="shared" ca="1" si="14"/>
        <v>0.80452352312959863</v>
      </c>
      <c r="BL65" s="29">
        <v>0</v>
      </c>
      <c r="BN65" s="22">
        <v>44610</v>
      </c>
      <c r="BO65" s="26">
        <f t="shared" ca="1" si="15"/>
        <v>0.82307862953002442</v>
      </c>
      <c r="BP65" s="29">
        <v>0</v>
      </c>
      <c r="BR65" s="22">
        <v>44610</v>
      </c>
      <c r="BS65" s="26">
        <f t="shared" ca="1" si="16"/>
        <v>0.92350239504492626</v>
      </c>
      <c r="BT65" s="29">
        <v>0</v>
      </c>
      <c r="BV65" s="22">
        <v>44610</v>
      </c>
      <c r="BW65" s="26">
        <f t="shared" ca="1" si="17"/>
        <v>1.3574463107824175E-2</v>
      </c>
      <c r="BX65" s="29">
        <v>0</v>
      </c>
    </row>
    <row r="66" spans="2:77" ht="12.75" x14ac:dyDescent="0.2">
      <c r="B66" s="22">
        <v>44611</v>
      </c>
      <c r="C66" s="26">
        <f t="shared" ca="1" si="0"/>
        <v>0.67137605184393967</v>
      </c>
      <c r="D66" s="29">
        <f t="shared" ca="1" si="19"/>
        <v>84</v>
      </c>
      <c r="F66" s="22">
        <v>44611</v>
      </c>
      <c r="G66" s="26">
        <f t="shared" ca="1" si="1"/>
        <v>0.16487029932224684</v>
      </c>
      <c r="H66" s="29">
        <v>0</v>
      </c>
      <c r="J66" s="22">
        <v>44611</v>
      </c>
      <c r="K66" s="26">
        <f t="shared" ca="1" si="2"/>
        <v>0.6399588797623712</v>
      </c>
      <c r="L66" s="29">
        <v>0</v>
      </c>
      <c r="N66" s="22">
        <v>44611</v>
      </c>
      <c r="O66" s="26">
        <f t="shared" ca="1" si="3"/>
        <v>0.97222404451330402</v>
      </c>
      <c r="P66" s="29">
        <v>0</v>
      </c>
      <c r="R66" s="22">
        <v>44611</v>
      </c>
      <c r="S66" s="26">
        <f t="shared" ca="1" si="4"/>
        <v>0.88622320419338674</v>
      </c>
      <c r="T66" s="29">
        <v>0</v>
      </c>
      <c r="V66" s="22">
        <v>44611</v>
      </c>
      <c r="W66" s="26">
        <f t="shared" ca="1" si="5"/>
        <v>0.24091752154725132</v>
      </c>
      <c r="X66" s="29">
        <v>0</v>
      </c>
      <c r="Z66" s="22">
        <v>44611</v>
      </c>
      <c r="AA66" s="26">
        <f t="shared" ca="1" si="6"/>
        <v>4.6356202978607652E-2</v>
      </c>
      <c r="AB66" s="29">
        <v>0</v>
      </c>
      <c r="AC66"/>
      <c r="AD66" s="25"/>
      <c r="AF66" s="22">
        <v>44611</v>
      </c>
      <c r="AG66" s="26">
        <f t="shared" ca="1" si="7"/>
        <v>6.7045695944496164E-2</v>
      </c>
      <c r="AH66" s="29">
        <v>0</v>
      </c>
      <c r="AJ66" s="22">
        <v>44611</v>
      </c>
      <c r="AK66" s="26">
        <f t="shared" ca="1" si="8"/>
        <v>0.46741721530712288</v>
      </c>
      <c r="AL66" s="29">
        <v>0</v>
      </c>
      <c r="AN66" s="22">
        <v>44611</v>
      </c>
      <c r="AO66" s="26">
        <f t="shared" ca="1" si="9"/>
        <v>0.37983348876425049</v>
      </c>
      <c r="AP66" s="29">
        <v>0</v>
      </c>
      <c r="AR66" s="22">
        <v>44611</v>
      </c>
      <c r="AS66" s="26">
        <f t="shared" ca="1" si="10"/>
        <v>0.25313999753489214</v>
      </c>
      <c r="AT66" s="29">
        <v>0</v>
      </c>
      <c r="AV66" s="22">
        <v>44611</v>
      </c>
      <c r="AW66" s="26">
        <f t="shared" ca="1" si="11"/>
        <v>0.4281604767038798</v>
      </c>
      <c r="AX66" s="29">
        <v>0</v>
      </c>
      <c r="AZ66" s="22">
        <v>44611</v>
      </c>
      <c r="BA66" s="26">
        <f t="shared" ca="1" si="12"/>
        <v>0.92009682929340464</v>
      </c>
      <c r="BB66" s="29">
        <v>0</v>
      </c>
      <c r="BC66"/>
      <c r="BD66" s="25"/>
      <c r="BF66" s="22">
        <v>44611</v>
      </c>
      <c r="BG66" s="26">
        <f t="shared" ca="1" si="13"/>
        <v>0.27366183043828662</v>
      </c>
      <c r="BH66" s="29">
        <v>0</v>
      </c>
      <c r="BJ66" s="22">
        <v>44611</v>
      </c>
      <c r="BK66" s="26">
        <f t="shared" ca="1" si="14"/>
        <v>0.45897178515965453</v>
      </c>
      <c r="BL66" s="29">
        <v>0</v>
      </c>
      <c r="BN66" s="22">
        <v>44611</v>
      </c>
      <c r="BO66" s="26">
        <f t="shared" ca="1" si="15"/>
        <v>0.93841696537956398</v>
      </c>
      <c r="BP66" s="29">
        <v>0</v>
      </c>
      <c r="BR66" s="22">
        <v>44611</v>
      </c>
      <c r="BS66" s="26">
        <f t="shared" ca="1" si="16"/>
        <v>0.12746503522592822</v>
      </c>
      <c r="BT66" s="29">
        <v>0</v>
      </c>
      <c r="BV66" s="22">
        <v>44611</v>
      </c>
      <c r="BW66" s="26">
        <f t="shared" ca="1" si="17"/>
        <v>0.75139387224307086</v>
      </c>
      <c r="BX66" s="29">
        <v>0</v>
      </c>
    </row>
    <row r="67" spans="2:77" ht="12.75" x14ac:dyDescent="0.2">
      <c r="B67" s="22">
        <v>44612</v>
      </c>
      <c r="C67" s="26">
        <f t="shared" ca="1" si="0"/>
        <v>9.0193512535913678E-2</v>
      </c>
      <c r="D67" s="29">
        <f t="shared" ca="1" si="19"/>
        <v>49</v>
      </c>
      <c r="F67" s="22">
        <v>44612</v>
      </c>
      <c r="G67" s="26">
        <f t="shared" ca="1" si="1"/>
        <v>0.12105420600697769</v>
      </c>
      <c r="H67" s="29">
        <v>0</v>
      </c>
      <c r="J67" s="22">
        <v>44612</v>
      </c>
      <c r="K67" s="26">
        <f t="shared" ca="1" si="2"/>
        <v>1.5236651122748968E-2</v>
      </c>
      <c r="L67" s="29">
        <v>0</v>
      </c>
      <c r="N67" s="22">
        <v>44612</v>
      </c>
      <c r="O67" s="26">
        <f t="shared" ca="1" si="3"/>
        <v>0.51656684376449957</v>
      </c>
      <c r="P67" s="29">
        <v>0</v>
      </c>
      <c r="R67" s="22">
        <v>44612</v>
      </c>
      <c r="S67" s="26">
        <f t="shared" ca="1" si="4"/>
        <v>0.72694009332898635</v>
      </c>
      <c r="T67" s="29">
        <v>0</v>
      </c>
      <c r="V67" s="22">
        <v>44612</v>
      </c>
      <c r="W67" s="26">
        <f t="shared" ca="1" si="5"/>
        <v>0.2561317336006067</v>
      </c>
      <c r="X67" s="29">
        <v>0</v>
      </c>
      <c r="Z67" s="22">
        <v>44612</v>
      </c>
      <c r="AA67" s="26">
        <f t="shared" ca="1" si="6"/>
        <v>0.35424286782307046</v>
      </c>
      <c r="AB67" s="29">
        <v>0</v>
      </c>
      <c r="AC67"/>
      <c r="AD67" s="25"/>
      <c r="AF67" s="22">
        <v>44612</v>
      </c>
      <c r="AG67" s="26">
        <f t="shared" ca="1" si="7"/>
        <v>0.95543852620706149</v>
      </c>
      <c r="AH67" s="29">
        <v>0</v>
      </c>
      <c r="AJ67" s="22">
        <v>44612</v>
      </c>
      <c r="AK67" s="26">
        <f t="shared" ca="1" si="8"/>
        <v>0.50761040561919712</v>
      </c>
      <c r="AL67" s="29">
        <v>0</v>
      </c>
      <c r="AN67" s="22">
        <v>44612</v>
      </c>
      <c r="AO67" s="26">
        <f t="shared" ca="1" si="9"/>
        <v>0.6905714781304243</v>
      </c>
      <c r="AP67" s="29">
        <v>0</v>
      </c>
      <c r="AR67" s="22">
        <v>44612</v>
      </c>
      <c r="AS67" s="26">
        <f t="shared" ca="1" si="10"/>
        <v>0.11172616862586204</v>
      </c>
      <c r="AT67" s="29">
        <v>0</v>
      </c>
      <c r="AV67" s="22">
        <v>44612</v>
      </c>
      <c r="AW67" s="26">
        <f t="shared" ca="1" si="11"/>
        <v>0.69082384291989429</v>
      </c>
      <c r="AX67" s="29">
        <v>0</v>
      </c>
      <c r="AZ67" s="22">
        <v>44612</v>
      </c>
      <c r="BA67" s="26">
        <f t="shared" ca="1" si="12"/>
        <v>0.85760086766235244</v>
      </c>
      <c r="BB67" s="29">
        <v>0</v>
      </c>
      <c r="BC67"/>
      <c r="BD67" s="25"/>
      <c r="BF67" s="22">
        <v>44612</v>
      </c>
      <c r="BG67" s="26">
        <f t="shared" ca="1" si="13"/>
        <v>0.61321832987195624</v>
      </c>
      <c r="BH67" s="29">
        <v>0</v>
      </c>
      <c r="BJ67" s="22">
        <v>44612</v>
      </c>
      <c r="BK67" s="26">
        <f t="shared" ca="1" si="14"/>
        <v>0.21985034009417059</v>
      </c>
      <c r="BL67" s="29">
        <v>0</v>
      </c>
      <c r="BN67" s="22">
        <v>44612</v>
      </c>
      <c r="BO67" s="26">
        <f t="shared" ca="1" si="15"/>
        <v>0.15152118832704897</v>
      </c>
      <c r="BP67" s="29">
        <v>0</v>
      </c>
      <c r="BR67" s="22">
        <v>44612</v>
      </c>
      <c r="BS67" s="26">
        <f t="shared" ca="1" si="16"/>
        <v>0.83500149008905156</v>
      </c>
      <c r="BT67" s="29">
        <v>0</v>
      </c>
      <c r="BV67" s="22">
        <v>44612</v>
      </c>
      <c r="BW67" s="26">
        <f t="shared" ca="1" si="17"/>
        <v>0.39384406063117028</v>
      </c>
      <c r="BX67" s="29">
        <v>0</v>
      </c>
    </row>
    <row r="68" spans="2:77" ht="12.75" x14ac:dyDescent="0.2">
      <c r="B68" s="22">
        <v>44613</v>
      </c>
      <c r="C68" s="26">
        <f t="shared" ca="1" si="0"/>
        <v>0.36607128064706274</v>
      </c>
      <c r="D68" s="29">
        <f t="shared" ca="1" si="19"/>
        <v>69</v>
      </c>
      <c r="F68" s="22">
        <v>44613</v>
      </c>
      <c r="G68" s="26">
        <f t="shared" ca="1" si="1"/>
        <v>0.17032666794942042</v>
      </c>
      <c r="H68" s="29">
        <v>0</v>
      </c>
      <c r="J68" s="22">
        <v>44613</v>
      </c>
      <c r="K68" s="26">
        <f t="shared" ca="1" si="2"/>
        <v>0.59719794721101149</v>
      </c>
      <c r="L68" s="29">
        <v>0</v>
      </c>
      <c r="N68" s="22">
        <v>44613</v>
      </c>
      <c r="O68" s="26">
        <f t="shared" ca="1" si="3"/>
        <v>0.59383723597988392</v>
      </c>
      <c r="P68" s="29">
        <v>0</v>
      </c>
      <c r="R68" s="22">
        <v>44613</v>
      </c>
      <c r="S68" s="26">
        <f t="shared" ca="1" si="4"/>
        <v>0.84064759647508103</v>
      </c>
      <c r="T68" s="29">
        <v>0</v>
      </c>
      <c r="V68" s="22">
        <v>44613</v>
      </c>
      <c r="W68" s="26">
        <f t="shared" ca="1" si="5"/>
        <v>0.30646821989363526</v>
      </c>
      <c r="X68" s="29">
        <v>0</v>
      </c>
      <c r="Z68" s="22">
        <v>44613</v>
      </c>
      <c r="AA68" s="26">
        <f t="shared" ca="1" si="6"/>
        <v>0.61519258175442704</v>
      </c>
      <c r="AB68" s="29">
        <v>0</v>
      </c>
      <c r="AC68"/>
      <c r="AD68" s="25"/>
      <c r="AF68" s="22">
        <v>44613</v>
      </c>
      <c r="AG68" s="26">
        <f t="shared" ca="1" si="7"/>
        <v>0.81866251805791779</v>
      </c>
      <c r="AH68" s="29">
        <v>0</v>
      </c>
      <c r="AJ68" s="22">
        <v>44613</v>
      </c>
      <c r="AK68" s="26">
        <f t="shared" ca="1" si="8"/>
        <v>0.1208128438871291</v>
      </c>
      <c r="AL68" s="29">
        <v>0</v>
      </c>
      <c r="AN68" s="22">
        <v>44613</v>
      </c>
      <c r="AO68" s="26">
        <f t="shared" ca="1" si="9"/>
        <v>1.8529126746151703E-2</v>
      </c>
      <c r="AP68" s="29">
        <v>0</v>
      </c>
      <c r="AR68" s="22">
        <v>44613</v>
      </c>
      <c r="AS68" s="26">
        <f t="shared" ca="1" si="10"/>
        <v>7.3092583911880116E-3</v>
      </c>
      <c r="AT68" s="29">
        <v>0</v>
      </c>
      <c r="AV68" s="22">
        <v>44613</v>
      </c>
      <c r="AW68" s="26">
        <f t="shared" ca="1" si="11"/>
        <v>0.86044596914265326</v>
      </c>
      <c r="AX68" s="29">
        <v>0</v>
      </c>
      <c r="AZ68" s="22">
        <v>44613</v>
      </c>
      <c r="BA68" s="26">
        <f t="shared" ca="1" si="12"/>
        <v>0.66541377058930129</v>
      </c>
      <c r="BB68" s="29">
        <v>0</v>
      </c>
      <c r="BC68"/>
      <c r="BD68" s="25"/>
      <c r="BF68" s="22">
        <v>44613</v>
      </c>
      <c r="BG68" s="26">
        <f t="shared" ca="1" si="13"/>
        <v>0.87248795018865444</v>
      </c>
      <c r="BH68" s="29">
        <v>0</v>
      </c>
      <c r="BJ68" s="22">
        <v>44613</v>
      </c>
      <c r="BK68" s="26">
        <f t="shared" ca="1" si="14"/>
        <v>1.0820420912732498E-2</v>
      </c>
      <c r="BL68" s="29">
        <v>0</v>
      </c>
      <c r="BN68" s="22">
        <v>44613</v>
      </c>
      <c r="BO68" s="26">
        <f t="shared" ca="1" si="15"/>
        <v>0.73216770582129842</v>
      </c>
      <c r="BP68" s="29">
        <v>0</v>
      </c>
      <c r="BR68" s="22">
        <v>44613</v>
      </c>
      <c r="BS68" s="26">
        <f t="shared" ca="1" si="16"/>
        <v>0.31969240265104015</v>
      </c>
      <c r="BT68" s="29">
        <v>0</v>
      </c>
      <c r="BV68" s="22">
        <v>44613</v>
      </c>
      <c r="BW68" s="26">
        <f t="shared" ca="1" si="17"/>
        <v>0.2457362290188857</v>
      </c>
      <c r="BX68" s="29">
        <v>0</v>
      </c>
    </row>
    <row r="69" spans="2:77" ht="12.75" x14ac:dyDescent="0.2">
      <c r="B69" s="22">
        <v>44614</v>
      </c>
      <c r="C69" s="26">
        <f t="shared" ca="1" si="0"/>
        <v>0.31227975782041817</v>
      </c>
      <c r="D69" s="29">
        <f t="shared" ca="1" si="19"/>
        <v>66</v>
      </c>
      <c r="F69" s="22">
        <v>44614</v>
      </c>
      <c r="G69" s="26">
        <f t="shared" ca="1" si="1"/>
        <v>0.15423505684219863</v>
      </c>
      <c r="H69" s="29">
        <v>0</v>
      </c>
      <c r="J69" s="22">
        <v>44614</v>
      </c>
      <c r="K69" s="26">
        <f t="shared" ca="1" si="2"/>
        <v>0.44578005208526672</v>
      </c>
      <c r="L69" s="29">
        <v>0</v>
      </c>
      <c r="N69" s="22">
        <v>44614</v>
      </c>
      <c r="O69" s="26">
        <f t="shared" ca="1" si="3"/>
        <v>0.99341166285595961</v>
      </c>
      <c r="P69" s="29">
        <v>0</v>
      </c>
      <c r="R69" s="22">
        <v>44614</v>
      </c>
      <c r="S69" s="26">
        <f t="shared" ca="1" si="4"/>
        <v>0.34379301031564846</v>
      </c>
      <c r="T69" s="29">
        <v>0</v>
      </c>
      <c r="V69" s="22">
        <v>44614</v>
      </c>
      <c r="W69" s="26">
        <f t="shared" ca="1" si="5"/>
        <v>0.40568216702597104</v>
      </c>
      <c r="X69" s="29">
        <v>0</v>
      </c>
      <c r="Z69" s="22">
        <v>44614</v>
      </c>
      <c r="AA69" s="26">
        <f t="shared" ca="1" si="6"/>
        <v>0.87714196066877093</v>
      </c>
      <c r="AB69" s="29">
        <v>0</v>
      </c>
      <c r="AC69"/>
      <c r="AD69" s="25"/>
      <c r="AF69" s="22">
        <v>44614</v>
      </c>
      <c r="AG69" s="26">
        <f t="shared" ca="1" si="7"/>
        <v>0.88963353183087879</v>
      </c>
      <c r="AH69" s="29">
        <v>0</v>
      </c>
      <c r="AJ69" s="22">
        <v>44614</v>
      </c>
      <c r="AK69" s="26">
        <f t="shared" ca="1" si="8"/>
        <v>0.72072880227261393</v>
      </c>
      <c r="AL69" s="29">
        <v>0</v>
      </c>
      <c r="AN69" s="22">
        <v>44614</v>
      </c>
      <c r="AO69" s="26">
        <f t="shared" ca="1" si="9"/>
        <v>0.5645934992095033</v>
      </c>
      <c r="AP69" s="29">
        <v>0</v>
      </c>
      <c r="AR69" s="22">
        <v>44614</v>
      </c>
      <c r="AS69" s="26">
        <f t="shared" ca="1" si="10"/>
        <v>0.94353452899192547</v>
      </c>
      <c r="AT69" s="29">
        <v>0</v>
      </c>
      <c r="AV69" s="22">
        <v>44614</v>
      </c>
      <c r="AW69" s="26">
        <f t="shared" ca="1" si="11"/>
        <v>4.0354550241593956E-2</v>
      </c>
      <c r="AX69" s="29">
        <v>0</v>
      </c>
      <c r="AZ69" s="22">
        <v>44614</v>
      </c>
      <c r="BA69" s="26">
        <f t="shared" ca="1" si="12"/>
        <v>0.30105508537814762</v>
      </c>
      <c r="BB69" s="29">
        <v>0</v>
      </c>
      <c r="BC69"/>
      <c r="BD69" s="25"/>
      <c r="BF69" s="22">
        <v>44614</v>
      </c>
      <c r="BG69" s="26">
        <f t="shared" ca="1" si="13"/>
        <v>0.11246338749728768</v>
      </c>
      <c r="BH69" s="29">
        <v>0</v>
      </c>
      <c r="BJ69" s="22">
        <v>44614</v>
      </c>
      <c r="BK69" s="26">
        <f t="shared" ca="1" si="14"/>
        <v>0.46756852774888602</v>
      </c>
      <c r="BL69" s="29">
        <v>0</v>
      </c>
      <c r="BN69" s="22">
        <v>44614</v>
      </c>
      <c r="BO69" s="26">
        <f t="shared" ca="1" si="15"/>
        <v>0.46994028817056588</v>
      </c>
      <c r="BP69" s="29">
        <v>0</v>
      </c>
      <c r="BR69" s="22">
        <v>44614</v>
      </c>
      <c r="BS69" s="26">
        <f t="shared" ca="1" si="16"/>
        <v>0.98425410840833027</v>
      </c>
      <c r="BT69" s="29">
        <v>0</v>
      </c>
      <c r="BV69" s="22">
        <v>44614</v>
      </c>
      <c r="BW69" s="26">
        <f t="shared" ca="1" si="17"/>
        <v>0.25396993403537371</v>
      </c>
      <c r="BX69" s="29">
        <v>0</v>
      </c>
    </row>
    <row r="70" spans="2:77" ht="12.75" x14ac:dyDescent="0.2">
      <c r="B70" s="22">
        <v>44615</v>
      </c>
      <c r="C70" s="26">
        <f t="shared" ca="1" si="0"/>
        <v>0.6090294095227301</v>
      </c>
      <c r="D70" s="29">
        <f t="shared" ca="1" si="19"/>
        <v>81</v>
      </c>
      <c r="F70" s="22">
        <v>44615</v>
      </c>
      <c r="G70" s="26">
        <f t="shared" ca="1" si="1"/>
        <v>0.2382708702975499</v>
      </c>
      <c r="H70" s="29">
        <v>0</v>
      </c>
      <c r="J70" s="22">
        <v>44615</v>
      </c>
      <c r="K70" s="26">
        <f t="shared" ca="1" si="2"/>
        <v>0.43863073405825748</v>
      </c>
      <c r="L70" s="29">
        <v>0</v>
      </c>
      <c r="N70" s="22">
        <v>44615</v>
      </c>
      <c r="O70" s="26">
        <f t="shared" ca="1" si="3"/>
        <v>0.76393377136155927</v>
      </c>
      <c r="P70" s="29">
        <v>0</v>
      </c>
      <c r="R70" s="22">
        <v>44615</v>
      </c>
      <c r="S70" s="26">
        <f t="shared" ca="1" si="4"/>
        <v>0.35708850558344196</v>
      </c>
      <c r="T70" s="29">
        <v>0</v>
      </c>
      <c r="V70" s="22">
        <v>44615</v>
      </c>
      <c r="W70" s="26">
        <f t="shared" ca="1" si="5"/>
        <v>0.37957313595388076</v>
      </c>
      <c r="X70" s="29">
        <v>0</v>
      </c>
      <c r="Z70" s="22">
        <v>44615</v>
      </c>
      <c r="AA70" s="26">
        <f t="shared" ca="1" si="6"/>
        <v>0.70660207013560694</v>
      </c>
      <c r="AB70" s="29">
        <v>0</v>
      </c>
      <c r="AC70"/>
      <c r="AD70" s="25"/>
      <c r="AF70" s="22">
        <v>44615</v>
      </c>
      <c r="AG70" s="26">
        <f t="shared" ca="1" si="7"/>
        <v>0.27168563650436461</v>
      </c>
      <c r="AH70" s="29">
        <v>0</v>
      </c>
      <c r="AJ70" s="22">
        <v>44615</v>
      </c>
      <c r="AK70" s="26">
        <f t="shared" ca="1" si="8"/>
        <v>0.68308291947870925</v>
      </c>
      <c r="AL70" s="29">
        <v>0</v>
      </c>
      <c r="AN70" s="22">
        <v>44615</v>
      </c>
      <c r="AO70" s="26">
        <f t="shared" ca="1" si="9"/>
        <v>0.60624488485804184</v>
      </c>
      <c r="AP70" s="29">
        <v>0</v>
      </c>
      <c r="AR70" s="22">
        <v>44615</v>
      </c>
      <c r="AS70" s="26">
        <f t="shared" ca="1" si="10"/>
        <v>0.27791682430036613</v>
      </c>
      <c r="AT70" s="29">
        <v>0</v>
      </c>
      <c r="AV70" s="22">
        <v>44615</v>
      </c>
      <c r="AW70" s="26">
        <f t="shared" ca="1" si="11"/>
        <v>0.93639322915426038</v>
      </c>
      <c r="AX70" s="29">
        <v>0</v>
      </c>
      <c r="AZ70" s="22">
        <v>44615</v>
      </c>
      <c r="BA70" s="26">
        <f t="shared" ca="1" si="12"/>
        <v>0.66059906197070661</v>
      </c>
      <c r="BB70" s="29">
        <v>0</v>
      </c>
      <c r="BC70"/>
      <c r="BD70" s="25"/>
      <c r="BF70" s="22">
        <v>44615</v>
      </c>
      <c r="BG70" s="26">
        <f t="shared" ca="1" si="13"/>
        <v>0.99706689594009423</v>
      </c>
      <c r="BH70" s="29">
        <v>0</v>
      </c>
      <c r="BJ70" s="22">
        <v>44615</v>
      </c>
      <c r="BK70" s="26">
        <f t="shared" ca="1" si="14"/>
        <v>0.66719547071730834</v>
      </c>
      <c r="BL70" s="29">
        <v>0</v>
      </c>
      <c r="BN70" s="22">
        <v>44615</v>
      </c>
      <c r="BO70" s="26">
        <f t="shared" ca="1" si="15"/>
        <v>0.19289501331427072</v>
      </c>
      <c r="BP70" s="29">
        <v>0</v>
      </c>
      <c r="BR70" s="22">
        <v>44615</v>
      </c>
      <c r="BS70" s="26">
        <f t="shared" ca="1" si="16"/>
        <v>0.83840183449977235</v>
      </c>
      <c r="BT70" s="29">
        <v>0</v>
      </c>
      <c r="BV70" s="22">
        <v>44615</v>
      </c>
      <c r="BW70" s="26">
        <f t="shared" ca="1" si="17"/>
        <v>0.61924788628758631</v>
      </c>
      <c r="BX70" s="29">
        <v>0</v>
      </c>
    </row>
    <row r="71" spans="2:77" ht="12.75" x14ac:dyDescent="0.2">
      <c r="B71" s="22">
        <v>44616</v>
      </c>
      <c r="C71" s="26">
        <f t="shared" ca="1" si="0"/>
        <v>0.47947895041886901</v>
      </c>
      <c r="D71" s="29">
        <f t="shared" ca="1" si="19"/>
        <v>74</v>
      </c>
      <c r="F71" s="22">
        <v>44616</v>
      </c>
      <c r="G71" s="26">
        <f t="shared" ca="1" si="1"/>
        <v>0.56355930220836314</v>
      </c>
      <c r="H71" s="29">
        <v>0</v>
      </c>
      <c r="J71" s="22">
        <v>44616</v>
      </c>
      <c r="K71" s="26">
        <f t="shared" ca="1" si="2"/>
        <v>0.2891120162429639</v>
      </c>
      <c r="L71" s="29">
        <v>0</v>
      </c>
      <c r="N71" s="22">
        <v>44616</v>
      </c>
      <c r="O71" s="26">
        <f t="shared" ca="1" si="3"/>
        <v>0.74086135085440774</v>
      </c>
      <c r="P71" s="29">
        <v>0</v>
      </c>
      <c r="R71" s="22">
        <v>44616</v>
      </c>
      <c r="S71" s="26">
        <f t="shared" ca="1" si="4"/>
        <v>0.81208513446442809</v>
      </c>
      <c r="T71" s="29">
        <v>0</v>
      </c>
      <c r="V71" s="22">
        <v>44616</v>
      </c>
      <c r="W71" s="26">
        <f t="shared" ca="1" si="5"/>
        <v>0.73487228884786138</v>
      </c>
      <c r="X71" s="29">
        <v>0</v>
      </c>
      <c r="Z71" s="22">
        <v>44616</v>
      </c>
      <c r="AA71" s="26">
        <f t="shared" ca="1" si="6"/>
        <v>0.50928711814319572</v>
      </c>
      <c r="AB71" s="29">
        <v>0</v>
      </c>
      <c r="AC71"/>
      <c r="AD71" s="25"/>
      <c r="AF71" s="22">
        <v>44616</v>
      </c>
      <c r="AG71" s="26">
        <f t="shared" ca="1" si="7"/>
        <v>0.91879285116075515</v>
      </c>
      <c r="AH71" s="29">
        <v>0</v>
      </c>
      <c r="AJ71" s="22">
        <v>44616</v>
      </c>
      <c r="AK71" s="26">
        <f t="shared" ca="1" si="8"/>
        <v>0.13217009395962764</v>
      </c>
      <c r="AL71" s="29">
        <v>0</v>
      </c>
      <c r="AN71" s="22">
        <v>44616</v>
      </c>
      <c r="AO71" s="26">
        <f t="shared" ca="1" si="9"/>
        <v>0.9677925538314831</v>
      </c>
      <c r="AP71" s="29">
        <v>0</v>
      </c>
      <c r="AR71" s="22">
        <v>44616</v>
      </c>
      <c r="AS71" s="26">
        <f t="shared" ca="1" si="10"/>
        <v>8.397049195677575E-2</v>
      </c>
      <c r="AT71" s="29">
        <v>0</v>
      </c>
      <c r="AV71" s="22">
        <v>44616</v>
      </c>
      <c r="AW71" s="26">
        <f t="shared" ca="1" si="11"/>
        <v>0.88166667336743454</v>
      </c>
      <c r="AX71" s="29">
        <v>0</v>
      </c>
      <c r="AZ71" s="22">
        <v>44616</v>
      </c>
      <c r="BA71" s="26">
        <f t="shared" ca="1" si="12"/>
        <v>0.10203258855855502</v>
      </c>
      <c r="BB71" s="29">
        <v>0</v>
      </c>
      <c r="BC71"/>
      <c r="BD71" s="25"/>
      <c r="BF71" s="22">
        <v>44616</v>
      </c>
      <c r="BG71" s="26">
        <f t="shared" ca="1" si="13"/>
        <v>0.80916196958235831</v>
      </c>
      <c r="BH71" s="29">
        <v>0</v>
      </c>
      <c r="BJ71" s="22">
        <v>44616</v>
      </c>
      <c r="BK71" s="26">
        <f t="shared" ca="1" si="14"/>
        <v>0.99479022645579829</v>
      </c>
      <c r="BL71" s="29">
        <v>0</v>
      </c>
      <c r="BN71" s="22">
        <v>44616</v>
      </c>
      <c r="BO71" s="26">
        <f t="shared" ca="1" si="15"/>
        <v>0.94051002602632139</v>
      </c>
      <c r="BP71" s="29">
        <v>0</v>
      </c>
      <c r="BR71" s="22">
        <v>44616</v>
      </c>
      <c r="BS71" s="26">
        <f t="shared" ca="1" si="16"/>
        <v>0.16603438003916871</v>
      </c>
      <c r="BT71" s="29">
        <v>0</v>
      </c>
      <c r="BV71" s="22">
        <v>44616</v>
      </c>
      <c r="BW71" s="26">
        <f t="shared" ca="1" si="17"/>
        <v>0.32990481582346509</v>
      </c>
      <c r="BX71" s="29">
        <v>0</v>
      </c>
    </row>
    <row r="72" spans="2:77" ht="12.75" x14ac:dyDescent="0.2">
      <c r="B72" s="22">
        <v>44617</v>
      </c>
      <c r="C72" s="26">
        <f t="shared" ca="1" si="0"/>
        <v>0.98817590416112733</v>
      </c>
      <c r="D72" s="29">
        <f t="shared" ca="1" si="19"/>
        <v>121</v>
      </c>
      <c r="F72" s="22">
        <v>44617</v>
      </c>
      <c r="G72" s="26">
        <f t="shared" ca="1" si="1"/>
        <v>0.89535304765638102</v>
      </c>
      <c r="H72" s="29">
        <v>0</v>
      </c>
      <c r="J72" s="22">
        <v>44617</v>
      </c>
      <c r="K72" s="26">
        <f t="shared" ca="1" si="2"/>
        <v>0.36964809497922446</v>
      </c>
      <c r="L72" s="29">
        <v>0</v>
      </c>
      <c r="N72" s="22">
        <v>44617</v>
      </c>
      <c r="O72" s="26">
        <f t="shared" ca="1" si="3"/>
        <v>0.68927837495801403</v>
      </c>
      <c r="P72" s="29">
        <v>0</v>
      </c>
      <c r="R72" s="22">
        <v>44617</v>
      </c>
      <c r="S72" s="26">
        <f t="shared" ca="1" si="4"/>
        <v>0.19671104675176854</v>
      </c>
      <c r="T72" s="29">
        <v>0</v>
      </c>
      <c r="V72" s="22">
        <v>44617</v>
      </c>
      <c r="W72" s="26">
        <f t="shared" ca="1" si="5"/>
        <v>0.81358290921753451</v>
      </c>
      <c r="X72" s="29">
        <v>0</v>
      </c>
      <c r="Z72" s="22">
        <v>44617</v>
      </c>
      <c r="AA72" s="26">
        <f t="shared" ca="1" si="6"/>
        <v>7.3432358886768134E-2</v>
      </c>
      <c r="AB72" s="29">
        <v>0</v>
      </c>
      <c r="AC72"/>
      <c r="AD72" s="25"/>
      <c r="AF72" s="22">
        <v>44617</v>
      </c>
      <c r="AG72" s="26">
        <f t="shared" ca="1" si="7"/>
        <v>0.89540360799335539</v>
      </c>
      <c r="AH72" s="29">
        <v>0</v>
      </c>
      <c r="AJ72" s="22">
        <v>44617</v>
      </c>
      <c r="AK72" s="26">
        <f t="shared" ca="1" si="8"/>
        <v>0.62189750915001574</v>
      </c>
      <c r="AL72" s="29">
        <v>0</v>
      </c>
      <c r="AN72" s="22">
        <v>44617</v>
      </c>
      <c r="AO72" s="26">
        <f t="shared" ca="1" si="9"/>
        <v>0.86257250013541598</v>
      </c>
      <c r="AP72" s="29">
        <v>0</v>
      </c>
      <c r="AR72" s="22">
        <v>44617</v>
      </c>
      <c r="AS72" s="26">
        <f t="shared" ca="1" si="10"/>
        <v>0.32118514601757275</v>
      </c>
      <c r="AT72" s="29">
        <v>0</v>
      </c>
      <c r="AV72" s="22">
        <v>44617</v>
      </c>
      <c r="AW72" s="26">
        <f t="shared" ca="1" si="11"/>
        <v>0.35677848911867949</v>
      </c>
      <c r="AX72" s="29">
        <v>0</v>
      </c>
      <c r="AZ72" s="22">
        <v>44617</v>
      </c>
      <c r="BA72" s="26">
        <f t="shared" ca="1" si="12"/>
        <v>0.43868939842195998</v>
      </c>
      <c r="BB72" s="29">
        <v>0</v>
      </c>
      <c r="BC72"/>
      <c r="BD72" s="25"/>
      <c r="BF72" s="22">
        <v>44617</v>
      </c>
      <c r="BG72" s="26">
        <f t="shared" ca="1" si="13"/>
        <v>0.83784861423308921</v>
      </c>
      <c r="BH72" s="29">
        <v>0</v>
      </c>
      <c r="BJ72" s="22">
        <v>44617</v>
      </c>
      <c r="BK72" s="26">
        <f t="shared" ca="1" si="14"/>
        <v>0.18444912899798815</v>
      </c>
      <c r="BL72" s="29">
        <v>0</v>
      </c>
      <c r="BN72" s="22">
        <v>44617</v>
      </c>
      <c r="BO72" s="26">
        <f t="shared" ca="1" si="15"/>
        <v>0.419592485019739</v>
      </c>
      <c r="BP72" s="29">
        <v>0</v>
      </c>
      <c r="BR72" s="22">
        <v>44617</v>
      </c>
      <c r="BS72" s="26">
        <f t="shared" ca="1" si="16"/>
        <v>0.50361561297245672</v>
      </c>
      <c r="BT72" s="29">
        <v>0</v>
      </c>
      <c r="BV72" s="22">
        <v>44617</v>
      </c>
      <c r="BW72" s="26">
        <f t="shared" ca="1" si="17"/>
        <v>1.117285357226161E-2</v>
      </c>
      <c r="BX72" s="29">
        <v>0</v>
      </c>
    </row>
    <row r="73" spans="2:77" ht="12.75" x14ac:dyDescent="0.2">
      <c r="B73" s="22">
        <v>44618</v>
      </c>
      <c r="C73" s="26">
        <f t="shared" ca="1" si="0"/>
        <v>0.73544901304875421</v>
      </c>
      <c r="D73" s="29">
        <f t="shared" ca="1" si="19"/>
        <v>88</v>
      </c>
      <c r="F73" s="22">
        <v>44618</v>
      </c>
      <c r="G73" s="26">
        <f t="shared" ca="1" si="1"/>
        <v>0.58199916307081379</v>
      </c>
      <c r="H73" s="29">
        <v>0</v>
      </c>
      <c r="J73" s="22">
        <v>44618</v>
      </c>
      <c r="K73" s="26">
        <f t="shared" ca="1" si="2"/>
        <v>0.72633862302115293</v>
      </c>
      <c r="L73" s="29">
        <v>0</v>
      </c>
      <c r="N73" s="22">
        <v>44618</v>
      </c>
      <c r="O73" s="26">
        <f t="shared" ca="1" si="3"/>
        <v>0.40386617592059593</v>
      </c>
      <c r="P73" s="29">
        <v>0</v>
      </c>
      <c r="R73" s="22">
        <v>44618</v>
      </c>
      <c r="S73" s="26">
        <f t="shared" ca="1" si="4"/>
        <v>0.91461767966160368</v>
      </c>
      <c r="T73" s="29">
        <v>0</v>
      </c>
      <c r="V73" s="22">
        <v>44618</v>
      </c>
      <c r="W73" s="26">
        <f t="shared" ca="1" si="5"/>
        <v>0.26855625330937749</v>
      </c>
      <c r="X73" s="29">
        <v>0</v>
      </c>
      <c r="Z73" s="22">
        <v>44618</v>
      </c>
      <c r="AA73" s="26">
        <f t="shared" ca="1" si="6"/>
        <v>0.2688362063175721</v>
      </c>
      <c r="AB73" s="29">
        <v>0</v>
      </c>
      <c r="AC73"/>
      <c r="AD73" s="25"/>
      <c r="AF73" s="22">
        <v>44618</v>
      </c>
      <c r="AG73" s="26">
        <f t="shared" ca="1" si="7"/>
        <v>0.73594198792729382</v>
      </c>
      <c r="AH73" s="29">
        <v>0</v>
      </c>
      <c r="AJ73" s="22">
        <v>44618</v>
      </c>
      <c r="AK73" s="26">
        <f t="shared" ca="1" si="8"/>
        <v>0.43271975856020994</v>
      </c>
      <c r="AL73" s="29">
        <v>0</v>
      </c>
      <c r="AN73" s="22">
        <v>44618</v>
      </c>
      <c r="AO73" s="26">
        <f t="shared" ca="1" si="9"/>
        <v>0.53790162123007801</v>
      </c>
      <c r="AP73" s="29">
        <v>0</v>
      </c>
      <c r="AR73" s="22">
        <v>44618</v>
      </c>
      <c r="AS73" s="26">
        <f t="shared" ca="1" si="10"/>
        <v>0.79695396146717568</v>
      </c>
      <c r="AT73" s="29">
        <v>0</v>
      </c>
      <c r="AV73" s="22">
        <v>44618</v>
      </c>
      <c r="AW73" s="26">
        <f t="shared" ca="1" si="11"/>
        <v>0.98315637196806815</v>
      </c>
      <c r="AX73" s="29">
        <v>0</v>
      </c>
      <c r="AZ73" s="22">
        <v>44618</v>
      </c>
      <c r="BA73" s="26">
        <f t="shared" ca="1" si="12"/>
        <v>0.11933301877003144</v>
      </c>
      <c r="BB73" s="29">
        <v>0</v>
      </c>
      <c r="BC73"/>
      <c r="BD73" s="25"/>
      <c r="BF73" s="22">
        <v>44618</v>
      </c>
      <c r="BG73" s="26">
        <f t="shared" ca="1" si="13"/>
        <v>0.42134857829061123</v>
      </c>
      <c r="BH73" s="29">
        <v>0</v>
      </c>
      <c r="BJ73" s="22">
        <v>44618</v>
      </c>
      <c r="BK73" s="26">
        <f t="shared" ca="1" si="14"/>
        <v>0.38036973965870324</v>
      </c>
      <c r="BL73" s="29">
        <v>0</v>
      </c>
      <c r="BN73" s="22">
        <v>44618</v>
      </c>
      <c r="BO73" s="26">
        <f t="shared" ca="1" si="15"/>
        <v>0.72695737706242092</v>
      </c>
      <c r="BP73" s="29">
        <v>0</v>
      </c>
      <c r="BR73" s="22">
        <v>44618</v>
      </c>
      <c r="BS73" s="26">
        <f t="shared" ca="1" si="16"/>
        <v>0.10731156520644169</v>
      </c>
      <c r="BT73" s="29">
        <v>0</v>
      </c>
      <c r="BV73" s="22">
        <v>44618</v>
      </c>
      <c r="BW73" s="26">
        <f t="shared" ca="1" si="17"/>
        <v>0.43145403879750899</v>
      </c>
      <c r="BX73" s="29">
        <v>0</v>
      </c>
    </row>
    <row r="74" spans="2:77" ht="12.75" x14ac:dyDescent="0.2">
      <c r="B74" s="22">
        <v>44619</v>
      </c>
      <c r="C74" s="26">
        <f t="shared" ca="1" si="0"/>
        <v>0.36713782804429218</v>
      </c>
      <c r="D74" s="29">
        <f t="shared" ca="1" si="19"/>
        <v>69</v>
      </c>
      <c r="F74" s="22">
        <v>44619</v>
      </c>
      <c r="G74" s="26">
        <f t="shared" ca="1" si="1"/>
        <v>0.67855539493482919</v>
      </c>
      <c r="H74" s="29">
        <v>0</v>
      </c>
      <c r="J74" s="22">
        <v>44619</v>
      </c>
      <c r="K74" s="26">
        <f t="shared" ca="1" si="2"/>
        <v>0.19690730118969324</v>
      </c>
      <c r="L74" s="29">
        <v>0</v>
      </c>
      <c r="N74" s="22">
        <v>44619</v>
      </c>
      <c r="O74" s="26">
        <f t="shared" ca="1" si="3"/>
        <v>1.6961371204261444E-2</v>
      </c>
      <c r="P74" s="29">
        <v>0</v>
      </c>
      <c r="R74" s="22">
        <v>44619</v>
      </c>
      <c r="S74" s="26">
        <f t="shared" ca="1" si="4"/>
        <v>0.45351980346773135</v>
      </c>
      <c r="T74" s="29">
        <v>0</v>
      </c>
      <c r="V74" s="22">
        <v>44619</v>
      </c>
      <c r="W74" s="26">
        <f t="shared" ca="1" si="5"/>
        <v>0.71128921903548248</v>
      </c>
      <c r="X74" s="29">
        <v>0</v>
      </c>
      <c r="Z74" s="22">
        <v>44619</v>
      </c>
      <c r="AA74" s="26">
        <f t="shared" ca="1" si="6"/>
        <v>0.74336954523446408</v>
      </c>
      <c r="AB74" s="29">
        <v>0</v>
      </c>
      <c r="AC74"/>
      <c r="AD74" s="25"/>
      <c r="AF74" s="22">
        <v>44619</v>
      </c>
      <c r="AG74" s="26">
        <f t="shared" ca="1" si="7"/>
        <v>0.75350281585409595</v>
      </c>
      <c r="AH74" s="29">
        <v>0</v>
      </c>
      <c r="AJ74" s="22">
        <v>44619</v>
      </c>
      <c r="AK74" s="26">
        <f t="shared" ca="1" si="8"/>
        <v>0.63917835822003144</v>
      </c>
      <c r="AL74" s="29">
        <v>0</v>
      </c>
      <c r="AN74" s="22">
        <v>44619</v>
      </c>
      <c r="AO74" s="26">
        <f t="shared" ca="1" si="9"/>
        <v>0.22124947218842894</v>
      </c>
      <c r="AP74" s="29">
        <v>0</v>
      </c>
      <c r="AR74" s="22">
        <v>44619</v>
      </c>
      <c r="AS74" s="26">
        <f t="shared" ca="1" si="10"/>
        <v>0.96568597177386684</v>
      </c>
      <c r="AT74" s="29">
        <v>0</v>
      </c>
      <c r="AV74" s="22">
        <v>44619</v>
      </c>
      <c r="AW74" s="26">
        <f t="shared" ca="1" si="11"/>
        <v>0.4136062916025075</v>
      </c>
      <c r="AX74" s="29">
        <v>0</v>
      </c>
      <c r="AZ74" s="22">
        <v>44619</v>
      </c>
      <c r="BA74" s="26">
        <f t="shared" ca="1" si="12"/>
        <v>0.9167423640586394</v>
      </c>
      <c r="BB74" s="29">
        <v>0</v>
      </c>
      <c r="BC74"/>
      <c r="BD74" s="25"/>
      <c r="BF74" s="22">
        <v>44619</v>
      </c>
      <c r="BG74" s="26">
        <f t="shared" ca="1" si="13"/>
        <v>0.31447129706814614</v>
      </c>
      <c r="BH74" s="29">
        <v>0</v>
      </c>
      <c r="BJ74" s="22">
        <v>44619</v>
      </c>
      <c r="BK74" s="26">
        <f t="shared" ca="1" si="14"/>
        <v>0.98720121409011119</v>
      </c>
      <c r="BL74" s="29">
        <v>0</v>
      </c>
      <c r="BN74" s="22">
        <v>44619</v>
      </c>
      <c r="BO74" s="26">
        <f t="shared" ca="1" si="15"/>
        <v>0.78216513976557833</v>
      </c>
      <c r="BP74" s="29">
        <v>0</v>
      </c>
      <c r="BR74" s="22">
        <v>44619</v>
      </c>
      <c r="BS74" s="26">
        <f t="shared" ca="1" si="16"/>
        <v>0.62204339286556254</v>
      </c>
      <c r="BT74" s="29">
        <v>0</v>
      </c>
      <c r="BV74" s="22">
        <v>44619</v>
      </c>
      <c r="BW74" s="26">
        <f t="shared" ca="1" si="17"/>
        <v>0.34246662181811838</v>
      </c>
      <c r="BX74" s="29">
        <v>0</v>
      </c>
    </row>
    <row r="75" spans="2:77" ht="12.75" x14ac:dyDescent="0.2">
      <c r="B75" s="22">
        <v>44620</v>
      </c>
      <c r="C75" s="26">
        <f t="shared" ca="1" si="0"/>
        <v>0.55540572347976869</v>
      </c>
      <c r="D75" s="29">
        <f t="shared" ca="1" si="19"/>
        <v>78</v>
      </c>
      <c r="E75">
        <v>1540</v>
      </c>
      <c r="F75" s="22">
        <v>44620</v>
      </c>
      <c r="G75" s="26">
        <f t="shared" ca="1" si="1"/>
        <v>0.78340417240343907</v>
      </c>
      <c r="H75" s="29">
        <v>0</v>
      </c>
      <c r="I75">
        <v>0</v>
      </c>
      <c r="J75" s="22">
        <v>44620</v>
      </c>
      <c r="K75" s="26">
        <f t="shared" ca="1" si="2"/>
        <v>0.81039060796159523</v>
      </c>
      <c r="L75" s="29">
        <v>0</v>
      </c>
      <c r="M75">
        <v>0</v>
      </c>
      <c r="N75" s="22">
        <v>44620</v>
      </c>
      <c r="O75" s="26">
        <f t="shared" ca="1" si="3"/>
        <v>0.40934753856988138</v>
      </c>
      <c r="P75" s="29">
        <v>0</v>
      </c>
      <c r="Q75">
        <v>0</v>
      </c>
      <c r="R75" s="22">
        <v>44620</v>
      </c>
      <c r="S75" s="26">
        <f t="shared" ca="1" si="4"/>
        <v>0.59535305928438387</v>
      </c>
      <c r="T75" s="29">
        <v>0</v>
      </c>
      <c r="U75">
        <v>0</v>
      </c>
      <c r="V75" s="22">
        <v>44620</v>
      </c>
      <c r="W75" s="26">
        <f t="shared" ca="1" si="5"/>
        <v>0.22922000862911984</v>
      </c>
      <c r="X75" s="29">
        <v>0</v>
      </c>
      <c r="Y75">
        <v>0</v>
      </c>
      <c r="Z75" s="22">
        <v>44620</v>
      </c>
      <c r="AA75" s="26">
        <f t="shared" ca="1" si="6"/>
        <v>0.69195695846911576</v>
      </c>
      <c r="AB75" s="29">
        <v>0</v>
      </c>
      <c r="AC75">
        <v>0</v>
      </c>
      <c r="AD75" s="25"/>
      <c r="AF75" s="22">
        <v>44620</v>
      </c>
      <c r="AG75" s="26">
        <f t="shared" ca="1" si="7"/>
        <v>0.43316419698537589</v>
      </c>
      <c r="AH75" s="29">
        <v>0</v>
      </c>
      <c r="AI75">
        <v>0</v>
      </c>
      <c r="AJ75" s="22">
        <v>44620</v>
      </c>
      <c r="AK75" s="26">
        <f t="shared" ca="1" si="8"/>
        <v>0.6238262565301802</v>
      </c>
      <c r="AL75" s="29">
        <v>0</v>
      </c>
      <c r="AM75">
        <v>0</v>
      </c>
      <c r="AN75" s="22">
        <v>44620</v>
      </c>
      <c r="AO75" s="26">
        <f t="shared" ca="1" si="9"/>
        <v>0.85003696231926174</v>
      </c>
      <c r="AP75" s="29">
        <v>0</v>
      </c>
      <c r="AQ75">
        <v>0</v>
      </c>
      <c r="AR75" s="22">
        <v>44620</v>
      </c>
      <c r="AS75" s="26">
        <f t="shared" ca="1" si="10"/>
        <v>0.3367174328867506</v>
      </c>
      <c r="AT75" s="29">
        <v>0</v>
      </c>
      <c r="AU75">
        <v>0</v>
      </c>
      <c r="AV75" s="22">
        <v>44620</v>
      </c>
      <c r="AW75" s="26">
        <f t="shared" ca="1" si="11"/>
        <v>8.5446963348199123E-3</v>
      </c>
      <c r="AX75" s="29">
        <v>0</v>
      </c>
      <c r="AY75">
        <v>0</v>
      </c>
      <c r="AZ75" s="22">
        <v>44620</v>
      </c>
      <c r="BA75" s="26">
        <f t="shared" ca="1" si="12"/>
        <v>0.38686798500348163</v>
      </c>
      <c r="BB75" s="29">
        <v>0</v>
      </c>
      <c r="BC75">
        <v>0</v>
      </c>
      <c r="BD75" s="25"/>
      <c r="BF75" s="22">
        <v>44620</v>
      </c>
      <c r="BG75" s="26">
        <f t="shared" ca="1" si="13"/>
        <v>0.50344126681215662</v>
      </c>
      <c r="BH75" s="29">
        <v>0</v>
      </c>
      <c r="BI75">
        <v>0</v>
      </c>
      <c r="BJ75" s="22">
        <v>44620</v>
      </c>
      <c r="BK75" s="26">
        <f t="shared" ca="1" si="14"/>
        <v>0.63240293699271555</v>
      </c>
      <c r="BL75" s="29">
        <v>0</v>
      </c>
      <c r="BM75">
        <v>0</v>
      </c>
      <c r="BN75" s="22">
        <v>44620</v>
      </c>
      <c r="BO75" s="26">
        <f t="shared" ca="1" si="15"/>
        <v>8.5301055731639597E-2</v>
      </c>
      <c r="BP75" s="29">
        <v>0</v>
      </c>
      <c r="BQ75">
        <v>0</v>
      </c>
      <c r="BR75" s="22">
        <v>44620</v>
      </c>
      <c r="BS75" s="26">
        <f t="shared" ca="1" si="16"/>
        <v>0.40966490324003868</v>
      </c>
      <c r="BT75" s="29">
        <v>0</v>
      </c>
      <c r="BU75">
        <v>0</v>
      </c>
      <c r="BV75" s="22">
        <v>44620</v>
      </c>
      <c r="BW75" s="26">
        <f t="shared" ca="1" si="17"/>
        <v>0.63380964745271162</v>
      </c>
      <c r="BX75" s="29">
        <v>0</v>
      </c>
      <c r="BY75">
        <v>0</v>
      </c>
    </row>
    <row r="76" spans="2:77" ht="12.75" x14ac:dyDescent="0.2">
      <c r="B76" s="22">
        <v>44621</v>
      </c>
      <c r="C76" s="26">
        <f t="shared" ca="1" si="0"/>
        <v>0.84373778951753364</v>
      </c>
      <c r="D76" s="29">
        <f ca="1">ROUNDUP(_xlfn.NORM.INV(C75,C$10,C$12),0)</f>
        <v>78</v>
      </c>
      <c r="F76" s="22">
        <v>44621</v>
      </c>
      <c r="G76" s="26">
        <f t="shared" ca="1" si="1"/>
        <v>0.11168685153408986</v>
      </c>
      <c r="H76" s="29">
        <v>0</v>
      </c>
      <c r="J76" s="22">
        <v>44621</v>
      </c>
      <c r="K76" s="26">
        <f t="shared" ca="1" si="2"/>
        <v>1.7812998219345233E-2</v>
      </c>
      <c r="L76" s="29">
        <v>0</v>
      </c>
      <c r="N76" s="22">
        <v>44621</v>
      </c>
      <c r="O76" s="26">
        <f t="shared" ca="1" si="3"/>
        <v>0.50195770940405515</v>
      </c>
      <c r="P76" s="29">
        <v>0</v>
      </c>
      <c r="R76" s="22">
        <v>44621</v>
      </c>
      <c r="S76" s="26">
        <f t="shared" ca="1" si="4"/>
        <v>0.72570976725550695</v>
      </c>
      <c r="T76" s="29">
        <v>0</v>
      </c>
      <c r="V76" s="22">
        <v>44621</v>
      </c>
      <c r="W76" s="26">
        <f t="shared" ca="1" si="5"/>
        <v>0.75279507054504158</v>
      </c>
      <c r="X76" s="29">
        <v>0</v>
      </c>
      <c r="Z76" s="22">
        <v>44621</v>
      </c>
      <c r="AA76" s="26">
        <f t="shared" ca="1" si="6"/>
        <v>0.79871498890107306</v>
      </c>
      <c r="AB76" s="29">
        <v>0</v>
      </c>
      <c r="AC76"/>
      <c r="AD76" s="25"/>
      <c r="AF76" s="22">
        <v>44621</v>
      </c>
      <c r="AG76" s="26">
        <f t="shared" ca="1" si="7"/>
        <v>0.79087382238653769</v>
      </c>
      <c r="AH76" s="29">
        <v>0</v>
      </c>
      <c r="AJ76" s="22">
        <v>44621</v>
      </c>
      <c r="AK76" s="26">
        <f t="shared" ca="1" si="8"/>
        <v>0.95738567431719124</v>
      </c>
      <c r="AL76" s="29">
        <v>0</v>
      </c>
      <c r="AN76" s="22">
        <v>44621</v>
      </c>
      <c r="AO76" s="26">
        <f t="shared" ca="1" si="9"/>
        <v>0.3193592820972857</v>
      </c>
      <c r="AP76" s="29">
        <v>0</v>
      </c>
      <c r="AR76" s="22">
        <v>44621</v>
      </c>
      <c r="AS76" s="26">
        <f t="shared" ca="1" si="10"/>
        <v>0.35838588474379718</v>
      </c>
      <c r="AT76" s="29">
        <v>0</v>
      </c>
      <c r="AV76" s="22">
        <v>44621</v>
      </c>
      <c r="AW76" s="26">
        <f t="shared" ca="1" si="11"/>
        <v>0.61147998287292993</v>
      </c>
      <c r="AX76" s="29">
        <v>0</v>
      </c>
      <c r="AZ76" s="22">
        <v>44621</v>
      </c>
      <c r="BA76" s="26">
        <f t="shared" ca="1" si="12"/>
        <v>0.52686977990465911</v>
      </c>
      <c r="BB76" s="29">
        <v>0</v>
      </c>
      <c r="BC76"/>
      <c r="BD76" s="25"/>
      <c r="BF76" s="22">
        <v>44621</v>
      </c>
      <c r="BG76" s="26">
        <f t="shared" ca="1" si="13"/>
        <v>0.87106425053511649</v>
      </c>
      <c r="BH76" s="29">
        <v>0</v>
      </c>
      <c r="BJ76" s="22">
        <v>44621</v>
      </c>
      <c r="BK76" s="26">
        <f t="shared" ca="1" si="14"/>
        <v>0.60062285008118532</v>
      </c>
      <c r="BL76" s="29">
        <v>0</v>
      </c>
      <c r="BN76" s="22">
        <v>44621</v>
      </c>
      <c r="BO76" s="26">
        <f t="shared" ca="1" si="15"/>
        <v>0.19332678385247837</v>
      </c>
      <c r="BP76" s="29">
        <v>0</v>
      </c>
      <c r="BR76" s="22">
        <v>44621</v>
      </c>
      <c r="BS76" s="26">
        <f t="shared" ca="1" si="16"/>
        <v>0.51649795165725176</v>
      </c>
      <c r="BT76" s="29">
        <v>0</v>
      </c>
      <c r="BV76" s="22">
        <v>44621</v>
      </c>
      <c r="BW76" s="26">
        <f t="shared" ca="1" si="17"/>
        <v>0.80519169734112339</v>
      </c>
      <c r="BX76" s="29">
        <v>0</v>
      </c>
    </row>
    <row r="77" spans="2:77" ht="12.75" x14ac:dyDescent="0.2">
      <c r="B77" s="22">
        <v>44622</v>
      </c>
      <c r="C77" s="26">
        <f t="shared" ca="1" si="0"/>
        <v>0.49511935808365126</v>
      </c>
      <c r="D77" s="29">
        <f t="shared" ca="1" si="19"/>
        <v>75</v>
      </c>
      <c r="F77" s="22">
        <v>44622</v>
      </c>
      <c r="G77" s="26">
        <f t="shared" ca="1" si="1"/>
        <v>0.51769925030957387</v>
      </c>
      <c r="H77" s="29">
        <v>0</v>
      </c>
      <c r="J77" s="22">
        <v>44622</v>
      </c>
      <c r="K77" s="26">
        <f t="shared" ca="1" si="2"/>
        <v>0.1126069663072955</v>
      </c>
      <c r="L77" s="29">
        <v>0</v>
      </c>
      <c r="N77" s="22">
        <v>44622</v>
      </c>
      <c r="O77" s="26">
        <f t="shared" ca="1" si="3"/>
        <v>0.84337405470341531</v>
      </c>
      <c r="P77" s="29">
        <v>0</v>
      </c>
      <c r="R77" s="22">
        <v>44622</v>
      </c>
      <c r="S77" s="26">
        <f t="shared" ca="1" si="4"/>
        <v>0.85783837074332869</v>
      </c>
      <c r="T77" s="29">
        <v>0</v>
      </c>
      <c r="V77" s="22">
        <v>44622</v>
      </c>
      <c r="W77" s="26">
        <f t="shared" ca="1" si="5"/>
        <v>0.39165418688219544</v>
      </c>
      <c r="X77" s="29">
        <v>0</v>
      </c>
      <c r="Z77" s="22">
        <v>44622</v>
      </c>
      <c r="AA77" s="26">
        <f t="shared" ca="1" si="6"/>
        <v>8.1930424864698814E-2</v>
      </c>
      <c r="AB77" s="29">
        <v>0</v>
      </c>
      <c r="AC77"/>
      <c r="AD77" s="25"/>
      <c r="AF77" s="22">
        <v>44622</v>
      </c>
      <c r="AG77" s="26">
        <f t="shared" ca="1" si="7"/>
        <v>0.69870580319940778</v>
      </c>
      <c r="AH77" s="29">
        <v>0</v>
      </c>
      <c r="AJ77" s="22">
        <v>44622</v>
      </c>
      <c r="AK77" s="26">
        <f t="shared" ca="1" si="8"/>
        <v>0.25606599410598774</v>
      </c>
      <c r="AL77" s="29">
        <v>0</v>
      </c>
      <c r="AN77" s="22">
        <v>44622</v>
      </c>
      <c r="AO77" s="26">
        <f t="shared" ca="1" si="9"/>
        <v>0.99919141012270885</v>
      </c>
      <c r="AP77" s="29">
        <v>0</v>
      </c>
      <c r="AR77" s="22">
        <v>44622</v>
      </c>
      <c r="AS77" s="26">
        <f t="shared" ca="1" si="10"/>
        <v>0.2329346783667563</v>
      </c>
      <c r="AT77" s="29">
        <v>0</v>
      </c>
      <c r="AV77" s="22">
        <v>44622</v>
      </c>
      <c r="AW77" s="26">
        <f t="shared" ca="1" si="11"/>
        <v>0.4384671811177191</v>
      </c>
      <c r="AX77" s="29">
        <v>0</v>
      </c>
      <c r="AZ77" s="22">
        <v>44622</v>
      </c>
      <c r="BA77" s="26">
        <f t="shared" ca="1" si="12"/>
        <v>4.8363357077576996E-2</v>
      </c>
      <c r="BB77" s="29">
        <v>0</v>
      </c>
      <c r="BC77"/>
      <c r="BD77" s="25"/>
      <c r="BF77" s="22">
        <v>44622</v>
      </c>
      <c r="BG77" s="26">
        <f t="shared" ca="1" si="13"/>
        <v>0.79630794165063157</v>
      </c>
      <c r="BH77" s="29">
        <v>0</v>
      </c>
      <c r="BJ77" s="22">
        <v>44622</v>
      </c>
      <c r="BK77" s="26">
        <f t="shared" ca="1" si="14"/>
        <v>0.39033137360177095</v>
      </c>
      <c r="BL77" s="29">
        <v>0</v>
      </c>
      <c r="BN77" s="22">
        <v>44622</v>
      </c>
      <c r="BO77" s="26">
        <f t="shared" ca="1" si="15"/>
        <v>0.62131275605061931</v>
      </c>
      <c r="BP77" s="29">
        <v>0</v>
      </c>
      <c r="BR77" s="22">
        <v>44622</v>
      </c>
      <c r="BS77" s="26">
        <f t="shared" ca="1" si="16"/>
        <v>0.19289930848526715</v>
      </c>
      <c r="BT77" s="29">
        <v>0</v>
      </c>
      <c r="BV77" s="22">
        <v>44622</v>
      </c>
      <c r="BW77" s="26">
        <f t="shared" ca="1" si="17"/>
        <v>0.2534604746939001</v>
      </c>
      <c r="BX77" s="29">
        <v>0</v>
      </c>
    </row>
    <row r="78" spans="2:77" ht="12.75" x14ac:dyDescent="0.2">
      <c r="B78" s="22">
        <v>44623</v>
      </c>
      <c r="C78" s="26">
        <f t="shared" ca="1" si="0"/>
        <v>0.9767654005081442</v>
      </c>
      <c r="D78" s="29">
        <f t="shared" ca="1" si="19"/>
        <v>115</v>
      </c>
      <c r="F78" s="22">
        <v>44623</v>
      </c>
      <c r="G78" s="26">
        <f t="shared" ca="1" si="1"/>
        <v>0.68938649583747469</v>
      </c>
      <c r="H78" s="29">
        <v>0</v>
      </c>
      <c r="J78" s="22">
        <v>44623</v>
      </c>
      <c r="K78" s="26">
        <f t="shared" ca="1" si="2"/>
        <v>0.50999395692768434</v>
      </c>
      <c r="L78" s="29">
        <v>0</v>
      </c>
      <c r="N78" s="22">
        <v>44623</v>
      </c>
      <c r="O78" s="26">
        <f t="shared" ca="1" si="3"/>
        <v>0.16644068885107555</v>
      </c>
      <c r="P78" s="29">
        <v>0</v>
      </c>
      <c r="R78" s="22">
        <v>44623</v>
      </c>
      <c r="S78" s="26">
        <f t="shared" ca="1" si="4"/>
        <v>0.77008260509603599</v>
      </c>
      <c r="T78" s="29">
        <v>0</v>
      </c>
      <c r="V78" s="22">
        <v>44623</v>
      </c>
      <c r="W78" s="26">
        <f t="shared" ca="1" si="5"/>
        <v>0.29678729725609754</v>
      </c>
      <c r="X78" s="29">
        <v>0</v>
      </c>
      <c r="Z78" s="22">
        <v>44623</v>
      </c>
      <c r="AA78" s="26">
        <f t="shared" ca="1" si="6"/>
        <v>0.72907215263491409</v>
      </c>
      <c r="AB78" s="29">
        <v>0</v>
      </c>
      <c r="AC78"/>
      <c r="AD78" s="25"/>
      <c r="AF78" s="22">
        <v>44623</v>
      </c>
      <c r="AG78" s="26">
        <f t="shared" ca="1" si="7"/>
        <v>0.70053097528489461</v>
      </c>
      <c r="AH78" s="29">
        <v>0</v>
      </c>
      <c r="AJ78" s="22">
        <v>44623</v>
      </c>
      <c r="AK78" s="26">
        <f t="shared" ca="1" si="8"/>
        <v>0.86824206365660606</v>
      </c>
      <c r="AL78" s="29">
        <v>0</v>
      </c>
      <c r="AN78" s="22">
        <v>44623</v>
      </c>
      <c r="AO78" s="26">
        <f t="shared" ca="1" si="9"/>
        <v>0.18538759166571472</v>
      </c>
      <c r="AP78" s="29">
        <v>0</v>
      </c>
      <c r="AR78" s="22">
        <v>44623</v>
      </c>
      <c r="AS78" s="26">
        <f t="shared" ca="1" si="10"/>
        <v>0.87537420005825528</v>
      </c>
      <c r="AT78" s="29">
        <v>0</v>
      </c>
      <c r="AV78" s="22">
        <v>44623</v>
      </c>
      <c r="AW78" s="26">
        <f t="shared" ca="1" si="11"/>
        <v>0.42310040910295177</v>
      </c>
      <c r="AX78" s="29">
        <v>0</v>
      </c>
      <c r="AZ78" s="22">
        <v>44623</v>
      </c>
      <c r="BA78" s="26">
        <f t="shared" ca="1" si="12"/>
        <v>0.89053869330744484</v>
      </c>
      <c r="BB78" s="29">
        <v>0</v>
      </c>
      <c r="BC78"/>
      <c r="BD78" s="25"/>
      <c r="BF78" s="22">
        <v>44623</v>
      </c>
      <c r="BG78" s="26">
        <f t="shared" ca="1" si="13"/>
        <v>0.98139609173950071</v>
      </c>
      <c r="BH78" s="29">
        <v>0</v>
      </c>
      <c r="BJ78" s="22">
        <v>44623</v>
      </c>
      <c r="BK78" s="26">
        <f t="shared" ca="1" si="14"/>
        <v>0.18086318694312919</v>
      </c>
      <c r="BL78" s="29">
        <v>0</v>
      </c>
      <c r="BN78" s="22">
        <v>44623</v>
      </c>
      <c r="BO78" s="26">
        <f t="shared" ca="1" si="15"/>
        <v>0.96162363586592248</v>
      </c>
      <c r="BP78" s="29">
        <v>0</v>
      </c>
      <c r="BR78" s="22">
        <v>44623</v>
      </c>
      <c r="BS78" s="26">
        <f t="shared" ca="1" si="16"/>
        <v>0.22997000372999699</v>
      </c>
      <c r="BT78" s="29">
        <v>0</v>
      </c>
      <c r="BV78" s="22">
        <v>44623</v>
      </c>
      <c r="BW78" s="26">
        <f t="shared" ca="1" si="17"/>
        <v>0.14288251252669359</v>
      </c>
      <c r="BX78" s="29">
        <v>0</v>
      </c>
    </row>
    <row r="79" spans="2:77" ht="12.75" x14ac:dyDescent="0.2">
      <c r="B79" s="22">
        <v>44624</v>
      </c>
      <c r="C79" s="26">
        <f t="shared" ca="1" si="0"/>
        <v>0.77703030757064495</v>
      </c>
      <c r="D79" s="29">
        <f t="shared" ca="1" si="19"/>
        <v>91</v>
      </c>
      <c r="F79" s="22">
        <v>44624</v>
      </c>
      <c r="G79" s="26">
        <f t="shared" ca="1" si="1"/>
        <v>0.82915386541448066</v>
      </c>
      <c r="H79" s="29">
        <v>0</v>
      </c>
      <c r="J79" s="22">
        <v>44624</v>
      </c>
      <c r="K79" s="26">
        <f t="shared" ca="1" si="2"/>
        <v>0.2777818077013311</v>
      </c>
      <c r="L79" s="29">
        <v>0</v>
      </c>
      <c r="N79" s="22">
        <v>44624</v>
      </c>
      <c r="O79" s="26">
        <f t="shared" ca="1" si="3"/>
        <v>0.44125211054870539</v>
      </c>
      <c r="P79" s="29">
        <v>0</v>
      </c>
      <c r="R79" s="22">
        <v>44624</v>
      </c>
      <c r="S79" s="26">
        <f t="shared" ca="1" si="4"/>
        <v>0.61387549588949852</v>
      </c>
      <c r="T79" s="29">
        <v>0</v>
      </c>
      <c r="V79" s="22">
        <v>44624</v>
      </c>
      <c r="W79" s="26">
        <f t="shared" ca="1" si="5"/>
        <v>0.8452123956696016</v>
      </c>
      <c r="X79" s="29">
        <v>0</v>
      </c>
      <c r="Z79" s="22">
        <v>44624</v>
      </c>
      <c r="AA79" s="26">
        <f t="shared" ca="1" si="6"/>
        <v>0.70101573332042277</v>
      </c>
      <c r="AB79" s="29">
        <v>0</v>
      </c>
      <c r="AC79"/>
      <c r="AD79" s="25"/>
      <c r="AF79" s="22">
        <v>44624</v>
      </c>
      <c r="AG79" s="26">
        <f t="shared" ca="1" si="7"/>
        <v>0.27585760878243581</v>
      </c>
      <c r="AH79" s="29">
        <v>0</v>
      </c>
      <c r="AJ79" s="22">
        <v>44624</v>
      </c>
      <c r="AK79" s="26">
        <f t="shared" ca="1" si="8"/>
        <v>0.70871145587066153</v>
      </c>
      <c r="AL79" s="29">
        <v>0</v>
      </c>
      <c r="AN79" s="22">
        <v>44624</v>
      </c>
      <c r="AO79" s="26">
        <f t="shared" ca="1" si="9"/>
        <v>8.1951394648321685E-2</v>
      </c>
      <c r="AP79" s="29">
        <v>0</v>
      </c>
      <c r="AR79" s="22">
        <v>44624</v>
      </c>
      <c r="AS79" s="26">
        <f t="shared" ca="1" si="10"/>
        <v>0.86585613370841696</v>
      </c>
      <c r="AT79" s="29">
        <v>0</v>
      </c>
      <c r="AV79" s="22">
        <v>44624</v>
      </c>
      <c r="AW79" s="26">
        <f t="shared" ca="1" si="11"/>
        <v>0.33324796458989248</v>
      </c>
      <c r="AX79" s="29">
        <v>0</v>
      </c>
      <c r="AZ79" s="22">
        <v>44624</v>
      </c>
      <c r="BA79" s="26">
        <f t="shared" ca="1" si="12"/>
        <v>0.75103938834582384</v>
      </c>
      <c r="BB79" s="29">
        <v>0</v>
      </c>
      <c r="BC79"/>
      <c r="BD79" s="25"/>
      <c r="BF79" s="22">
        <v>44624</v>
      </c>
      <c r="BG79" s="26">
        <f t="shared" ca="1" si="13"/>
        <v>0.83338912679113897</v>
      </c>
      <c r="BH79" s="29">
        <v>0</v>
      </c>
      <c r="BJ79" s="22">
        <v>44624</v>
      </c>
      <c r="BK79" s="26">
        <f t="shared" ca="1" si="14"/>
        <v>0.38508722691034214</v>
      </c>
      <c r="BL79" s="29">
        <v>0</v>
      </c>
      <c r="BN79" s="22">
        <v>44624</v>
      </c>
      <c r="BO79" s="26">
        <f t="shared" ca="1" si="15"/>
        <v>0.16825276156057056</v>
      </c>
      <c r="BP79" s="29">
        <v>0</v>
      </c>
      <c r="BR79" s="22">
        <v>44624</v>
      </c>
      <c r="BS79" s="26">
        <f t="shared" ca="1" si="16"/>
        <v>0.70001550021178138</v>
      </c>
      <c r="BT79" s="29">
        <v>0</v>
      </c>
      <c r="BV79" s="22">
        <v>44624</v>
      </c>
      <c r="BW79" s="26">
        <f t="shared" ca="1" si="17"/>
        <v>1.6288903544486755E-2</v>
      </c>
      <c r="BX79" s="29">
        <v>0</v>
      </c>
    </row>
    <row r="80" spans="2:77" ht="12.75" x14ac:dyDescent="0.2">
      <c r="B80" s="22">
        <v>44625</v>
      </c>
      <c r="C80" s="26">
        <f t="shared" ca="1" si="0"/>
        <v>0.80339731917565838</v>
      </c>
      <c r="D80" s="29">
        <f t="shared" ca="1" si="19"/>
        <v>93</v>
      </c>
      <c r="F80" s="22">
        <v>44625</v>
      </c>
      <c r="G80" s="26">
        <f t="shared" ca="1" si="1"/>
        <v>0.50582539249086123</v>
      </c>
      <c r="H80" s="29">
        <v>0</v>
      </c>
      <c r="J80" s="22">
        <v>44625</v>
      </c>
      <c r="K80" s="26">
        <f t="shared" ca="1" si="2"/>
        <v>0.50991308928489065</v>
      </c>
      <c r="L80" s="29">
        <v>0</v>
      </c>
      <c r="N80" s="22">
        <v>44625</v>
      </c>
      <c r="O80" s="26">
        <f t="shared" ca="1" si="3"/>
        <v>7.2867361666640207E-2</v>
      </c>
      <c r="P80" s="29">
        <v>0</v>
      </c>
      <c r="R80" s="22">
        <v>44625</v>
      </c>
      <c r="S80" s="26">
        <f t="shared" ca="1" si="4"/>
        <v>0.17826009831427714</v>
      </c>
      <c r="T80" s="29">
        <v>0</v>
      </c>
      <c r="V80" s="22">
        <v>44625</v>
      </c>
      <c r="W80" s="26">
        <f t="shared" ca="1" si="5"/>
        <v>0.28027881955857148</v>
      </c>
      <c r="X80" s="29">
        <v>0</v>
      </c>
      <c r="Z80" s="22">
        <v>44625</v>
      </c>
      <c r="AA80" s="26">
        <f t="shared" ca="1" si="6"/>
        <v>0.47882187603932047</v>
      </c>
      <c r="AB80" s="29">
        <v>0</v>
      </c>
      <c r="AC80"/>
      <c r="AD80" s="25"/>
      <c r="AF80" s="22">
        <v>44625</v>
      </c>
      <c r="AG80" s="26">
        <f t="shared" ca="1" si="7"/>
        <v>5.403427125785254E-2</v>
      </c>
      <c r="AH80" s="29">
        <v>0</v>
      </c>
      <c r="AJ80" s="22">
        <v>44625</v>
      </c>
      <c r="AK80" s="26">
        <f t="shared" ca="1" si="8"/>
        <v>0.64526133969091259</v>
      </c>
      <c r="AL80" s="29">
        <v>0</v>
      </c>
      <c r="AN80" s="22">
        <v>44625</v>
      </c>
      <c r="AO80" s="26">
        <f t="shared" ca="1" si="9"/>
        <v>0.74179276750163958</v>
      </c>
      <c r="AP80" s="29">
        <v>0</v>
      </c>
      <c r="AR80" s="22">
        <v>44625</v>
      </c>
      <c r="AS80" s="26">
        <f t="shared" ca="1" si="10"/>
        <v>0.68090975843342416</v>
      </c>
      <c r="AT80" s="29">
        <v>0</v>
      </c>
      <c r="AV80" s="22">
        <v>44625</v>
      </c>
      <c r="AW80" s="26">
        <f t="shared" ca="1" si="11"/>
        <v>0.79130561747580486</v>
      </c>
      <c r="AX80" s="29">
        <v>0</v>
      </c>
      <c r="AZ80" s="22">
        <v>44625</v>
      </c>
      <c r="BA80" s="26">
        <f t="shared" ca="1" si="12"/>
        <v>0.42090701732737479</v>
      </c>
      <c r="BB80" s="29">
        <v>0</v>
      </c>
      <c r="BC80"/>
      <c r="BD80" s="25"/>
      <c r="BF80" s="22">
        <v>44625</v>
      </c>
      <c r="BG80" s="26">
        <f t="shared" ca="1" si="13"/>
        <v>0.50772236126254555</v>
      </c>
      <c r="BH80" s="29">
        <v>0</v>
      </c>
      <c r="BJ80" s="22">
        <v>44625</v>
      </c>
      <c r="BK80" s="26">
        <f t="shared" ca="1" si="14"/>
        <v>0.61581566974636359</v>
      </c>
      <c r="BL80" s="29">
        <v>0</v>
      </c>
      <c r="BN80" s="22">
        <v>44625</v>
      </c>
      <c r="BO80" s="26">
        <f t="shared" ca="1" si="15"/>
        <v>0.50347178870708853</v>
      </c>
      <c r="BP80" s="29">
        <v>0</v>
      </c>
      <c r="BR80" s="22">
        <v>44625</v>
      </c>
      <c r="BS80" s="26">
        <f t="shared" ca="1" si="16"/>
        <v>0.4812360724352448</v>
      </c>
      <c r="BT80" s="29">
        <v>0</v>
      </c>
      <c r="BV80" s="22">
        <v>44625</v>
      </c>
      <c r="BW80" s="26">
        <f t="shared" ca="1" si="17"/>
        <v>0.68448797486557267</v>
      </c>
      <c r="BX80" s="29">
        <v>0</v>
      </c>
    </row>
    <row r="81" spans="2:76" ht="12.75" x14ac:dyDescent="0.2">
      <c r="B81" s="22">
        <v>44626</v>
      </c>
      <c r="C81" s="26">
        <f t="shared" ca="1" si="0"/>
        <v>0.91636277537775856</v>
      </c>
      <c r="D81" s="29">
        <f t="shared" ca="1" si="19"/>
        <v>103</v>
      </c>
      <c r="F81" s="22">
        <v>44626</v>
      </c>
      <c r="G81" s="26">
        <f t="shared" ca="1" si="1"/>
        <v>0.81801512524617837</v>
      </c>
      <c r="H81" s="29">
        <v>0</v>
      </c>
      <c r="J81" s="22">
        <v>44626</v>
      </c>
      <c r="K81" s="26">
        <f t="shared" ca="1" si="2"/>
        <v>0.22738113710072427</v>
      </c>
      <c r="L81" s="29">
        <v>0</v>
      </c>
      <c r="N81" s="22">
        <v>44626</v>
      </c>
      <c r="O81" s="26">
        <f t="shared" ca="1" si="3"/>
        <v>0.16005933527275762</v>
      </c>
      <c r="P81" s="29">
        <v>0</v>
      </c>
      <c r="R81" s="22">
        <v>44626</v>
      </c>
      <c r="S81" s="26">
        <f t="shared" ca="1" si="4"/>
        <v>0.53592788279197856</v>
      </c>
      <c r="T81" s="29">
        <v>0</v>
      </c>
      <c r="V81" s="22">
        <v>44626</v>
      </c>
      <c r="W81" s="26">
        <f t="shared" ca="1" si="5"/>
        <v>0.72130720823356742</v>
      </c>
      <c r="X81" s="29">
        <v>0</v>
      </c>
      <c r="Z81" s="22">
        <v>44626</v>
      </c>
      <c r="AA81" s="26">
        <f t="shared" ca="1" si="6"/>
        <v>0.37344422630091578</v>
      </c>
      <c r="AB81" s="29">
        <v>0</v>
      </c>
      <c r="AC81"/>
      <c r="AD81" s="25"/>
      <c r="AF81" s="22">
        <v>44626</v>
      </c>
      <c r="AG81" s="26">
        <f t="shared" ca="1" si="7"/>
        <v>0.91923125806693329</v>
      </c>
      <c r="AH81" s="29">
        <v>0</v>
      </c>
      <c r="AJ81" s="22">
        <v>44626</v>
      </c>
      <c r="AK81" s="26">
        <f t="shared" ca="1" si="8"/>
        <v>4.6585170792638797E-2</v>
      </c>
      <c r="AL81" s="29">
        <v>0</v>
      </c>
      <c r="AN81" s="22">
        <v>44626</v>
      </c>
      <c r="AO81" s="26">
        <f t="shared" ca="1" si="9"/>
        <v>0.6113114457339448</v>
      </c>
      <c r="AP81" s="29">
        <v>0</v>
      </c>
      <c r="AR81" s="22">
        <v>44626</v>
      </c>
      <c r="AS81" s="26">
        <f t="shared" ca="1" si="10"/>
        <v>7.9390795904075162E-3</v>
      </c>
      <c r="AT81" s="29">
        <v>0</v>
      </c>
      <c r="AV81" s="22">
        <v>44626</v>
      </c>
      <c r="AW81" s="26">
        <f t="shared" ca="1" si="11"/>
        <v>0.11751263212014618</v>
      </c>
      <c r="AX81" s="29">
        <v>0</v>
      </c>
      <c r="AZ81" s="22">
        <v>44626</v>
      </c>
      <c r="BA81" s="26">
        <f t="shared" ca="1" si="12"/>
        <v>0.27519099196784802</v>
      </c>
      <c r="BB81" s="29">
        <v>0</v>
      </c>
      <c r="BC81"/>
      <c r="BD81" s="25"/>
      <c r="BF81" s="22">
        <v>44626</v>
      </c>
      <c r="BG81" s="26">
        <f t="shared" ca="1" si="13"/>
        <v>0.56976659637913829</v>
      </c>
      <c r="BH81" s="29">
        <v>0</v>
      </c>
      <c r="BJ81" s="22">
        <v>44626</v>
      </c>
      <c r="BK81" s="26">
        <f t="shared" ca="1" si="14"/>
        <v>0.30686717785740625</v>
      </c>
      <c r="BL81" s="29">
        <v>0</v>
      </c>
      <c r="BN81" s="22">
        <v>44626</v>
      </c>
      <c r="BO81" s="26">
        <f t="shared" ca="1" si="15"/>
        <v>0.88099445148354061</v>
      </c>
      <c r="BP81" s="29">
        <v>0</v>
      </c>
      <c r="BR81" s="22">
        <v>44626</v>
      </c>
      <c r="BS81" s="26">
        <f t="shared" ca="1" si="16"/>
        <v>0.48563125676268304</v>
      </c>
      <c r="BT81" s="29">
        <v>0</v>
      </c>
      <c r="BV81" s="22">
        <v>44626</v>
      </c>
      <c r="BW81" s="26">
        <f t="shared" ca="1" si="17"/>
        <v>1.4755393986814247E-2</v>
      </c>
      <c r="BX81" s="29">
        <v>0</v>
      </c>
    </row>
    <row r="82" spans="2:76" ht="12.75" x14ac:dyDescent="0.2">
      <c r="B82" s="22">
        <v>44627</v>
      </c>
      <c r="C82" s="26">
        <f t="shared" ca="1" si="0"/>
        <v>0.71083799855727181</v>
      </c>
      <c r="D82" s="29">
        <f t="shared" ref="D82:D145" ca="1" si="22">ROUNDUP(_xlfn.NORM.INV(C82,C$10,C$12),0)</f>
        <v>87</v>
      </c>
      <c r="F82" s="22">
        <v>44627</v>
      </c>
      <c r="G82" s="26">
        <f t="shared" ca="1" si="1"/>
        <v>0.48426524774115687</v>
      </c>
      <c r="H82" s="29">
        <v>0</v>
      </c>
      <c r="J82" s="22">
        <v>44627</v>
      </c>
      <c r="K82" s="26">
        <f t="shared" ca="1" si="2"/>
        <v>0.62291825272646495</v>
      </c>
      <c r="L82" s="29">
        <v>0</v>
      </c>
      <c r="N82" s="22">
        <v>44627</v>
      </c>
      <c r="O82" s="26">
        <f t="shared" ca="1" si="3"/>
        <v>0.65856744465520878</v>
      </c>
      <c r="P82" s="29">
        <v>0</v>
      </c>
      <c r="R82" s="22">
        <v>44627</v>
      </c>
      <c r="S82" s="26">
        <f t="shared" ca="1" si="4"/>
        <v>0.77637742325821379</v>
      </c>
      <c r="T82" s="29">
        <v>0</v>
      </c>
      <c r="V82" s="22">
        <v>44627</v>
      </c>
      <c r="W82" s="26">
        <f t="shared" ca="1" si="5"/>
        <v>0.50439865517119553</v>
      </c>
      <c r="X82" s="29">
        <v>0</v>
      </c>
      <c r="Z82" s="22">
        <v>44627</v>
      </c>
      <c r="AA82" s="26">
        <f t="shared" ca="1" si="6"/>
        <v>0.86231347626587174</v>
      </c>
      <c r="AB82" s="29">
        <v>0</v>
      </c>
      <c r="AC82"/>
      <c r="AD82" s="25"/>
      <c r="AF82" s="22">
        <v>44627</v>
      </c>
      <c r="AG82" s="26">
        <f t="shared" ca="1" si="7"/>
        <v>3.0644802656037085E-2</v>
      </c>
      <c r="AH82" s="29">
        <v>0</v>
      </c>
      <c r="AJ82" s="22">
        <v>44627</v>
      </c>
      <c r="AK82" s="26">
        <f t="shared" ca="1" si="8"/>
        <v>0.42856362058728126</v>
      </c>
      <c r="AL82" s="29">
        <v>0</v>
      </c>
      <c r="AN82" s="22">
        <v>44627</v>
      </c>
      <c r="AO82" s="26">
        <f t="shared" ca="1" si="9"/>
        <v>0.11261803722929087</v>
      </c>
      <c r="AP82" s="29">
        <v>0</v>
      </c>
      <c r="AR82" s="22">
        <v>44627</v>
      </c>
      <c r="AS82" s="26">
        <f t="shared" ca="1" si="10"/>
        <v>0.56615454681167876</v>
      </c>
      <c r="AT82" s="29">
        <v>0</v>
      </c>
      <c r="AV82" s="22">
        <v>44627</v>
      </c>
      <c r="AW82" s="26">
        <f t="shared" ca="1" si="11"/>
        <v>0.10639513144727719</v>
      </c>
      <c r="AX82" s="29">
        <v>0</v>
      </c>
      <c r="AZ82" s="22">
        <v>44627</v>
      </c>
      <c r="BA82" s="26">
        <f t="shared" ca="1" si="12"/>
        <v>0.10254760172354305</v>
      </c>
      <c r="BB82" s="29">
        <v>0</v>
      </c>
      <c r="BC82"/>
      <c r="BD82" s="25"/>
      <c r="BF82" s="22">
        <v>44627</v>
      </c>
      <c r="BG82" s="26">
        <f t="shared" ca="1" si="13"/>
        <v>9.9582354823385955E-2</v>
      </c>
      <c r="BH82" s="29">
        <v>0</v>
      </c>
      <c r="BJ82" s="22">
        <v>44627</v>
      </c>
      <c r="BK82" s="26">
        <f t="shared" ca="1" si="14"/>
        <v>0.8963052817217928</v>
      </c>
      <c r="BL82" s="29">
        <v>0</v>
      </c>
      <c r="BN82" s="22">
        <v>44627</v>
      </c>
      <c r="BO82" s="26">
        <f t="shared" ca="1" si="15"/>
        <v>0.32871134546071834</v>
      </c>
      <c r="BP82" s="29">
        <v>0</v>
      </c>
      <c r="BR82" s="22">
        <v>44627</v>
      </c>
      <c r="BS82" s="26">
        <f t="shared" ca="1" si="16"/>
        <v>0.57245336370759781</v>
      </c>
      <c r="BT82" s="29">
        <v>0</v>
      </c>
      <c r="BV82" s="22">
        <v>44627</v>
      </c>
      <c r="BW82" s="26">
        <f t="shared" ca="1" si="17"/>
        <v>0.13886752601972308</v>
      </c>
      <c r="BX82" s="29">
        <v>0</v>
      </c>
    </row>
    <row r="83" spans="2:76" ht="12.75" x14ac:dyDescent="0.2">
      <c r="B83" s="22">
        <v>44628</v>
      </c>
      <c r="C83" s="26">
        <f t="shared" ca="1" si="0"/>
        <v>0.13871080744264574</v>
      </c>
      <c r="D83" s="29">
        <f t="shared" ca="1" si="22"/>
        <v>54</v>
      </c>
      <c r="F83" s="22">
        <v>44628</v>
      </c>
      <c r="G83" s="26">
        <f t="shared" ca="1" si="1"/>
        <v>0.84892445891098289</v>
      </c>
      <c r="H83" s="29">
        <v>0</v>
      </c>
      <c r="J83" s="22">
        <v>44628</v>
      </c>
      <c r="K83" s="26">
        <f t="shared" ca="1" si="2"/>
        <v>0.17773177532797446</v>
      </c>
      <c r="L83" s="29">
        <v>0</v>
      </c>
      <c r="N83" s="22">
        <v>44628</v>
      </c>
      <c r="O83" s="26">
        <f t="shared" ca="1" si="3"/>
        <v>0.712665943980056</v>
      </c>
      <c r="P83" s="29">
        <v>0</v>
      </c>
      <c r="R83" s="22">
        <v>44628</v>
      </c>
      <c r="S83" s="26">
        <f t="shared" ca="1" si="4"/>
        <v>0.28542942514921321</v>
      </c>
      <c r="T83" s="29">
        <v>0</v>
      </c>
      <c r="V83" s="22">
        <v>44628</v>
      </c>
      <c r="W83" s="26">
        <f t="shared" ca="1" si="5"/>
        <v>0.5981895713907105</v>
      </c>
      <c r="X83" s="29">
        <v>0</v>
      </c>
      <c r="Z83" s="22">
        <v>44628</v>
      </c>
      <c r="AA83" s="26">
        <f t="shared" ca="1" si="6"/>
        <v>0.73564257899901031</v>
      </c>
      <c r="AB83" s="29">
        <v>0</v>
      </c>
      <c r="AC83"/>
      <c r="AD83" s="25"/>
      <c r="AF83" s="22">
        <v>44628</v>
      </c>
      <c r="AG83" s="26">
        <f t="shared" ca="1" si="7"/>
        <v>0.72291552593640596</v>
      </c>
      <c r="AH83" s="29">
        <v>0</v>
      </c>
      <c r="AJ83" s="22">
        <v>44628</v>
      </c>
      <c r="AK83" s="26">
        <f t="shared" ca="1" si="8"/>
        <v>0.54657483392560358</v>
      </c>
      <c r="AL83" s="29">
        <v>0</v>
      </c>
      <c r="AN83" s="22">
        <v>44628</v>
      </c>
      <c r="AO83" s="26">
        <f t="shared" ca="1" si="9"/>
        <v>0.93477879842788336</v>
      </c>
      <c r="AP83" s="29">
        <v>0</v>
      </c>
      <c r="AR83" s="22">
        <v>44628</v>
      </c>
      <c r="AS83" s="26">
        <f t="shared" ca="1" si="10"/>
        <v>0.35663209921697381</v>
      </c>
      <c r="AT83" s="29">
        <v>0</v>
      </c>
      <c r="AV83" s="22">
        <v>44628</v>
      </c>
      <c r="AW83" s="26">
        <f t="shared" ca="1" si="11"/>
        <v>0.63211199574853616</v>
      </c>
      <c r="AX83" s="29">
        <v>0</v>
      </c>
      <c r="AZ83" s="22">
        <v>44628</v>
      </c>
      <c r="BA83" s="26">
        <f t="shared" ca="1" si="12"/>
        <v>0.58874339107315155</v>
      </c>
      <c r="BB83" s="29">
        <v>0</v>
      </c>
      <c r="BC83"/>
      <c r="BD83" s="25"/>
      <c r="BF83" s="22">
        <v>44628</v>
      </c>
      <c r="BG83" s="26">
        <f t="shared" ca="1" si="13"/>
        <v>8.7051921145171129E-2</v>
      </c>
      <c r="BH83" s="29">
        <v>0</v>
      </c>
      <c r="BJ83" s="22">
        <v>44628</v>
      </c>
      <c r="BK83" s="26">
        <f t="shared" ca="1" si="14"/>
        <v>0.91458188124826345</v>
      </c>
      <c r="BL83" s="29">
        <v>0</v>
      </c>
      <c r="BN83" s="22">
        <v>44628</v>
      </c>
      <c r="BO83" s="26">
        <f t="shared" ca="1" si="15"/>
        <v>0.11044448290547326</v>
      </c>
      <c r="BP83" s="29">
        <v>0</v>
      </c>
      <c r="BR83" s="22">
        <v>44628</v>
      </c>
      <c r="BS83" s="26">
        <f t="shared" ca="1" si="16"/>
        <v>0.6675825490049464</v>
      </c>
      <c r="BT83" s="29">
        <v>0</v>
      </c>
      <c r="BV83" s="22">
        <v>44628</v>
      </c>
      <c r="BW83" s="26">
        <f t="shared" ca="1" si="17"/>
        <v>0.42382779984651919</v>
      </c>
      <c r="BX83" s="29">
        <v>0</v>
      </c>
    </row>
    <row r="84" spans="2:76" ht="12.75" x14ac:dyDescent="0.2">
      <c r="B84" s="22">
        <v>44629</v>
      </c>
      <c r="C84" s="26">
        <f t="shared" ca="1" si="0"/>
        <v>0.15541828400847524</v>
      </c>
      <c r="D84" s="29">
        <f t="shared" ca="1" si="22"/>
        <v>55</v>
      </c>
      <c r="F84" s="22">
        <v>44629</v>
      </c>
      <c r="G84" s="26">
        <f t="shared" ca="1" si="1"/>
        <v>0.78134084913249291</v>
      </c>
      <c r="H84" s="29">
        <v>0</v>
      </c>
      <c r="J84" s="22">
        <v>44629</v>
      </c>
      <c r="K84" s="26">
        <f t="shared" ca="1" si="2"/>
        <v>0.98233548146916838</v>
      </c>
      <c r="L84" s="29">
        <v>0</v>
      </c>
      <c r="N84" s="22">
        <v>44629</v>
      </c>
      <c r="O84" s="26">
        <f t="shared" ca="1" si="3"/>
        <v>0.46015342991347397</v>
      </c>
      <c r="P84" s="29">
        <v>0</v>
      </c>
      <c r="R84" s="22">
        <v>44629</v>
      </c>
      <c r="S84" s="26">
        <f t="shared" ca="1" si="4"/>
        <v>0.56869180358944271</v>
      </c>
      <c r="T84" s="29">
        <v>0</v>
      </c>
      <c r="V84" s="22">
        <v>44629</v>
      </c>
      <c r="W84" s="26">
        <f t="shared" ca="1" si="5"/>
        <v>0.93761784746197574</v>
      </c>
      <c r="X84" s="29">
        <v>0</v>
      </c>
      <c r="Z84" s="22">
        <v>44629</v>
      </c>
      <c r="AA84" s="26">
        <f t="shared" ca="1" si="6"/>
        <v>0.80739938005585543</v>
      </c>
      <c r="AB84" s="29">
        <v>0</v>
      </c>
      <c r="AC84"/>
      <c r="AD84" s="25"/>
      <c r="AF84" s="22">
        <v>44629</v>
      </c>
      <c r="AG84" s="26">
        <f t="shared" ca="1" si="7"/>
        <v>0.99877431118149773</v>
      </c>
      <c r="AH84" s="29">
        <v>0</v>
      </c>
      <c r="AJ84" s="22">
        <v>44629</v>
      </c>
      <c r="AK84" s="26">
        <f t="shared" ca="1" si="8"/>
        <v>0.48477466892830068</v>
      </c>
      <c r="AL84" s="29">
        <v>0</v>
      </c>
      <c r="AN84" s="22">
        <v>44629</v>
      </c>
      <c r="AO84" s="26">
        <f t="shared" ca="1" si="9"/>
        <v>0.66233158516385471</v>
      </c>
      <c r="AP84" s="29">
        <v>0</v>
      </c>
      <c r="AR84" s="22">
        <v>44629</v>
      </c>
      <c r="AS84" s="26">
        <f t="shared" ca="1" si="10"/>
        <v>0.82496244129592899</v>
      </c>
      <c r="AT84" s="29">
        <v>0</v>
      </c>
      <c r="AV84" s="22">
        <v>44629</v>
      </c>
      <c r="AW84" s="26">
        <f t="shared" ca="1" si="11"/>
        <v>0.77531091693059195</v>
      </c>
      <c r="AX84" s="29">
        <v>0</v>
      </c>
      <c r="AZ84" s="22">
        <v>44629</v>
      </c>
      <c r="BA84" s="26">
        <f t="shared" ca="1" si="12"/>
        <v>0.3919984806252762</v>
      </c>
      <c r="BB84" s="29">
        <v>0</v>
      </c>
      <c r="BC84"/>
      <c r="BD84" s="25"/>
      <c r="BF84" s="22">
        <v>44629</v>
      </c>
      <c r="BG84" s="26">
        <f t="shared" ca="1" si="13"/>
        <v>0.61829063383906346</v>
      </c>
      <c r="BH84" s="29">
        <v>0</v>
      </c>
      <c r="BJ84" s="22">
        <v>44629</v>
      </c>
      <c r="BK84" s="26">
        <f t="shared" ca="1" si="14"/>
        <v>0.1148946957694541</v>
      </c>
      <c r="BL84" s="29">
        <v>0</v>
      </c>
      <c r="BN84" s="22">
        <v>44629</v>
      </c>
      <c r="BO84" s="26">
        <f t="shared" ca="1" si="15"/>
        <v>0.31610460201817703</v>
      </c>
      <c r="BP84" s="29">
        <v>0</v>
      </c>
      <c r="BR84" s="22">
        <v>44629</v>
      </c>
      <c r="BS84" s="26">
        <f t="shared" ca="1" si="16"/>
        <v>0.83630688146893928</v>
      </c>
      <c r="BT84" s="29">
        <v>0</v>
      </c>
      <c r="BV84" s="22">
        <v>44629</v>
      </c>
      <c r="BW84" s="26">
        <f t="shared" ca="1" si="17"/>
        <v>0.92727785298040066</v>
      </c>
      <c r="BX84" s="29">
        <v>0</v>
      </c>
    </row>
    <row r="85" spans="2:76" ht="12.75" x14ac:dyDescent="0.2">
      <c r="B85" s="22">
        <v>44630</v>
      </c>
      <c r="C85" s="26">
        <f t="shared" ca="1" si="0"/>
        <v>0.40100739728879387</v>
      </c>
      <c r="D85" s="29">
        <f t="shared" ca="1" si="22"/>
        <v>70</v>
      </c>
      <c r="F85" s="22">
        <v>44630</v>
      </c>
      <c r="G85" s="26">
        <f t="shared" ca="1" si="1"/>
        <v>0.51810714868985341</v>
      </c>
      <c r="H85" s="29">
        <v>0</v>
      </c>
      <c r="J85" s="22">
        <v>44630</v>
      </c>
      <c r="K85" s="26">
        <f t="shared" ca="1" si="2"/>
        <v>0.74429849023750538</v>
      </c>
      <c r="L85" s="29">
        <v>0</v>
      </c>
      <c r="N85" s="22">
        <v>44630</v>
      </c>
      <c r="O85" s="26">
        <f t="shared" ca="1" si="3"/>
        <v>0.68468417311206398</v>
      </c>
      <c r="P85" s="29">
        <v>0</v>
      </c>
      <c r="R85" s="22">
        <v>44630</v>
      </c>
      <c r="S85" s="26">
        <f t="shared" ca="1" si="4"/>
        <v>0.27653068311296869</v>
      </c>
      <c r="T85" s="29">
        <v>0</v>
      </c>
      <c r="V85" s="22">
        <v>44630</v>
      </c>
      <c r="W85" s="26">
        <f t="shared" ca="1" si="5"/>
        <v>6.5325218845592947E-2</v>
      </c>
      <c r="X85" s="29">
        <v>0</v>
      </c>
      <c r="Z85" s="22">
        <v>44630</v>
      </c>
      <c r="AA85" s="26">
        <f t="shared" ca="1" si="6"/>
        <v>0.89852272266945188</v>
      </c>
      <c r="AB85" s="29">
        <v>0</v>
      </c>
      <c r="AC85"/>
      <c r="AD85" s="25"/>
      <c r="AF85" s="22">
        <v>44630</v>
      </c>
      <c r="AG85" s="26">
        <f t="shared" ca="1" si="7"/>
        <v>0.46665944746591925</v>
      </c>
      <c r="AH85" s="29">
        <v>0</v>
      </c>
      <c r="AJ85" s="22">
        <v>44630</v>
      </c>
      <c r="AK85" s="26">
        <f t="shared" ca="1" si="8"/>
        <v>0.87429227080587801</v>
      </c>
      <c r="AL85" s="29">
        <v>0</v>
      </c>
      <c r="AN85" s="22">
        <v>44630</v>
      </c>
      <c r="AO85" s="26">
        <f t="shared" ca="1" si="9"/>
        <v>0.89902151804822983</v>
      </c>
      <c r="AP85" s="29">
        <v>0</v>
      </c>
      <c r="AR85" s="22">
        <v>44630</v>
      </c>
      <c r="AS85" s="26">
        <f t="shared" ca="1" si="10"/>
        <v>6.8557399558318299E-2</v>
      </c>
      <c r="AT85" s="29">
        <v>0</v>
      </c>
      <c r="AV85" s="22">
        <v>44630</v>
      </c>
      <c r="AW85" s="26">
        <f t="shared" ca="1" si="11"/>
        <v>0.53460955408288802</v>
      </c>
      <c r="AX85" s="29">
        <v>0</v>
      </c>
      <c r="AZ85" s="22">
        <v>44630</v>
      </c>
      <c r="BA85" s="26">
        <f t="shared" ca="1" si="12"/>
        <v>0.34168736207499262</v>
      </c>
      <c r="BB85" s="29">
        <v>0</v>
      </c>
      <c r="BC85"/>
      <c r="BD85" s="25"/>
      <c r="BF85" s="22">
        <v>44630</v>
      </c>
      <c r="BG85" s="26">
        <f t="shared" ca="1" si="13"/>
        <v>0.83840983266582558</v>
      </c>
      <c r="BH85" s="29">
        <v>0</v>
      </c>
      <c r="BJ85" s="22">
        <v>44630</v>
      </c>
      <c r="BK85" s="26">
        <f t="shared" ca="1" si="14"/>
        <v>0.30375421672432978</v>
      </c>
      <c r="BL85" s="29">
        <v>0</v>
      </c>
      <c r="BN85" s="22">
        <v>44630</v>
      </c>
      <c r="BO85" s="26">
        <f t="shared" ca="1" si="15"/>
        <v>0.39238664249188127</v>
      </c>
      <c r="BP85" s="29">
        <v>0</v>
      </c>
      <c r="BR85" s="22">
        <v>44630</v>
      </c>
      <c r="BS85" s="26">
        <f t="shared" ca="1" si="16"/>
        <v>0.21083007785018326</v>
      </c>
      <c r="BT85" s="29">
        <v>0</v>
      </c>
      <c r="BV85" s="22">
        <v>44630</v>
      </c>
      <c r="BW85" s="26">
        <f t="shared" ca="1" si="17"/>
        <v>0.57877127529909544</v>
      </c>
      <c r="BX85" s="29">
        <v>0</v>
      </c>
    </row>
    <row r="86" spans="2:76" ht="12.75" x14ac:dyDescent="0.2">
      <c r="B86" s="22">
        <v>44631</v>
      </c>
      <c r="C86" s="26">
        <f t="shared" ca="1" si="0"/>
        <v>0.61581487056338569</v>
      </c>
      <c r="D86" s="29">
        <f t="shared" ca="1" si="22"/>
        <v>81</v>
      </c>
      <c r="F86" s="22">
        <v>44631</v>
      </c>
      <c r="G86" s="26">
        <f t="shared" ca="1" si="1"/>
        <v>0.62017472471662061</v>
      </c>
      <c r="H86" s="29">
        <v>0</v>
      </c>
      <c r="J86" s="22">
        <v>44631</v>
      </c>
      <c r="K86" s="26">
        <f t="shared" ca="1" si="2"/>
        <v>0.22523476241707963</v>
      </c>
      <c r="L86" s="29">
        <v>0</v>
      </c>
      <c r="N86" s="22">
        <v>44631</v>
      </c>
      <c r="O86" s="26">
        <f t="shared" ca="1" si="3"/>
        <v>0.10540743664028185</v>
      </c>
      <c r="P86" s="29">
        <v>0</v>
      </c>
      <c r="R86" s="22">
        <v>44631</v>
      </c>
      <c r="S86" s="26">
        <f t="shared" ca="1" si="4"/>
        <v>0.36012416668914393</v>
      </c>
      <c r="T86" s="29">
        <v>0</v>
      </c>
      <c r="V86" s="22">
        <v>44631</v>
      </c>
      <c r="W86" s="26">
        <f t="shared" ca="1" si="5"/>
        <v>6.5135963489073911E-2</v>
      </c>
      <c r="X86" s="29">
        <v>0</v>
      </c>
      <c r="Z86" s="22">
        <v>44631</v>
      </c>
      <c r="AA86" s="26">
        <f t="shared" ca="1" si="6"/>
        <v>0.74713110239784908</v>
      </c>
      <c r="AB86" s="29">
        <v>0</v>
      </c>
      <c r="AC86"/>
      <c r="AD86" s="25"/>
      <c r="AF86" s="22">
        <v>44631</v>
      </c>
      <c r="AG86" s="26">
        <f t="shared" ca="1" si="7"/>
        <v>0.19717955866092363</v>
      </c>
      <c r="AH86" s="29">
        <v>0</v>
      </c>
      <c r="AJ86" s="22">
        <v>44631</v>
      </c>
      <c r="AK86" s="26">
        <f t="shared" ca="1" si="8"/>
        <v>0.47557451747823942</v>
      </c>
      <c r="AL86" s="29">
        <v>0</v>
      </c>
      <c r="AN86" s="22">
        <v>44631</v>
      </c>
      <c r="AO86" s="26">
        <f t="shared" ca="1" si="9"/>
        <v>2.6151759188518087E-2</v>
      </c>
      <c r="AP86" s="29">
        <v>0</v>
      </c>
      <c r="AR86" s="22">
        <v>44631</v>
      </c>
      <c r="AS86" s="26">
        <f t="shared" ca="1" si="10"/>
        <v>0.87135855219197722</v>
      </c>
      <c r="AT86" s="29">
        <v>0</v>
      </c>
      <c r="AV86" s="22">
        <v>44631</v>
      </c>
      <c r="AW86" s="26">
        <f t="shared" ca="1" si="11"/>
        <v>0.23066713490518498</v>
      </c>
      <c r="AX86" s="29">
        <v>0</v>
      </c>
      <c r="AZ86" s="22">
        <v>44631</v>
      </c>
      <c r="BA86" s="26">
        <f t="shared" ca="1" si="12"/>
        <v>0.72731716726032669</v>
      </c>
      <c r="BB86" s="29">
        <v>0</v>
      </c>
      <c r="BC86"/>
      <c r="BD86" s="25"/>
      <c r="BF86" s="22">
        <v>44631</v>
      </c>
      <c r="BG86" s="26">
        <f t="shared" ca="1" si="13"/>
        <v>0.41718897439059277</v>
      </c>
      <c r="BH86" s="29">
        <v>0</v>
      </c>
      <c r="BJ86" s="22">
        <v>44631</v>
      </c>
      <c r="BK86" s="26">
        <f t="shared" ca="1" si="14"/>
        <v>0.49036917524287638</v>
      </c>
      <c r="BL86" s="29">
        <v>0</v>
      </c>
      <c r="BN86" s="22">
        <v>44631</v>
      </c>
      <c r="BO86" s="26">
        <f t="shared" ca="1" si="15"/>
        <v>0.44940475948673753</v>
      </c>
      <c r="BP86" s="29">
        <v>0</v>
      </c>
      <c r="BR86" s="22">
        <v>44631</v>
      </c>
      <c r="BS86" s="26">
        <f t="shared" ca="1" si="16"/>
        <v>0.97147318176934472</v>
      </c>
      <c r="BT86" s="29">
        <v>0</v>
      </c>
      <c r="BV86" s="22">
        <v>44631</v>
      </c>
      <c r="BW86" s="26">
        <f t="shared" ca="1" si="17"/>
        <v>0.35898056667278277</v>
      </c>
      <c r="BX86" s="29">
        <v>0</v>
      </c>
    </row>
    <row r="87" spans="2:76" ht="12.75" x14ac:dyDescent="0.2">
      <c r="B87" s="22">
        <v>44632</v>
      </c>
      <c r="C87" s="26">
        <f t="shared" ca="1" si="0"/>
        <v>8.1642322238475895E-2</v>
      </c>
      <c r="D87" s="29">
        <f t="shared" ca="1" si="22"/>
        <v>48</v>
      </c>
      <c r="F87" s="22">
        <v>44632</v>
      </c>
      <c r="G87" s="26">
        <f t="shared" ca="1" si="1"/>
        <v>0.15719383569999945</v>
      </c>
      <c r="H87" s="29">
        <v>0</v>
      </c>
      <c r="J87" s="22">
        <v>44632</v>
      </c>
      <c r="K87" s="26">
        <f t="shared" ca="1" si="2"/>
        <v>0.78587267779718695</v>
      </c>
      <c r="L87" s="29">
        <v>0</v>
      </c>
      <c r="N87" s="22">
        <v>44632</v>
      </c>
      <c r="O87" s="26">
        <f t="shared" ca="1" si="3"/>
        <v>0.43251114108868349</v>
      </c>
      <c r="P87" s="29">
        <v>0</v>
      </c>
      <c r="R87" s="22">
        <v>44632</v>
      </c>
      <c r="S87" s="26">
        <f t="shared" ca="1" si="4"/>
        <v>0.82555045224672796</v>
      </c>
      <c r="T87" s="29">
        <v>0</v>
      </c>
      <c r="V87" s="22">
        <v>44632</v>
      </c>
      <c r="W87" s="26">
        <f t="shared" ca="1" si="5"/>
        <v>0.16386836421326212</v>
      </c>
      <c r="X87" s="29">
        <v>0</v>
      </c>
      <c r="Z87" s="22">
        <v>44632</v>
      </c>
      <c r="AA87" s="26">
        <f t="shared" ca="1" si="6"/>
        <v>0.69982436832796968</v>
      </c>
      <c r="AB87" s="29">
        <v>0</v>
      </c>
      <c r="AC87"/>
      <c r="AD87" s="25"/>
      <c r="AF87" s="22">
        <v>44632</v>
      </c>
      <c r="AG87" s="26">
        <f t="shared" ca="1" si="7"/>
        <v>0.33483072103490286</v>
      </c>
      <c r="AH87" s="29">
        <v>0</v>
      </c>
      <c r="AJ87" s="22">
        <v>44632</v>
      </c>
      <c r="AK87" s="26">
        <f t="shared" ca="1" si="8"/>
        <v>0.67545381396757787</v>
      </c>
      <c r="AL87" s="29">
        <v>0</v>
      </c>
      <c r="AN87" s="22">
        <v>44632</v>
      </c>
      <c r="AO87" s="26">
        <f t="shared" ca="1" si="9"/>
        <v>0.7060190047560424</v>
      </c>
      <c r="AP87" s="29">
        <v>0</v>
      </c>
      <c r="AR87" s="22">
        <v>44632</v>
      </c>
      <c r="AS87" s="26">
        <f t="shared" ca="1" si="10"/>
        <v>0.13708075165840727</v>
      </c>
      <c r="AT87" s="29">
        <v>0</v>
      </c>
      <c r="AV87" s="22">
        <v>44632</v>
      </c>
      <c r="AW87" s="26">
        <f t="shared" ca="1" si="11"/>
        <v>0.81670232650013574</v>
      </c>
      <c r="AX87" s="29">
        <v>0</v>
      </c>
      <c r="AZ87" s="22">
        <v>44632</v>
      </c>
      <c r="BA87" s="26">
        <f t="shared" ca="1" si="12"/>
        <v>0.19286511852504162</v>
      </c>
      <c r="BB87" s="29">
        <v>0</v>
      </c>
      <c r="BC87"/>
      <c r="BD87" s="25"/>
      <c r="BF87" s="22">
        <v>44632</v>
      </c>
      <c r="BG87" s="26">
        <f t="shared" ca="1" si="13"/>
        <v>0.11202167743104696</v>
      </c>
      <c r="BH87" s="29">
        <v>0</v>
      </c>
      <c r="BJ87" s="22">
        <v>44632</v>
      </c>
      <c r="BK87" s="26">
        <f t="shared" ca="1" si="14"/>
        <v>0.55293823894220506</v>
      </c>
      <c r="BL87" s="29">
        <v>0</v>
      </c>
      <c r="BN87" s="22">
        <v>44632</v>
      </c>
      <c r="BO87" s="26">
        <f t="shared" ca="1" si="15"/>
        <v>0.60699216990708782</v>
      </c>
      <c r="BP87" s="29">
        <v>0</v>
      </c>
      <c r="BR87" s="22">
        <v>44632</v>
      </c>
      <c r="BS87" s="26">
        <f t="shared" ca="1" si="16"/>
        <v>0.43876563291344106</v>
      </c>
      <c r="BT87" s="29">
        <v>0</v>
      </c>
      <c r="BV87" s="22">
        <v>44632</v>
      </c>
      <c r="BW87" s="26">
        <f t="shared" ca="1" si="17"/>
        <v>0.17820396103863234</v>
      </c>
      <c r="BX87" s="29">
        <v>0</v>
      </c>
    </row>
    <row r="88" spans="2:76" ht="12.75" x14ac:dyDescent="0.2">
      <c r="B88" s="22">
        <v>44633</v>
      </c>
      <c r="C88" s="26">
        <f t="shared" ca="1" si="0"/>
        <v>0.98753873237661882</v>
      </c>
      <c r="D88" s="29">
        <f t="shared" ca="1" si="22"/>
        <v>120</v>
      </c>
      <c r="F88" s="22">
        <v>44633</v>
      </c>
      <c r="G88" s="26">
        <f t="shared" ca="1" si="1"/>
        <v>0.78502060690512432</v>
      </c>
      <c r="H88" s="29">
        <v>0</v>
      </c>
      <c r="J88" s="22">
        <v>44633</v>
      </c>
      <c r="K88" s="26">
        <f t="shared" ca="1" si="2"/>
        <v>0.83054905100582077</v>
      </c>
      <c r="L88" s="29">
        <v>0</v>
      </c>
      <c r="N88" s="22">
        <v>44633</v>
      </c>
      <c r="O88" s="26">
        <f t="shared" ca="1" si="3"/>
        <v>0.26100345576083361</v>
      </c>
      <c r="P88" s="29">
        <v>0</v>
      </c>
      <c r="R88" s="22">
        <v>44633</v>
      </c>
      <c r="S88" s="26">
        <f t="shared" ca="1" si="4"/>
        <v>0.49123255497112461</v>
      </c>
      <c r="T88" s="29">
        <v>0</v>
      </c>
      <c r="V88" s="22">
        <v>44633</v>
      </c>
      <c r="W88" s="26">
        <f t="shared" ca="1" si="5"/>
        <v>0.53575597885937054</v>
      </c>
      <c r="X88" s="29">
        <v>0</v>
      </c>
      <c r="Z88" s="22">
        <v>44633</v>
      </c>
      <c r="AA88" s="26">
        <f t="shared" ca="1" si="6"/>
        <v>0.24953311523277022</v>
      </c>
      <c r="AB88" s="29">
        <v>0</v>
      </c>
      <c r="AC88"/>
      <c r="AD88" s="25"/>
      <c r="AF88" s="22">
        <v>44633</v>
      </c>
      <c r="AG88" s="26">
        <f t="shared" ca="1" si="7"/>
        <v>0.59010307691155073</v>
      </c>
      <c r="AH88" s="29">
        <v>0</v>
      </c>
      <c r="AJ88" s="22">
        <v>44633</v>
      </c>
      <c r="AK88" s="26">
        <f t="shared" ca="1" si="8"/>
        <v>0.35218740020841932</v>
      </c>
      <c r="AL88" s="29">
        <v>0</v>
      </c>
      <c r="AN88" s="22">
        <v>44633</v>
      </c>
      <c r="AO88" s="26">
        <f t="shared" ca="1" si="9"/>
        <v>0.20962830698906443</v>
      </c>
      <c r="AP88" s="29">
        <v>0</v>
      </c>
      <c r="AR88" s="22">
        <v>44633</v>
      </c>
      <c r="AS88" s="26">
        <f t="shared" ca="1" si="10"/>
        <v>0.49698466315635081</v>
      </c>
      <c r="AT88" s="29">
        <v>0</v>
      </c>
      <c r="AV88" s="22">
        <v>44633</v>
      </c>
      <c r="AW88" s="26">
        <f t="shared" ca="1" si="11"/>
        <v>0.59393121315846531</v>
      </c>
      <c r="AX88" s="29">
        <v>0</v>
      </c>
      <c r="AZ88" s="22">
        <v>44633</v>
      </c>
      <c r="BA88" s="26">
        <f t="shared" ca="1" si="12"/>
        <v>0.78546897243516245</v>
      </c>
      <c r="BB88" s="29">
        <v>0</v>
      </c>
      <c r="BC88"/>
      <c r="BD88" s="25"/>
      <c r="BF88" s="22">
        <v>44633</v>
      </c>
      <c r="BG88" s="26">
        <f t="shared" ca="1" si="13"/>
        <v>0.92549451073296674</v>
      </c>
      <c r="BH88" s="29">
        <v>0</v>
      </c>
      <c r="BJ88" s="22">
        <v>44633</v>
      </c>
      <c r="BK88" s="26">
        <f t="shared" ca="1" si="14"/>
        <v>0.47315943734755161</v>
      </c>
      <c r="BL88" s="29">
        <v>0</v>
      </c>
      <c r="BN88" s="22">
        <v>44633</v>
      </c>
      <c r="BO88" s="26">
        <f t="shared" ca="1" si="15"/>
        <v>0.44534908394332773</v>
      </c>
      <c r="BP88" s="29">
        <v>0</v>
      </c>
      <c r="BR88" s="22">
        <v>44633</v>
      </c>
      <c r="BS88" s="26">
        <f t="shared" ca="1" si="16"/>
        <v>0.23499340114558076</v>
      </c>
      <c r="BT88" s="29">
        <v>0</v>
      </c>
      <c r="BV88" s="22">
        <v>44633</v>
      </c>
      <c r="BW88" s="26">
        <f t="shared" ca="1" si="17"/>
        <v>0.8615056513659054</v>
      </c>
      <c r="BX88" s="29">
        <v>0</v>
      </c>
    </row>
    <row r="89" spans="2:76" ht="12.75" x14ac:dyDescent="0.2">
      <c r="B89" s="22">
        <v>44634</v>
      </c>
      <c r="C89" s="26">
        <f t="shared" ca="1" si="0"/>
        <v>0.59757554536461621</v>
      </c>
      <c r="D89" s="29">
        <f t="shared" ca="1" si="22"/>
        <v>80</v>
      </c>
      <c r="F89" s="22">
        <v>44634</v>
      </c>
      <c r="G89" s="26">
        <f t="shared" ca="1" si="1"/>
        <v>0.46391191295510847</v>
      </c>
      <c r="H89" s="29">
        <v>0</v>
      </c>
      <c r="J89" s="22">
        <v>44634</v>
      </c>
      <c r="K89" s="26">
        <f t="shared" ca="1" si="2"/>
        <v>0.29197230178263711</v>
      </c>
      <c r="L89" s="29">
        <v>0</v>
      </c>
      <c r="N89" s="22">
        <v>44634</v>
      </c>
      <c r="O89" s="26">
        <f t="shared" ca="1" si="3"/>
        <v>0.87930765776941278</v>
      </c>
      <c r="P89" s="29">
        <v>0</v>
      </c>
      <c r="R89" s="22">
        <v>44634</v>
      </c>
      <c r="S89" s="26">
        <f t="shared" ca="1" si="4"/>
        <v>0.39338827541842603</v>
      </c>
      <c r="T89" s="29">
        <v>0</v>
      </c>
      <c r="V89" s="22">
        <v>44634</v>
      </c>
      <c r="W89" s="26">
        <f t="shared" ca="1" si="5"/>
        <v>0.29704377256987136</v>
      </c>
      <c r="X89" s="29">
        <v>0</v>
      </c>
      <c r="Z89" s="22">
        <v>44634</v>
      </c>
      <c r="AA89" s="26">
        <f t="shared" ca="1" si="6"/>
        <v>0.5832805491520624</v>
      </c>
      <c r="AB89" s="29">
        <v>0</v>
      </c>
      <c r="AC89"/>
      <c r="AD89" s="25"/>
      <c r="AF89" s="22">
        <v>44634</v>
      </c>
      <c r="AG89" s="26">
        <f t="shared" ca="1" si="7"/>
        <v>0.56934552879356148</v>
      </c>
      <c r="AH89" s="29">
        <v>0</v>
      </c>
      <c r="AJ89" s="22">
        <v>44634</v>
      </c>
      <c r="AK89" s="26">
        <f t="shared" ca="1" si="8"/>
        <v>0.3390857144688354</v>
      </c>
      <c r="AL89" s="29">
        <v>0</v>
      </c>
      <c r="AN89" s="22">
        <v>44634</v>
      </c>
      <c r="AO89" s="26">
        <f t="shared" ca="1" si="9"/>
        <v>0.71350136694099597</v>
      </c>
      <c r="AP89" s="29">
        <v>0</v>
      </c>
      <c r="AR89" s="22">
        <v>44634</v>
      </c>
      <c r="AS89" s="26">
        <f t="shared" ca="1" si="10"/>
        <v>0.81097573643843102</v>
      </c>
      <c r="AT89" s="29">
        <v>0</v>
      </c>
      <c r="AV89" s="22">
        <v>44634</v>
      </c>
      <c r="AW89" s="26">
        <f t="shared" ca="1" si="11"/>
        <v>0.52171730824903606</v>
      </c>
      <c r="AX89" s="29">
        <v>0</v>
      </c>
      <c r="AZ89" s="22">
        <v>44634</v>
      </c>
      <c r="BA89" s="26">
        <f t="shared" ca="1" si="12"/>
        <v>2.6199465964554247E-2</v>
      </c>
      <c r="BB89" s="29">
        <v>0</v>
      </c>
      <c r="BC89"/>
      <c r="BD89" s="25"/>
      <c r="BF89" s="22">
        <v>44634</v>
      </c>
      <c r="BG89" s="26">
        <f t="shared" ca="1" si="13"/>
        <v>0.30415598492743334</v>
      </c>
      <c r="BH89" s="29">
        <v>0</v>
      </c>
      <c r="BJ89" s="22">
        <v>44634</v>
      </c>
      <c r="BK89" s="26">
        <f t="shared" ca="1" si="14"/>
        <v>0.92738779896341894</v>
      </c>
      <c r="BL89" s="29">
        <v>0</v>
      </c>
      <c r="BN89" s="22">
        <v>44634</v>
      </c>
      <c r="BO89" s="26">
        <f t="shared" ca="1" si="15"/>
        <v>0.40997610143520002</v>
      </c>
      <c r="BP89" s="29">
        <v>0</v>
      </c>
      <c r="BR89" s="22">
        <v>44634</v>
      </c>
      <c r="BS89" s="26">
        <f t="shared" ca="1" si="16"/>
        <v>0.90210883552792764</v>
      </c>
      <c r="BT89" s="29">
        <v>0</v>
      </c>
      <c r="BV89" s="22">
        <v>44634</v>
      </c>
      <c r="BW89" s="26">
        <f t="shared" ca="1" si="17"/>
        <v>0.19638276454472892</v>
      </c>
      <c r="BX89" s="29">
        <v>0</v>
      </c>
    </row>
    <row r="90" spans="2:76" ht="12.75" x14ac:dyDescent="0.2">
      <c r="B90" s="22">
        <v>44635</v>
      </c>
      <c r="C90" s="26">
        <f t="shared" ca="1" si="0"/>
        <v>0.82428774634762425</v>
      </c>
      <c r="D90" s="29">
        <f t="shared" ca="1" si="22"/>
        <v>94</v>
      </c>
      <c r="F90" s="22">
        <v>44635</v>
      </c>
      <c r="G90" s="26">
        <f t="shared" ca="1" si="1"/>
        <v>0.23800479510840489</v>
      </c>
      <c r="H90" s="29">
        <v>0</v>
      </c>
      <c r="J90" s="22">
        <v>44635</v>
      </c>
      <c r="K90" s="26">
        <f t="shared" ca="1" si="2"/>
        <v>0.95982074555662844</v>
      </c>
      <c r="L90" s="29">
        <v>0</v>
      </c>
      <c r="N90" s="22">
        <v>44635</v>
      </c>
      <c r="O90" s="26">
        <f t="shared" ca="1" si="3"/>
        <v>0.29489115704453139</v>
      </c>
      <c r="P90" s="29">
        <v>0</v>
      </c>
      <c r="R90" s="22">
        <v>44635</v>
      </c>
      <c r="S90" s="26">
        <f t="shared" ca="1" si="4"/>
        <v>0.6209644715238497</v>
      </c>
      <c r="T90" s="29">
        <v>0</v>
      </c>
      <c r="V90" s="22">
        <v>44635</v>
      </c>
      <c r="W90" s="26">
        <f t="shared" ca="1" si="5"/>
        <v>0.12378542207118437</v>
      </c>
      <c r="X90" s="29">
        <v>0</v>
      </c>
      <c r="Z90" s="22">
        <v>44635</v>
      </c>
      <c r="AA90" s="26">
        <f t="shared" ca="1" si="6"/>
        <v>0.45091419858657489</v>
      </c>
      <c r="AB90" s="29">
        <v>0</v>
      </c>
      <c r="AC90"/>
      <c r="AD90" s="25"/>
      <c r="AF90" s="22">
        <v>44635</v>
      </c>
      <c r="AG90" s="26">
        <f t="shared" ca="1" si="7"/>
        <v>0.91272252194201164</v>
      </c>
      <c r="AH90" s="29">
        <v>0</v>
      </c>
      <c r="AJ90" s="22">
        <v>44635</v>
      </c>
      <c r="AK90" s="26">
        <f t="shared" ca="1" si="8"/>
        <v>0.91308773884447958</v>
      </c>
      <c r="AL90" s="29">
        <v>0</v>
      </c>
      <c r="AN90" s="22">
        <v>44635</v>
      </c>
      <c r="AO90" s="26">
        <f t="shared" ca="1" si="9"/>
        <v>0.54678024325772168</v>
      </c>
      <c r="AP90" s="29">
        <v>0</v>
      </c>
      <c r="AR90" s="22">
        <v>44635</v>
      </c>
      <c r="AS90" s="26">
        <f t="shared" ca="1" si="10"/>
        <v>0.52856868315905758</v>
      </c>
      <c r="AT90" s="29">
        <v>0</v>
      </c>
      <c r="AV90" s="22">
        <v>44635</v>
      </c>
      <c r="AW90" s="26">
        <f t="shared" ca="1" si="11"/>
        <v>0.79345383691129134</v>
      </c>
      <c r="AX90" s="29">
        <v>0</v>
      </c>
      <c r="AZ90" s="22">
        <v>44635</v>
      </c>
      <c r="BA90" s="26">
        <f t="shared" ca="1" si="12"/>
        <v>0.61357257417312272</v>
      </c>
      <c r="BB90" s="29">
        <v>0</v>
      </c>
      <c r="BC90"/>
      <c r="BD90" s="25"/>
      <c r="BF90" s="22">
        <v>44635</v>
      </c>
      <c r="BG90" s="26">
        <f t="shared" ca="1" si="13"/>
        <v>0.57877713501266326</v>
      </c>
      <c r="BH90" s="29">
        <v>0</v>
      </c>
      <c r="BJ90" s="22">
        <v>44635</v>
      </c>
      <c r="BK90" s="26">
        <f t="shared" ca="1" si="14"/>
        <v>0.4496675438755664</v>
      </c>
      <c r="BL90" s="29">
        <v>0</v>
      </c>
      <c r="BN90" s="22">
        <v>44635</v>
      </c>
      <c r="BO90" s="26">
        <f t="shared" ca="1" si="15"/>
        <v>0.25724988106671287</v>
      </c>
      <c r="BP90" s="29">
        <v>0</v>
      </c>
      <c r="BR90" s="22">
        <v>44635</v>
      </c>
      <c r="BS90" s="26">
        <f t="shared" ca="1" si="16"/>
        <v>0.775586829762279</v>
      </c>
      <c r="BT90" s="29">
        <v>0</v>
      </c>
      <c r="BV90" s="22">
        <v>44635</v>
      </c>
      <c r="BW90" s="26">
        <f t="shared" ca="1" si="17"/>
        <v>0.98631344207275395</v>
      </c>
      <c r="BX90" s="29">
        <v>0</v>
      </c>
    </row>
    <row r="91" spans="2:76" ht="12.75" x14ac:dyDescent="0.2">
      <c r="B91" s="22">
        <v>44636</v>
      </c>
      <c r="C91" s="26">
        <f t="shared" ca="1" si="0"/>
        <v>0.5768140013466585</v>
      </c>
      <c r="D91" s="29">
        <f t="shared" ca="1" si="22"/>
        <v>79</v>
      </c>
      <c r="F91" s="22">
        <v>44636</v>
      </c>
      <c r="G91" s="26">
        <f t="shared" ca="1" si="1"/>
        <v>0.47330053951501272</v>
      </c>
      <c r="H91" s="29">
        <v>0</v>
      </c>
      <c r="J91" s="22">
        <v>44636</v>
      </c>
      <c r="K91" s="26">
        <f t="shared" ca="1" si="2"/>
        <v>0.44791307062769925</v>
      </c>
      <c r="L91" s="29">
        <v>0</v>
      </c>
      <c r="N91" s="22">
        <v>44636</v>
      </c>
      <c r="O91" s="26">
        <f t="shared" ca="1" si="3"/>
        <v>0.60620382683880247</v>
      </c>
      <c r="P91" s="29">
        <v>0</v>
      </c>
      <c r="R91" s="22">
        <v>44636</v>
      </c>
      <c r="S91" s="26">
        <f t="shared" ca="1" si="4"/>
        <v>0.78219615261580344</v>
      </c>
      <c r="T91" s="29">
        <v>0</v>
      </c>
      <c r="V91" s="22">
        <v>44636</v>
      </c>
      <c r="W91" s="26">
        <f t="shared" ca="1" si="5"/>
        <v>0.9999620085242592</v>
      </c>
      <c r="X91" s="29">
        <v>0</v>
      </c>
      <c r="Z91" s="22">
        <v>44636</v>
      </c>
      <c r="AA91" s="26">
        <f t="shared" ca="1" si="6"/>
        <v>0.70630512502431841</v>
      </c>
      <c r="AB91" s="29">
        <v>0</v>
      </c>
      <c r="AC91"/>
      <c r="AD91" s="25"/>
      <c r="AF91" s="22">
        <v>44636</v>
      </c>
      <c r="AG91" s="26">
        <f t="shared" ca="1" si="7"/>
        <v>0.15118626447471206</v>
      </c>
      <c r="AH91" s="29">
        <v>0</v>
      </c>
      <c r="AJ91" s="22">
        <v>44636</v>
      </c>
      <c r="AK91" s="26">
        <f t="shared" ca="1" si="8"/>
        <v>0.11426443698588529</v>
      </c>
      <c r="AL91" s="29">
        <v>0</v>
      </c>
      <c r="AN91" s="22">
        <v>44636</v>
      </c>
      <c r="AO91" s="26">
        <f t="shared" ca="1" si="9"/>
        <v>0.12890769975642891</v>
      </c>
      <c r="AP91" s="29">
        <v>0</v>
      </c>
      <c r="AR91" s="22">
        <v>44636</v>
      </c>
      <c r="AS91" s="26">
        <f t="shared" ca="1" si="10"/>
        <v>0.8747935192044155</v>
      </c>
      <c r="AT91" s="29">
        <v>0</v>
      </c>
      <c r="AV91" s="22">
        <v>44636</v>
      </c>
      <c r="AW91" s="26">
        <f t="shared" ca="1" si="11"/>
        <v>0.85626787157243855</v>
      </c>
      <c r="AX91" s="29">
        <v>0</v>
      </c>
      <c r="AZ91" s="22">
        <v>44636</v>
      </c>
      <c r="BA91" s="26">
        <f t="shared" ca="1" si="12"/>
        <v>0.58179226510389193</v>
      </c>
      <c r="BB91" s="29">
        <v>0</v>
      </c>
      <c r="BC91"/>
      <c r="BD91" s="25"/>
      <c r="BF91" s="22">
        <v>44636</v>
      </c>
      <c r="BG91" s="26">
        <f t="shared" ca="1" si="13"/>
        <v>0.93755864664739896</v>
      </c>
      <c r="BH91" s="29">
        <v>0</v>
      </c>
      <c r="BJ91" s="22">
        <v>44636</v>
      </c>
      <c r="BK91" s="26">
        <f t="shared" ca="1" si="14"/>
        <v>0.80949505182480808</v>
      </c>
      <c r="BL91" s="29">
        <v>0</v>
      </c>
      <c r="BN91" s="22">
        <v>44636</v>
      </c>
      <c r="BO91" s="26">
        <f t="shared" ca="1" si="15"/>
        <v>0.50007373904374797</v>
      </c>
      <c r="BP91" s="29">
        <v>0</v>
      </c>
      <c r="BR91" s="22">
        <v>44636</v>
      </c>
      <c r="BS91" s="26">
        <f t="shared" ca="1" si="16"/>
        <v>0.6087671857813336</v>
      </c>
      <c r="BT91" s="29">
        <v>0</v>
      </c>
      <c r="BV91" s="22">
        <v>44636</v>
      </c>
      <c r="BW91" s="26">
        <f t="shared" ca="1" si="17"/>
        <v>0.35276102211012716</v>
      </c>
      <c r="BX91" s="29">
        <v>0</v>
      </c>
    </row>
    <row r="92" spans="2:76" ht="12.75" x14ac:dyDescent="0.2">
      <c r="B92" s="22">
        <v>44637</v>
      </c>
      <c r="C92" s="26">
        <f t="shared" ca="1" si="0"/>
        <v>0.61884365015271825</v>
      </c>
      <c r="D92" s="29">
        <f t="shared" ca="1" si="22"/>
        <v>82</v>
      </c>
      <c r="F92" s="22">
        <v>44637</v>
      </c>
      <c r="G92" s="26">
        <f t="shared" ca="1" si="1"/>
        <v>0.53905409933819193</v>
      </c>
      <c r="H92" s="29">
        <v>0</v>
      </c>
      <c r="J92" s="22">
        <v>44637</v>
      </c>
      <c r="K92" s="26">
        <f t="shared" ca="1" si="2"/>
        <v>0.59997289663895315</v>
      </c>
      <c r="L92" s="29">
        <v>0</v>
      </c>
      <c r="N92" s="22">
        <v>44637</v>
      </c>
      <c r="O92" s="26">
        <f t="shared" ca="1" si="3"/>
        <v>8.0256568333074707E-3</v>
      </c>
      <c r="P92" s="29">
        <v>0</v>
      </c>
      <c r="R92" s="22">
        <v>44637</v>
      </c>
      <c r="S92" s="26">
        <f t="shared" ca="1" si="4"/>
        <v>0.68176322681242763</v>
      </c>
      <c r="T92" s="29">
        <v>0</v>
      </c>
      <c r="V92" s="22">
        <v>44637</v>
      </c>
      <c r="W92" s="26">
        <f t="shared" ca="1" si="5"/>
        <v>0.96752151077343485</v>
      </c>
      <c r="X92" s="29">
        <v>0</v>
      </c>
      <c r="Z92" s="22">
        <v>44637</v>
      </c>
      <c r="AA92" s="26">
        <f t="shared" ca="1" si="6"/>
        <v>0.3197344342861036</v>
      </c>
      <c r="AB92" s="29">
        <v>0</v>
      </c>
      <c r="AC92"/>
      <c r="AD92" s="25"/>
      <c r="AF92" s="22">
        <v>44637</v>
      </c>
      <c r="AG92" s="26">
        <f t="shared" ca="1" si="7"/>
        <v>0.24503402448181644</v>
      </c>
      <c r="AH92" s="29">
        <v>0</v>
      </c>
      <c r="AJ92" s="22">
        <v>44637</v>
      </c>
      <c r="AK92" s="26">
        <f t="shared" ca="1" si="8"/>
        <v>0.15037279725342723</v>
      </c>
      <c r="AL92" s="29">
        <v>0</v>
      </c>
      <c r="AN92" s="22">
        <v>44637</v>
      </c>
      <c r="AO92" s="26">
        <f t="shared" ca="1" si="9"/>
        <v>0.7349898415098497</v>
      </c>
      <c r="AP92" s="29">
        <v>0</v>
      </c>
      <c r="AR92" s="22">
        <v>44637</v>
      </c>
      <c r="AS92" s="26">
        <f t="shared" ca="1" si="10"/>
        <v>0.42383820115229953</v>
      </c>
      <c r="AT92" s="29">
        <v>0</v>
      </c>
      <c r="AV92" s="22">
        <v>44637</v>
      </c>
      <c r="AW92" s="26">
        <f t="shared" ca="1" si="11"/>
        <v>0.31149603685103955</v>
      </c>
      <c r="AX92" s="29">
        <v>0</v>
      </c>
      <c r="AZ92" s="22">
        <v>44637</v>
      </c>
      <c r="BA92" s="26">
        <f t="shared" ca="1" si="12"/>
        <v>2.348282894286724E-2</v>
      </c>
      <c r="BB92" s="29">
        <v>0</v>
      </c>
      <c r="BC92"/>
      <c r="BD92" s="25"/>
      <c r="BF92" s="22">
        <v>44637</v>
      </c>
      <c r="BG92" s="26">
        <f t="shared" ca="1" si="13"/>
        <v>0.20437372680334109</v>
      </c>
      <c r="BH92" s="29">
        <v>0</v>
      </c>
      <c r="BJ92" s="22">
        <v>44637</v>
      </c>
      <c r="BK92" s="26">
        <f t="shared" ca="1" si="14"/>
        <v>0.89969067899334598</v>
      </c>
      <c r="BL92" s="29">
        <v>0</v>
      </c>
      <c r="BN92" s="22">
        <v>44637</v>
      </c>
      <c r="BO92" s="26">
        <f t="shared" ca="1" si="15"/>
        <v>1.9117095123056815E-3</v>
      </c>
      <c r="BP92" s="29">
        <v>0</v>
      </c>
      <c r="BR92" s="22">
        <v>44637</v>
      </c>
      <c r="BS92" s="26">
        <f t="shared" ca="1" si="16"/>
        <v>0.20515711804523562</v>
      </c>
      <c r="BT92" s="29">
        <v>0</v>
      </c>
      <c r="BV92" s="22">
        <v>44637</v>
      </c>
      <c r="BW92" s="26">
        <f t="shared" ca="1" si="17"/>
        <v>0.74722871307593763</v>
      </c>
      <c r="BX92" s="29">
        <v>0</v>
      </c>
    </row>
    <row r="93" spans="2:76" ht="12.75" x14ac:dyDescent="0.2">
      <c r="B93" s="22">
        <v>44638</v>
      </c>
      <c r="C93" s="26">
        <f t="shared" ca="1" si="0"/>
        <v>0.52526421887602937</v>
      </c>
      <c r="D93" s="29">
        <f t="shared" ca="1" si="22"/>
        <v>77</v>
      </c>
      <c r="F93" s="22">
        <v>44638</v>
      </c>
      <c r="G93" s="26">
        <f t="shared" ca="1" si="1"/>
        <v>0.19941239049598003</v>
      </c>
      <c r="H93" s="29">
        <v>0</v>
      </c>
      <c r="J93" s="22">
        <v>44638</v>
      </c>
      <c r="K93" s="26">
        <f t="shared" ca="1" si="2"/>
        <v>0.31400725412012365</v>
      </c>
      <c r="L93" s="29">
        <v>0</v>
      </c>
      <c r="N93" s="22">
        <v>44638</v>
      </c>
      <c r="O93" s="26">
        <f t="shared" ca="1" si="3"/>
        <v>0.75052841567858619</v>
      </c>
      <c r="P93" s="29">
        <v>0</v>
      </c>
      <c r="R93" s="22">
        <v>44638</v>
      </c>
      <c r="S93" s="26">
        <f t="shared" ca="1" si="4"/>
        <v>0.59252824993657738</v>
      </c>
      <c r="T93" s="29">
        <v>0</v>
      </c>
      <c r="V93" s="22">
        <v>44638</v>
      </c>
      <c r="W93" s="26">
        <f t="shared" ca="1" si="5"/>
        <v>0.66821755256798376</v>
      </c>
      <c r="X93" s="29">
        <v>0</v>
      </c>
      <c r="Z93" s="22">
        <v>44638</v>
      </c>
      <c r="AA93" s="26">
        <f t="shared" ca="1" si="6"/>
        <v>0.25717933300444829</v>
      </c>
      <c r="AB93" s="29">
        <v>0</v>
      </c>
      <c r="AC93"/>
      <c r="AD93" s="25"/>
      <c r="AF93" s="22">
        <v>44638</v>
      </c>
      <c r="AG93" s="26">
        <f t="shared" ca="1" si="7"/>
        <v>0.62094994603955167</v>
      </c>
      <c r="AH93" s="29">
        <v>0</v>
      </c>
      <c r="AJ93" s="22">
        <v>44638</v>
      </c>
      <c r="AK93" s="26">
        <f t="shared" ca="1" si="8"/>
        <v>0.82139451240408623</v>
      </c>
      <c r="AL93" s="29">
        <v>0</v>
      </c>
      <c r="AN93" s="22">
        <v>44638</v>
      </c>
      <c r="AO93" s="26">
        <f t="shared" ca="1" si="9"/>
        <v>0.26229594968633618</v>
      </c>
      <c r="AP93" s="29">
        <v>0</v>
      </c>
      <c r="AR93" s="22">
        <v>44638</v>
      </c>
      <c r="AS93" s="26">
        <f t="shared" ca="1" si="10"/>
        <v>0.73620037007882366</v>
      </c>
      <c r="AT93" s="29">
        <v>0</v>
      </c>
      <c r="AV93" s="22">
        <v>44638</v>
      </c>
      <c r="AW93" s="26">
        <f t="shared" ca="1" si="11"/>
        <v>0.79068106629511314</v>
      </c>
      <c r="AX93" s="29">
        <v>0</v>
      </c>
      <c r="AZ93" s="22">
        <v>44638</v>
      </c>
      <c r="BA93" s="26">
        <f t="shared" ca="1" si="12"/>
        <v>0.17889140151236993</v>
      </c>
      <c r="BB93" s="29">
        <v>0</v>
      </c>
      <c r="BC93"/>
      <c r="BD93" s="25"/>
      <c r="BF93" s="22">
        <v>44638</v>
      </c>
      <c r="BG93" s="26">
        <f t="shared" ca="1" si="13"/>
        <v>0.28694951024552429</v>
      </c>
      <c r="BH93" s="29">
        <v>0</v>
      </c>
      <c r="BJ93" s="22">
        <v>44638</v>
      </c>
      <c r="BK93" s="26">
        <f t="shared" ca="1" si="14"/>
        <v>0.99331528529535251</v>
      </c>
      <c r="BL93" s="29">
        <v>0</v>
      </c>
      <c r="BN93" s="22">
        <v>44638</v>
      </c>
      <c r="BO93" s="26">
        <f t="shared" ca="1" si="15"/>
        <v>0.52491394299129757</v>
      </c>
      <c r="BP93" s="29">
        <v>0</v>
      </c>
      <c r="BR93" s="22">
        <v>44638</v>
      </c>
      <c r="BS93" s="26">
        <f t="shared" ca="1" si="16"/>
        <v>0.70906028251920761</v>
      </c>
      <c r="BT93" s="29">
        <v>0</v>
      </c>
      <c r="BV93" s="22">
        <v>44638</v>
      </c>
      <c r="BW93" s="26">
        <f t="shared" ca="1" si="17"/>
        <v>0.90410222654448202</v>
      </c>
      <c r="BX93" s="29">
        <v>0</v>
      </c>
    </row>
    <row r="94" spans="2:76" ht="12.75" x14ac:dyDescent="0.2">
      <c r="B94" s="22">
        <v>44639</v>
      </c>
      <c r="C94" s="26">
        <f t="shared" ca="1" si="0"/>
        <v>0.82837559001317207</v>
      </c>
      <c r="D94" s="29">
        <f t="shared" ca="1" si="22"/>
        <v>94</v>
      </c>
      <c r="F94" s="22">
        <v>44639</v>
      </c>
      <c r="G94" s="26">
        <f t="shared" ca="1" si="1"/>
        <v>7.3760997198951572E-2</v>
      </c>
      <c r="H94" s="29">
        <v>0</v>
      </c>
      <c r="J94" s="22">
        <v>44639</v>
      </c>
      <c r="K94" s="26">
        <f t="shared" ca="1" si="2"/>
        <v>0.57962828683597112</v>
      </c>
      <c r="L94" s="29">
        <v>0</v>
      </c>
      <c r="N94" s="22">
        <v>44639</v>
      </c>
      <c r="O94" s="26">
        <f t="shared" ca="1" si="3"/>
        <v>0.21003694473285839</v>
      </c>
      <c r="P94" s="29">
        <v>0</v>
      </c>
      <c r="R94" s="22">
        <v>44639</v>
      </c>
      <c r="S94" s="26">
        <f t="shared" ca="1" si="4"/>
        <v>0.3815555280062598</v>
      </c>
      <c r="T94" s="29">
        <v>0</v>
      </c>
      <c r="V94" s="22">
        <v>44639</v>
      </c>
      <c r="W94" s="26">
        <f t="shared" ca="1" si="5"/>
        <v>0.51443049512161942</v>
      </c>
      <c r="X94" s="29">
        <v>0</v>
      </c>
      <c r="Z94" s="22">
        <v>44639</v>
      </c>
      <c r="AA94" s="26">
        <f t="shared" ca="1" si="6"/>
        <v>0.98932126611944204</v>
      </c>
      <c r="AB94" s="29">
        <v>0</v>
      </c>
      <c r="AC94"/>
      <c r="AD94" s="25"/>
      <c r="AF94" s="22">
        <v>44639</v>
      </c>
      <c r="AG94" s="26">
        <f t="shared" ca="1" si="7"/>
        <v>0.36891641364311667</v>
      </c>
      <c r="AH94" s="29">
        <v>0</v>
      </c>
      <c r="AJ94" s="22">
        <v>44639</v>
      </c>
      <c r="AK94" s="26">
        <f t="shared" ca="1" si="8"/>
        <v>3.7596580661228396E-2</v>
      </c>
      <c r="AL94" s="29">
        <v>0</v>
      </c>
      <c r="AN94" s="22">
        <v>44639</v>
      </c>
      <c r="AO94" s="26">
        <f t="shared" ca="1" si="9"/>
        <v>0.14984132168287545</v>
      </c>
      <c r="AP94" s="29">
        <v>0</v>
      </c>
      <c r="AR94" s="22">
        <v>44639</v>
      </c>
      <c r="AS94" s="26">
        <f t="shared" ca="1" si="10"/>
        <v>0.11534934963334842</v>
      </c>
      <c r="AT94" s="29">
        <v>0</v>
      </c>
      <c r="AV94" s="22">
        <v>44639</v>
      </c>
      <c r="AW94" s="26">
        <f t="shared" ca="1" si="11"/>
        <v>0.29645596910731098</v>
      </c>
      <c r="AX94" s="29">
        <v>0</v>
      </c>
      <c r="AZ94" s="22">
        <v>44639</v>
      </c>
      <c r="BA94" s="26">
        <f t="shared" ca="1" si="12"/>
        <v>0.48350180448347591</v>
      </c>
      <c r="BB94" s="29">
        <v>0</v>
      </c>
      <c r="BC94"/>
      <c r="BD94" s="25"/>
      <c r="BF94" s="22">
        <v>44639</v>
      </c>
      <c r="BG94" s="26">
        <f t="shared" ca="1" si="13"/>
        <v>5.5842234606555019E-2</v>
      </c>
      <c r="BH94" s="29">
        <v>0</v>
      </c>
      <c r="BJ94" s="22">
        <v>44639</v>
      </c>
      <c r="BK94" s="26">
        <f t="shared" ca="1" si="14"/>
        <v>0.16137977694438388</v>
      </c>
      <c r="BL94" s="29">
        <v>0</v>
      </c>
      <c r="BN94" s="22">
        <v>44639</v>
      </c>
      <c r="BO94" s="26">
        <f t="shared" ca="1" si="15"/>
        <v>0.25735623588335854</v>
      </c>
      <c r="BP94" s="29">
        <v>0</v>
      </c>
      <c r="BR94" s="22">
        <v>44639</v>
      </c>
      <c r="BS94" s="26">
        <f t="shared" ca="1" si="16"/>
        <v>0.70161245018674789</v>
      </c>
      <c r="BT94" s="29">
        <v>0</v>
      </c>
      <c r="BV94" s="22">
        <v>44639</v>
      </c>
      <c r="BW94" s="26">
        <f t="shared" ca="1" si="17"/>
        <v>0.74232506702895695</v>
      </c>
      <c r="BX94" s="29">
        <v>0</v>
      </c>
    </row>
    <row r="95" spans="2:76" ht="12.75" x14ac:dyDescent="0.2">
      <c r="B95" s="22">
        <v>44640</v>
      </c>
      <c r="C95" s="26">
        <f t="shared" ca="1" si="0"/>
        <v>0.51386884461190796</v>
      </c>
      <c r="D95" s="29">
        <f t="shared" ca="1" si="22"/>
        <v>76</v>
      </c>
      <c r="F95" s="22">
        <v>44640</v>
      </c>
      <c r="G95" s="26">
        <f t="shared" ca="1" si="1"/>
        <v>0.12081460796624366</v>
      </c>
      <c r="H95" s="29">
        <v>0</v>
      </c>
      <c r="J95" s="22">
        <v>44640</v>
      </c>
      <c r="K95" s="26">
        <f t="shared" ca="1" si="2"/>
        <v>0.70069477382329715</v>
      </c>
      <c r="L95" s="29">
        <v>0</v>
      </c>
      <c r="N95" s="22">
        <v>44640</v>
      </c>
      <c r="O95" s="26">
        <f t="shared" ca="1" si="3"/>
        <v>0.1528543292449539</v>
      </c>
      <c r="P95" s="29">
        <v>0</v>
      </c>
      <c r="R95" s="22">
        <v>44640</v>
      </c>
      <c r="S95" s="26">
        <f t="shared" ca="1" si="4"/>
        <v>0.46415623396955163</v>
      </c>
      <c r="T95" s="29">
        <v>0</v>
      </c>
      <c r="V95" s="22">
        <v>44640</v>
      </c>
      <c r="W95" s="26">
        <f t="shared" ca="1" si="5"/>
        <v>0.8307058494882078</v>
      </c>
      <c r="X95" s="29">
        <v>0</v>
      </c>
      <c r="Z95" s="22">
        <v>44640</v>
      </c>
      <c r="AA95" s="26">
        <f t="shared" ca="1" si="6"/>
        <v>0.55808664583990963</v>
      </c>
      <c r="AB95" s="29">
        <v>0</v>
      </c>
      <c r="AC95"/>
      <c r="AD95" s="25"/>
      <c r="AF95" s="22">
        <v>44640</v>
      </c>
      <c r="AG95" s="26">
        <f t="shared" ca="1" si="7"/>
        <v>9.297084736956307E-2</v>
      </c>
      <c r="AH95" s="29">
        <v>0</v>
      </c>
      <c r="AJ95" s="22">
        <v>44640</v>
      </c>
      <c r="AK95" s="26">
        <f t="shared" ca="1" si="8"/>
        <v>2.3398585068202804E-3</v>
      </c>
      <c r="AL95" s="29">
        <v>0</v>
      </c>
      <c r="AN95" s="22">
        <v>44640</v>
      </c>
      <c r="AO95" s="26">
        <f t="shared" ca="1" si="9"/>
        <v>0.77398943498276651</v>
      </c>
      <c r="AP95" s="29">
        <v>0</v>
      </c>
      <c r="AR95" s="22">
        <v>44640</v>
      </c>
      <c r="AS95" s="26">
        <f t="shared" ca="1" si="10"/>
        <v>0.55550292092095488</v>
      </c>
      <c r="AT95" s="29">
        <v>0</v>
      </c>
      <c r="AV95" s="22">
        <v>44640</v>
      </c>
      <c r="AW95" s="26">
        <f t="shared" ca="1" si="11"/>
        <v>0.36591313245622914</v>
      </c>
      <c r="AX95" s="29">
        <v>0</v>
      </c>
      <c r="AZ95" s="22">
        <v>44640</v>
      </c>
      <c r="BA95" s="26">
        <f t="shared" ca="1" si="12"/>
        <v>0.61672881345576014</v>
      </c>
      <c r="BB95" s="29">
        <v>0</v>
      </c>
      <c r="BC95"/>
      <c r="BD95" s="25"/>
      <c r="BF95" s="22">
        <v>44640</v>
      </c>
      <c r="BG95" s="26">
        <f t="shared" ca="1" si="13"/>
        <v>0.50017196862502711</v>
      </c>
      <c r="BH95" s="29">
        <v>0</v>
      </c>
      <c r="BJ95" s="22">
        <v>44640</v>
      </c>
      <c r="BK95" s="26">
        <f t="shared" ca="1" si="14"/>
        <v>3.3411492869061754E-2</v>
      </c>
      <c r="BL95" s="29">
        <v>0</v>
      </c>
      <c r="BN95" s="22">
        <v>44640</v>
      </c>
      <c r="BO95" s="26">
        <f t="shared" ca="1" si="15"/>
        <v>0.57375205306720556</v>
      </c>
      <c r="BP95" s="29">
        <v>0</v>
      </c>
      <c r="BR95" s="22">
        <v>44640</v>
      </c>
      <c r="BS95" s="26">
        <f t="shared" ca="1" si="16"/>
        <v>0.30259834172438771</v>
      </c>
      <c r="BT95" s="29">
        <v>0</v>
      </c>
      <c r="BV95" s="22">
        <v>44640</v>
      </c>
      <c r="BW95" s="26">
        <f t="shared" ca="1" si="17"/>
        <v>0.22876297012053493</v>
      </c>
      <c r="BX95" s="29">
        <v>0</v>
      </c>
    </row>
    <row r="96" spans="2:76" ht="12.75" x14ac:dyDescent="0.2">
      <c r="B96" s="22">
        <v>44641</v>
      </c>
      <c r="C96" s="26">
        <f t="shared" ca="1" si="0"/>
        <v>0.22780775796466535</v>
      </c>
      <c r="D96" s="29">
        <f t="shared" ca="1" si="22"/>
        <v>61</v>
      </c>
      <c r="F96" s="22">
        <v>44641</v>
      </c>
      <c r="G96" s="26">
        <f t="shared" ca="1" si="1"/>
        <v>0.98283681938234424</v>
      </c>
      <c r="H96" s="29">
        <v>0</v>
      </c>
      <c r="J96" s="22">
        <v>44641</v>
      </c>
      <c r="K96" s="26">
        <f t="shared" ca="1" si="2"/>
        <v>0.58628147401344544</v>
      </c>
      <c r="L96" s="29">
        <v>0</v>
      </c>
      <c r="N96" s="22">
        <v>44641</v>
      </c>
      <c r="O96" s="26">
        <f t="shared" ca="1" si="3"/>
        <v>0.61008834795007572</v>
      </c>
      <c r="P96" s="29">
        <v>0</v>
      </c>
      <c r="R96" s="22">
        <v>44641</v>
      </c>
      <c r="S96" s="26">
        <f t="shared" ca="1" si="4"/>
        <v>0.86545749705185471</v>
      </c>
      <c r="T96" s="29">
        <v>0</v>
      </c>
      <c r="V96" s="22">
        <v>44641</v>
      </c>
      <c r="W96" s="26">
        <f t="shared" ca="1" si="5"/>
        <v>0.12441357557288524</v>
      </c>
      <c r="X96" s="29">
        <v>0</v>
      </c>
      <c r="Z96" s="22">
        <v>44641</v>
      </c>
      <c r="AA96" s="26">
        <f t="shared" ca="1" si="6"/>
        <v>0.1199080681801894</v>
      </c>
      <c r="AB96" s="29">
        <v>0</v>
      </c>
      <c r="AC96"/>
      <c r="AD96" s="25"/>
      <c r="AF96" s="22">
        <v>44641</v>
      </c>
      <c r="AG96" s="26">
        <f t="shared" ca="1" si="7"/>
        <v>0.92436245071351797</v>
      </c>
      <c r="AH96" s="29">
        <v>0</v>
      </c>
      <c r="AJ96" s="22">
        <v>44641</v>
      </c>
      <c r="AK96" s="26">
        <f t="shared" ca="1" si="8"/>
        <v>0.83662054529766416</v>
      </c>
      <c r="AL96" s="29">
        <v>0</v>
      </c>
      <c r="AN96" s="22">
        <v>44641</v>
      </c>
      <c r="AO96" s="26">
        <f t="shared" ca="1" si="9"/>
        <v>0.29760499187388001</v>
      </c>
      <c r="AP96" s="29">
        <v>0</v>
      </c>
      <c r="AR96" s="22">
        <v>44641</v>
      </c>
      <c r="AS96" s="26">
        <f t="shared" ca="1" si="10"/>
        <v>0.20657020837334605</v>
      </c>
      <c r="AT96" s="29">
        <v>0</v>
      </c>
      <c r="AV96" s="22">
        <v>44641</v>
      </c>
      <c r="AW96" s="26">
        <f t="shared" ca="1" si="11"/>
        <v>0.4184068161449882</v>
      </c>
      <c r="AX96" s="29">
        <v>0</v>
      </c>
      <c r="AZ96" s="22">
        <v>44641</v>
      </c>
      <c r="BA96" s="26">
        <f t="shared" ca="1" si="12"/>
        <v>0.22093434872509965</v>
      </c>
      <c r="BB96" s="29">
        <v>0</v>
      </c>
      <c r="BC96"/>
      <c r="BD96" s="25"/>
      <c r="BF96" s="22">
        <v>44641</v>
      </c>
      <c r="BG96" s="26">
        <f t="shared" ca="1" si="13"/>
        <v>0.23923294267914208</v>
      </c>
      <c r="BH96" s="29">
        <v>0</v>
      </c>
      <c r="BJ96" s="22">
        <v>44641</v>
      </c>
      <c r="BK96" s="26">
        <f t="shared" ca="1" si="14"/>
        <v>0.20863328662648806</v>
      </c>
      <c r="BL96" s="29">
        <v>0</v>
      </c>
      <c r="BN96" s="22">
        <v>44641</v>
      </c>
      <c r="BO96" s="26">
        <f t="shared" ca="1" si="15"/>
        <v>0.30698939543833847</v>
      </c>
      <c r="BP96" s="29">
        <v>0</v>
      </c>
      <c r="BR96" s="22">
        <v>44641</v>
      </c>
      <c r="BS96" s="26">
        <f t="shared" ca="1" si="16"/>
        <v>0.24487971232389494</v>
      </c>
      <c r="BT96" s="29">
        <v>0</v>
      </c>
      <c r="BV96" s="22">
        <v>44641</v>
      </c>
      <c r="BW96" s="26">
        <f t="shared" ca="1" si="17"/>
        <v>0.87914932977519789</v>
      </c>
      <c r="BX96" s="29">
        <v>0</v>
      </c>
    </row>
    <row r="97" spans="2:77" ht="12.75" x14ac:dyDescent="0.2">
      <c r="B97" s="22">
        <v>44642</v>
      </c>
      <c r="C97" s="26">
        <f t="shared" ca="1" si="0"/>
        <v>0.22719447763807765</v>
      </c>
      <c r="D97" s="29">
        <f t="shared" ca="1" si="22"/>
        <v>61</v>
      </c>
      <c r="F97" s="22">
        <v>44642</v>
      </c>
      <c r="G97" s="26">
        <f t="shared" ca="1" si="1"/>
        <v>0.79005015513014132</v>
      </c>
      <c r="H97" s="29">
        <v>0</v>
      </c>
      <c r="J97" s="22">
        <v>44642</v>
      </c>
      <c r="K97" s="26">
        <f t="shared" ca="1" si="2"/>
        <v>0.24177901821783365</v>
      </c>
      <c r="L97" s="29">
        <v>0</v>
      </c>
      <c r="N97" s="22">
        <v>44642</v>
      </c>
      <c r="O97" s="26">
        <f t="shared" ca="1" si="3"/>
        <v>0.5391465350552348</v>
      </c>
      <c r="P97" s="29">
        <v>0</v>
      </c>
      <c r="R97" s="22">
        <v>44642</v>
      </c>
      <c r="S97" s="26">
        <f t="shared" ca="1" si="4"/>
        <v>0.98934558052760746</v>
      </c>
      <c r="T97" s="29">
        <v>0</v>
      </c>
      <c r="V97" s="22">
        <v>44642</v>
      </c>
      <c r="W97" s="26">
        <f t="shared" ca="1" si="5"/>
        <v>0.68406190058318495</v>
      </c>
      <c r="X97" s="29">
        <v>0</v>
      </c>
      <c r="Z97" s="22">
        <v>44642</v>
      </c>
      <c r="AA97" s="26">
        <f t="shared" ca="1" si="6"/>
        <v>0.46886924196683077</v>
      </c>
      <c r="AB97" s="29">
        <v>0</v>
      </c>
      <c r="AC97"/>
      <c r="AD97" s="25"/>
      <c r="AF97" s="22">
        <v>44642</v>
      </c>
      <c r="AG97" s="26">
        <f t="shared" ca="1" si="7"/>
        <v>0.24903200696015448</v>
      </c>
      <c r="AH97" s="29">
        <v>0</v>
      </c>
      <c r="AJ97" s="22">
        <v>44642</v>
      </c>
      <c r="AK97" s="26">
        <f t="shared" ca="1" si="8"/>
        <v>0.83329599608314808</v>
      </c>
      <c r="AL97" s="29">
        <v>0</v>
      </c>
      <c r="AN97" s="22">
        <v>44642</v>
      </c>
      <c r="AO97" s="26">
        <f t="shared" ca="1" si="9"/>
        <v>0.35122453298991196</v>
      </c>
      <c r="AP97" s="29">
        <v>0</v>
      </c>
      <c r="AR97" s="22">
        <v>44642</v>
      </c>
      <c r="AS97" s="26">
        <f t="shared" ca="1" si="10"/>
        <v>0.1297241706512271</v>
      </c>
      <c r="AT97" s="29">
        <v>0</v>
      </c>
      <c r="AV97" s="22">
        <v>44642</v>
      </c>
      <c r="AW97" s="26">
        <f t="shared" ca="1" si="11"/>
        <v>0.36768001793473604</v>
      </c>
      <c r="AX97" s="29">
        <v>0</v>
      </c>
      <c r="AZ97" s="22">
        <v>44642</v>
      </c>
      <c r="BA97" s="26">
        <f t="shared" ca="1" si="12"/>
        <v>0.13260338439111685</v>
      </c>
      <c r="BB97" s="29">
        <v>0</v>
      </c>
      <c r="BC97"/>
      <c r="BD97" s="25"/>
      <c r="BF97" s="22">
        <v>44642</v>
      </c>
      <c r="BG97" s="26">
        <f t="shared" ca="1" si="13"/>
        <v>0.96701543206721252</v>
      </c>
      <c r="BH97" s="29">
        <v>0</v>
      </c>
      <c r="BJ97" s="22">
        <v>44642</v>
      </c>
      <c r="BK97" s="26">
        <f t="shared" ca="1" si="14"/>
        <v>0.64842338629902185</v>
      </c>
      <c r="BL97" s="29">
        <v>0</v>
      </c>
      <c r="BN97" s="22">
        <v>44642</v>
      </c>
      <c r="BO97" s="26">
        <f t="shared" ca="1" si="15"/>
        <v>0.78555967996069442</v>
      </c>
      <c r="BP97" s="29">
        <v>0</v>
      </c>
      <c r="BR97" s="22">
        <v>44642</v>
      </c>
      <c r="BS97" s="26">
        <f t="shared" ca="1" si="16"/>
        <v>0.64755631064057972</v>
      </c>
      <c r="BT97" s="29">
        <v>0</v>
      </c>
      <c r="BV97" s="22">
        <v>44642</v>
      </c>
      <c r="BW97" s="26">
        <f t="shared" ca="1" si="17"/>
        <v>0.88819945352125784</v>
      </c>
      <c r="BX97" s="29">
        <v>0</v>
      </c>
    </row>
    <row r="98" spans="2:77" ht="12.75" x14ac:dyDescent="0.2">
      <c r="B98" s="22">
        <v>44643</v>
      </c>
      <c r="C98" s="26">
        <f t="shared" ca="1" si="0"/>
        <v>0.58050605063545235</v>
      </c>
      <c r="D98" s="29">
        <f t="shared" ca="1" si="22"/>
        <v>80</v>
      </c>
      <c r="F98" s="22">
        <v>44643</v>
      </c>
      <c r="G98" s="26">
        <f t="shared" ca="1" si="1"/>
        <v>0.64759061344839952</v>
      </c>
      <c r="H98" s="29">
        <v>0</v>
      </c>
      <c r="J98" s="22">
        <v>44643</v>
      </c>
      <c r="K98" s="26">
        <f t="shared" ca="1" si="2"/>
        <v>0.78677625972580101</v>
      </c>
      <c r="L98" s="29">
        <v>0</v>
      </c>
      <c r="N98" s="22">
        <v>44643</v>
      </c>
      <c r="O98" s="26">
        <f t="shared" ca="1" si="3"/>
        <v>0.73672395027257531</v>
      </c>
      <c r="P98" s="29">
        <v>0</v>
      </c>
      <c r="R98" s="22">
        <v>44643</v>
      </c>
      <c r="S98" s="26">
        <f t="shared" ca="1" si="4"/>
        <v>0.16192022167588704</v>
      </c>
      <c r="T98" s="29">
        <v>0</v>
      </c>
      <c r="V98" s="22">
        <v>44643</v>
      </c>
      <c r="W98" s="26">
        <f t="shared" ca="1" si="5"/>
        <v>0.65319129076802152</v>
      </c>
      <c r="X98" s="29">
        <v>0</v>
      </c>
      <c r="Z98" s="22">
        <v>44643</v>
      </c>
      <c r="AA98" s="26">
        <f t="shared" ca="1" si="6"/>
        <v>0.168570315525292</v>
      </c>
      <c r="AB98" s="29">
        <v>0</v>
      </c>
      <c r="AC98"/>
      <c r="AD98" s="25"/>
      <c r="AF98" s="22">
        <v>44643</v>
      </c>
      <c r="AG98" s="26">
        <f t="shared" ca="1" si="7"/>
        <v>0.56453325366757612</v>
      </c>
      <c r="AH98" s="29">
        <v>0</v>
      </c>
      <c r="AJ98" s="22">
        <v>44643</v>
      </c>
      <c r="AK98" s="26">
        <f t="shared" ca="1" si="8"/>
        <v>0.59456510388391492</v>
      </c>
      <c r="AL98" s="29">
        <v>0</v>
      </c>
      <c r="AN98" s="22">
        <v>44643</v>
      </c>
      <c r="AO98" s="26">
        <f t="shared" ca="1" si="9"/>
        <v>0.35991147349377051</v>
      </c>
      <c r="AP98" s="29">
        <v>0</v>
      </c>
      <c r="AR98" s="22">
        <v>44643</v>
      </c>
      <c r="AS98" s="26">
        <f t="shared" ca="1" si="10"/>
        <v>0.23302816735230381</v>
      </c>
      <c r="AT98" s="29">
        <v>0</v>
      </c>
      <c r="AV98" s="22">
        <v>44643</v>
      </c>
      <c r="AW98" s="26">
        <f t="shared" ca="1" si="11"/>
        <v>0.82975619881598872</v>
      </c>
      <c r="AX98" s="29">
        <v>0</v>
      </c>
      <c r="AZ98" s="22">
        <v>44643</v>
      </c>
      <c r="BA98" s="26">
        <f t="shared" ca="1" si="12"/>
        <v>0.20267621268057701</v>
      </c>
      <c r="BB98" s="29">
        <v>0</v>
      </c>
      <c r="BC98"/>
      <c r="BD98" s="25"/>
      <c r="BF98" s="22">
        <v>44643</v>
      </c>
      <c r="BG98" s="26">
        <f t="shared" ca="1" si="13"/>
        <v>5.8977025409191475E-3</v>
      </c>
      <c r="BH98" s="29">
        <v>0</v>
      </c>
      <c r="BJ98" s="22">
        <v>44643</v>
      </c>
      <c r="BK98" s="26">
        <f t="shared" ca="1" si="14"/>
        <v>0.87145543355211064</v>
      </c>
      <c r="BL98" s="29">
        <v>0</v>
      </c>
      <c r="BN98" s="22">
        <v>44643</v>
      </c>
      <c r="BO98" s="26">
        <f t="shared" ca="1" si="15"/>
        <v>7.6140580384723933E-2</v>
      </c>
      <c r="BP98" s="29">
        <v>0</v>
      </c>
      <c r="BR98" s="22">
        <v>44643</v>
      </c>
      <c r="BS98" s="26">
        <f t="shared" ca="1" si="16"/>
        <v>0.25574779985140084</v>
      </c>
      <c r="BT98" s="29">
        <v>0</v>
      </c>
      <c r="BV98" s="22">
        <v>44643</v>
      </c>
      <c r="BW98" s="26">
        <f t="shared" ca="1" si="17"/>
        <v>0.26854269768749017</v>
      </c>
      <c r="BX98" s="29">
        <v>0</v>
      </c>
    </row>
    <row r="99" spans="2:77" ht="12.75" x14ac:dyDescent="0.2">
      <c r="B99" s="22">
        <v>44644</v>
      </c>
      <c r="C99" s="26">
        <f t="shared" ca="1" si="0"/>
        <v>0.2825332631617099</v>
      </c>
      <c r="D99" s="29">
        <f t="shared" ca="1" si="22"/>
        <v>64</v>
      </c>
      <c r="F99" s="22">
        <v>44644</v>
      </c>
      <c r="G99" s="26">
        <f t="shared" ca="1" si="1"/>
        <v>0.71001214089772635</v>
      </c>
      <c r="H99" s="29">
        <v>0</v>
      </c>
      <c r="J99" s="22">
        <v>44644</v>
      </c>
      <c r="K99" s="26">
        <f t="shared" ca="1" si="2"/>
        <v>0.26776806347634718</v>
      </c>
      <c r="L99" s="29">
        <v>0</v>
      </c>
      <c r="N99" s="22">
        <v>44644</v>
      </c>
      <c r="O99" s="26">
        <f t="shared" ca="1" si="3"/>
        <v>0.70608137840180984</v>
      </c>
      <c r="P99" s="29">
        <v>0</v>
      </c>
      <c r="R99" s="22">
        <v>44644</v>
      </c>
      <c r="S99" s="26">
        <f t="shared" ca="1" si="4"/>
        <v>0.38975298806687053</v>
      </c>
      <c r="T99" s="29">
        <v>0</v>
      </c>
      <c r="V99" s="22">
        <v>44644</v>
      </c>
      <c r="W99" s="26">
        <f t="shared" ca="1" si="5"/>
        <v>0.52084800724784319</v>
      </c>
      <c r="X99" s="29">
        <v>0</v>
      </c>
      <c r="Z99" s="22">
        <v>44644</v>
      </c>
      <c r="AA99" s="26">
        <f t="shared" ca="1" si="6"/>
        <v>0.80653876391194856</v>
      </c>
      <c r="AB99" s="29">
        <v>0</v>
      </c>
      <c r="AC99"/>
      <c r="AD99" s="25"/>
      <c r="AF99" s="22">
        <v>44644</v>
      </c>
      <c r="AG99" s="26">
        <f t="shared" ca="1" si="7"/>
        <v>0.54960883116641657</v>
      </c>
      <c r="AH99" s="29">
        <v>0</v>
      </c>
      <c r="AJ99" s="22">
        <v>44644</v>
      </c>
      <c r="AK99" s="26">
        <f t="shared" ca="1" si="8"/>
        <v>0.33857843894211814</v>
      </c>
      <c r="AL99" s="29">
        <v>0</v>
      </c>
      <c r="AN99" s="22">
        <v>44644</v>
      </c>
      <c r="AO99" s="26">
        <f t="shared" ca="1" si="9"/>
        <v>0.97386994000802296</v>
      </c>
      <c r="AP99" s="29">
        <v>0</v>
      </c>
      <c r="AR99" s="22">
        <v>44644</v>
      </c>
      <c r="AS99" s="26">
        <f t="shared" ca="1" si="10"/>
        <v>0.45005350403069022</v>
      </c>
      <c r="AT99" s="29">
        <v>0</v>
      </c>
      <c r="AV99" s="22">
        <v>44644</v>
      </c>
      <c r="AW99" s="26">
        <f t="shared" ca="1" si="11"/>
        <v>0.62406743973290102</v>
      </c>
      <c r="AX99" s="29">
        <v>0</v>
      </c>
      <c r="AZ99" s="22">
        <v>44644</v>
      </c>
      <c r="BA99" s="26">
        <f t="shared" ca="1" si="12"/>
        <v>0.84300246172429782</v>
      </c>
      <c r="BB99" s="29">
        <v>0</v>
      </c>
      <c r="BC99"/>
      <c r="BD99" s="25"/>
      <c r="BF99" s="22">
        <v>44644</v>
      </c>
      <c r="BG99" s="26">
        <f t="shared" ca="1" si="13"/>
        <v>0.65871030299423139</v>
      </c>
      <c r="BH99" s="29">
        <v>0</v>
      </c>
      <c r="BJ99" s="22">
        <v>44644</v>
      </c>
      <c r="BK99" s="26">
        <f t="shared" ca="1" si="14"/>
        <v>0.98939685364198227</v>
      </c>
      <c r="BL99" s="29">
        <v>0</v>
      </c>
      <c r="BN99" s="22">
        <v>44644</v>
      </c>
      <c r="BO99" s="26">
        <f t="shared" ca="1" si="15"/>
        <v>0.27345524693703549</v>
      </c>
      <c r="BP99" s="29">
        <v>0</v>
      </c>
      <c r="BR99" s="22">
        <v>44644</v>
      </c>
      <c r="BS99" s="26">
        <f t="shared" ca="1" si="16"/>
        <v>0.39308291261339368</v>
      </c>
      <c r="BT99" s="29">
        <v>0</v>
      </c>
      <c r="BV99" s="22">
        <v>44644</v>
      </c>
      <c r="BW99" s="26">
        <f t="shared" ca="1" si="17"/>
        <v>0.2522824868982716</v>
      </c>
      <c r="BX99" s="29">
        <v>0</v>
      </c>
    </row>
    <row r="100" spans="2:77" ht="12.75" x14ac:dyDescent="0.2">
      <c r="B100" s="22">
        <v>44645</v>
      </c>
      <c r="C100" s="26">
        <f t="shared" ca="1" si="0"/>
        <v>0.51704175643122852</v>
      </c>
      <c r="D100" s="29">
        <f t="shared" ca="1" si="22"/>
        <v>76</v>
      </c>
      <c r="F100" s="22">
        <v>44645</v>
      </c>
      <c r="G100" s="26">
        <f t="shared" ca="1" si="1"/>
        <v>0.23054689302717557</v>
      </c>
      <c r="H100" s="29">
        <v>0</v>
      </c>
      <c r="J100" s="22">
        <v>44645</v>
      </c>
      <c r="K100" s="26">
        <f t="shared" ca="1" si="2"/>
        <v>0.32063666964417281</v>
      </c>
      <c r="L100" s="29">
        <v>0</v>
      </c>
      <c r="N100" s="22">
        <v>44645</v>
      </c>
      <c r="O100" s="26">
        <f t="shared" ca="1" si="3"/>
        <v>0.94683520170828828</v>
      </c>
      <c r="P100" s="29">
        <v>0</v>
      </c>
      <c r="R100" s="22">
        <v>44645</v>
      </c>
      <c r="S100" s="26">
        <f t="shared" ca="1" si="4"/>
        <v>0.1526987548179003</v>
      </c>
      <c r="T100" s="29">
        <v>0</v>
      </c>
      <c r="V100" s="22">
        <v>44645</v>
      </c>
      <c r="W100" s="26">
        <f t="shared" ca="1" si="5"/>
        <v>0.67159351636511233</v>
      </c>
      <c r="X100" s="29">
        <v>0</v>
      </c>
      <c r="Z100" s="22">
        <v>44645</v>
      </c>
      <c r="AA100" s="26">
        <f t="shared" ca="1" si="6"/>
        <v>0.81898103722500437</v>
      </c>
      <c r="AB100" s="29">
        <v>0</v>
      </c>
      <c r="AC100"/>
      <c r="AD100" s="25"/>
      <c r="AF100" s="22">
        <v>44645</v>
      </c>
      <c r="AG100" s="26">
        <f t="shared" ca="1" si="7"/>
        <v>5.6302266507427756E-2</v>
      </c>
      <c r="AH100" s="29">
        <v>0</v>
      </c>
      <c r="AJ100" s="22">
        <v>44645</v>
      </c>
      <c r="AK100" s="26">
        <f t="shared" ca="1" si="8"/>
        <v>2.953278917213642E-2</v>
      </c>
      <c r="AL100" s="29">
        <v>0</v>
      </c>
      <c r="AN100" s="22">
        <v>44645</v>
      </c>
      <c r="AO100" s="26">
        <f t="shared" ca="1" si="9"/>
        <v>0.69513295959479937</v>
      </c>
      <c r="AP100" s="29">
        <v>0</v>
      </c>
      <c r="AR100" s="22">
        <v>44645</v>
      </c>
      <c r="AS100" s="26">
        <f t="shared" ca="1" si="10"/>
        <v>0.54165722172185116</v>
      </c>
      <c r="AT100" s="29">
        <v>0</v>
      </c>
      <c r="AV100" s="22">
        <v>44645</v>
      </c>
      <c r="AW100" s="26">
        <f t="shared" ca="1" si="11"/>
        <v>0.86554233485080279</v>
      </c>
      <c r="AX100" s="29">
        <v>0</v>
      </c>
      <c r="AZ100" s="22">
        <v>44645</v>
      </c>
      <c r="BA100" s="26">
        <f t="shared" ca="1" si="12"/>
        <v>0.53852697334702371</v>
      </c>
      <c r="BB100" s="29">
        <v>0</v>
      </c>
      <c r="BC100"/>
      <c r="BD100" s="25"/>
      <c r="BF100" s="22">
        <v>44645</v>
      </c>
      <c r="BG100" s="26">
        <f t="shared" ca="1" si="13"/>
        <v>0.69431936113786707</v>
      </c>
      <c r="BH100" s="29">
        <v>0</v>
      </c>
      <c r="BJ100" s="22">
        <v>44645</v>
      </c>
      <c r="BK100" s="26">
        <f t="shared" ca="1" si="14"/>
        <v>0.84167234101861688</v>
      </c>
      <c r="BL100" s="29">
        <v>0</v>
      </c>
      <c r="BN100" s="22">
        <v>44645</v>
      </c>
      <c r="BO100" s="26">
        <f t="shared" ca="1" si="15"/>
        <v>0.59674156119238664</v>
      </c>
      <c r="BP100" s="29">
        <v>0</v>
      </c>
      <c r="BR100" s="22">
        <v>44645</v>
      </c>
      <c r="BS100" s="26">
        <f t="shared" ca="1" si="16"/>
        <v>0.98221000270391268</v>
      </c>
      <c r="BT100" s="29">
        <v>0</v>
      </c>
      <c r="BV100" s="22">
        <v>44645</v>
      </c>
      <c r="BW100" s="26">
        <f t="shared" ca="1" si="17"/>
        <v>0.53320447312354868</v>
      </c>
      <c r="BX100" s="29">
        <v>0</v>
      </c>
    </row>
    <row r="101" spans="2:77" ht="12.75" x14ac:dyDescent="0.2">
      <c r="B101" s="22">
        <v>44646</v>
      </c>
      <c r="C101" s="26">
        <f t="shared" ca="1" si="0"/>
        <v>6.4553311183679019E-2</v>
      </c>
      <c r="D101" s="29">
        <f t="shared" ca="1" si="22"/>
        <v>45</v>
      </c>
      <c r="F101" s="22">
        <v>44646</v>
      </c>
      <c r="G101" s="26">
        <f t="shared" ca="1" si="1"/>
        <v>0.60156601996468417</v>
      </c>
      <c r="H101" s="29">
        <v>0</v>
      </c>
      <c r="J101" s="22">
        <v>44646</v>
      </c>
      <c r="K101" s="26">
        <f t="shared" ca="1" si="2"/>
        <v>0.73986765658085596</v>
      </c>
      <c r="L101" s="29">
        <v>0</v>
      </c>
      <c r="N101" s="22">
        <v>44646</v>
      </c>
      <c r="O101" s="26">
        <f t="shared" ca="1" si="3"/>
        <v>5.3570887635490116E-2</v>
      </c>
      <c r="P101" s="29">
        <v>0</v>
      </c>
      <c r="R101" s="22">
        <v>44646</v>
      </c>
      <c r="S101" s="26">
        <f t="shared" ca="1" si="4"/>
        <v>0.85645320275070791</v>
      </c>
      <c r="T101" s="29">
        <v>0</v>
      </c>
      <c r="V101" s="22">
        <v>44646</v>
      </c>
      <c r="W101" s="26">
        <f t="shared" ca="1" si="5"/>
        <v>0.56188311588878437</v>
      </c>
      <c r="X101" s="29">
        <v>0</v>
      </c>
      <c r="Z101" s="22">
        <v>44646</v>
      </c>
      <c r="AA101" s="26">
        <f t="shared" ca="1" si="6"/>
        <v>0.35942700244528958</v>
      </c>
      <c r="AB101" s="29">
        <v>0</v>
      </c>
      <c r="AC101"/>
      <c r="AD101" s="25"/>
      <c r="AF101" s="22">
        <v>44646</v>
      </c>
      <c r="AG101" s="26">
        <f t="shared" ca="1" si="7"/>
        <v>4.4297902969459901E-2</v>
      </c>
      <c r="AH101" s="29">
        <v>0</v>
      </c>
      <c r="AJ101" s="22">
        <v>44646</v>
      </c>
      <c r="AK101" s="26">
        <f t="shared" ca="1" si="8"/>
        <v>0.43069535046026775</v>
      </c>
      <c r="AL101" s="29">
        <v>0</v>
      </c>
      <c r="AN101" s="22">
        <v>44646</v>
      </c>
      <c r="AO101" s="26">
        <f t="shared" ca="1" si="9"/>
        <v>0.58604094280290797</v>
      </c>
      <c r="AP101" s="29">
        <v>0</v>
      </c>
      <c r="AR101" s="22">
        <v>44646</v>
      </c>
      <c r="AS101" s="26">
        <f t="shared" ca="1" si="10"/>
        <v>0.73140016822783227</v>
      </c>
      <c r="AT101" s="29">
        <v>0</v>
      </c>
      <c r="AV101" s="22">
        <v>44646</v>
      </c>
      <c r="AW101" s="26">
        <f t="shared" ca="1" si="11"/>
        <v>0.33209206146605008</v>
      </c>
      <c r="AX101" s="29">
        <v>0</v>
      </c>
      <c r="AZ101" s="22">
        <v>44646</v>
      </c>
      <c r="BA101" s="26">
        <f t="shared" ca="1" si="12"/>
        <v>0.74795001502128211</v>
      </c>
      <c r="BB101" s="29">
        <v>0</v>
      </c>
      <c r="BC101"/>
      <c r="BD101" s="25"/>
      <c r="BF101" s="22">
        <v>44646</v>
      </c>
      <c r="BG101" s="26">
        <f t="shared" ca="1" si="13"/>
        <v>0.74517542596417874</v>
      </c>
      <c r="BH101" s="29">
        <v>0</v>
      </c>
      <c r="BJ101" s="22">
        <v>44646</v>
      </c>
      <c r="BK101" s="26">
        <f t="shared" ca="1" si="14"/>
        <v>0.87105358466780414</v>
      </c>
      <c r="BL101" s="29">
        <v>0</v>
      </c>
      <c r="BN101" s="22">
        <v>44646</v>
      </c>
      <c r="BO101" s="26">
        <f t="shared" ca="1" si="15"/>
        <v>0.14173474217709914</v>
      </c>
      <c r="BP101" s="29">
        <v>0</v>
      </c>
      <c r="BR101" s="22">
        <v>44646</v>
      </c>
      <c r="BS101" s="26">
        <f t="shared" ca="1" si="16"/>
        <v>0.13066672686047087</v>
      </c>
      <c r="BT101" s="29">
        <v>0</v>
      </c>
      <c r="BV101" s="22">
        <v>44646</v>
      </c>
      <c r="BW101" s="26">
        <f t="shared" ca="1" si="17"/>
        <v>0.10813273012131452</v>
      </c>
      <c r="BX101" s="29">
        <v>0</v>
      </c>
    </row>
    <row r="102" spans="2:77" ht="12.75" x14ac:dyDescent="0.2">
      <c r="B102" s="22">
        <v>44647</v>
      </c>
      <c r="C102" s="26">
        <f t="shared" ca="1" si="0"/>
        <v>0.42265088927242145</v>
      </c>
      <c r="D102" s="29">
        <f t="shared" ca="1" si="22"/>
        <v>72</v>
      </c>
      <c r="F102" s="22">
        <v>44647</v>
      </c>
      <c r="G102" s="26">
        <f t="shared" ca="1" si="1"/>
        <v>0.98013573027311551</v>
      </c>
      <c r="H102" s="29">
        <v>0</v>
      </c>
      <c r="J102" s="22">
        <v>44647</v>
      </c>
      <c r="K102" s="26">
        <f t="shared" ca="1" si="2"/>
        <v>0.31198902605719281</v>
      </c>
      <c r="L102" s="29">
        <v>0</v>
      </c>
      <c r="N102" s="22">
        <v>44647</v>
      </c>
      <c r="O102" s="26">
        <f t="shared" ca="1" si="3"/>
        <v>0.80750335181029931</v>
      </c>
      <c r="P102" s="29">
        <v>0</v>
      </c>
      <c r="R102" s="22">
        <v>44647</v>
      </c>
      <c r="S102" s="26">
        <f t="shared" ca="1" si="4"/>
        <v>0.50038211140213795</v>
      </c>
      <c r="T102" s="29">
        <v>0</v>
      </c>
      <c r="V102" s="22">
        <v>44647</v>
      </c>
      <c r="W102" s="26">
        <f t="shared" ca="1" si="5"/>
        <v>0.70201393955945834</v>
      </c>
      <c r="X102" s="29">
        <v>0</v>
      </c>
      <c r="Z102" s="22">
        <v>44647</v>
      </c>
      <c r="AA102" s="26">
        <f t="shared" ca="1" si="6"/>
        <v>0.69797868804783059</v>
      </c>
      <c r="AB102" s="29">
        <v>0</v>
      </c>
      <c r="AC102"/>
      <c r="AD102" s="25"/>
      <c r="AF102" s="22">
        <v>44647</v>
      </c>
      <c r="AG102" s="26">
        <f t="shared" ca="1" si="7"/>
        <v>0.63745309671787775</v>
      </c>
      <c r="AH102" s="29">
        <v>0</v>
      </c>
      <c r="AJ102" s="22">
        <v>44647</v>
      </c>
      <c r="AK102" s="26">
        <f t="shared" ca="1" si="8"/>
        <v>0.2500013040824598</v>
      </c>
      <c r="AL102" s="29">
        <v>0</v>
      </c>
      <c r="AN102" s="22">
        <v>44647</v>
      </c>
      <c r="AO102" s="26">
        <f t="shared" ca="1" si="9"/>
        <v>8.7166434734453513E-2</v>
      </c>
      <c r="AP102" s="29">
        <v>0</v>
      </c>
      <c r="AR102" s="22">
        <v>44647</v>
      </c>
      <c r="AS102" s="26">
        <f t="shared" ca="1" si="10"/>
        <v>0.35347211960779457</v>
      </c>
      <c r="AT102" s="29">
        <v>0</v>
      </c>
      <c r="AV102" s="22">
        <v>44647</v>
      </c>
      <c r="AW102" s="26">
        <f t="shared" ca="1" si="11"/>
        <v>0.48728810131920164</v>
      </c>
      <c r="AX102" s="29">
        <v>0</v>
      </c>
      <c r="AZ102" s="22">
        <v>44647</v>
      </c>
      <c r="BA102" s="26">
        <f t="shared" ca="1" si="12"/>
        <v>0.81373890893927336</v>
      </c>
      <c r="BB102" s="29">
        <v>0</v>
      </c>
      <c r="BC102"/>
      <c r="BD102" s="25"/>
      <c r="BF102" s="22">
        <v>44647</v>
      </c>
      <c r="BG102" s="26">
        <f t="shared" ca="1" si="13"/>
        <v>0.19045670014596228</v>
      </c>
      <c r="BH102" s="29">
        <v>0</v>
      </c>
      <c r="BJ102" s="22">
        <v>44647</v>
      </c>
      <c r="BK102" s="26">
        <f t="shared" ca="1" si="14"/>
        <v>0.17152439007957221</v>
      </c>
      <c r="BL102" s="29">
        <v>0</v>
      </c>
      <c r="BN102" s="22">
        <v>44647</v>
      </c>
      <c r="BO102" s="26">
        <f t="shared" ca="1" si="15"/>
        <v>0.97744934696199837</v>
      </c>
      <c r="BP102" s="29">
        <v>0</v>
      </c>
      <c r="BR102" s="22">
        <v>44647</v>
      </c>
      <c r="BS102" s="26">
        <f t="shared" ca="1" si="16"/>
        <v>0.9892263825953167</v>
      </c>
      <c r="BT102" s="29">
        <v>0</v>
      </c>
      <c r="BV102" s="22">
        <v>44647</v>
      </c>
      <c r="BW102" s="26">
        <f t="shared" ca="1" si="17"/>
        <v>0.44656509658922194</v>
      </c>
      <c r="BX102" s="29">
        <v>0</v>
      </c>
    </row>
    <row r="103" spans="2:77" ht="12.75" x14ac:dyDescent="0.2">
      <c r="B103" s="22">
        <v>44648</v>
      </c>
      <c r="C103" s="26">
        <f t="shared" ca="1" si="0"/>
        <v>0.62745182368376429</v>
      </c>
      <c r="D103" s="29">
        <f t="shared" ca="1" si="22"/>
        <v>82</v>
      </c>
      <c r="F103" s="22">
        <v>44648</v>
      </c>
      <c r="G103" s="26">
        <f t="shared" ca="1" si="1"/>
        <v>0.51351730050101718</v>
      </c>
      <c r="H103" s="29">
        <v>0</v>
      </c>
      <c r="J103" s="22">
        <v>44648</v>
      </c>
      <c r="K103" s="26">
        <f t="shared" ca="1" si="2"/>
        <v>0.47369771059409838</v>
      </c>
      <c r="L103" s="29">
        <v>0</v>
      </c>
      <c r="N103" s="22">
        <v>44648</v>
      </c>
      <c r="O103" s="26">
        <f t="shared" ca="1" si="3"/>
        <v>0.55649459336843055</v>
      </c>
      <c r="P103" s="29">
        <v>0</v>
      </c>
      <c r="R103" s="22">
        <v>44648</v>
      </c>
      <c r="S103" s="26">
        <f t="shared" ca="1" si="4"/>
        <v>0.95017820710059675</v>
      </c>
      <c r="T103" s="29">
        <v>0</v>
      </c>
      <c r="V103" s="22">
        <v>44648</v>
      </c>
      <c r="W103" s="26">
        <f t="shared" ca="1" si="5"/>
        <v>0.47145690564287135</v>
      </c>
      <c r="X103" s="29">
        <v>0</v>
      </c>
      <c r="Z103" s="22">
        <v>44648</v>
      </c>
      <c r="AA103" s="26">
        <f t="shared" ca="1" si="6"/>
        <v>0.47709681353408173</v>
      </c>
      <c r="AB103" s="29">
        <v>0</v>
      </c>
      <c r="AC103"/>
      <c r="AD103" s="25"/>
      <c r="AF103" s="22">
        <v>44648</v>
      </c>
      <c r="AG103" s="26">
        <f t="shared" ca="1" si="7"/>
        <v>0.2661866885045846</v>
      </c>
      <c r="AH103" s="29">
        <v>0</v>
      </c>
      <c r="AJ103" s="22">
        <v>44648</v>
      </c>
      <c r="AK103" s="26">
        <f t="shared" ca="1" si="8"/>
        <v>0.14420491126582868</v>
      </c>
      <c r="AL103" s="29">
        <v>0</v>
      </c>
      <c r="AN103" s="22">
        <v>44648</v>
      </c>
      <c r="AO103" s="26">
        <f t="shared" ca="1" si="9"/>
        <v>0.60729607230591287</v>
      </c>
      <c r="AP103" s="29">
        <v>0</v>
      </c>
      <c r="AR103" s="22">
        <v>44648</v>
      </c>
      <c r="AS103" s="26">
        <f t="shared" ca="1" si="10"/>
        <v>0.27844361939614637</v>
      </c>
      <c r="AT103" s="29">
        <v>0</v>
      </c>
      <c r="AV103" s="22">
        <v>44648</v>
      </c>
      <c r="AW103" s="26">
        <f t="shared" ca="1" si="11"/>
        <v>0.15661933904456027</v>
      </c>
      <c r="AX103" s="29">
        <v>0</v>
      </c>
      <c r="AZ103" s="22">
        <v>44648</v>
      </c>
      <c r="BA103" s="26">
        <f t="shared" ca="1" si="12"/>
        <v>0.58210570222295088</v>
      </c>
      <c r="BB103" s="29">
        <v>0</v>
      </c>
      <c r="BC103"/>
      <c r="BD103" s="25"/>
      <c r="BF103" s="22">
        <v>44648</v>
      </c>
      <c r="BG103" s="26">
        <f t="shared" ca="1" si="13"/>
        <v>0.31426778468399141</v>
      </c>
      <c r="BH103" s="29">
        <v>0</v>
      </c>
      <c r="BJ103" s="22">
        <v>44648</v>
      </c>
      <c r="BK103" s="26">
        <f t="shared" ca="1" si="14"/>
        <v>0.94082309148470389</v>
      </c>
      <c r="BL103" s="29">
        <v>0</v>
      </c>
      <c r="BN103" s="22">
        <v>44648</v>
      </c>
      <c r="BO103" s="26">
        <f t="shared" ca="1" si="15"/>
        <v>0.59671173665265664</v>
      </c>
      <c r="BP103" s="29">
        <v>0</v>
      </c>
      <c r="BR103" s="22">
        <v>44648</v>
      </c>
      <c r="BS103" s="26">
        <f t="shared" ca="1" si="16"/>
        <v>0.58244802763346604</v>
      </c>
      <c r="BT103" s="29">
        <v>0</v>
      </c>
      <c r="BV103" s="22">
        <v>44648</v>
      </c>
      <c r="BW103" s="26">
        <f t="shared" ca="1" si="17"/>
        <v>0.99914998993201132</v>
      </c>
      <c r="BX103" s="29">
        <v>0</v>
      </c>
    </row>
    <row r="104" spans="2:77" ht="12.75" x14ac:dyDescent="0.2">
      <c r="B104" s="22">
        <v>44649</v>
      </c>
      <c r="C104" s="26">
        <f t="shared" ca="1" si="0"/>
        <v>0.55488884752239787</v>
      </c>
      <c r="D104" s="29">
        <f t="shared" ca="1" si="22"/>
        <v>78</v>
      </c>
      <c r="F104" s="22">
        <v>44649</v>
      </c>
      <c r="G104" s="26">
        <f t="shared" ca="1" si="1"/>
        <v>0.47428564470669932</v>
      </c>
      <c r="H104" s="29">
        <v>0</v>
      </c>
      <c r="J104" s="22">
        <v>44649</v>
      </c>
      <c r="K104" s="26">
        <f t="shared" ca="1" si="2"/>
        <v>0.39689299902836928</v>
      </c>
      <c r="L104" s="29">
        <v>0</v>
      </c>
      <c r="N104" s="22">
        <v>44649</v>
      </c>
      <c r="O104" s="26">
        <f t="shared" ca="1" si="3"/>
        <v>0.23971481343332102</v>
      </c>
      <c r="P104" s="29">
        <v>0</v>
      </c>
      <c r="R104" s="22">
        <v>44649</v>
      </c>
      <c r="S104" s="26">
        <f t="shared" ca="1" si="4"/>
        <v>0.20330784596920082</v>
      </c>
      <c r="T104" s="29">
        <v>0</v>
      </c>
      <c r="V104" s="22">
        <v>44649</v>
      </c>
      <c r="W104" s="26">
        <f t="shared" ca="1" si="5"/>
        <v>8.9889282649802671E-2</v>
      </c>
      <c r="X104" s="29">
        <v>0</v>
      </c>
      <c r="Z104" s="22">
        <v>44649</v>
      </c>
      <c r="AA104" s="26">
        <f t="shared" ca="1" si="6"/>
        <v>0.2199937767141652</v>
      </c>
      <c r="AB104" s="29">
        <v>0</v>
      </c>
      <c r="AC104"/>
      <c r="AD104" s="25"/>
      <c r="AF104" s="22">
        <v>44649</v>
      </c>
      <c r="AG104" s="26">
        <f t="shared" ca="1" si="7"/>
        <v>0.64244660732847991</v>
      </c>
      <c r="AH104" s="29">
        <v>0</v>
      </c>
      <c r="AJ104" s="22">
        <v>44649</v>
      </c>
      <c r="AK104" s="26">
        <f t="shared" ca="1" si="8"/>
        <v>0.474620496622988</v>
      </c>
      <c r="AL104" s="29">
        <v>0</v>
      </c>
      <c r="AN104" s="22">
        <v>44649</v>
      </c>
      <c r="AO104" s="26">
        <f t="shared" ca="1" si="9"/>
        <v>3.5496879971826933E-3</v>
      </c>
      <c r="AP104" s="29">
        <v>0</v>
      </c>
      <c r="AR104" s="22">
        <v>44649</v>
      </c>
      <c r="AS104" s="26">
        <f t="shared" ca="1" si="10"/>
        <v>0.92137759907842476</v>
      </c>
      <c r="AT104" s="29">
        <v>0</v>
      </c>
      <c r="AV104" s="22">
        <v>44649</v>
      </c>
      <c r="AW104" s="26">
        <f t="shared" ca="1" si="11"/>
        <v>0.89226579021473074</v>
      </c>
      <c r="AX104" s="29">
        <v>0</v>
      </c>
      <c r="AZ104" s="22">
        <v>44649</v>
      </c>
      <c r="BA104" s="26">
        <f t="shared" ca="1" si="12"/>
        <v>0.80791465621599945</v>
      </c>
      <c r="BB104" s="29">
        <v>0</v>
      </c>
      <c r="BC104"/>
      <c r="BD104" s="25"/>
      <c r="BF104" s="22">
        <v>44649</v>
      </c>
      <c r="BG104" s="26">
        <f t="shared" ca="1" si="13"/>
        <v>0.61566461408315176</v>
      </c>
      <c r="BH104" s="29">
        <v>0</v>
      </c>
      <c r="BJ104" s="22">
        <v>44649</v>
      </c>
      <c r="BK104" s="26">
        <f t="shared" ca="1" si="14"/>
        <v>0.28406900644233546</v>
      </c>
      <c r="BL104" s="29">
        <v>0</v>
      </c>
      <c r="BN104" s="22">
        <v>44649</v>
      </c>
      <c r="BO104" s="26">
        <f t="shared" ca="1" si="15"/>
        <v>0.56318418101233614</v>
      </c>
      <c r="BP104" s="29">
        <v>0</v>
      </c>
      <c r="BR104" s="22">
        <v>44649</v>
      </c>
      <c r="BS104" s="26">
        <f t="shared" ca="1" si="16"/>
        <v>0.44554259014863984</v>
      </c>
      <c r="BT104" s="29">
        <v>0</v>
      </c>
      <c r="BV104" s="22">
        <v>44649</v>
      </c>
      <c r="BW104" s="26">
        <f t="shared" ca="1" si="17"/>
        <v>0.52795147647224649</v>
      </c>
      <c r="BX104" s="29">
        <v>0</v>
      </c>
    </row>
    <row r="105" spans="2:77" ht="12.75" x14ac:dyDescent="0.2">
      <c r="B105" s="22">
        <v>44650</v>
      </c>
      <c r="C105" s="26">
        <f t="shared" ca="1" si="0"/>
        <v>0.86499475105120438</v>
      </c>
      <c r="D105" s="29">
        <f t="shared" ca="1" si="22"/>
        <v>98</v>
      </c>
      <c r="F105" s="22">
        <v>44650</v>
      </c>
      <c r="G105" s="26">
        <f t="shared" ca="1" si="1"/>
        <v>9.1337804061741745E-2</v>
      </c>
      <c r="H105" s="29">
        <v>0</v>
      </c>
      <c r="J105" s="22">
        <v>44650</v>
      </c>
      <c r="K105" s="26">
        <f t="shared" ca="1" si="2"/>
        <v>0.23692517238813438</v>
      </c>
      <c r="L105" s="29">
        <v>0</v>
      </c>
      <c r="N105" s="22">
        <v>44650</v>
      </c>
      <c r="O105" s="26">
        <f t="shared" ca="1" si="3"/>
        <v>0.80705022608657617</v>
      </c>
      <c r="P105" s="29">
        <v>0</v>
      </c>
      <c r="R105" s="22">
        <v>44650</v>
      </c>
      <c r="S105" s="26">
        <f t="shared" ca="1" si="4"/>
        <v>0.52734617929884486</v>
      </c>
      <c r="T105" s="29">
        <v>0</v>
      </c>
      <c r="V105" s="22">
        <v>44650</v>
      </c>
      <c r="W105" s="26">
        <f t="shared" ca="1" si="5"/>
        <v>0.98295360384749486</v>
      </c>
      <c r="X105" s="29">
        <v>0</v>
      </c>
      <c r="Z105" s="22">
        <v>44650</v>
      </c>
      <c r="AA105" s="26">
        <f t="shared" ca="1" si="6"/>
        <v>2.1329512909845305E-2</v>
      </c>
      <c r="AB105" s="29">
        <v>0</v>
      </c>
      <c r="AC105"/>
      <c r="AD105" s="25"/>
      <c r="AF105" s="22">
        <v>44650</v>
      </c>
      <c r="AG105" s="26">
        <f t="shared" ca="1" si="7"/>
        <v>0.76361180166363252</v>
      </c>
      <c r="AH105" s="29">
        <v>0</v>
      </c>
      <c r="AJ105" s="22">
        <v>44650</v>
      </c>
      <c r="AK105" s="26">
        <f t="shared" ca="1" si="8"/>
        <v>0.6957327887765844</v>
      </c>
      <c r="AL105" s="29">
        <v>0</v>
      </c>
      <c r="AN105" s="22">
        <v>44650</v>
      </c>
      <c r="AO105" s="26">
        <f t="shared" ca="1" si="9"/>
        <v>0.89004409438398258</v>
      </c>
      <c r="AP105" s="29">
        <v>0</v>
      </c>
      <c r="AR105" s="22">
        <v>44650</v>
      </c>
      <c r="AS105" s="26">
        <f t="shared" ca="1" si="10"/>
        <v>0.16930643629679432</v>
      </c>
      <c r="AT105" s="29">
        <v>0</v>
      </c>
      <c r="AV105" s="22">
        <v>44650</v>
      </c>
      <c r="AW105" s="26">
        <f t="shared" ca="1" si="11"/>
        <v>0.96572937691883753</v>
      </c>
      <c r="AX105" s="29">
        <v>0</v>
      </c>
      <c r="AZ105" s="22">
        <v>44650</v>
      </c>
      <c r="BA105" s="26">
        <f t="shared" ca="1" si="12"/>
        <v>0.83211101592873149</v>
      </c>
      <c r="BB105" s="29">
        <v>0</v>
      </c>
      <c r="BC105"/>
      <c r="BD105" s="25"/>
      <c r="BF105" s="22">
        <v>44650</v>
      </c>
      <c r="BG105" s="26">
        <f t="shared" ca="1" si="13"/>
        <v>0.93516077601969028</v>
      </c>
      <c r="BH105" s="29">
        <v>0</v>
      </c>
      <c r="BJ105" s="22">
        <v>44650</v>
      </c>
      <c r="BK105" s="26">
        <f t="shared" ca="1" si="14"/>
        <v>0.40008902367815113</v>
      </c>
      <c r="BL105" s="29">
        <v>0</v>
      </c>
      <c r="BN105" s="22">
        <v>44650</v>
      </c>
      <c r="BO105" s="26">
        <f t="shared" ca="1" si="15"/>
        <v>0.62914912812183532</v>
      </c>
      <c r="BP105" s="29">
        <v>0</v>
      </c>
      <c r="BR105" s="22">
        <v>44650</v>
      </c>
      <c r="BS105" s="26">
        <f t="shared" ca="1" si="16"/>
        <v>0.8166854491625859</v>
      </c>
      <c r="BT105" s="29">
        <v>0</v>
      </c>
      <c r="BV105" s="22">
        <v>44650</v>
      </c>
      <c r="BW105" s="26">
        <f t="shared" ca="1" si="17"/>
        <v>0.29833379099785728</v>
      </c>
      <c r="BX105" s="29">
        <v>0</v>
      </c>
    </row>
    <row r="106" spans="2:77" ht="12.75" x14ac:dyDescent="0.2">
      <c r="B106" s="22">
        <v>44651</v>
      </c>
      <c r="C106" s="26">
        <f t="shared" ca="1" si="0"/>
        <v>0.10774165379312417</v>
      </c>
      <c r="D106" s="29">
        <f t="shared" ca="1" si="22"/>
        <v>51</v>
      </c>
      <c r="E106">
        <v>2260</v>
      </c>
      <c r="F106" s="22">
        <v>44651</v>
      </c>
      <c r="G106" s="26">
        <f t="shared" ca="1" si="1"/>
        <v>0.58594336727091589</v>
      </c>
      <c r="H106" s="29">
        <v>0</v>
      </c>
      <c r="I106">
        <v>0</v>
      </c>
      <c r="J106" s="22">
        <v>44651</v>
      </c>
      <c r="K106" s="26">
        <f t="shared" ca="1" si="2"/>
        <v>0.22922181114865303</v>
      </c>
      <c r="L106" s="29">
        <v>0</v>
      </c>
      <c r="M106">
        <v>0</v>
      </c>
      <c r="N106" s="22">
        <v>44651</v>
      </c>
      <c r="O106" s="26">
        <f t="shared" ca="1" si="3"/>
        <v>0.67149700362261511</v>
      </c>
      <c r="P106" s="29">
        <v>0</v>
      </c>
      <c r="Q106">
        <v>0</v>
      </c>
      <c r="R106" s="22">
        <v>44651</v>
      </c>
      <c r="S106" s="26">
        <f t="shared" ca="1" si="4"/>
        <v>0.21194301459232012</v>
      </c>
      <c r="T106" s="29">
        <v>0</v>
      </c>
      <c r="U106">
        <v>0</v>
      </c>
      <c r="V106" s="22">
        <v>44651</v>
      </c>
      <c r="W106" s="26">
        <f t="shared" ca="1" si="5"/>
        <v>0.59552369752024625</v>
      </c>
      <c r="X106" s="29">
        <v>0</v>
      </c>
      <c r="Y106">
        <v>0</v>
      </c>
      <c r="Z106" s="22">
        <v>44651</v>
      </c>
      <c r="AA106" s="26">
        <f t="shared" ca="1" si="6"/>
        <v>0.70102558296836648</v>
      </c>
      <c r="AB106" s="29">
        <v>0</v>
      </c>
      <c r="AC106">
        <v>0</v>
      </c>
      <c r="AD106" s="25"/>
      <c r="AF106" s="22">
        <v>44651</v>
      </c>
      <c r="AG106" s="26">
        <f t="shared" ca="1" si="7"/>
        <v>0.51528514039177953</v>
      </c>
      <c r="AH106" s="29">
        <v>0</v>
      </c>
      <c r="AI106">
        <v>0</v>
      </c>
      <c r="AJ106" s="22">
        <v>44651</v>
      </c>
      <c r="AK106" s="26">
        <f t="shared" ca="1" si="8"/>
        <v>0.65492276855743148</v>
      </c>
      <c r="AL106" s="29">
        <v>0</v>
      </c>
      <c r="AM106">
        <v>0</v>
      </c>
      <c r="AN106" s="22">
        <v>44651</v>
      </c>
      <c r="AO106" s="26">
        <f t="shared" ca="1" si="9"/>
        <v>0.13549837193001457</v>
      </c>
      <c r="AP106" s="29">
        <v>0</v>
      </c>
      <c r="AQ106">
        <v>0</v>
      </c>
      <c r="AR106" s="22">
        <v>44651</v>
      </c>
      <c r="AS106" s="26">
        <f t="shared" ca="1" si="10"/>
        <v>4.1930726965953791E-2</v>
      </c>
      <c r="AT106" s="29">
        <v>0</v>
      </c>
      <c r="AU106">
        <v>0</v>
      </c>
      <c r="AV106" s="22">
        <v>44651</v>
      </c>
      <c r="AW106" s="26">
        <f t="shared" ca="1" si="11"/>
        <v>0.71858171570070584</v>
      </c>
      <c r="AX106" s="29">
        <v>0</v>
      </c>
      <c r="AY106">
        <v>0</v>
      </c>
      <c r="AZ106" s="22">
        <v>44651</v>
      </c>
      <c r="BA106" s="26">
        <f t="shared" ca="1" si="12"/>
        <v>0.8744697036379212</v>
      </c>
      <c r="BB106" s="29">
        <v>0</v>
      </c>
      <c r="BC106">
        <v>0</v>
      </c>
      <c r="BD106" s="25"/>
      <c r="BF106" s="22">
        <v>44651</v>
      </c>
      <c r="BG106" s="26">
        <f t="shared" ca="1" si="13"/>
        <v>7.4250463324813998E-2</v>
      </c>
      <c r="BH106" s="29">
        <v>0</v>
      </c>
      <c r="BI106">
        <v>0</v>
      </c>
      <c r="BJ106" s="22">
        <v>44651</v>
      </c>
      <c r="BK106" s="26">
        <f t="shared" ca="1" si="14"/>
        <v>0.85179195102419103</v>
      </c>
      <c r="BL106" s="29">
        <v>0</v>
      </c>
      <c r="BM106">
        <v>0</v>
      </c>
      <c r="BN106" s="22">
        <v>44651</v>
      </c>
      <c r="BO106" s="26">
        <f t="shared" ca="1" si="15"/>
        <v>2.66427953317393E-2</v>
      </c>
      <c r="BP106" s="29">
        <v>0</v>
      </c>
      <c r="BQ106">
        <v>0</v>
      </c>
      <c r="BR106" s="22">
        <v>44651</v>
      </c>
      <c r="BS106" s="26">
        <f t="shared" ca="1" si="16"/>
        <v>0.89750371749156943</v>
      </c>
      <c r="BT106" s="29">
        <v>0</v>
      </c>
      <c r="BU106">
        <v>0</v>
      </c>
      <c r="BV106" s="22">
        <v>44651</v>
      </c>
      <c r="BW106" s="26">
        <f t="shared" ca="1" si="17"/>
        <v>0.35653110989437464</v>
      </c>
      <c r="BX106" s="29">
        <v>0</v>
      </c>
      <c r="BY106">
        <v>0</v>
      </c>
    </row>
    <row r="107" spans="2:77" ht="12.75" x14ac:dyDescent="0.2">
      <c r="B107" s="22">
        <v>44652</v>
      </c>
      <c r="C107" s="26">
        <f t="shared" ca="1" si="0"/>
        <v>0.64860355291801786</v>
      </c>
      <c r="D107" s="29">
        <f ca="1">ROUNDUP(_xlfn.NORM.INV(C106,C$10,C$12),0)</f>
        <v>51</v>
      </c>
      <c r="F107" s="22">
        <v>44652</v>
      </c>
      <c r="G107" s="26">
        <f t="shared" ca="1" si="1"/>
        <v>0.27116215007558075</v>
      </c>
      <c r="H107" s="29">
        <v>0</v>
      </c>
      <c r="J107" s="22">
        <v>44652</v>
      </c>
      <c r="K107" s="26">
        <f t="shared" ca="1" si="2"/>
        <v>0.32953193976078521</v>
      </c>
      <c r="L107" s="29">
        <v>0</v>
      </c>
      <c r="N107" s="22">
        <v>44652</v>
      </c>
      <c r="O107" s="26">
        <f t="shared" ca="1" si="3"/>
        <v>0.40864824177304282</v>
      </c>
      <c r="P107" s="29">
        <v>0</v>
      </c>
      <c r="R107" s="22">
        <v>44652</v>
      </c>
      <c r="S107" s="26">
        <f t="shared" ca="1" si="4"/>
        <v>0.67346693110935352</v>
      </c>
      <c r="T107" s="29">
        <v>0</v>
      </c>
      <c r="V107" s="22">
        <v>44652</v>
      </c>
      <c r="W107" s="26">
        <f t="shared" ca="1" si="5"/>
        <v>1.8370490999334965E-2</v>
      </c>
      <c r="X107" s="29">
        <v>0</v>
      </c>
      <c r="Z107" s="22">
        <v>44652</v>
      </c>
      <c r="AA107" s="26">
        <f t="shared" ca="1" si="6"/>
        <v>0.66476690904875235</v>
      </c>
      <c r="AB107" s="29">
        <v>0</v>
      </c>
      <c r="AC107"/>
      <c r="AD107" s="25"/>
      <c r="AF107" s="22">
        <v>44652</v>
      </c>
      <c r="AG107" s="26">
        <f t="shared" ca="1" si="7"/>
        <v>0.51961205420729994</v>
      </c>
      <c r="AH107" s="29">
        <v>0</v>
      </c>
      <c r="AJ107" s="22">
        <v>44652</v>
      </c>
      <c r="AK107" s="26">
        <f t="shared" ca="1" si="8"/>
        <v>0.87911121887142185</v>
      </c>
      <c r="AL107" s="29">
        <v>0</v>
      </c>
      <c r="AN107" s="22">
        <v>44652</v>
      </c>
      <c r="AO107" s="26">
        <f t="shared" ca="1" si="9"/>
        <v>3.360404385870519E-2</v>
      </c>
      <c r="AP107" s="29">
        <v>0</v>
      </c>
      <c r="AR107" s="22">
        <v>44652</v>
      </c>
      <c r="AS107" s="26">
        <f t="shared" ca="1" si="10"/>
        <v>0.76510103194476586</v>
      </c>
      <c r="AT107" s="29">
        <v>0</v>
      </c>
      <c r="AV107" s="22">
        <v>44652</v>
      </c>
      <c r="AW107" s="26">
        <f t="shared" ca="1" si="11"/>
        <v>0.91736737687781289</v>
      </c>
      <c r="AX107" s="29">
        <v>0</v>
      </c>
      <c r="AZ107" s="22">
        <v>44652</v>
      </c>
      <c r="BA107" s="26">
        <f t="shared" ca="1" si="12"/>
        <v>0.96729508072573345</v>
      </c>
      <c r="BB107" s="29">
        <v>0</v>
      </c>
      <c r="BC107"/>
      <c r="BD107" s="25"/>
      <c r="BF107" s="22">
        <v>44652</v>
      </c>
      <c r="BG107" s="26">
        <f t="shared" ca="1" si="13"/>
        <v>0.26549705249922506</v>
      </c>
      <c r="BH107" s="29">
        <v>0</v>
      </c>
      <c r="BJ107" s="22">
        <v>44652</v>
      </c>
      <c r="BK107" s="26">
        <f t="shared" ca="1" si="14"/>
        <v>0.94412300117563086</v>
      </c>
      <c r="BL107" s="29">
        <v>0</v>
      </c>
      <c r="BN107" s="22">
        <v>44652</v>
      </c>
      <c r="BO107" s="26">
        <f t="shared" ca="1" si="15"/>
        <v>0.74061140209886434</v>
      </c>
      <c r="BP107" s="29">
        <v>0</v>
      </c>
      <c r="BR107" s="22">
        <v>44652</v>
      </c>
      <c r="BS107" s="26">
        <f t="shared" ca="1" si="16"/>
        <v>0.70536785966710014</v>
      </c>
      <c r="BT107" s="29">
        <v>0</v>
      </c>
      <c r="BV107" s="22">
        <v>44652</v>
      </c>
      <c r="BW107" s="26">
        <f t="shared" ca="1" si="17"/>
        <v>0.51520841960772612</v>
      </c>
      <c r="BX107" s="29">
        <v>0</v>
      </c>
    </row>
    <row r="108" spans="2:77" ht="12.75" x14ac:dyDescent="0.2">
      <c r="B108" s="22">
        <v>44653</v>
      </c>
      <c r="C108" s="26">
        <f t="shared" ca="1" si="0"/>
        <v>6.4177177605942437E-2</v>
      </c>
      <c r="D108" s="29">
        <f t="shared" ca="1" si="22"/>
        <v>45</v>
      </c>
      <c r="F108" s="22">
        <v>44653</v>
      </c>
      <c r="G108" s="26">
        <f t="shared" ca="1" si="1"/>
        <v>0.58860021833877241</v>
      </c>
      <c r="H108" s="29">
        <v>0</v>
      </c>
      <c r="J108" s="22">
        <v>44653</v>
      </c>
      <c r="K108" s="26">
        <f t="shared" ca="1" si="2"/>
        <v>0.39101709290310838</v>
      </c>
      <c r="L108" s="29">
        <v>0</v>
      </c>
      <c r="N108" s="22">
        <v>44653</v>
      </c>
      <c r="O108" s="26">
        <f t="shared" ca="1" si="3"/>
        <v>0.57310387953344721</v>
      </c>
      <c r="P108" s="29">
        <v>0</v>
      </c>
      <c r="R108" s="22">
        <v>44653</v>
      </c>
      <c r="S108" s="26">
        <f t="shared" ca="1" si="4"/>
        <v>0.62403529904657007</v>
      </c>
      <c r="T108" s="29">
        <v>0</v>
      </c>
      <c r="V108" s="22">
        <v>44653</v>
      </c>
      <c r="W108" s="26">
        <f t="shared" ca="1" si="5"/>
        <v>0.36497783096678127</v>
      </c>
      <c r="X108" s="29">
        <v>0</v>
      </c>
      <c r="Z108" s="22">
        <v>44653</v>
      </c>
      <c r="AA108" s="26">
        <f t="shared" ca="1" si="6"/>
        <v>0.42688347714516339</v>
      </c>
      <c r="AB108" s="29">
        <v>0</v>
      </c>
      <c r="AC108"/>
      <c r="AD108" s="25"/>
      <c r="AF108" s="22">
        <v>44653</v>
      </c>
      <c r="AG108" s="26">
        <f t="shared" ca="1" si="7"/>
        <v>0.59089603230704479</v>
      </c>
      <c r="AH108" s="29">
        <v>0</v>
      </c>
      <c r="AJ108" s="22">
        <v>44653</v>
      </c>
      <c r="AK108" s="26">
        <f t="shared" ca="1" si="8"/>
        <v>0.14712690585537824</v>
      </c>
      <c r="AL108" s="29">
        <v>0</v>
      </c>
      <c r="AN108" s="22">
        <v>44653</v>
      </c>
      <c r="AO108" s="26">
        <f t="shared" ca="1" si="9"/>
        <v>0.97960014804055406</v>
      </c>
      <c r="AP108" s="29">
        <v>0</v>
      </c>
      <c r="AR108" s="22">
        <v>44653</v>
      </c>
      <c r="AS108" s="26">
        <f t="shared" ca="1" si="10"/>
        <v>0.52269556000913819</v>
      </c>
      <c r="AT108" s="29">
        <v>0</v>
      </c>
      <c r="AV108" s="22">
        <v>44653</v>
      </c>
      <c r="AW108" s="26">
        <f t="shared" ca="1" si="11"/>
        <v>0.36731830194034176</v>
      </c>
      <c r="AX108" s="29">
        <v>0</v>
      </c>
      <c r="AZ108" s="22">
        <v>44653</v>
      </c>
      <c r="BA108" s="26">
        <f t="shared" ca="1" si="12"/>
        <v>0.51026553129279184</v>
      </c>
      <c r="BB108" s="29">
        <v>0</v>
      </c>
      <c r="BC108"/>
      <c r="BD108" s="25"/>
      <c r="BF108" s="22">
        <v>44653</v>
      </c>
      <c r="BG108" s="26">
        <f t="shared" ca="1" si="13"/>
        <v>0.18784620245144046</v>
      </c>
      <c r="BH108" s="29">
        <v>0</v>
      </c>
      <c r="BJ108" s="22">
        <v>44653</v>
      </c>
      <c r="BK108" s="26">
        <f t="shared" ca="1" si="14"/>
        <v>0.94874188430194983</v>
      </c>
      <c r="BL108" s="29">
        <v>0</v>
      </c>
      <c r="BN108" s="22">
        <v>44653</v>
      </c>
      <c r="BO108" s="26">
        <f t="shared" ca="1" si="15"/>
        <v>0.88994981221635305</v>
      </c>
      <c r="BP108" s="29">
        <v>0</v>
      </c>
      <c r="BR108" s="22">
        <v>44653</v>
      </c>
      <c r="BS108" s="26">
        <f t="shared" ca="1" si="16"/>
        <v>3.9799831342417269E-2</v>
      </c>
      <c r="BT108" s="29">
        <v>0</v>
      </c>
      <c r="BV108" s="22">
        <v>44653</v>
      </c>
      <c r="BW108" s="26">
        <f t="shared" ca="1" si="17"/>
        <v>0.42679703764021348</v>
      </c>
      <c r="BX108" s="29">
        <v>0</v>
      </c>
    </row>
    <row r="109" spans="2:77" ht="12.75" x14ac:dyDescent="0.2">
      <c r="B109" s="22">
        <v>44654</v>
      </c>
      <c r="C109" s="26">
        <f t="shared" ca="1" si="0"/>
        <v>0.24894575018928489</v>
      </c>
      <c r="D109" s="29">
        <f t="shared" ca="1" si="22"/>
        <v>62</v>
      </c>
      <c r="F109" s="22">
        <v>44654</v>
      </c>
      <c r="G109" s="26">
        <f t="shared" ca="1" si="1"/>
        <v>0.28028350776331712</v>
      </c>
      <c r="H109" s="29">
        <v>0</v>
      </c>
      <c r="J109" s="22">
        <v>44654</v>
      </c>
      <c r="K109" s="26">
        <f t="shared" ca="1" si="2"/>
        <v>0.67527470343171514</v>
      </c>
      <c r="L109" s="29">
        <v>0</v>
      </c>
      <c r="N109" s="22">
        <v>44654</v>
      </c>
      <c r="O109" s="26">
        <f t="shared" ca="1" si="3"/>
        <v>0.33664129087923467</v>
      </c>
      <c r="P109" s="29">
        <v>0</v>
      </c>
      <c r="R109" s="22">
        <v>44654</v>
      </c>
      <c r="S109" s="26">
        <f t="shared" ca="1" si="4"/>
        <v>0.24345440147578656</v>
      </c>
      <c r="T109" s="29">
        <v>0</v>
      </c>
      <c r="V109" s="22">
        <v>44654</v>
      </c>
      <c r="W109" s="26">
        <f t="shared" ca="1" si="5"/>
        <v>0.58356328107114008</v>
      </c>
      <c r="X109" s="29">
        <v>0</v>
      </c>
      <c r="Z109" s="22">
        <v>44654</v>
      </c>
      <c r="AA109" s="26">
        <f t="shared" ca="1" si="6"/>
        <v>0.63384162225304541</v>
      </c>
      <c r="AB109" s="29">
        <v>0</v>
      </c>
      <c r="AC109"/>
      <c r="AD109" s="25"/>
      <c r="AF109" s="22">
        <v>44654</v>
      </c>
      <c r="AG109" s="26">
        <f t="shared" ca="1" si="7"/>
        <v>0.63929330380250682</v>
      </c>
      <c r="AH109" s="29">
        <v>0</v>
      </c>
      <c r="AJ109" s="22">
        <v>44654</v>
      </c>
      <c r="AK109" s="26">
        <f t="shared" ca="1" si="8"/>
        <v>0.11975978095512929</v>
      </c>
      <c r="AL109" s="29">
        <v>0</v>
      </c>
      <c r="AN109" s="22">
        <v>44654</v>
      </c>
      <c r="AO109" s="26">
        <f t="shared" ca="1" si="9"/>
        <v>0.75989054963949199</v>
      </c>
      <c r="AP109" s="29">
        <v>0</v>
      </c>
      <c r="AR109" s="22">
        <v>44654</v>
      </c>
      <c r="AS109" s="26">
        <f t="shared" ca="1" si="10"/>
        <v>0.47364942064861493</v>
      </c>
      <c r="AT109" s="29">
        <v>0</v>
      </c>
      <c r="AV109" s="22">
        <v>44654</v>
      </c>
      <c r="AW109" s="26">
        <f t="shared" ca="1" si="11"/>
        <v>0.42493742783188937</v>
      </c>
      <c r="AX109" s="29">
        <v>0</v>
      </c>
      <c r="AZ109" s="22">
        <v>44654</v>
      </c>
      <c r="BA109" s="26">
        <f t="shared" ca="1" si="12"/>
        <v>0.4933300574591053</v>
      </c>
      <c r="BB109" s="29">
        <v>0</v>
      </c>
      <c r="BC109"/>
      <c r="BD109" s="25"/>
      <c r="BF109" s="22">
        <v>44654</v>
      </c>
      <c r="BG109" s="26">
        <f t="shared" ca="1" si="13"/>
        <v>0.40854367146177017</v>
      </c>
      <c r="BH109" s="29">
        <v>0</v>
      </c>
      <c r="BJ109" s="22">
        <v>44654</v>
      </c>
      <c r="BK109" s="26">
        <f t="shared" ca="1" si="14"/>
        <v>0.52428631255179603</v>
      </c>
      <c r="BL109" s="29">
        <v>0</v>
      </c>
      <c r="BN109" s="22">
        <v>44654</v>
      </c>
      <c r="BO109" s="26">
        <f t="shared" ca="1" si="15"/>
        <v>0.10498147984829398</v>
      </c>
      <c r="BP109" s="29">
        <v>0</v>
      </c>
      <c r="BR109" s="22">
        <v>44654</v>
      </c>
      <c r="BS109" s="26">
        <f t="shared" ca="1" si="16"/>
        <v>0.73037853962360177</v>
      </c>
      <c r="BT109" s="29">
        <v>0</v>
      </c>
      <c r="BV109" s="22">
        <v>44654</v>
      </c>
      <c r="BW109" s="26">
        <f t="shared" ca="1" si="17"/>
        <v>0.25372871092837379</v>
      </c>
      <c r="BX109" s="29">
        <v>0</v>
      </c>
    </row>
    <row r="110" spans="2:77" ht="12.75" x14ac:dyDescent="0.2">
      <c r="B110" s="22">
        <v>44655</v>
      </c>
      <c r="C110" s="26">
        <f t="shared" ca="1" si="0"/>
        <v>0.83750874783614349</v>
      </c>
      <c r="D110" s="29">
        <f t="shared" ca="1" si="22"/>
        <v>95</v>
      </c>
      <c r="F110" s="22">
        <v>44655</v>
      </c>
      <c r="G110" s="26">
        <f t="shared" ca="1" si="1"/>
        <v>0.87868560772045412</v>
      </c>
      <c r="H110" s="29">
        <v>0</v>
      </c>
      <c r="J110" s="22">
        <v>44655</v>
      </c>
      <c r="K110" s="26">
        <f t="shared" ca="1" si="2"/>
        <v>0.7602288867887278</v>
      </c>
      <c r="L110" s="29">
        <v>0</v>
      </c>
      <c r="N110" s="22">
        <v>44655</v>
      </c>
      <c r="O110" s="26">
        <f t="shared" ca="1" si="3"/>
        <v>0.20194474607149193</v>
      </c>
      <c r="P110" s="29">
        <v>0</v>
      </c>
      <c r="R110" s="22">
        <v>44655</v>
      </c>
      <c r="S110" s="26">
        <f t="shared" ca="1" si="4"/>
        <v>7.3616779154734968E-2</v>
      </c>
      <c r="T110" s="29">
        <v>0</v>
      </c>
      <c r="V110" s="22">
        <v>44655</v>
      </c>
      <c r="W110" s="26">
        <f t="shared" ca="1" si="5"/>
        <v>0.37961854146886842</v>
      </c>
      <c r="X110" s="29">
        <v>0</v>
      </c>
      <c r="Z110" s="22">
        <v>44655</v>
      </c>
      <c r="AA110" s="26">
        <f t="shared" ca="1" si="6"/>
        <v>0.92675097544999063</v>
      </c>
      <c r="AB110" s="29">
        <v>0</v>
      </c>
      <c r="AC110"/>
      <c r="AD110" s="25"/>
      <c r="AF110" s="22">
        <v>44655</v>
      </c>
      <c r="AG110" s="26">
        <f t="shared" ca="1" si="7"/>
        <v>0.41606742024277266</v>
      </c>
      <c r="AH110" s="29">
        <v>0</v>
      </c>
      <c r="AJ110" s="22">
        <v>44655</v>
      </c>
      <c r="AK110" s="26">
        <f t="shared" ca="1" si="8"/>
        <v>0.48119867048792375</v>
      </c>
      <c r="AL110" s="29">
        <v>0</v>
      </c>
      <c r="AN110" s="22">
        <v>44655</v>
      </c>
      <c r="AO110" s="26">
        <f t="shared" ca="1" si="9"/>
        <v>0.52029439098813213</v>
      </c>
      <c r="AP110" s="29">
        <v>0</v>
      </c>
      <c r="AR110" s="22">
        <v>44655</v>
      </c>
      <c r="AS110" s="26">
        <f t="shared" ca="1" si="10"/>
        <v>0.20731570637922248</v>
      </c>
      <c r="AT110" s="29">
        <v>0</v>
      </c>
      <c r="AV110" s="22">
        <v>44655</v>
      </c>
      <c r="AW110" s="26">
        <f t="shared" ca="1" si="11"/>
        <v>0.90084698247862949</v>
      </c>
      <c r="AX110" s="29">
        <v>0</v>
      </c>
      <c r="AZ110" s="22">
        <v>44655</v>
      </c>
      <c r="BA110" s="26">
        <f t="shared" ca="1" si="12"/>
        <v>2.1166691815761141E-2</v>
      </c>
      <c r="BB110" s="29">
        <v>0</v>
      </c>
      <c r="BC110"/>
      <c r="BD110" s="25"/>
      <c r="BF110" s="22">
        <v>44655</v>
      </c>
      <c r="BG110" s="26">
        <f t="shared" ca="1" si="13"/>
        <v>0.94168229830076822</v>
      </c>
      <c r="BH110" s="29">
        <v>0</v>
      </c>
      <c r="BJ110" s="22">
        <v>44655</v>
      </c>
      <c r="BK110" s="26">
        <f t="shared" ca="1" si="14"/>
        <v>0.66013495455369231</v>
      </c>
      <c r="BL110" s="29">
        <v>0</v>
      </c>
      <c r="BN110" s="22">
        <v>44655</v>
      </c>
      <c r="BO110" s="26">
        <f t="shared" ca="1" si="15"/>
        <v>0.35896677096714003</v>
      </c>
      <c r="BP110" s="29">
        <v>0</v>
      </c>
      <c r="BR110" s="22">
        <v>44655</v>
      </c>
      <c r="BS110" s="26">
        <f t="shared" ca="1" si="16"/>
        <v>0.49167992328226096</v>
      </c>
      <c r="BT110" s="29">
        <v>0</v>
      </c>
      <c r="BV110" s="22">
        <v>44655</v>
      </c>
      <c r="BW110" s="26">
        <f t="shared" ca="1" si="17"/>
        <v>0.69341541478048685</v>
      </c>
      <c r="BX110" s="29">
        <v>0</v>
      </c>
    </row>
    <row r="111" spans="2:77" ht="12.75" x14ac:dyDescent="0.2">
      <c r="B111" s="22">
        <v>44656</v>
      </c>
      <c r="C111" s="26">
        <f t="shared" ca="1" si="0"/>
        <v>0.4336304763011154</v>
      </c>
      <c r="D111" s="29">
        <f t="shared" ca="1" si="22"/>
        <v>72</v>
      </c>
      <c r="F111" s="22">
        <v>44656</v>
      </c>
      <c r="G111" s="26">
        <f t="shared" ca="1" si="1"/>
        <v>0.55494297388069114</v>
      </c>
      <c r="H111" s="29">
        <v>0</v>
      </c>
      <c r="J111" s="22">
        <v>44656</v>
      </c>
      <c r="K111" s="26">
        <f t="shared" ca="1" si="2"/>
        <v>0.72594534443431236</v>
      </c>
      <c r="L111" s="29">
        <v>0</v>
      </c>
      <c r="N111" s="22">
        <v>44656</v>
      </c>
      <c r="O111" s="26">
        <f t="shared" ca="1" si="3"/>
        <v>0.91264546113898193</v>
      </c>
      <c r="P111" s="29">
        <v>0</v>
      </c>
      <c r="R111" s="22">
        <v>44656</v>
      </c>
      <c r="S111" s="26">
        <f t="shared" ca="1" si="4"/>
        <v>0.89551031425067285</v>
      </c>
      <c r="T111" s="29">
        <v>0</v>
      </c>
      <c r="V111" s="22">
        <v>44656</v>
      </c>
      <c r="W111" s="26">
        <f t="shared" ca="1" si="5"/>
        <v>0.99360126514562175</v>
      </c>
      <c r="X111" s="29">
        <v>0</v>
      </c>
      <c r="Z111" s="22">
        <v>44656</v>
      </c>
      <c r="AA111" s="26">
        <f t="shared" ca="1" si="6"/>
        <v>0.54923428797477336</v>
      </c>
      <c r="AB111" s="29">
        <v>0</v>
      </c>
      <c r="AC111"/>
      <c r="AD111" s="25"/>
      <c r="AF111" s="22">
        <v>44656</v>
      </c>
      <c r="AG111" s="26">
        <f t="shared" ca="1" si="7"/>
        <v>0.80672262178646292</v>
      </c>
      <c r="AH111" s="29">
        <v>0</v>
      </c>
      <c r="AJ111" s="22">
        <v>44656</v>
      </c>
      <c r="AK111" s="26">
        <f t="shared" ca="1" si="8"/>
        <v>0.14171117616081352</v>
      </c>
      <c r="AL111" s="29">
        <v>0</v>
      </c>
      <c r="AN111" s="22">
        <v>44656</v>
      </c>
      <c r="AO111" s="26">
        <f t="shared" ca="1" si="9"/>
        <v>0.56716072759203195</v>
      </c>
      <c r="AP111" s="29">
        <v>0</v>
      </c>
      <c r="AR111" s="22">
        <v>44656</v>
      </c>
      <c r="AS111" s="26">
        <f t="shared" ca="1" si="10"/>
        <v>0.78432988534895176</v>
      </c>
      <c r="AT111" s="29">
        <v>0</v>
      </c>
      <c r="AV111" s="22">
        <v>44656</v>
      </c>
      <c r="AW111" s="26">
        <f t="shared" ca="1" si="11"/>
        <v>0.81561804208157218</v>
      </c>
      <c r="AX111" s="29">
        <v>0</v>
      </c>
      <c r="AZ111" s="22">
        <v>44656</v>
      </c>
      <c r="BA111" s="26">
        <f t="shared" ca="1" si="12"/>
        <v>0.1624700033044193</v>
      </c>
      <c r="BB111" s="29">
        <v>0</v>
      </c>
      <c r="BC111"/>
      <c r="BD111" s="25"/>
      <c r="BF111" s="22">
        <v>44656</v>
      </c>
      <c r="BG111" s="26">
        <f t="shared" ca="1" si="13"/>
        <v>0.57358957002860644</v>
      </c>
      <c r="BH111" s="29">
        <v>0</v>
      </c>
      <c r="BJ111" s="22">
        <v>44656</v>
      </c>
      <c r="BK111" s="26">
        <f t="shared" ca="1" si="14"/>
        <v>0.51136390772853546</v>
      </c>
      <c r="BL111" s="29">
        <v>0</v>
      </c>
      <c r="BN111" s="22">
        <v>44656</v>
      </c>
      <c r="BO111" s="26">
        <f t="shared" ca="1" si="15"/>
        <v>2.1113217845997179E-2</v>
      </c>
      <c r="BP111" s="29">
        <v>0</v>
      </c>
      <c r="BR111" s="22">
        <v>44656</v>
      </c>
      <c r="BS111" s="26">
        <f t="shared" ca="1" si="16"/>
        <v>0.20631847212287702</v>
      </c>
      <c r="BT111" s="29">
        <v>0</v>
      </c>
      <c r="BV111" s="22">
        <v>44656</v>
      </c>
      <c r="BW111" s="26">
        <f t="shared" ca="1" si="17"/>
        <v>0.45061638062705189</v>
      </c>
      <c r="BX111" s="29">
        <v>0</v>
      </c>
    </row>
    <row r="112" spans="2:77" ht="12.75" x14ac:dyDescent="0.2">
      <c r="B112" s="22">
        <v>44657</v>
      </c>
      <c r="C112" s="26">
        <f t="shared" ca="1" si="0"/>
        <v>0.63989746759564003</v>
      </c>
      <c r="D112" s="29">
        <f t="shared" ca="1" si="22"/>
        <v>83</v>
      </c>
      <c r="F112" s="22">
        <v>44657</v>
      </c>
      <c r="G112" s="26">
        <f t="shared" ca="1" si="1"/>
        <v>0.35757843884655227</v>
      </c>
      <c r="H112" s="29">
        <v>0</v>
      </c>
      <c r="J112" s="22">
        <v>44657</v>
      </c>
      <c r="K112" s="26">
        <f t="shared" ca="1" si="2"/>
        <v>0.45917261960147593</v>
      </c>
      <c r="L112" s="29">
        <v>0</v>
      </c>
      <c r="N112" s="22">
        <v>44657</v>
      </c>
      <c r="O112" s="26">
        <f t="shared" ca="1" si="3"/>
        <v>0.2818932868793449</v>
      </c>
      <c r="P112" s="29">
        <v>0</v>
      </c>
      <c r="R112" s="22">
        <v>44657</v>
      </c>
      <c r="S112" s="26">
        <f t="shared" ca="1" si="4"/>
        <v>0.83656761229291887</v>
      </c>
      <c r="T112" s="29">
        <v>0</v>
      </c>
      <c r="V112" s="22">
        <v>44657</v>
      </c>
      <c r="W112" s="26">
        <f t="shared" ca="1" si="5"/>
        <v>0.10272135217773182</v>
      </c>
      <c r="X112" s="29">
        <v>0</v>
      </c>
      <c r="Z112" s="22">
        <v>44657</v>
      </c>
      <c r="AA112" s="26">
        <f t="shared" ca="1" si="6"/>
        <v>0.69336046872987889</v>
      </c>
      <c r="AB112" s="29">
        <v>0</v>
      </c>
      <c r="AC112"/>
      <c r="AD112" s="25"/>
      <c r="AF112" s="22">
        <v>44657</v>
      </c>
      <c r="AG112" s="26">
        <f t="shared" ca="1" si="7"/>
        <v>0.31949067790849339</v>
      </c>
      <c r="AH112" s="29">
        <v>0</v>
      </c>
      <c r="AJ112" s="22">
        <v>44657</v>
      </c>
      <c r="AK112" s="26">
        <f t="shared" ca="1" si="8"/>
        <v>0.56075873975721946</v>
      </c>
      <c r="AL112" s="29">
        <v>0</v>
      </c>
      <c r="AN112" s="22">
        <v>44657</v>
      </c>
      <c r="AO112" s="26">
        <f t="shared" ca="1" si="9"/>
        <v>0.36414271323443947</v>
      </c>
      <c r="AP112" s="29">
        <v>0</v>
      </c>
      <c r="AR112" s="22">
        <v>44657</v>
      </c>
      <c r="AS112" s="26">
        <f t="shared" ca="1" si="10"/>
        <v>0.76146840493774193</v>
      </c>
      <c r="AT112" s="29">
        <v>0</v>
      </c>
      <c r="AV112" s="22">
        <v>44657</v>
      </c>
      <c r="AW112" s="26">
        <f t="shared" ca="1" si="11"/>
        <v>0.77144372747386347</v>
      </c>
      <c r="AX112" s="29">
        <v>0</v>
      </c>
      <c r="AZ112" s="22">
        <v>44657</v>
      </c>
      <c r="BA112" s="26">
        <f t="shared" ca="1" si="12"/>
        <v>0.35887066765274156</v>
      </c>
      <c r="BB112" s="29">
        <v>0</v>
      </c>
      <c r="BC112"/>
      <c r="BD112" s="25"/>
      <c r="BF112" s="22">
        <v>44657</v>
      </c>
      <c r="BG112" s="26">
        <f t="shared" ca="1" si="13"/>
        <v>0.23840038319585077</v>
      </c>
      <c r="BH112" s="29">
        <v>0</v>
      </c>
      <c r="BJ112" s="22">
        <v>44657</v>
      </c>
      <c r="BK112" s="26">
        <f t="shared" ca="1" si="14"/>
        <v>0.80780550766425352</v>
      </c>
      <c r="BL112" s="29">
        <v>0</v>
      </c>
      <c r="BN112" s="22">
        <v>44657</v>
      </c>
      <c r="BO112" s="26">
        <f t="shared" ca="1" si="15"/>
        <v>0.81074101751280081</v>
      </c>
      <c r="BP112" s="29">
        <v>0</v>
      </c>
      <c r="BR112" s="22">
        <v>44657</v>
      </c>
      <c r="BS112" s="26">
        <f t="shared" ca="1" si="16"/>
        <v>0.26589710549688528</v>
      </c>
      <c r="BT112" s="29">
        <v>0</v>
      </c>
      <c r="BV112" s="22">
        <v>44657</v>
      </c>
      <c r="BW112" s="26">
        <f t="shared" ca="1" si="17"/>
        <v>0.16991761744982148</v>
      </c>
      <c r="BX112" s="29">
        <v>0</v>
      </c>
    </row>
    <row r="113" spans="2:76" ht="12.75" x14ac:dyDescent="0.2">
      <c r="B113" s="22">
        <v>44658</v>
      </c>
      <c r="C113" s="26">
        <f t="shared" ca="1" si="0"/>
        <v>0.48297163240007435</v>
      </c>
      <c r="D113" s="29">
        <f t="shared" ca="1" si="22"/>
        <v>75</v>
      </c>
      <c r="F113" s="22">
        <v>44658</v>
      </c>
      <c r="G113" s="26">
        <f t="shared" ca="1" si="1"/>
        <v>0.26144021657822814</v>
      </c>
      <c r="H113" s="29">
        <v>0</v>
      </c>
      <c r="J113" s="22">
        <v>44658</v>
      </c>
      <c r="K113" s="26">
        <f t="shared" ca="1" si="2"/>
        <v>0.33827612123355399</v>
      </c>
      <c r="L113" s="29">
        <v>0</v>
      </c>
      <c r="N113" s="22">
        <v>44658</v>
      </c>
      <c r="O113" s="26">
        <f t="shared" ca="1" si="3"/>
        <v>0.22177522334509669</v>
      </c>
      <c r="P113" s="29">
        <v>0</v>
      </c>
      <c r="R113" s="22">
        <v>44658</v>
      </c>
      <c r="S113" s="26">
        <f t="shared" ca="1" si="4"/>
        <v>0.10483192603786073</v>
      </c>
      <c r="T113" s="29">
        <v>0</v>
      </c>
      <c r="V113" s="22">
        <v>44658</v>
      </c>
      <c r="W113" s="26">
        <f t="shared" ca="1" si="5"/>
        <v>0.94323767717278095</v>
      </c>
      <c r="X113" s="29">
        <v>0</v>
      </c>
      <c r="Z113" s="22">
        <v>44658</v>
      </c>
      <c r="AA113" s="26">
        <f t="shared" ca="1" si="6"/>
        <v>0.4562095596094764</v>
      </c>
      <c r="AB113" s="29">
        <v>0</v>
      </c>
      <c r="AC113"/>
      <c r="AD113" s="25"/>
      <c r="AF113" s="22">
        <v>44658</v>
      </c>
      <c r="AG113" s="26">
        <f t="shared" ca="1" si="7"/>
        <v>0.45297709846386636</v>
      </c>
      <c r="AH113" s="29">
        <v>0</v>
      </c>
      <c r="AJ113" s="22">
        <v>44658</v>
      </c>
      <c r="AK113" s="26">
        <f t="shared" ca="1" si="8"/>
        <v>0.38893800184752947</v>
      </c>
      <c r="AL113" s="29">
        <v>0</v>
      </c>
      <c r="AN113" s="22">
        <v>44658</v>
      </c>
      <c r="AO113" s="26">
        <f t="shared" ca="1" si="9"/>
        <v>0.82614161768232908</v>
      </c>
      <c r="AP113" s="29">
        <v>0</v>
      </c>
      <c r="AR113" s="22">
        <v>44658</v>
      </c>
      <c r="AS113" s="26">
        <f t="shared" ca="1" si="10"/>
        <v>1.1915970976646761E-2</v>
      </c>
      <c r="AT113" s="29">
        <v>0</v>
      </c>
      <c r="AV113" s="22">
        <v>44658</v>
      </c>
      <c r="AW113" s="26">
        <f t="shared" ca="1" si="11"/>
        <v>0.4946701721132708</v>
      </c>
      <c r="AX113" s="29">
        <v>0</v>
      </c>
      <c r="AZ113" s="22">
        <v>44658</v>
      </c>
      <c r="BA113" s="26">
        <f t="shared" ca="1" si="12"/>
        <v>0.83598609785962574</v>
      </c>
      <c r="BB113" s="29">
        <v>0</v>
      </c>
      <c r="BC113"/>
      <c r="BD113" s="25"/>
      <c r="BF113" s="22">
        <v>44658</v>
      </c>
      <c r="BG113" s="26">
        <f t="shared" ca="1" si="13"/>
        <v>0.80874761464990741</v>
      </c>
      <c r="BH113" s="29">
        <v>0</v>
      </c>
      <c r="BJ113" s="22">
        <v>44658</v>
      </c>
      <c r="BK113" s="26">
        <f t="shared" ca="1" si="14"/>
        <v>0.72771954517659276</v>
      </c>
      <c r="BL113" s="29">
        <v>0</v>
      </c>
      <c r="BN113" s="22">
        <v>44658</v>
      </c>
      <c r="BO113" s="26">
        <f t="shared" ca="1" si="15"/>
        <v>0.54861334649363835</v>
      </c>
      <c r="BP113" s="29">
        <v>0</v>
      </c>
      <c r="BR113" s="22">
        <v>44658</v>
      </c>
      <c r="BS113" s="26">
        <f t="shared" ca="1" si="16"/>
        <v>0.85483088786376094</v>
      </c>
      <c r="BT113" s="29">
        <v>0</v>
      </c>
      <c r="BV113" s="22">
        <v>44658</v>
      </c>
      <c r="BW113" s="26">
        <f t="shared" ca="1" si="17"/>
        <v>0.93511097399817911</v>
      </c>
      <c r="BX113" s="29">
        <v>0</v>
      </c>
    </row>
    <row r="114" spans="2:76" ht="12.75" x14ac:dyDescent="0.2">
      <c r="B114" s="22">
        <v>44659</v>
      </c>
      <c r="C114" s="26">
        <f t="shared" ca="1" si="0"/>
        <v>0.65079190236685536</v>
      </c>
      <c r="D114" s="29">
        <f t="shared" ca="1" si="22"/>
        <v>83</v>
      </c>
      <c r="F114" s="22">
        <v>44659</v>
      </c>
      <c r="G114" s="26">
        <f t="shared" ca="1" si="1"/>
        <v>0.91136048149177751</v>
      </c>
      <c r="H114" s="29">
        <v>0</v>
      </c>
      <c r="J114" s="22">
        <v>44659</v>
      </c>
      <c r="K114" s="26">
        <f t="shared" ca="1" si="2"/>
        <v>0.30248799367568457</v>
      </c>
      <c r="L114" s="29">
        <v>0</v>
      </c>
      <c r="N114" s="22">
        <v>44659</v>
      </c>
      <c r="O114" s="26">
        <f t="shared" ca="1" si="3"/>
        <v>0.41499489008656154</v>
      </c>
      <c r="P114" s="29">
        <v>0</v>
      </c>
      <c r="R114" s="22">
        <v>44659</v>
      </c>
      <c r="S114" s="26">
        <f t="shared" ca="1" si="4"/>
        <v>1.0518423812998168E-2</v>
      </c>
      <c r="T114" s="29">
        <v>0</v>
      </c>
      <c r="V114" s="22">
        <v>44659</v>
      </c>
      <c r="W114" s="26">
        <f t="shared" ca="1" si="5"/>
        <v>0.75453529302900613</v>
      </c>
      <c r="X114" s="29">
        <v>0</v>
      </c>
      <c r="Z114" s="22">
        <v>44659</v>
      </c>
      <c r="AA114" s="26">
        <f t="shared" ca="1" si="6"/>
        <v>0.54122476189661506</v>
      </c>
      <c r="AB114" s="29">
        <v>0</v>
      </c>
      <c r="AC114"/>
      <c r="AD114" s="25"/>
      <c r="AF114" s="22">
        <v>44659</v>
      </c>
      <c r="AG114" s="26">
        <f t="shared" ca="1" si="7"/>
        <v>0.43010056263983942</v>
      </c>
      <c r="AH114" s="29">
        <v>0</v>
      </c>
      <c r="AJ114" s="22">
        <v>44659</v>
      </c>
      <c r="AK114" s="26">
        <f t="shared" ca="1" si="8"/>
        <v>0.77769448855080403</v>
      </c>
      <c r="AL114" s="29">
        <v>0</v>
      </c>
      <c r="AN114" s="22">
        <v>44659</v>
      </c>
      <c r="AO114" s="26">
        <f t="shared" ca="1" si="9"/>
        <v>0.10530425554242095</v>
      </c>
      <c r="AP114" s="29">
        <v>0</v>
      </c>
      <c r="AR114" s="22">
        <v>44659</v>
      </c>
      <c r="AS114" s="26">
        <f t="shared" ca="1" si="10"/>
        <v>4.1508115771822007E-2</v>
      </c>
      <c r="AT114" s="29">
        <v>0</v>
      </c>
      <c r="AV114" s="22">
        <v>44659</v>
      </c>
      <c r="AW114" s="26">
        <f t="shared" ca="1" si="11"/>
        <v>0.27788160184398758</v>
      </c>
      <c r="AX114" s="29">
        <v>0</v>
      </c>
      <c r="AZ114" s="22">
        <v>44659</v>
      </c>
      <c r="BA114" s="26">
        <f t="shared" ca="1" si="12"/>
        <v>0.29947137899435505</v>
      </c>
      <c r="BB114" s="29">
        <v>0</v>
      </c>
      <c r="BC114"/>
      <c r="BD114" s="25"/>
      <c r="BF114" s="22">
        <v>44659</v>
      </c>
      <c r="BG114" s="26">
        <f t="shared" ca="1" si="13"/>
        <v>0.31883803225674712</v>
      </c>
      <c r="BH114" s="29">
        <v>0</v>
      </c>
      <c r="BJ114" s="22">
        <v>44659</v>
      </c>
      <c r="BK114" s="26">
        <f t="shared" ca="1" si="14"/>
        <v>0.64406965509520142</v>
      </c>
      <c r="BL114" s="29">
        <v>0</v>
      </c>
      <c r="BN114" s="22">
        <v>44659</v>
      </c>
      <c r="BO114" s="26">
        <f t="shared" ca="1" si="15"/>
        <v>0.38119936926099485</v>
      </c>
      <c r="BP114" s="29">
        <v>0</v>
      </c>
      <c r="BR114" s="22">
        <v>44659</v>
      </c>
      <c r="BS114" s="26">
        <f t="shared" ca="1" si="16"/>
        <v>0.35785160369158164</v>
      </c>
      <c r="BT114" s="29">
        <v>0</v>
      </c>
      <c r="BV114" s="22">
        <v>44659</v>
      </c>
      <c r="BW114" s="26">
        <f t="shared" ca="1" si="17"/>
        <v>0.3150517286308846</v>
      </c>
      <c r="BX114" s="29">
        <v>0</v>
      </c>
    </row>
    <row r="115" spans="2:76" ht="12.75" x14ac:dyDescent="0.2">
      <c r="B115" s="22">
        <v>44660</v>
      </c>
      <c r="C115" s="26">
        <f t="shared" ca="1" si="0"/>
        <v>0.71491710012874687</v>
      </c>
      <c r="D115" s="29">
        <f t="shared" ca="1" si="22"/>
        <v>87</v>
      </c>
      <c r="F115" s="22">
        <v>44660</v>
      </c>
      <c r="G115" s="26">
        <f t="shared" ca="1" si="1"/>
        <v>0.32834694658693653</v>
      </c>
      <c r="H115" s="29">
        <v>0</v>
      </c>
      <c r="J115" s="22">
        <v>44660</v>
      </c>
      <c r="K115" s="26">
        <f t="shared" ca="1" si="2"/>
        <v>0.64664615016504456</v>
      </c>
      <c r="L115" s="29">
        <v>0</v>
      </c>
      <c r="N115" s="22">
        <v>44660</v>
      </c>
      <c r="O115" s="26">
        <f t="shared" ca="1" si="3"/>
        <v>0.86738563496732257</v>
      </c>
      <c r="P115" s="29">
        <v>0</v>
      </c>
      <c r="R115" s="22">
        <v>44660</v>
      </c>
      <c r="S115" s="26">
        <f t="shared" ca="1" si="4"/>
        <v>0.12895344949145282</v>
      </c>
      <c r="T115" s="29">
        <v>0</v>
      </c>
      <c r="V115" s="22">
        <v>44660</v>
      </c>
      <c r="W115" s="26">
        <f t="shared" ca="1" si="5"/>
        <v>0.96358467270908854</v>
      </c>
      <c r="X115" s="29">
        <v>0</v>
      </c>
      <c r="Z115" s="22">
        <v>44660</v>
      </c>
      <c r="AA115" s="26">
        <f t="shared" ca="1" si="6"/>
        <v>0.14469477106910544</v>
      </c>
      <c r="AB115" s="29">
        <v>0</v>
      </c>
      <c r="AC115"/>
      <c r="AD115" s="25"/>
      <c r="AF115" s="22">
        <v>44660</v>
      </c>
      <c r="AG115" s="26">
        <f t="shared" ca="1" si="7"/>
        <v>0.78080211387151732</v>
      </c>
      <c r="AH115" s="29">
        <v>0</v>
      </c>
      <c r="AJ115" s="22">
        <v>44660</v>
      </c>
      <c r="AK115" s="26">
        <f t="shared" ca="1" si="8"/>
        <v>0.81921497845852398</v>
      </c>
      <c r="AL115" s="29">
        <v>0</v>
      </c>
      <c r="AN115" s="22">
        <v>44660</v>
      </c>
      <c r="AO115" s="26">
        <f t="shared" ca="1" si="9"/>
        <v>0.33146807787129418</v>
      </c>
      <c r="AP115" s="29">
        <v>0</v>
      </c>
      <c r="AR115" s="22">
        <v>44660</v>
      </c>
      <c r="AS115" s="26">
        <f t="shared" ca="1" si="10"/>
        <v>0.21167385586825216</v>
      </c>
      <c r="AT115" s="29">
        <v>0</v>
      </c>
      <c r="AV115" s="22">
        <v>44660</v>
      </c>
      <c r="AW115" s="26">
        <f t="shared" ca="1" si="11"/>
        <v>0.9717483819684295</v>
      </c>
      <c r="AX115" s="29">
        <v>0</v>
      </c>
      <c r="AZ115" s="22">
        <v>44660</v>
      </c>
      <c r="BA115" s="26">
        <f t="shared" ca="1" si="12"/>
        <v>0.34038106758863096</v>
      </c>
      <c r="BB115" s="29">
        <v>0</v>
      </c>
      <c r="BC115"/>
      <c r="BD115" s="25"/>
      <c r="BF115" s="22">
        <v>44660</v>
      </c>
      <c r="BG115" s="26">
        <f t="shared" ca="1" si="13"/>
        <v>0.37531950466904007</v>
      </c>
      <c r="BH115" s="29">
        <v>0</v>
      </c>
      <c r="BJ115" s="22">
        <v>44660</v>
      </c>
      <c r="BK115" s="26">
        <f t="shared" ca="1" si="14"/>
        <v>0.92012742400715675</v>
      </c>
      <c r="BL115" s="29">
        <v>0</v>
      </c>
      <c r="BN115" s="22">
        <v>44660</v>
      </c>
      <c r="BO115" s="26">
        <f t="shared" ca="1" si="15"/>
        <v>0.54945572886287453</v>
      </c>
      <c r="BP115" s="29">
        <v>0</v>
      </c>
      <c r="BR115" s="22">
        <v>44660</v>
      </c>
      <c r="BS115" s="26">
        <f t="shared" ca="1" si="16"/>
        <v>0.88542870450095934</v>
      </c>
      <c r="BT115" s="29">
        <v>0</v>
      </c>
      <c r="BV115" s="22">
        <v>44660</v>
      </c>
      <c r="BW115" s="26">
        <f t="shared" ca="1" si="17"/>
        <v>0.24619878935168671</v>
      </c>
      <c r="BX115" s="29">
        <v>0</v>
      </c>
    </row>
    <row r="116" spans="2:76" ht="12.75" x14ac:dyDescent="0.2">
      <c r="B116" s="22">
        <v>44661</v>
      </c>
      <c r="C116" s="26">
        <f t="shared" ca="1" si="0"/>
        <v>0.14366511582124308</v>
      </c>
      <c r="D116" s="29">
        <v>0</v>
      </c>
      <c r="F116" s="22">
        <v>44661</v>
      </c>
      <c r="G116" s="26">
        <f t="shared" ca="1" si="1"/>
        <v>0.95263661820240886</v>
      </c>
      <c r="H116" s="29">
        <v>0</v>
      </c>
      <c r="J116" s="22">
        <v>44661</v>
      </c>
      <c r="K116" s="26">
        <f t="shared" ca="1" si="2"/>
        <v>0.60484746292098068</v>
      </c>
      <c r="L116" s="29">
        <v>0</v>
      </c>
      <c r="N116" s="22">
        <v>44661</v>
      </c>
      <c r="O116" s="26">
        <f t="shared" ca="1" si="3"/>
        <v>0.33096146963388562</v>
      </c>
      <c r="P116" s="29">
        <v>0</v>
      </c>
      <c r="R116" s="22">
        <v>44661</v>
      </c>
      <c r="S116" s="26">
        <f t="shared" ca="1" si="4"/>
        <v>0.10157340584321972</v>
      </c>
      <c r="T116" s="29">
        <v>0</v>
      </c>
      <c r="V116" s="22">
        <v>44661</v>
      </c>
      <c r="W116" s="26">
        <f t="shared" ca="1" si="5"/>
        <v>0.84847899955808925</v>
      </c>
      <c r="X116" s="29">
        <v>0</v>
      </c>
      <c r="Z116" s="22">
        <v>44661</v>
      </c>
      <c r="AA116" s="26">
        <f t="shared" ca="1" si="6"/>
        <v>0.51922211840105059</v>
      </c>
      <c r="AB116" s="29">
        <v>0</v>
      </c>
      <c r="AC116"/>
      <c r="AD116" s="25"/>
      <c r="AF116" s="22">
        <v>44661</v>
      </c>
      <c r="AG116" s="26">
        <f t="shared" ca="1" si="7"/>
        <v>0.70765715350472047</v>
      </c>
      <c r="AH116" s="29">
        <v>0</v>
      </c>
      <c r="AJ116" s="22">
        <v>44661</v>
      </c>
      <c r="AK116" s="26">
        <f t="shared" ca="1" si="8"/>
        <v>0.61971682740455702</v>
      </c>
      <c r="AL116" s="29">
        <v>0</v>
      </c>
      <c r="AN116" s="22">
        <v>44661</v>
      </c>
      <c r="AO116" s="26">
        <f t="shared" ca="1" si="9"/>
        <v>0.66855158279896665</v>
      </c>
      <c r="AP116" s="29">
        <v>0</v>
      </c>
      <c r="AR116" s="22">
        <v>44661</v>
      </c>
      <c r="AS116" s="26">
        <f t="shared" ca="1" si="10"/>
        <v>0.9811822881080029</v>
      </c>
      <c r="AT116" s="29">
        <v>0</v>
      </c>
      <c r="AV116" s="22">
        <v>44661</v>
      </c>
      <c r="AW116" s="26">
        <f t="shared" ca="1" si="11"/>
        <v>0.38906599023795718</v>
      </c>
      <c r="AX116" s="29">
        <v>0</v>
      </c>
      <c r="AZ116" s="22">
        <v>44661</v>
      </c>
      <c r="BA116" s="26">
        <f t="shared" ca="1" si="12"/>
        <v>4.8561288661337465E-2</v>
      </c>
      <c r="BB116" s="29">
        <v>0</v>
      </c>
      <c r="BC116"/>
      <c r="BD116" s="25"/>
      <c r="BF116" s="22">
        <v>44661</v>
      </c>
      <c r="BG116" s="26">
        <f t="shared" ca="1" si="13"/>
        <v>0.89820557092906828</v>
      </c>
      <c r="BH116" s="29">
        <v>0</v>
      </c>
      <c r="BJ116" s="22">
        <v>44661</v>
      </c>
      <c r="BK116" s="26">
        <f t="shared" ca="1" si="14"/>
        <v>9.3006057727108571E-3</v>
      </c>
      <c r="BL116" s="29">
        <v>0</v>
      </c>
      <c r="BN116" s="22">
        <v>44661</v>
      </c>
      <c r="BO116" s="26">
        <f t="shared" ca="1" si="15"/>
        <v>0.57668082252979269</v>
      </c>
      <c r="BP116" s="29">
        <v>0</v>
      </c>
      <c r="BR116" s="22">
        <v>44661</v>
      </c>
      <c r="BS116" s="26">
        <f t="shared" ca="1" si="16"/>
        <v>0.58556319638658083</v>
      </c>
      <c r="BT116" s="29">
        <v>0</v>
      </c>
      <c r="BV116" s="22">
        <v>44661</v>
      </c>
      <c r="BW116" s="26">
        <f t="shared" ca="1" si="17"/>
        <v>0.35971700435175058</v>
      </c>
      <c r="BX116" s="29">
        <v>0</v>
      </c>
    </row>
    <row r="117" spans="2:76" ht="12.75" x14ac:dyDescent="0.2">
      <c r="B117" s="22">
        <v>44662</v>
      </c>
      <c r="C117" s="26">
        <f t="shared" ca="1" si="0"/>
        <v>0.88201691204049082</v>
      </c>
      <c r="D117" s="29">
        <v>0</v>
      </c>
      <c r="F117" s="22">
        <v>44662</v>
      </c>
      <c r="G117" s="26">
        <f t="shared" ca="1" si="1"/>
        <v>0.74905128734533433</v>
      </c>
      <c r="H117" s="29">
        <v>0</v>
      </c>
      <c r="J117" s="22">
        <v>44662</v>
      </c>
      <c r="K117" s="26">
        <f t="shared" ca="1" si="2"/>
        <v>0.1529359815291933</v>
      </c>
      <c r="L117" s="29">
        <v>0</v>
      </c>
      <c r="N117" s="22">
        <v>44662</v>
      </c>
      <c r="O117" s="26">
        <f t="shared" ca="1" si="3"/>
        <v>0.31204794696408777</v>
      </c>
      <c r="P117" s="29">
        <v>0</v>
      </c>
      <c r="R117" s="22">
        <v>44662</v>
      </c>
      <c r="S117" s="26">
        <f t="shared" ca="1" si="4"/>
        <v>0.63461544564359762</v>
      </c>
      <c r="T117" s="29">
        <v>0</v>
      </c>
      <c r="V117" s="22">
        <v>44662</v>
      </c>
      <c r="W117" s="26">
        <f t="shared" ca="1" si="5"/>
        <v>8.3389151333590372E-2</v>
      </c>
      <c r="X117" s="29">
        <v>0</v>
      </c>
      <c r="Z117" s="22">
        <v>44662</v>
      </c>
      <c r="AA117" s="26">
        <f t="shared" ca="1" si="6"/>
        <v>0.66324981153037155</v>
      </c>
      <c r="AB117" s="29">
        <v>0</v>
      </c>
      <c r="AC117"/>
      <c r="AD117" s="25"/>
      <c r="AF117" s="22">
        <v>44662</v>
      </c>
      <c r="AG117" s="26">
        <f t="shared" ca="1" si="7"/>
        <v>0.83126063307417042</v>
      </c>
      <c r="AH117" s="29">
        <v>0</v>
      </c>
      <c r="AJ117" s="22">
        <v>44662</v>
      </c>
      <c r="AK117" s="26">
        <f t="shared" ca="1" si="8"/>
        <v>2.7908460649354927E-2</v>
      </c>
      <c r="AL117" s="29">
        <v>0</v>
      </c>
      <c r="AN117" s="22">
        <v>44662</v>
      </c>
      <c r="AO117" s="26">
        <f t="shared" ca="1" si="9"/>
        <v>0.45417987556137673</v>
      </c>
      <c r="AP117" s="29">
        <v>0</v>
      </c>
      <c r="AR117" s="22">
        <v>44662</v>
      </c>
      <c r="AS117" s="26">
        <f t="shared" ca="1" si="10"/>
        <v>0.44459903855264471</v>
      </c>
      <c r="AT117" s="29">
        <v>0</v>
      </c>
      <c r="AV117" s="22">
        <v>44662</v>
      </c>
      <c r="AW117" s="26">
        <f t="shared" ca="1" si="11"/>
        <v>0.96498242573292947</v>
      </c>
      <c r="AX117" s="29">
        <v>0</v>
      </c>
      <c r="AZ117" s="22">
        <v>44662</v>
      </c>
      <c r="BA117" s="26">
        <f t="shared" ca="1" si="12"/>
        <v>0.94424913282115197</v>
      </c>
      <c r="BB117" s="29">
        <v>0</v>
      </c>
      <c r="BC117"/>
      <c r="BD117" s="25"/>
      <c r="BF117" s="22">
        <v>44662</v>
      </c>
      <c r="BG117" s="26">
        <f t="shared" ca="1" si="13"/>
        <v>0.6645612859499852</v>
      </c>
      <c r="BH117" s="29">
        <v>0</v>
      </c>
      <c r="BJ117" s="22">
        <v>44662</v>
      </c>
      <c r="BK117" s="26">
        <f t="shared" ca="1" si="14"/>
        <v>0.19404279428119142</v>
      </c>
      <c r="BL117" s="29">
        <v>0</v>
      </c>
      <c r="BN117" s="22">
        <v>44662</v>
      </c>
      <c r="BO117" s="26">
        <f t="shared" ca="1" si="15"/>
        <v>0.15210300989283687</v>
      </c>
      <c r="BP117" s="29">
        <v>0</v>
      </c>
      <c r="BR117" s="22">
        <v>44662</v>
      </c>
      <c r="BS117" s="26">
        <f t="shared" ca="1" si="16"/>
        <v>0.77926144498277938</v>
      </c>
      <c r="BT117" s="29">
        <v>0</v>
      </c>
      <c r="BV117" s="22">
        <v>44662</v>
      </c>
      <c r="BW117" s="26">
        <f t="shared" ca="1" si="17"/>
        <v>0.29776721528685657</v>
      </c>
      <c r="BX117" s="29">
        <v>0</v>
      </c>
    </row>
    <row r="118" spans="2:76" ht="12.75" x14ac:dyDescent="0.2">
      <c r="B118" s="22">
        <v>44663</v>
      </c>
      <c r="C118" s="26">
        <f t="shared" ca="1" si="0"/>
        <v>1.7934731279990235E-2</v>
      </c>
      <c r="D118" s="29">
        <v>0</v>
      </c>
      <c r="F118" s="22">
        <v>44663</v>
      </c>
      <c r="G118" s="26">
        <f t="shared" ca="1" si="1"/>
        <v>0.37838926328608036</v>
      </c>
      <c r="H118" s="29">
        <v>0</v>
      </c>
      <c r="J118" s="22">
        <v>44663</v>
      </c>
      <c r="K118" s="26">
        <f t="shared" ca="1" si="2"/>
        <v>0.22274927543074452</v>
      </c>
      <c r="L118" s="29">
        <v>0</v>
      </c>
      <c r="N118" s="22">
        <v>44663</v>
      </c>
      <c r="O118" s="26">
        <f t="shared" ca="1" si="3"/>
        <v>0.61538290369262871</v>
      </c>
      <c r="P118" s="29">
        <v>0</v>
      </c>
      <c r="R118" s="22">
        <v>44663</v>
      </c>
      <c r="S118" s="26">
        <f t="shared" ca="1" si="4"/>
        <v>4.9995962768492941E-2</v>
      </c>
      <c r="T118" s="29">
        <v>0</v>
      </c>
      <c r="V118" s="22">
        <v>44663</v>
      </c>
      <c r="W118" s="26">
        <f t="shared" ca="1" si="5"/>
        <v>0.32958689410093289</v>
      </c>
      <c r="X118" s="29">
        <v>0</v>
      </c>
      <c r="Z118" s="22">
        <v>44663</v>
      </c>
      <c r="AA118" s="26">
        <f t="shared" ca="1" si="6"/>
        <v>0.14694342307834363</v>
      </c>
      <c r="AB118" s="29">
        <v>0</v>
      </c>
      <c r="AC118"/>
      <c r="AD118" s="25"/>
      <c r="AF118" s="22">
        <v>44663</v>
      </c>
      <c r="AG118" s="26">
        <f t="shared" ca="1" si="7"/>
        <v>0.12987784978579231</v>
      </c>
      <c r="AH118" s="29">
        <v>0</v>
      </c>
      <c r="AJ118" s="22">
        <v>44663</v>
      </c>
      <c r="AK118" s="26">
        <f t="shared" ca="1" si="8"/>
        <v>0.94521588376448684</v>
      </c>
      <c r="AL118" s="29">
        <v>0</v>
      </c>
      <c r="AN118" s="22">
        <v>44663</v>
      </c>
      <c r="AO118" s="26">
        <f t="shared" ca="1" si="9"/>
        <v>0.95813246559081189</v>
      </c>
      <c r="AP118" s="29">
        <v>0</v>
      </c>
      <c r="AR118" s="22">
        <v>44663</v>
      </c>
      <c r="AS118" s="26">
        <f t="shared" ca="1" si="10"/>
        <v>4.9081335114434799E-3</v>
      </c>
      <c r="AT118" s="29">
        <v>0</v>
      </c>
      <c r="AV118" s="22">
        <v>44663</v>
      </c>
      <c r="AW118" s="26">
        <f t="shared" ca="1" si="11"/>
        <v>0.91523400064760452</v>
      </c>
      <c r="AX118" s="29">
        <v>0</v>
      </c>
      <c r="AZ118" s="22">
        <v>44663</v>
      </c>
      <c r="BA118" s="26">
        <f t="shared" ca="1" si="12"/>
        <v>0.28372749238033113</v>
      </c>
      <c r="BB118" s="29">
        <v>0</v>
      </c>
      <c r="BC118"/>
      <c r="BD118" s="25"/>
      <c r="BF118" s="22">
        <v>44663</v>
      </c>
      <c r="BG118" s="26">
        <f t="shared" ca="1" si="13"/>
        <v>0.79627055741411745</v>
      </c>
      <c r="BH118" s="29">
        <v>0</v>
      </c>
      <c r="BJ118" s="22">
        <v>44663</v>
      </c>
      <c r="BK118" s="26">
        <f t="shared" ca="1" si="14"/>
        <v>0.73391153281880173</v>
      </c>
      <c r="BL118" s="29">
        <v>0</v>
      </c>
      <c r="BN118" s="22">
        <v>44663</v>
      </c>
      <c r="BO118" s="26">
        <f t="shared" ca="1" si="15"/>
        <v>0.82219429573028724</v>
      </c>
      <c r="BP118" s="29">
        <v>0</v>
      </c>
      <c r="BR118" s="22">
        <v>44663</v>
      </c>
      <c r="BS118" s="26">
        <f t="shared" ca="1" si="16"/>
        <v>0.76992835535348725</v>
      </c>
      <c r="BT118" s="29">
        <v>0</v>
      </c>
      <c r="BV118" s="22">
        <v>44663</v>
      </c>
      <c r="BW118" s="26">
        <f t="shared" ca="1" si="17"/>
        <v>0.51446139574179162</v>
      </c>
      <c r="BX118" s="29">
        <v>0</v>
      </c>
    </row>
    <row r="119" spans="2:76" ht="12.75" x14ac:dyDescent="0.2">
      <c r="B119" s="22">
        <v>44664</v>
      </c>
      <c r="C119" s="26">
        <f t="shared" ca="1" si="0"/>
        <v>9.6471329702162656E-2</v>
      </c>
      <c r="D119" s="29">
        <v>0</v>
      </c>
      <c r="F119" s="22">
        <v>44664</v>
      </c>
      <c r="G119" s="26">
        <f t="shared" ca="1" si="1"/>
        <v>0.63340565189953768</v>
      </c>
      <c r="H119" s="29">
        <v>0</v>
      </c>
      <c r="J119" s="22">
        <v>44664</v>
      </c>
      <c r="K119" s="26">
        <f t="shared" ca="1" si="2"/>
        <v>0.24604050003270828</v>
      </c>
      <c r="L119" s="29">
        <v>0</v>
      </c>
      <c r="N119" s="22">
        <v>44664</v>
      </c>
      <c r="O119" s="26">
        <f t="shared" ca="1" si="3"/>
        <v>0.89561174137727995</v>
      </c>
      <c r="P119" s="29">
        <v>0</v>
      </c>
      <c r="R119" s="22">
        <v>44664</v>
      </c>
      <c r="S119" s="26">
        <f t="shared" ca="1" si="4"/>
        <v>0.95705871521842656</v>
      </c>
      <c r="T119" s="29">
        <v>0</v>
      </c>
      <c r="V119" s="22">
        <v>44664</v>
      </c>
      <c r="W119" s="26">
        <f t="shared" ca="1" si="5"/>
        <v>0.48354231636034584</v>
      </c>
      <c r="X119" s="29">
        <v>0</v>
      </c>
      <c r="Z119" s="22">
        <v>44664</v>
      </c>
      <c r="AA119" s="26">
        <f t="shared" ca="1" si="6"/>
        <v>0.60230920315776304</v>
      </c>
      <c r="AB119" s="29">
        <v>0</v>
      </c>
      <c r="AC119"/>
      <c r="AD119" s="25"/>
      <c r="AF119" s="22">
        <v>44664</v>
      </c>
      <c r="AG119" s="26">
        <f t="shared" ca="1" si="7"/>
        <v>0.93349474643751451</v>
      </c>
      <c r="AH119" s="29">
        <v>0</v>
      </c>
      <c r="AJ119" s="22">
        <v>44664</v>
      </c>
      <c r="AK119" s="26">
        <f t="shared" ca="1" si="8"/>
        <v>0.83030627873327922</v>
      </c>
      <c r="AL119" s="29">
        <v>0</v>
      </c>
      <c r="AN119" s="22">
        <v>44664</v>
      </c>
      <c r="AO119" s="26">
        <f t="shared" ca="1" si="9"/>
        <v>0.67111878790176038</v>
      </c>
      <c r="AP119" s="29">
        <v>0</v>
      </c>
      <c r="AR119" s="22">
        <v>44664</v>
      </c>
      <c r="AS119" s="26">
        <f t="shared" ca="1" si="10"/>
        <v>0.36573843199180556</v>
      </c>
      <c r="AT119" s="29">
        <v>0</v>
      </c>
      <c r="AV119" s="22">
        <v>44664</v>
      </c>
      <c r="AW119" s="26">
        <f t="shared" ca="1" si="11"/>
        <v>0.53219133049881662</v>
      </c>
      <c r="AX119" s="29">
        <v>0</v>
      </c>
      <c r="AZ119" s="22">
        <v>44664</v>
      </c>
      <c r="BA119" s="26">
        <f t="shared" ca="1" si="12"/>
        <v>0.52008175692682457</v>
      </c>
      <c r="BB119" s="29">
        <v>0</v>
      </c>
      <c r="BC119"/>
      <c r="BD119" s="25"/>
      <c r="BF119" s="22">
        <v>44664</v>
      </c>
      <c r="BG119" s="26">
        <f t="shared" ca="1" si="13"/>
        <v>3.9176934695584698E-2</v>
      </c>
      <c r="BH119" s="29">
        <v>0</v>
      </c>
      <c r="BJ119" s="22">
        <v>44664</v>
      </c>
      <c r="BK119" s="26">
        <f t="shared" ca="1" si="14"/>
        <v>0.71487224203641753</v>
      </c>
      <c r="BL119" s="29">
        <v>0</v>
      </c>
      <c r="BN119" s="22">
        <v>44664</v>
      </c>
      <c r="BO119" s="26">
        <f t="shared" ca="1" si="15"/>
        <v>2.6569534725371158E-2</v>
      </c>
      <c r="BP119" s="29">
        <v>0</v>
      </c>
      <c r="BR119" s="22">
        <v>44664</v>
      </c>
      <c r="BS119" s="26">
        <f t="shared" ca="1" si="16"/>
        <v>1.6593889591407618E-2</v>
      </c>
      <c r="BT119" s="29">
        <v>0</v>
      </c>
      <c r="BV119" s="22">
        <v>44664</v>
      </c>
      <c r="BW119" s="26">
        <f t="shared" ca="1" si="17"/>
        <v>0.83639076109935584</v>
      </c>
      <c r="BX119" s="29">
        <v>0</v>
      </c>
    </row>
    <row r="120" spans="2:76" ht="12.75" x14ac:dyDescent="0.2">
      <c r="B120" s="22">
        <v>44665</v>
      </c>
      <c r="C120" s="26">
        <f t="shared" ca="1" si="0"/>
        <v>0.71565242785418393</v>
      </c>
      <c r="D120" s="29">
        <v>0</v>
      </c>
      <c r="F120" s="22">
        <v>44665</v>
      </c>
      <c r="G120" s="26">
        <f t="shared" ca="1" si="1"/>
        <v>0.65053947568461723</v>
      </c>
      <c r="H120" s="29">
        <v>0</v>
      </c>
      <c r="J120" s="22">
        <v>44665</v>
      </c>
      <c r="K120" s="26">
        <f t="shared" ca="1" si="2"/>
        <v>2.436783332031689E-2</v>
      </c>
      <c r="L120" s="29">
        <v>0</v>
      </c>
      <c r="N120" s="22">
        <v>44665</v>
      </c>
      <c r="O120" s="26">
        <f t="shared" ca="1" si="3"/>
        <v>0.65970951386774546</v>
      </c>
      <c r="P120" s="29">
        <v>0</v>
      </c>
      <c r="R120" s="22">
        <v>44665</v>
      </c>
      <c r="S120" s="26">
        <f t="shared" ca="1" si="4"/>
        <v>0.28718770156368745</v>
      </c>
      <c r="T120" s="29">
        <v>0</v>
      </c>
      <c r="V120" s="22">
        <v>44665</v>
      </c>
      <c r="W120" s="26">
        <f t="shared" ca="1" si="5"/>
        <v>0.83455086856703453</v>
      </c>
      <c r="X120" s="29">
        <v>0</v>
      </c>
      <c r="Z120" s="22">
        <v>44665</v>
      </c>
      <c r="AA120" s="26">
        <f t="shared" ca="1" si="6"/>
        <v>0.19144454349653228</v>
      </c>
      <c r="AB120" s="29">
        <v>0</v>
      </c>
      <c r="AC120"/>
      <c r="AD120" s="25"/>
      <c r="AF120" s="22">
        <v>44665</v>
      </c>
      <c r="AG120" s="26">
        <f t="shared" ca="1" si="7"/>
        <v>0.34375378610461627</v>
      </c>
      <c r="AH120" s="29">
        <v>0</v>
      </c>
      <c r="AJ120" s="22">
        <v>44665</v>
      </c>
      <c r="AK120" s="26">
        <f t="shared" ca="1" si="8"/>
        <v>0.90304709755465407</v>
      </c>
      <c r="AL120" s="29">
        <v>0</v>
      </c>
      <c r="AN120" s="22">
        <v>44665</v>
      </c>
      <c r="AO120" s="26">
        <f t="shared" ca="1" si="9"/>
        <v>0.78902340670163029</v>
      </c>
      <c r="AP120" s="29">
        <v>0</v>
      </c>
      <c r="AR120" s="22">
        <v>44665</v>
      </c>
      <c r="AS120" s="26">
        <f t="shared" ca="1" si="10"/>
        <v>0.82885812938553771</v>
      </c>
      <c r="AT120" s="29">
        <v>0</v>
      </c>
      <c r="AV120" s="22">
        <v>44665</v>
      </c>
      <c r="AW120" s="26">
        <f t="shared" ca="1" si="11"/>
        <v>0.71235193352244341</v>
      </c>
      <c r="AX120" s="29">
        <v>0</v>
      </c>
      <c r="AZ120" s="22">
        <v>44665</v>
      </c>
      <c r="BA120" s="26">
        <f t="shared" ca="1" si="12"/>
        <v>0.26637327908479091</v>
      </c>
      <c r="BB120" s="29">
        <v>0</v>
      </c>
      <c r="BC120"/>
      <c r="BD120" s="25"/>
      <c r="BF120" s="22">
        <v>44665</v>
      </c>
      <c r="BG120" s="26">
        <f t="shared" ca="1" si="13"/>
        <v>2.3295045683508486E-2</v>
      </c>
      <c r="BH120" s="29">
        <v>0</v>
      </c>
      <c r="BJ120" s="22">
        <v>44665</v>
      </c>
      <c r="BK120" s="26">
        <f t="shared" ca="1" si="14"/>
        <v>0.50670808452170679</v>
      </c>
      <c r="BL120" s="29">
        <v>0</v>
      </c>
      <c r="BN120" s="22">
        <v>44665</v>
      </c>
      <c r="BO120" s="26">
        <f t="shared" ca="1" si="15"/>
        <v>6.6911441524611703E-2</v>
      </c>
      <c r="BP120" s="29">
        <v>0</v>
      </c>
      <c r="BR120" s="22">
        <v>44665</v>
      </c>
      <c r="BS120" s="26">
        <f t="shared" ca="1" si="16"/>
        <v>0.17133450932249039</v>
      </c>
      <c r="BT120" s="29">
        <v>0</v>
      </c>
      <c r="BV120" s="22">
        <v>44665</v>
      </c>
      <c r="BW120" s="26">
        <f t="shared" ca="1" si="17"/>
        <v>5.1809042752964052E-2</v>
      </c>
      <c r="BX120" s="29">
        <v>0</v>
      </c>
    </row>
    <row r="121" spans="2:76" ht="12.75" x14ac:dyDescent="0.2">
      <c r="B121" s="22">
        <v>44666</v>
      </c>
      <c r="C121" s="26">
        <f t="shared" ca="1" si="0"/>
        <v>0.72007567671114048</v>
      </c>
      <c r="D121" s="29">
        <v>0</v>
      </c>
      <c r="F121" s="22">
        <v>44666</v>
      </c>
      <c r="G121" s="26">
        <f t="shared" ca="1" si="1"/>
        <v>0.51743898893330298</v>
      </c>
      <c r="H121" s="29">
        <v>0</v>
      </c>
      <c r="J121" s="22">
        <v>44666</v>
      </c>
      <c r="K121" s="26">
        <f t="shared" ca="1" si="2"/>
        <v>4.3189015194479263E-2</v>
      </c>
      <c r="L121" s="29">
        <v>0</v>
      </c>
      <c r="N121" s="22">
        <v>44666</v>
      </c>
      <c r="O121" s="26">
        <f t="shared" ca="1" si="3"/>
        <v>0.51820700483916382</v>
      </c>
      <c r="P121" s="29">
        <v>0</v>
      </c>
      <c r="R121" s="22">
        <v>44666</v>
      </c>
      <c r="S121" s="26">
        <f t="shared" ca="1" si="4"/>
        <v>0.56719865896835586</v>
      </c>
      <c r="T121" s="29">
        <v>0</v>
      </c>
      <c r="V121" s="22">
        <v>44666</v>
      </c>
      <c r="W121" s="26">
        <f t="shared" ca="1" si="5"/>
        <v>0.48256311732558566</v>
      </c>
      <c r="X121" s="29">
        <v>0</v>
      </c>
      <c r="Z121" s="22">
        <v>44666</v>
      </c>
      <c r="AA121" s="26">
        <f t="shared" ca="1" si="6"/>
        <v>0.83453990968899239</v>
      </c>
      <c r="AB121" s="29">
        <v>0</v>
      </c>
      <c r="AC121"/>
      <c r="AD121" s="25"/>
      <c r="AF121" s="22">
        <v>44666</v>
      </c>
      <c r="AG121" s="26">
        <f t="shared" ca="1" si="7"/>
        <v>0.54133872679367978</v>
      </c>
      <c r="AH121" s="29">
        <v>0</v>
      </c>
      <c r="AJ121" s="22">
        <v>44666</v>
      </c>
      <c r="AK121" s="26">
        <f t="shared" ca="1" si="8"/>
        <v>0.68813481748008842</v>
      </c>
      <c r="AL121" s="29">
        <v>0</v>
      </c>
      <c r="AN121" s="22">
        <v>44666</v>
      </c>
      <c r="AO121" s="26">
        <f t="shared" ca="1" si="9"/>
        <v>0.61972927878041861</v>
      </c>
      <c r="AP121" s="29">
        <v>0</v>
      </c>
      <c r="AR121" s="22">
        <v>44666</v>
      </c>
      <c r="AS121" s="26">
        <f t="shared" ca="1" si="10"/>
        <v>0.11629520583784481</v>
      </c>
      <c r="AT121" s="29">
        <v>0</v>
      </c>
      <c r="AV121" s="22">
        <v>44666</v>
      </c>
      <c r="AW121" s="26">
        <f t="shared" ca="1" si="11"/>
        <v>0.59446257587273321</v>
      </c>
      <c r="AX121" s="29">
        <v>0</v>
      </c>
      <c r="AZ121" s="22">
        <v>44666</v>
      </c>
      <c r="BA121" s="26">
        <f t="shared" ca="1" si="12"/>
        <v>0.99510383624860832</v>
      </c>
      <c r="BB121" s="29">
        <v>0</v>
      </c>
      <c r="BC121"/>
      <c r="BD121" s="25"/>
      <c r="BF121" s="22">
        <v>44666</v>
      </c>
      <c r="BG121" s="26">
        <f t="shared" ca="1" si="13"/>
        <v>0.64192895655457816</v>
      </c>
      <c r="BH121" s="29">
        <v>0</v>
      </c>
      <c r="BJ121" s="22">
        <v>44666</v>
      </c>
      <c r="BK121" s="26">
        <f t="shared" ca="1" si="14"/>
        <v>0.98350613228128858</v>
      </c>
      <c r="BL121" s="29">
        <v>0</v>
      </c>
      <c r="BN121" s="22">
        <v>44666</v>
      </c>
      <c r="BO121" s="26">
        <f t="shared" ca="1" si="15"/>
        <v>0.70231196692188469</v>
      </c>
      <c r="BP121" s="29">
        <v>0</v>
      </c>
      <c r="BR121" s="22">
        <v>44666</v>
      </c>
      <c r="BS121" s="26">
        <f t="shared" ca="1" si="16"/>
        <v>0.49292252767370381</v>
      </c>
      <c r="BT121" s="29">
        <v>0</v>
      </c>
      <c r="BV121" s="22">
        <v>44666</v>
      </c>
      <c r="BW121" s="26">
        <f t="shared" ca="1" si="17"/>
        <v>0.69883905549468672</v>
      </c>
      <c r="BX121" s="29">
        <v>0</v>
      </c>
    </row>
    <row r="122" spans="2:76" ht="12.75" x14ac:dyDescent="0.2">
      <c r="B122" s="22">
        <v>44667</v>
      </c>
      <c r="C122" s="26">
        <f t="shared" ca="1" si="0"/>
        <v>0.18381086655215828</v>
      </c>
      <c r="D122" s="29">
        <v>0</v>
      </c>
      <c r="F122" s="22">
        <v>44667</v>
      </c>
      <c r="G122" s="26">
        <f t="shared" ca="1" si="1"/>
        <v>0.11133159497992862</v>
      </c>
      <c r="H122" s="29">
        <v>0</v>
      </c>
      <c r="J122" s="22">
        <v>44667</v>
      </c>
      <c r="K122" s="26">
        <f t="shared" ca="1" si="2"/>
        <v>0.70258233973021877</v>
      </c>
      <c r="L122" s="29">
        <v>0</v>
      </c>
      <c r="N122" s="22">
        <v>44667</v>
      </c>
      <c r="O122" s="26">
        <f t="shared" ca="1" si="3"/>
        <v>0.40977036562715585</v>
      </c>
      <c r="P122" s="29">
        <v>0</v>
      </c>
      <c r="R122" s="22">
        <v>44667</v>
      </c>
      <c r="S122" s="26">
        <f t="shared" ca="1" si="4"/>
        <v>0.78224136837258362</v>
      </c>
      <c r="T122" s="29">
        <v>0</v>
      </c>
      <c r="V122" s="22">
        <v>44667</v>
      </c>
      <c r="W122" s="26">
        <f t="shared" ca="1" si="5"/>
        <v>3.7396526673095787E-3</v>
      </c>
      <c r="X122" s="29">
        <v>0</v>
      </c>
      <c r="Z122" s="22">
        <v>44667</v>
      </c>
      <c r="AA122" s="26">
        <f t="shared" ca="1" si="6"/>
        <v>0.14283334431262229</v>
      </c>
      <c r="AB122" s="29">
        <v>0</v>
      </c>
      <c r="AC122"/>
      <c r="AD122" s="25"/>
      <c r="AF122" s="22">
        <v>44667</v>
      </c>
      <c r="AG122" s="26">
        <f t="shared" ca="1" si="7"/>
        <v>6.0820772450766225E-2</v>
      </c>
      <c r="AH122" s="29">
        <v>0</v>
      </c>
      <c r="AJ122" s="22">
        <v>44667</v>
      </c>
      <c r="AK122" s="26">
        <f t="shared" ca="1" si="8"/>
        <v>0.15685958639894204</v>
      </c>
      <c r="AL122" s="29">
        <v>0</v>
      </c>
      <c r="AN122" s="22">
        <v>44667</v>
      </c>
      <c r="AO122" s="26">
        <f t="shared" ca="1" si="9"/>
        <v>0.33494253724548395</v>
      </c>
      <c r="AP122" s="29">
        <v>0</v>
      </c>
      <c r="AR122" s="22">
        <v>44667</v>
      </c>
      <c r="AS122" s="26">
        <f t="shared" ca="1" si="10"/>
        <v>8.9844073004888281E-2</v>
      </c>
      <c r="AT122" s="29">
        <v>0</v>
      </c>
      <c r="AV122" s="22">
        <v>44667</v>
      </c>
      <c r="AW122" s="26">
        <f t="shared" ca="1" si="11"/>
        <v>0.56798055059670227</v>
      </c>
      <c r="AX122" s="29">
        <v>0</v>
      </c>
      <c r="AZ122" s="22">
        <v>44667</v>
      </c>
      <c r="BA122" s="26">
        <f t="shared" ca="1" si="12"/>
        <v>0.47543282280834354</v>
      </c>
      <c r="BB122" s="29">
        <v>0</v>
      </c>
      <c r="BC122"/>
      <c r="BD122" s="25"/>
      <c r="BF122" s="22">
        <v>44667</v>
      </c>
      <c r="BG122" s="26">
        <f t="shared" ca="1" si="13"/>
        <v>0.88644032292186559</v>
      </c>
      <c r="BH122" s="29">
        <v>0</v>
      </c>
      <c r="BJ122" s="22">
        <v>44667</v>
      </c>
      <c r="BK122" s="26">
        <f t="shared" ca="1" si="14"/>
        <v>0.58967225044239713</v>
      </c>
      <c r="BL122" s="29">
        <v>0</v>
      </c>
      <c r="BN122" s="22">
        <v>44667</v>
      </c>
      <c r="BO122" s="26">
        <f t="shared" ca="1" si="15"/>
        <v>0.82922391908145743</v>
      </c>
      <c r="BP122" s="29">
        <v>0</v>
      </c>
      <c r="BR122" s="22">
        <v>44667</v>
      </c>
      <c r="BS122" s="26">
        <f t="shared" ca="1" si="16"/>
        <v>7.8395488125923563E-2</v>
      </c>
      <c r="BT122" s="29">
        <v>0</v>
      </c>
      <c r="BV122" s="22">
        <v>44667</v>
      </c>
      <c r="BW122" s="26">
        <f t="shared" ca="1" si="17"/>
        <v>0.6293109042361037</v>
      </c>
      <c r="BX122" s="29">
        <v>0</v>
      </c>
    </row>
    <row r="123" spans="2:76" ht="12.75" x14ac:dyDescent="0.2">
      <c r="B123" s="22">
        <v>44668</v>
      </c>
      <c r="C123" s="26">
        <f t="shared" ca="1" si="0"/>
        <v>0.80747007616721134</v>
      </c>
      <c r="D123" s="29">
        <v>0</v>
      </c>
      <c r="F123" s="22">
        <v>44668</v>
      </c>
      <c r="G123" s="26">
        <f t="shared" ca="1" si="1"/>
        <v>0.23395457462916203</v>
      </c>
      <c r="H123" s="29">
        <v>0</v>
      </c>
      <c r="J123" s="22">
        <v>44668</v>
      </c>
      <c r="K123" s="26">
        <f t="shared" ca="1" si="2"/>
        <v>0.47287939852393879</v>
      </c>
      <c r="L123" s="29">
        <v>0</v>
      </c>
      <c r="N123" s="22">
        <v>44668</v>
      </c>
      <c r="O123" s="26">
        <f t="shared" ca="1" si="3"/>
        <v>0.61065945484262774</v>
      </c>
      <c r="P123" s="29">
        <v>0</v>
      </c>
      <c r="R123" s="22">
        <v>44668</v>
      </c>
      <c r="S123" s="26">
        <f t="shared" ca="1" si="4"/>
        <v>0.78704420030588951</v>
      </c>
      <c r="T123" s="29">
        <v>0</v>
      </c>
      <c r="V123" s="22">
        <v>44668</v>
      </c>
      <c r="W123" s="26">
        <f t="shared" ca="1" si="5"/>
        <v>0.14650489856057602</v>
      </c>
      <c r="X123" s="29">
        <v>0</v>
      </c>
      <c r="Z123" s="22">
        <v>44668</v>
      </c>
      <c r="AA123" s="26">
        <f t="shared" ca="1" si="6"/>
        <v>0.77777906261809582</v>
      </c>
      <c r="AB123" s="29">
        <v>0</v>
      </c>
      <c r="AC123"/>
      <c r="AD123" s="25"/>
      <c r="AF123" s="22">
        <v>44668</v>
      </c>
      <c r="AG123" s="26">
        <f t="shared" ca="1" si="7"/>
        <v>8.885379980425534E-2</v>
      </c>
      <c r="AH123" s="29">
        <v>0</v>
      </c>
      <c r="AJ123" s="22">
        <v>44668</v>
      </c>
      <c r="AK123" s="26">
        <f t="shared" ca="1" si="8"/>
        <v>0.52088374038222629</v>
      </c>
      <c r="AL123" s="29">
        <v>0</v>
      </c>
      <c r="AN123" s="22">
        <v>44668</v>
      </c>
      <c r="AO123" s="26">
        <f t="shared" ca="1" si="9"/>
        <v>0.86979417036832474</v>
      </c>
      <c r="AP123" s="29">
        <v>0</v>
      </c>
      <c r="AR123" s="22">
        <v>44668</v>
      </c>
      <c r="AS123" s="26">
        <f t="shared" ca="1" si="10"/>
        <v>9.3329639748604976E-3</v>
      </c>
      <c r="AT123" s="29">
        <v>0</v>
      </c>
      <c r="AV123" s="22">
        <v>44668</v>
      </c>
      <c r="AW123" s="26">
        <f t="shared" ca="1" si="11"/>
        <v>0.27517001286297582</v>
      </c>
      <c r="AX123" s="29">
        <v>0</v>
      </c>
      <c r="AZ123" s="22">
        <v>44668</v>
      </c>
      <c r="BA123" s="26">
        <f t="shared" ca="1" si="12"/>
        <v>0.74943281173275544</v>
      </c>
      <c r="BB123" s="29">
        <v>0</v>
      </c>
      <c r="BC123"/>
      <c r="BD123" s="25"/>
      <c r="BF123" s="22">
        <v>44668</v>
      </c>
      <c r="BG123" s="26">
        <f t="shared" ca="1" si="13"/>
        <v>0.59701072636337371</v>
      </c>
      <c r="BH123" s="29">
        <v>0</v>
      </c>
      <c r="BJ123" s="22">
        <v>44668</v>
      </c>
      <c r="BK123" s="26">
        <f t="shared" ca="1" si="14"/>
        <v>8.8164957586156056E-2</v>
      </c>
      <c r="BL123" s="29">
        <v>0</v>
      </c>
      <c r="BN123" s="22">
        <v>44668</v>
      </c>
      <c r="BO123" s="26">
        <f t="shared" ca="1" si="15"/>
        <v>0.77096019145644612</v>
      </c>
      <c r="BP123" s="29">
        <v>0</v>
      </c>
      <c r="BR123" s="22">
        <v>44668</v>
      </c>
      <c r="BS123" s="26">
        <f t="shared" ca="1" si="16"/>
        <v>1.2487076950497888E-2</v>
      </c>
      <c r="BT123" s="29">
        <v>0</v>
      </c>
      <c r="BV123" s="22">
        <v>44668</v>
      </c>
      <c r="BW123" s="26">
        <f t="shared" ca="1" si="17"/>
        <v>0.23841655631982506</v>
      </c>
      <c r="BX123" s="29">
        <v>0</v>
      </c>
    </row>
    <row r="124" spans="2:76" ht="12.75" x14ac:dyDescent="0.2">
      <c r="B124" s="22">
        <v>44669</v>
      </c>
      <c r="C124" s="26">
        <f t="shared" ca="1" si="0"/>
        <v>0.49925132982398912</v>
      </c>
      <c r="D124" s="29">
        <v>0</v>
      </c>
      <c r="F124" s="22">
        <v>44669</v>
      </c>
      <c r="G124" s="26">
        <f t="shared" ca="1" si="1"/>
        <v>0.24978632986824001</v>
      </c>
      <c r="H124" s="29">
        <v>0</v>
      </c>
      <c r="J124" s="22">
        <v>44669</v>
      </c>
      <c r="K124" s="26">
        <f t="shared" ca="1" si="2"/>
        <v>0.80501218717473855</v>
      </c>
      <c r="L124" s="29">
        <v>0</v>
      </c>
      <c r="N124" s="22">
        <v>44669</v>
      </c>
      <c r="O124" s="26">
        <f t="shared" ca="1" si="3"/>
        <v>0.67601868128376008</v>
      </c>
      <c r="P124" s="29">
        <v>0</v>
      </c>
      <c r="R124" s="22">
        <v>44669</v>
      </c>
      <c r="S124" s="26">
        <f t="shared" ca="1" si="4"/>
        <v>0.87962523459653008</v>
      </c>
      <c r="T124" s="29">
        <v>0</v>
      </c>
      <c r="V124" s="22">
        <v>44669</v>
      </c>
      <c r="W124" s="26">
        <f t="shared" ca="1" si="5"/>
        <v>0.61442779898913191</v>
      </c>
      <c r="X124" s="29">
        <v>0</v>
      </c>
      <c r="Z124" s="22">
        <v>44669</v>
      </c>
      <c r="AA124" s="26">
        <f t="shared" ca="1" si="6"/>
        <v>0.77274887448792373</v>
      </c>
      <c r="AB124" s="29">
        <v>0</v>
      </c>
      <c r="AC124"/>
      <c r="AD124" s="25"/>
      <c r="AF124" s="22">
        <v>44669</v>
      </c>
      <c r="AG124" s="26">
        <f t="shared" ca="1" si="7"/>
        <v>0.51685096077746795</v>
      </c>
      <c r="AH124" s="29">
        <v>0</v>
      </c>
      <c r="AJ124" s="22">
        <v>44669</v>
      </c>
      <c r="AK124" s="26">
        <f t="shared" ca="1" si="8"/>
        <v>0.13292454406233911</v>
      </c>
      <c r="AL124" s="29">
        <v>0</v>
      </c>
      <c r="AN124" s="22">
        <v>44669</v>
      </c>
      <c r="AO124" s="26">
        <f t="shared" ca="1" si="9"/>
        <v>0.53888923248246767</v>
      </c>
      <c r="AP124" s="29">
        <v>0</v>
      </c>
      <c r="AR124" s="22">
        <v>44669</v>
      </c>
      <c r="AS124" s="26">
        <f t="shared" ca="1" si="10"/>
        <v>0.81679339906018633</v>
      </c>
      <c r="AT124" s="29">
        <v>0</v>
      </c>
      <c r="AV124" s="22">
        <v>44669</v>
      </c>
      <c r="AW124" s="26">
        <f t="shared" ca="1" si="11"/>
        <v>0.20774107040538037</v>
      </c>
      <c r="AX124" s="29">
        <v>0</v>
      </c>
      <c r="AZ124" s="22">
        <v>44669</v>
      </c>
      <c r="BA124" s="26">
        <f t="shared" ca="1" si="12"/>
        <v>0.65022474408410069</v>
      </c>
      <c r="BB124" s="29">
        <v>0</v>
      </c>
      <c r="BC124"/>
      <c r="BD124" s="25"/>
      <c r="BF124" s="22">
        <v>44669</v>
      </c>
      <c r="BG124" s="26">
        <f t="shared" ca="1" si="13"/>
        <v>1.8291319672568696E-3</v>
      </c>
      <c r="BH124" s="29">
        <v>0</v>
      </c>
      <c r="BJ124" s="22">
        <v>44669</v>
      </c>
      <c r="BK124" s="26">
        <f t="shared" ca="1" si="14"/>
        <v>1.6259681351650346E-2</v>
      </c>
      <c r="BL124" s="29">
        <v>0</v>
      </c>
      <c r="BN124" s="22">
        <v>44669</v>
      </c>
      <c r="BO124" s="26">
        <f t="shared" ca="1" si="15"/>
        <v>0.94132063082541784</v>
      </c>
      <c r="BP124" s="29">
        <v>0</v>
      </c>
      <c r="BR124" s="22">
        <v>44669</v>
      </c>
      <c r="BS124" s="26">
        <f t="shared" ca="1" si="16"/>
        <v>0.58735589314471748</v>
      </c>
      <c r="BT124" s="29">
        <v>0</v>
      </c>
      <c r="BV124" s="22">
        <v>44669</v>
      </c>
      <c r="BW124" s="26">
        <f t="shared" ca="1" si="17"/>
        <v>0.31574887945231467</v>
      </c>
      <c r="BX124" s="29">
        <v>0</v>
      </c>
    </row>
    <row r="125" spans="2:76" ht="12.75" x14ac:dyDescent="0.2">
      <c r="B125" s="22">
        <v>44670</v>
      </c>
      <c r="C125" s="26">
        <f t="shared" ca="1" si="0"/>
        <v>0.43339269242856526</v>
      </c>
      <c r="D125" s="29">
        <f t="shared" ca="1" si="22"/>
        <v>72</v>
      </c>
      <c r="F125" s="22">
        <v>44670</v>
      </c>
      <c r="G125" s="26">
        <f t="shared" ca="1" si="1"/>
        <v>0.46255109895332758</v>
      </c>
      <c r="H125" s="29">
        <v>0</v>
      </c>
      <c r="J125" s="22">
        <v>44670</v>
      </c>
      <c r="K125" s="26">
        <f t="shared" ca="1" si="2"/>
        <v>0.29316588134928934</v>
      </c>
      <c r="L125" s="29">
        <v>0</v>
      </c>
      <c r="N125" s="22">
        <v>44670</v>
      </c>
      <c r="O125" s="26">
        <f t="shared" ca="1" si="3"/>
        <v>0.11245587827316605</v>
      </c>
      <c r="P125" s="29">
        <v>0</v>
      </c>
      <c r="R125" s="22">
        <v>44670</v>
      </c>
      <c r="S125" s="26">
        <f t="shared" ca="1" si="4"/>
        <v>0.23706566655065742</v>
      </c>
      <c r="T125" s="29">
        <v>0</v>
      </c>
      <c r="V125" s="22">
        <v>44670</v>
      </c>
      <c r="W125" s="26">
        <f t="shared" ca="1" si="5"/>
        <v>0.81941518842924221</v>
      </c>
      <c r="X125" s="29">
        <v>0</v>
      </c>
      <c r="Z125" s="22">
        <v>44670</v>
      </c>
      <c r="AA125" s="26">
        <f t="shared" ca="1" si="6"/>
        <v>0.92092735652183577</v>
      </c>
      <c r="AB125" s="29">
        <v>0</v>
      </c>
      <c r="AC125"/>
      <c r="AD125" s="25"/>
      <c r="AF125" s="22">
        <v>44670</v>
      </c>
      <c r="AG125" s="26">
        <f t="shared" ca="1" si="7"/>
        <v>0.96240271362833618</v>
      </c>
      <c r="AH125" s="29">
        <v>0</v>
      </c>
      <c r="AJ125" s="22">
        <v>44670</v>
      </c>
      <c r="AK125" s="26">
        <f t="shared" ca="1" si="8"/>
        <v>0.97431504468452734</v>
      </c>
      <c r="AL125" s="29">
        <v>0</v>
      </c>
      <c r="AN125" s="22">
        <v>44670</v>
      </c>
      <c r="AO125" s="26">
        <f t="shared" ca="1" si="9"/>
        <v>0.8598052219814345</v>
      </c>
      <c r="AP125" s="29">
        <v>0</v>
      </c>
      <c r="AR125" s="22">
        <v>44670</v>
      </c>
      <c r="AS125" s="26">
        <f t="shared" ca="1" si="10"/>
        <v>0.51616073656067951</v>
      </c>
      <c r="AT125" s="29">
        <v>0</v>
      </c>
      <c r="AV125" s="22">
        <v>44670</v>
      </c>
      <c r="AW125" s="26">
        <f t="shared" ca="1" si="11"/>
        <v>0.96237795256617098</v>
      </c>
      <c r="AX125" s="29">
        <v>0</v>
      </c>
      <c r="AZ125" s="22">
        <v>44670</v>
      </c>
      <c r="BA125" s="26">
        <f t="shared" ca="1" si="12"/>
        <v>0.54182087219978003</v>
      </c>
      <c r="BB125" s="29">
        <v>0</v>
      </c>
      <c r="BC125"/>
      <c r="BD125" s="25"/>
      <c r="BF125" s="22">
        <v>44670</v>
      </c>
      <c r="BG125" s="26">
        <f t="shared" ca="1" si="13"/>
        <v>8.1614352187007855E-2</v>
      </c>
      <c r="BH125" s="29">
        <v>0</v>
      </c>
      <c r="BJ125" s="22">
        <v>44670</v>
      </c>
      <c r="BK125" s="26">
        <f t="shared" ca="1" si="14"/>
        <v>0.53262311700148579</v>
      </c>
      <c r="BL125" s="29">
        <v>0</v>
      </c>
      <c r="BN125" s="22">
        <v>44670</v>
      </c>
      <c r="BO125" s="26">
        <f t="shared" ca="1" si="15"/>
        <v>2.3892371474029894E-2</v>
      </c>
      <c r="BP125" s="29">
        <v>0</v>
      </c>
      <c r="BR125" s="22">
        <v>44670</v>
      </c>
      <c r="BS125" s="26">
        <f t="shared" ca="1" si="16"/>
        <v>0.38095215503896285</v>
      </c>
      <c r="BT125" s="29">
        <v>0</v>
      </c>
      <c r="BV125" s="22">
        <v>44670</v>
      </c>
      <c r="BW125" s="26">
        <f t="shared" ca="1" si="17"/>
        <v>0.68219747525090624</v>
      </c>
      <c r="BX125" s="29">
        <v>0</v>
      </c>
    </row>
    <row r="126" spans="2:76" ht="12.75" x14ac:dyDescent="0.2">
      <c r="B126" s="22">
        <v>44671</v>
      </c>
      <c r="C126" s="26">
        <f t="shared" ca="1" si="0"/>
        <v>0.20034805887418305</v>
      </c>
      <c r="D126" s="29">
        <f t="shared" ca="1" si="22"/>
        <v>59</v>
      </c>
      <c r="F126" s="22">
        <v>44671</v>
      </c>
      <c r="G126" s="26">
        <f t="shared" ca="1" si="1"/>
        <v>0.5841509912412145</v>
      </c>
      <c r="H126" s="29">
        <v>0</v>
      </c>
      <c r="J126" s="22">
        <v>44671</v>
      </c>
      <c r="K126" s="26">
        <f t="shared" ca="1" si="2"/>
        <v>0.87309536813418864</v>
      </c>
      <c r="L126" s="29">
        <v>0</v>
      </c>
      <c r="N126" s="22">
        <v>44671</v>
      </c>
      <c r="O126" s="26">
        <f t="shared" ca="1" si="3"/>
        <v>0.33936558890937008</v>
      </c>
      <c r="P126" s="29">
        <v>0</v>
      </c>
      <c r="R126" s="22">
        <v>44671</v>
      </c>
      <c r="S126" s="26">
        <f t="shared" ca="1" si="4"/>
        <v>0.31216214186322833</v>
      </c>
      <c r="T126" s="29">
        <v>0</v>
      </c>
      <c r="V126" s="22">
        <v>44671</v>
      </c>
      <c r="W126" s="26">
        <f t="shared" ca="1" si="5"/>
        <v>0.30691489787562265</v>
      </c>
      <c r="X126" s="29">
        <v>0</v>
      </c>
      <c r="Z126" s="22">
        <v>44671</v>
      </c>
      <c r="AA126" s="26">
        <f t="shared" ca="1" si="6"/>
        <v>0.61485260559596677</v>
      </c>
      <c r="AB126" s="29">
        <v>0</v>
      </c>
      <c r="AC126"/>
      <c r="AD126" s="25"/>
      <c r="AF126" s="22">
        <v>44671</v>
      </c>
      <c r="AG126" s="26">
        <f t="shared" ca="1" si="7"/>
        <v>0.51400779318756229</v>
      </c>
      <c r="AH126" s="29">
        <v>0</v>
      </c>
      <c r="AJ126" s="22">
        <v>44671</v>
      </c>
      <c r="AK126" s="26">
        <f t="shared" ca="1" si="8"/>
        <v>0.92984314926113432</v>
      </c>
      <c r="AL126" s="29">
        <v>0</v>
      </c>
      <c r="AN126" s="22">
        <v>44671</v>
      </c>
      <c r="AO126" s="26">
        <f t="shared" ca="1" si="9"/>
        <v>0.63140021481332786</v>
      </c>
      <c r="AP126" s="29">
        <v>0</v>
      </c>
      <c r="AR126" s="22">
        <v>44671</v>
      </c>
      <c r="AS126" s="26">
        <f t="shared" ca="1" si="10"/>
        <v>0.12275294476686138</v>
      </c>
      <c r="AT126" s="29">
        <v>0</v>
      </c>
      <c r="AV126" s="22">
        <v>44671</v>
      </c>
      <c r="AW126" s="26">
        <f t="shared" ca="1" si="11"/>
        <v>0.98561268342487729</v>
      </c>
      <c r="AX126" s="29">
        <v>0</v>
      </c>
      <c r="AZ126" s="22">
        <v>44671</v>
      </c>
      <c r="BA126" s="26">
        <f t="shared" ca="1" si="12"/>
        <v>0.63257029100513373</v>
      </c>
      <c r="BB126" s="29">
        <v>0</v>
      </c>
      <c r="BC126"/>
      <c r="BD126" s="25"/>
      <c r="BF126" s="22">
        <v>44671</v>
      </c>
      <c r="BG126" s="26">
        <f t="shared" ca="1" si="13"/>
        <v>0.54965760401601071</v>
      </c>
      <c r="BH126" s="29">
        <v>0</v>
      </c>
      <c r="BJ126" s="22">
        <v>44671</v>
      </c>
      <c r="BK126" s="26">
        <f t="shared" ca="1" si="14"/>
        <v>2.3082626138741236E-2</v>
      </c>
      <c r="BL126" s="29">
        <v>0</v>
      </c>
      <c r="BN126" s="22">
        <v>44671</v>
      </c>
      <c r="BO126" s="26">
        <f t="shared" ca="1" si="15"/>
        <v>0.1436796833327374</v>
      </c>
      <c r="BP126" s="29">
        <v>0</v>
      </c>
      <c r="BR126" s="22">
        <v>44671</v>
      </c>
      <c r="BS126" s="26">
        <f t="shared" ca="1" si="16"/>
        <v>0.2390820362407361</v>
      </c>
      <c r="BT126" s="29">
        <v>0</v>
      </c>
      <c r="BV126" s="22">
        <v>44671</v>
      </c>
      <c r="BW126" s="26">
        <f t="shared" ca="1" si="17"/>
        <v>0.74071718585132051</v>
      </c>
      <c r="BX126" s="29">
        <v>0</v>
      </c>
    </row>
    <row r="127" spans="2:76" ht="12.75" x14ac:dyDescent="0.2">
      <c r="B127" s="22">
        <v>44672</v>
      </c>
      <c r="C127" s="26">
        <f t="shared" ca="1" si="0"/>
        <v>0.56763896039192208</v>
      </c>
      <c r="D127" s="29">
        <f t="shared" ca="1" si="22"/>
        <v>79</v>
      </c>
      <c r="F127" s="22">
        <v>44672</v>
      </c>
      <c r="G127" s="26">
        <f t="shared" ca="1" si="1"/>
        <v>0.35453157948158032</v>
      </c>
      <c r="H127" s="29">
        <v>0</v>
      </c>
      <c r="J127" s="22">
        <v>44672</v>
      </c>
      <c r="K127" s="26">
        <f t="shared" ca="1" si="2"/>
        <v>0.35902835916449549</v>
      </c>
      <c r="L127" s="29">
        <v>0</v>
      </c>
      <c r="N127" s="22">
        <v>44672</v>
      </c>
      <c r="O127" s="26">
        <f t="shared" ca="1" si="3"/>
        <v>0.16587946612416371</v>
      </c>
      <c r="P127" s="29">
        <v>0</v>
      </c>
      <c r="R127" s="22">
        <v>44672</v>
      </c>
      <c r="S127" s="26">
        <f t="shared" ca="1" si="4"/>
        <v>0.99602790625023374</v>
      </c>
      <c r="T127" s="29">
        <v>0</v>
      </c>
      <c r="V127" s="22">
        <v>44672</v>
      </c>
      <c r="W127" s="26">
        <f t="shared" ca="1" si="5"/>
        <v>0.38226686982409919</v>
      </c>
      <c r="X127" s="29">
        <v>0</v>
      </c>
      <c r="Z127" s="22">
        <v>44672</v>
      </c>
      <c r="AA127" s="26">
        <f t="shared" ca="1" si="6"/>
        <v>0.33555576102141338</v>
      </c>
      <c r="AB127" s="29">
        <v>0</v>
      </c>
      <c r="AC127"/>
      <c r="AD127" s="25"/>
      <c r="AF127" s="22">
        <v>44672</v>
      </c>
      <c r="AG127" s="26">
        <f t="shared" ca="1" si="7"/>
        <v>0.60103729647252591</v>
      </c>
      <c r="AH127" s="29">
        <v>0</v>
      </c>
      <c r="AJ127" s="22">
        <v>44672</v>
      </c>
      <c r="AK127" s="26">
        <f t="shared" ca="1" si="8"/>
        <v>0.15171262054522172</v>
      </c>
      <c r="AL127" s="29">
        <v>0</v>
      </c>
      <c r="AN127" s="22">
        <v>44672</v>
      </c>
      <c r="AO127" s="26">
        <f t="shared" ca="1" si="9"/>
        <v>0.95828487423147835</v>
      </c>
      <c r="AP127" s="29">
        <v>0</v>
      </c>
      <c r="AR127" s="22">
        <v>44672</v>
      </c>
      <c r="AS127" s="26">
        <f t="shared" ca="1" si="10"/>
        <v>0.80165214508702853</v>
      </c>
      <c r="AT127" s="29">
        <v>0</v>
      </c>
      <c r="AV127" s="22">
        <v>44672</v>
      </c>
      <c r="AW127" s="26">
        <f t="shared" ca="1" si="11"/>
        <v>0.20253816578263584</v>
      </c>
      <c r="AX127" s="29">
        <v>0</v>
      </c>
      <c r="AZ127" s="22">
        <v>44672</v>
      </c>
      <c r="BA127" s="26">
        <f t="shared" ca="1" si="12"/>
        <v>0.87671931659127034</v>
      </c>
      <c r="BB127" s="29">
        <v>0</v>
      </c>
      <c r="BC127"/>
      <c r="BD127" s="25"/>
      <c r="BF127" s="22">
        <v>44672</v>
      </c>
      <c r="BG127" s="26">
        <f t="shared" ca="1" si="13"/>
        <v>0.94388387504902849</v>
      </c>
      <c r="BH127" s="29">
        <v>0</v>
      </c>
      <c r="BJ127" s="22">
        <v>44672</v>
      </c>
      <c r="BK127" s="26">
        <f t="shared" ca="1" si="14"/>
        <v>0.61743974477141195</v>
      </c>
      <c r="BL127" s="29">
        <v>0</v>
      </c>
      <c r="BN127" s="22">
        <v>44672</v>
      </c>
      <c r="BO127" s="26">
        <f t="shared" ca="1" si="15"/>
        <v>0.38501219964826727</v>
      </c>
      <c r="BP127" s="29">
        <v>0</v>
      </c>
      <c r="BR127" s="22">
        <v>44672</v>
      </c>
      <c r="BS127" s="26">
        <f t="shared" ca="1" si="16"/>
        <v>0.43468371456053201</v>
      </c>
      <c r="BT127" s="29">
        <v>0</v>
      </c>
      <c r="BV127" s="22">
        <v>44672</v>
      </c>
      <c r="BW127" s="26">
        <f t="shared" ca="1" si="17"/>
        <v>0.92808010545098429</v>
      </c>
      <c r="BX127" s="29">
        <v>0</v>
      </c>
    </row>
    <row r="128" spans="2:76" ht="12.75" x14ac:dyDescent="0.2">
      <c r="B128" s="22">
        <v>44673</v>
      </c>
      <c r="C128" s="26">
        <f t="shared" ca="1" si="0"/>
        <v>0.99554518283893967</v>
      </c>
      <c r="D128" s="29">
        <f t="shared" ca="1" si="22"/>
        <v>128</v>
      </c>
      <c r="F128" s="22">
        <v>44673</v>
      </c>
      <c r="G128" s="26">
        <f t="shared" ca="1" si="1"/>
        <v>0.85718194535856729</v>
      </c>
      <c r="H128" s="29">
        <v>0</v>
      </c>
      <c r="J128" s="22">
        <v>44673</v>
      </c>
      <c r="K128" s="26">
        <f t="shared" ca="1" si="2"/>
        <v>0.83595416900421482</v>
      </c>
      <c r="L128" s="29">
        <v>0</v>
      </c>
      <c r="N128" s="22">
        <v>44673</v>
      </c>
      <c r="O128" s="26">
        <f t="shared" ca="1" si="3"/>
        <v>0.17120213071548973</v>
      </c>
      <c r="P128" s="29">
        <v>0</v>
      </c>
      <c r="R128" s="22">
        <v>44673</v>
      </c>
      <c r="S128" s="26">
        <f t="shared" ca="1" si="4"/>
        <v>0.18673687434058794</v>
      </c>
      <c r="T128" s="29">
        <v>0</v>
      </c>
      <c r="V128" s="22">
        <v>44673</v>
      </c>
      <c r="W128" s="26">
        <f t="shared" ca="1" si="5"/>
        <v>0.86303866654086281</v>
      </c>
      <c r="X128" s="29">
        <v>0</v>
      </c>
      <c r="Z128" s="22">
        <v>44673</v>
      </c>
      <c r="AA128" s="26">
        <f t="shared" ca="1" si="6"/>
        <v>0.94116689301111367</v>
      </c>
      <c r="AB128" s="29">
        <v>0</v>
      </c>
      <c r="AC128"/>
      <c r="AD128" s="25"/>
      <c r="AF128" s="22">
        <v>44673</v>
      </c>
      <c r="AG128" s="26">
        <f t="shared" ca="1" si="7"/>
        <v>0.41736743993862735</v>
      </c>
      <c r="AH128" s="29">
        <v>0</v>
      </c>
      <c r="AJ128" s="22">
        <v>44673</v>
      </c>
      <c r="AK128" s="26">
        <f t="shared" ca="1" si="8"/>
        <v>0.32292540212485288</v>
      </c>
      <c r="AL128" s="29">
        <v>0</v>
      </c>
      <c r="AN128" s="22">
        <v>44673</v>
      </c>
      <c r="AO128" s="26">
        <f t="shared" ca="1" si="9"/>
        <v>8.6518128297226937E-2</v>
      </c>
      <c r="AP128" s="29">
        <v>0</v>
      </c>
      <c r="AR128" s="22">
        <v>44673</v>
      </c>
      <c r="AS128" s="26">
        <f t="shared" ca="1" si="10"/>
        <v>0.75848344623349662</v>
      </c>
      <c r="AT128" s="29">
        <v>0</v>
      </c>
      <c r="AV128" s="22">
        <v>44673</v>
      </c>
      <c r="AW128" s="26">
        <f t="shared" ca="1" si="11"/>
        <v>0.47319780211323037</v>
      </c>
      <c r="AX128" s="29">
        <v>0</v>
      </c>
      <c r="AZ128" s="22">
        <v>44673</v>
      </c>
      <c r="BA128" s="26">
        <f t="shared" ca="1" si="12"/>
        <v>8.3115293338693053E-2</v>
      </c>
      <c r="BB128" s="29">
        <v>0</v>
      </c>
      <c r="BC128"/>
      <c r="BD128" s="25"/>
      <c r="BF128" s="22">
        <v>44673</v>
      </c>
      <c r="BG128" s="26">
        <f t="shared" ca="1" si="13"/>
        <v>3.9098057376072526E-2</v>
      </c>
      <c r="BH128" s="29">
        <v>0</v>
      </c>
      <c r="BJ128" s="22">
        <v>44673</v>
      </c>
      <c r="BK128" s="26">
        <f t="shared" ca="1" si="14"/>
        <v>0.8108204441520368</v>
      </c>
      <c r="BL128" s="29">
        <v>0</v>
      </c>
      <c r="BN128" s="22">
        <v>44673</v>
      </c>
      <c r="BO128" s="26">
        <f t="shared" ca="1" si="15"/>
        <v>0.46871194355653401</v>
      </c>
      <c r="BP128" s="29">
        <v>0</v>
      </c>
      <c r="BR128" s="22">
        <v>44673</v>
      </c>
      <c r="BS128" s="26">
        <f t="shared" ca="1" si="16"/>
        <v>5.3970007326699099E-2</v>
      </c>
      <c r="BT128" s="29">
        <v>0</v>
      </c>
      <c r="BV128" s="22">
        <v>44673</v>
      </c>
      <c r="BW128" s="26">
        <f t="shared" ca="1" si="17"/>
        <v>0.93382305392080445</v>
      </c>
      <c r="BX128" s="29">
        <v>0</v>
      </c>
    </row>
    <row r="129" spans="2:77" ht="12.75" x14ac:dyDescent="0.2">
      <c r="B129" s="22">
        <v>44674</v>
      </c>
      <c r="C129" s="26">
        <f t="shared" ca="1" si="0"/>
        <v>0.69697752269565205</v>
      </c>
      <c r="D129" s="29">
        <f t="shared" ca="1" si="22"/>
        <v>86</v>
      </c>
      <c r="F129" s="22">
        <v>44674</v>
      </c>
      <c r="G129" s="26">
        <f t="shared" ca="1" si="1"/>
        <v>2.5173428135000564E-2</v>
      </c>
      <c r="H129" s="29">
        <v>0</v>
      </c>
      <c r="J129" s="22">
        <v>44674</v>
      </c>
      <c r="K129" s="26">
        <f t="shared" ca="1" si="2"/>
        <v>0.45437095197337085</v>
      </c>
      <c r="L129" s="29">
        <v>0</v>
      </c>
      <c r="N129" s="22">
        <v>44674</v>
      </c>
      <c r="O129" s="26">
        <f t="shared" ca="1" si="3"/>
        <v>0.76437537350933271</v>
      </c>
      <c r="P129" s="29">
        <v>0</v>
      </c>
      <c r="R129" s="22">
        <v>44674</v>
      </c>
      <c r="S129" s="26">
        <f t="shared" ca="1" si="4"/>
        <v>0.46393980539190982</v>
      </c>
      <c r="T129" s="29">
        <v>0</v>
      </c>
      <c r="V129" s="22">
        <v>44674</v>
      </c>
      <c r="W129" s="26">
        <f t="shared" ca="1" si="5"/>
        <v>5.6570304279784933E-2</v>
      </c>
      <c r="X129" s="29">
        <v>0</v>
      </c>
      <c r="Z129" s="22">
        <v>44674</v>
      </c>
      <c r="AA129" s="26">
        <f t="shared" ca="1" si="6"/>
        <v>0.8702867535845753</v>
      </c>
      <c r="AB129" s="29">
        <v>0</v>
      </c>
      <c r="AC129"/>
      <c r="AD129" s="25"/>
      <c r="AF129" s="22">
        <v>44674</v>
      </c>
      <c r="AG129" s="26">
        <f t="shared" ca="1" si="7"/>
        <v>0.61239670784390066</v>
      </c>
      <c r="AH129" s="29">
        <v>0</v>
      </c>
      <c r="AJ129" s="22">
        <v>44674</v>
      </c>
      <c r="AK129" s="26">
        <f t="shared" ca="1" si="8"/>
        <v>0.42224722751003296</v>
      </c>
      <c r="AL129" s="29">
        <v>0</v>
      </c>
      <c r="AN129" s="22">
        <v>44674</v>
      </c>
      <c r="AO129" s="26">
        <f t="shared" ca="1" si="9"/>
        <v>0.44090396097284068</v>
      </c>
      <c r="AP129" s="29">
        <v>0</v>
      </c>
      <c r="AR129" s="22">
        <v>44674</v>
      </c>
      <c r="AS129" s="26">
        <f t="shared" ca="1" si="10"/>
        <v>5.0954486205043059E-2</v>
      </c>
      <c r="AT129" s="29">
        <v>0</v>
      </c>
      <c r="AV129" s="22">
        <v>44674</v>
      </c>
      <c r="AW129" s="26">
        <f t="shared" ca="1" si="11"/>
        <v>0.79686583088885421</v>
      </c>
      <c r="AX129" s="29">
        <v>0</v>
      </c>
      <c r="AZ129" s="22">
        <v>44674</v>
      </c>
      <c r="BA129" s="26">
        <f t="shared" ca="1" si="12"/>
        <v>0.32483925427206939</v>
      </c>
      <c r="BB129" s="29">
        <v>0</v>
      </c>
      <c r="BC129"/>
      <c r="BD129" s="25"/>
      <c r="BF129" s="22">
        <v>44674</v>
      </c>
      <c r="BG129" s="26">
        <f t="shared" ca="1" si="13"/>
        <v>0.29995274883062606</v>
      </c>
      <c r="BH129" s="29">
        <v>0</v>
      </c>
      <c r="BJ129" s="22">
        <v>44674</v>
      </c>
      <c r="BK129" s="26">
        <f t="shared" ca="1" si="14"/>
        <v>0.67085357673120749</v>
      </c>
      <c r="BL129" s="29">
        <v>0</v>
      </c>
      <c r="BN129" s="22">
        <v>44674</v>
      </c>
      <c r="BO129" s="26">
        <f t="shared" ca="1" si="15"/>
        <v>0.64655821512241696</v>
      </c>
      <c r="BP129" s="29">
        <v>0</v>
      </c>
      <c r="BR129" s="22">
        <v>44674</v>
      </c>
      <c r="BS129" s="26">
        <f t="shared" ca="1" si="16"/>
        <v>0.69891296412308002</v>
      </c>
      <c r="BT129" s="29">
        <v>0</v>
      </c>
      <c r="BV129" s="22">
        <v>44674</v>
      </c>
      <c r="BW129" s="26">
        <f t="shared" ca="1" si="17"/>
        <v>0.2423684784907626</v>
      </c>
      <c r="BX129" s="29">
        <v>0</v>
      </c>
    </row>
    <row r="130" spans="2:77" ht="12.75" x14ac:dyDescent="0.2">
      <c r="B130" s="22">
        <v>44675</v>
      </c>
      <c r="C130" s="26">
        <f t="shared" ca="1" si="0"/>
        <v>0.32703174675172009</v>
      </c>
      <c r="D130" s="29">
        <f t="shared" ca="1" si="22"/>
        <v>67</v>
      </c>
      <c r="F130" s="22">
        <v>44675</v>
      </c>
      <c r="G130" s="26">
        <f t="shared" ca="1" si="1"/>
        <v>0.55065438616293483</v>
      </c>
      <c r="H130" s="29">
        <v>0</v>
      </c>
      <c r="J130" s="22">
        <v>44675</v>
      </c>
      <c r="K130" s="26">
        <f t="shared" ca="1" si="2"/>
        <v>0.66581580498901138</v>
      </c>
      <c r="L130" s="29">
        <v>0</v>
      </c>
      <c r="N130" s="22">
        <v>44675</v>
      </c>
      <c r="O130" s="26">
        <f t="shared" ca="1" si="3"/>
        <v>0.45968638079359569</v>
      </c>
      <c r="P130" s="29">
        <v>0</v>
      </c>
      <c r="R130" s="22">
        <v>44675</v>
      </c>
      <c r="S130" s="26">
        <f t="shared" ca="1" si="4"/>
        <v>7.3486508752938828E-2</v>
      </c>
      <c r="T130" s="29">
        <v>0</v>
      </c>
      <c r="V130" s="22">
        <v>44675</v>
      </c>
      <c r="W130" s="26">
        <f t="shared" ca="1" si="5"/>
        <v>0.40360211190960693</v>
      </c>
      <c r="X130" s="29">
        <v>0</v>
      </c>
      <c r="Z130" s="22">
        <v>44675</v>
      </c>
      <c r="AA130" s="26">
        <f t="shared" ca="1" si="6"/>
        <v>3.7989697092487451E-2</v>
      </c>
      <c r="AB130" s="29">
        <v>0</v>
      </c>
      <c r="AC130"/>
      <c r="AD130" s="25"/>
      <c r="AF130" s="22">
        <v>44675</v>
      </c>
      <c r="AG130" s="26">
        <f t="shared" ca="1" si="7"/>
        <v>0.55851885488547359</v>
      </c>
      <c r="AH130" s="29">
        <v>0</v>
      </c>
      <c r="AJ130" s="22">
        <v>44675</v>
      </c>
      <c r="AK130" s="26">
        <f t="shared" ca="1" si="8"/>
        <v>0.60786352204950556</v>
      </c>
      <c r="AL130" s="29">
        <v>0</v>
      </c>
      <c r="AN130" s="22">
        <v>44675</v>
      </c>
      <c r="AO130" s="26">
        <f t="shared" ca="1" si="9"/>
        <v>0.572359079354954</v>
      </c>
      <c r="AP130" s="29">
        <v>0</v>
      </c>
      <c r="AR130" s="22">
        <v>44675</v>
      </c>
      <c r="AS130" s="26">
        <f t="shared" ca="1" si="10"/>
        <v>0.37969536219546174</v>
      </c>
      <c r="AT130" s="29">
        <v>0</v>
      </c>
      <c r="AV130" s="22">
        <v>44675</v>
      </c>
      <c r="AW130" s="26">
        <f t="shared" ca="1" si="11"/>
        <v>0.33386129580488988</v>
      </c>
      <c r="AX130" s="29">
        <v>0</v>
      </c>
      <c r="AZ130" s="22">
        <v>44675</v>
      </c>
      <c r="BA130" s="26">
        <f t="shared" ca="1" si="12"/>
        <v>0.55614447270923284</v>
      </c>
      <c r="BB130" s="29">
        <v>0</v>
      </c>
      <c r="BC130"/>
      <c r="BD130" s="25"/>
      <c r="BF130" s="22">
        <v>44675</v>
      </c>
      <c r="BG130" s="26">
        <f t="shared" ca="1" si="13"/>
        <v>0.90387563647992608</v>
      </c>
      <c r="BH130" s="29">
        <v>0</v>
      </c>
      <c r="BJ130" s="22">
        <v>44675</v>
      </c>
      <c r="BK130" s="26">
        <f t="shared" ca="1" si="14"/>
        <v>0.40785550602978426</v>
      </c>
      <c r="BL130" s="29">
        <v>0</v>
      </c>
      <c r="BN130" s="22">
        <v>44675</v>
      </c>
      <c r="BO130" s="26">
        <f t="shared" ca="1" si="15"/>
        <v>0.30533045101984624</v>
      </c>
      <c r="BP130" s="29">
        <v>0</v>
      </c>
      <c r="BR130" s="22">
        <v>44675</v>
      </c>
      <c r="BS130" s="26">
        <f t="shared" ca="1" si="16"/>
        <v>0.67957937199920426</v>
      </c>
      <c r="BT130" s="29">
        <v>0</v>
      </c>
      <c r="BV130" s="22">
        <v>44675</v>
      </c>
      <c r="BW130" s="26">
        <f t="shared" ca="1" si="17"/>
        <v>0.24384935308493128</v>
      </c>
      <c r="BX130" s="29">
        <v>0</v>
      </c>
    </row>
    <row r="131" spans="2:77" ht="12.75" x14ac:dyDescent="0.2">
      <c r="B131" s="22">
        <v>44676</v>
      </c>
      <c r="C131" s="26">
        <f t="shared" ca="1" si="0"/>
        <v>0.83107067831477766</v>
      </c>
      <c r="D131" s="29">
        <f t="shared" ca="1" si="22"/>
        <v>95</v>
      </c>
      <c r="F131" s="22">
        <v>44676</v>
      </c>
      <c r="G131" s="26">
        <f t="shared" ca="1" si="1"/>
        <v>0.33773217503958319</v>
      </c>
      <c r="H131" s="29">
        <v>0</v>
      </c>
      <c r="J131" s="22">
        <v>44676</v>
      </c>
      <c r="K131" s="26">
        <f t="shared" ca="1" si="2"/>
        <v>0.25328847765897389</v>
      </c>
      <c r="L131" s="29">
        <v>0</v>
      </c>
      <c r="N131" s="22">
        <v>44676</v>
      </c>
      <c r="O131" s="26">
        <f t="shared" ca="1" si="3"/>
        <v>0.39738440010389908</v>
      </c>
      <c r="P131" s="29">
        <v>0</v>
      </c>
      <c r="R131" s="22">
        <v>44676</v>
      </c>
      <c r="S131" s="26">
        <f t="shared" ca="1" si="4"/>
        <v>0.8271422583222019</v>
      </c>
      <c r="T131" s="29">
        <v>0</v>
      </c>
      <c r="V131" s="22">
        <v>44676</v>
      </c>
      <c r="W131" s="26">
        <f t="shared" ca="1" si="5"/>
        <v>4.4770329582895285E-2</v>
      </c>
      <c r="X131" s="29">
        <v>0</v>
      </c>
      <c r="Z131" s="22">
        <v>44676</v>
      </c>
      <c r="AA131" s="26">
        <f t="shared" ca="1" si="6"/>
        <v>0.39877501251996661</v>
      </c>
      <c r="AB131" s="29">
        <v>0</v>
      </c>
      <c r="AC131"/>
      <c r="AD131" s="25"/>
      <c r="AF131" s="22">
        <v>44676</v>
      </c>
      <c r="AG131" s="26">
        <f t="shared" ca="1" si="7"/>
        <v>0.62814259202530121</v>
      </c>
      <c r="AH131" s="29">
        <v>0</v>
      </c>
      <c r="AJ131" s="22">
        <v>44676</v>
      </c>
      <c r="AK131" s="26">
        <f t="shared" ca="1" si="8"/>
        <v>0.11793035374405136</v>
      </c>
      <c r="AL131" s="29">
        <v>0</v>
      </c>
      <c r="AN131" s="22">
        <v>44676</v>
      </c>
      <c r="AO131" s="26">
        <f t="shared" ca="1" si="9"/>
        <v>0.27754994519243092</v>
      </c>
      <c r="AP131" s="29">
        <v>0</v>
      </c>
      <c r="AR131" s="22">
        <v>44676</v>
      </c>
      <c r="AS131" s="26">
        <f t="shared" ca="1" si="10"/>
        <v>0.9278407449923064</v>
      </c>
      <c r="AT131" s="29">
        <v>0</v>
      </c>
      <c r="AV131" s="22">
        <v>44676</v>
      </c>
      <c r="AW131" s="26">
        <f t="shared" ca="1" si="11"/>
        <v>0.70692159942805388</v>
      </c>
      <c r="AX131" s="29">
        <v>0</v>
      </c>
      <c r="AZ131" s="22">
        <v>44676</v>
      </c>
      <c r="BA131" s="26">
        <f t="shared" ca="1" si="12"/>
        <v>0.48983526012295708</v>
      </c>
      <c r="BB131" s="29">
        <v>0</v>
      </c>
      <c r="BC131"/>
      <c r="BD131" s="25"/>
      <c r="BF131" s="22">
        <v>44676</v>
      </c>
      <c r="BG131" s="26">
        <f t="shared" ca="1" si="13"/>
        <v>0.37369473974182554</v>
      </c>
      <c r="BH131" s="29">
        <v>0</v>
      </c>
      <c r="BJ131" s="22">
        <v>44676</v>
      </c>
      <c r="BK131" s="26">
        <f t="shared" ca="1" si="14"/>
        <v>0.70036823634943624</v>
      </c>
      <c r="BL131" s="29">
        <v>0</v>
      </c>
      <c r="BN131" s="22">
        <v>44676</v>
      </c>
      <c r="BO131" s="26">
        <f t="shared" ca="1" si="15"/>
        <v>0.82785471156170531</v>
      </c>
      <c r="BP131" s="29">
        <v>0</v>
      </c>
      <c r="BR131" s="22">
        <v>44676</v>
      </c>
      <c r="BS131" s="26">
        <f t="shared" ca="1" si="16"/>
        <v>0.58912313095629187</v>
      </c>
      <c r="BT131" s="29">
        <v>0</v>
      </c>
      <c r="BV131" s="22">
        <v>44676</v>
      </c>
      <c r="BW131" s="26">
        <f t="shared" ca="1" si="17"/>
        <v>0.22869146304633137</v>
      </c>
      <c r="BX131" s="29">
        <v>0</v>
      </c>
    </row>
    <row r="132" spans="2:77" ht="12.75" x14ac:dyDescent="0.2">
      <c r="B132" s="22">
        <v>44677</v>
      </c>
      <c r="C132" s="26">
        <f t="shared" ca="1" si="0"/>
        <v>0.45872358481574638</v>
      </c>
      <c r="D132" s="29">
        <f t="shared" ca="1" si="22"/>
        <v>73</v>
      </c>
      <c r="F132" s="22">
        <v>44677</v>
      </c>
      <c r="G132" s="26">
        <f t="shared" ca="1" si="1"/>
        <v>0.52923689321022083</v>
      </c>
      <c r="H132" s="29">
        <v>0</v>
      </c>
      <c r="J132" s="22">
        <v>44677</v>
      </c>
      <c r="K132" s="26">
        <f t="shared" ca="1" si="2"/>
        <v>0.1674165379150383</v>
      </c>
      <c r="L132" s="29">
        <v>0</v>
      </c>
      <c r="N132" s="22">
        <v>44677</v>
      </c>
      <c r="O132" s="26">
        <f t="shared" ca="1" si="3"/>
        <v>0.12995529608742573</v>
      </c>
      <c r="P132" s="29">
        <v>0</v>
      </c>
      <c r="R132" s="22">
        <v>44677</v>
      </c>
      <c r="S132" s="26">
        <f t="shared" ca="1" si="4"/>
        <v>0.8476219943599107</v>
      </c>
      <c r="T132" s="29">
        <v>0</v>
      </c>
      <c r="V132" s="22">
        <v>44677</v>
      </c>
      <c r="W132" s="26">
        <f t="shared" ca="1" si="5"/>
        <v>0.75269285732767943</v>
      </c>
      <c r="X132" s="29">
        <v>0</v>
      </c>
      <c r="Z132" s="22">
        <v>44677</v>
      </c>
      <c r="AA132" s="26">
        <f t="shared" ca="1" si="6"/>
        <v>0.5036562211645329</v>
      </c>
      <c r="AB132" s="29">
        <v>0</v>
      </c>
      <c r="AC132"/>
      <c r="AD132" s="25"/>
      <c r="AF132" s="22">
        <v>44677</v>
      </c>
      <c r="AG132" s="26">
        <f t="shared" ca="1" si="7"/>
        <v>0.98082820831419826</v>
      </c>
      <c r="AH132" s="29">
        <v>0</v>
      </c>
      <c r="AJ132" s="22">
        <v>44677</v>
      </c>
      <c r="AK132" s="26">
        <f t="shared" ca="1" si="8"/>
        <v>5.3109530241331804E-2</v>
      </c>
      <c r="AL132" s="29">
        <v>0</v>
      </c>
      <c r="AN132" s="22">
        <v>44677</v>
      </c>
      <c r="AO132" s="26">
        <f t="shared" ca="1" si="9"/>
        <v>0.35041842072057161</v>
      </c>
      <c r="AP132" s="29">
        <v>0</v>
      </c>
      <c r="AR132" s="22">
        <v>44677</v>
      </c>
      <c r="AS132" s="26">
        <f t="shared" ca="1" si="10"/>
        <v>0.13723822355239879</v>
      </c>
      <c r="AT132" s="29">
        <v>0</v>
      </c>
      <c r="AV132" s="22">
        <v>44677</v>
      </c>
      <c r="AW132" s="26">
        <f t="shared" ca="1" si="11"/>
        <v>6.0394671588826609E-2</v>
      </c>
      <c r="AX132" s="29">
        <v>0</v>
      </c>
      <c r="AZ132" s="22">
        <v>44677</v>
      </c>
      <c r="BA132" s="26">
        <f t="shared" ca="1" si="12"/>
        <v>0.76735886000153919</v>
      </c>
      <c r="BB132" s="29">
        <v>0</v>
      </c>
      <c r="BC132"/>
      <c r="BD132" s="25"/>
      <c r="BF132" s="22">
        <v>44677</v>
      </c>
      <c r="BG132" s="26">
        <f t="shared" ca="1" si="13"/>
        <v>0.50865682860104056</v>
      </c>
      <c r="BH132" s="29">
        <v>0</v>
      </c>
      <c r="BJ132" s="22">
        <v>44677</v>
      </c>
      <c r="BK132" s="26">
        <f t="shared" ca="1" si="14"/>
        <v>0.8854367235698255</v>
      </c>
      <c r="BL132" s="29">
        <v>0</v>
      </c>
      <c r="BN132" s="22">
        <v>44677</v>
      </c>
      <c r="BO132" s="26">
        <f t="shared" ca="1" si="15"/>
        <v>0.93146560010252111</v>
      </c>
      <c r="BP132" s="29">
        <v>0</v>
      </c>
      <c r="BR132" s="22">
        <v>44677</v>
      </c>
      <c r="BS132" s="26">
        <f t="shared" ca="1" si="16"/>
        <v>0.45619824384090879</v>
      </c>
      <c r="BT132" s="29">
        <v>0</v>
      </c>
      <c r="BV132" s="22">
        <v>44677</v>
      </c>
      <c r="BW132" s="26">
        <f t="shared" ca="1" si="17"/>
        <v>0.76043185212355391</v>
      </c>
      <c r="BX132" s="29">
        <v>0</v>
      </c>
    </row>
    <row r="133" spans="2:77" ht="12.75" x14ac:dyDescent="0.2">
      <c r="B133" s="22">
        <v>44678</v>
      </c>
      <c r="C133" s="26">
        <f t="shared" ca="1" si="0"/>
        <v>0.65538625815639484</v>
      </c>
      <c r="D133" s="29">
        <f t="shared" ca="1" si="22"/>
        <v>83</v>
      </c>
      <c r="F133" s="22">
        <v>44678</v>
      </c>
      <c r="G133" s="26">
        <f t="shared" ca="1" si="1"/>
        <v>0.34691733373212719</v>
      </c>
      <c r="H133" s="29">
        <v>0</v>
      </c>
      <c r="J133" s="22">
        <v>44678</v>
      </c>
      <c r="K133" s="26">
        <f t="shared" ca="1" si="2"/>
        <v>0.26847137324717352</v>
      </c>
      <c r="L133" s="29">
        <v>0</v>
      </c>
      <c r="N133" s="22">
        <v>44678</v>
      </c>
      <c r="O133" s="26">
        <f t="shared" ca="1" si="3"/>
        <v>0.50608079548252305</v>
      </c>
      <c r="P133" s="29">
        <v>0</v>
      </c>
      <c r="R133" s="22">
        <v>44678</v>
      </c>
      <c r="S133" s="26">
        <f t="shared" ca="1" si="4"/>
        <v>0.14355887128252987</v>
      </c>
      <c r="T133" s="29">
        <v>0</v>
      </c>
      <c r="V133" s="22">
        <v>44678</v>
      </c>
      <c r="W133" s="26">
        <f t="shared" ca="1" si="5"/>
        <v>0.85273771179706881</v>
      </c>
      <c r="X133" s="29">
        <v>0</v>
      </c>
      <c r="Z133" s="22">
        <v>44678</v>
      </c>
      <c r="AA133" s="26">
        <f t="shared" ca="1" si="6"/>
        <v>0.46782997148545435</v>
      </c>
      <c r="AB133" s="29">
        <v>0</v>
      </c>
      <c r="AC133"/>
      <c r="AD133" s="25"/>
      <c r="AF133" s="22">
        <v>44678</v>
      </c>
      <c r="AG133" s="26">
        <f t="shared" ca="1" si="7"/>
        <v>0.86184971686374123</v>
      </c>
      <c r="AH133" s="29">
        <v>0</v>
      </c>
      <c r="AJ133" s="22">
        <v>44678</v>
      </c>
      <c r="AK133" s="26">
        <f t="shared" ca="1" si="8"/>
        <v>8.3028518755502545E-2</v>
      </c>
      <c r="AL133" s="29">
        <v>0</v>
      </c>
      <c r="AN133" s="22">
        <v>44678</v>
      </c>
      <c r="AO133" s="26">
        <f t="shared" ca="1" si="9"/>
        <v>0.2051294632983649</v>
      </c>
      <c r="AP133" s="29">
        <v>0</v>
      </c>
      <c r="AR133" s="22">
        <v>44678</v>
      </c>
      <c r="AS133" s="26">
        <f t="shared" ca="1" si="10"/>
        <v>0.76116137764706748</v>
      </c>
      <c r="AT133" s="29">
        <v>0</v>
      </c>
      <c r="AV133" s="22">
        <v>44678</v>
      </c>
      <c r="AW133" s="26">
        <f t="shared" ca="1" si="11"/>
        <v>0.41850222364151568</v>
      </c>
      <c r="AX133" s="29">
        <v>0</v>
      </c>
      <c r="AZ133" s="22">
        <v>44678</v>
      </c>
      <c r="BA133" s="26">
        <f t="shared" ca="1" si="12"/>
        <v>0.95229680065600286</v>
      </c>
      <c r="BB133" s="29">
        <v>0</v>
      </c>
      <c r="BC133"/>
      <c r="BD133" s="25"/>
      <c r="BF133" s="22">
        <v>44678</v>
      </c>
      <c r="BG133" s="26">
        <f t="shared" ca="1" si="13"/>
        <v>0.39681322403407082</v>
      </c>
      <c r="BH133" s="29">
        <v>0</v>
      </c>
      <c r="BJ133" s="22">
        <v>44678</v>
      </c>
      <c r="BK133" s="26">
        <f t="shared" ca="1" si="14"/>
        <v>0.11972054825172795</v>
      </c>
      <c r="BL133" s="29">
        <v>0</v>
      </c>
      <c r="BN133" s="22">
        <v>44678</v>
      </c>
      <c r="BO133" s="26">
        <f t="shared" ca="1" si="15"/>
        <v>0.16338490332734279</v>
      </c>
      <c r="BP133" s="29">
        <v>0</v>
      </c>
      <c r="BR133" s="22">
        <v>44678</v>
      </c>
      <c r="BS133" s="26">
        <f t="shared" ca="1" si="16"/>
        <v>0.13559456958407268</v>
      </c>
      <c r="BT133" s="29">
        <v>0</v>
      </c>
      <c r="BV133" s="22">
        <v>44678</v>
      </c>
      <c r="BW133" s="26">
        <f t="shared" ca="1" si="17"/>
        <v>0.72868607144335795</v>
      </c>
      <c r="BX133" s="29">
        <v>0</v>
      </c>
    </row>
    <row r="134" spans="2:77" ht="12.75" x14ac:dyDescent="0.2">
      <c r="B134" s="22">
        <v>44679</v>
      </c>
      <c r="C134" s="26">
        <f t="shared" ca="1" si="0"/>
        <v>0.64945043474104336</v>
      </c>
      <c r="D134" s="29">
        <f t="shared" ca="1" si="22"/>
        <v>83</v>
      </c>
      <c r="F134" s="22">
        <v>44679</v>
      </c>
      <c r="G134" s="26">
        <f t="shared" ca="1" si="1"/>
        <v>0.61867092783353117</v>
      </c>
      <c r="H134" s="29">
        <v>0</v>
      </c>
      <c r="J134" s="22">
        <v>44679</v>
      </c>
      <c r="K134" s="26">
        <f t="shared" ca="1" si="2"/>
        <v>0.22569859586064522</v>
      </c>
      <c r="L134" s="29">
        <v>0</v>
      </c>
      <c r="N134" s="22">
        <v>44679</v>
      </c>
      <c r="O134" s="26">
        <f t="shared" ca="1" si="3"/>
        <v>0.12513094802921032</v>
      </c>
      <c r="P134" s="29">
        <v>0</v>
      </c>
      <c r="R134" s="22">
        <v>44679</v>
      </c>
      <c r="S134" s="26">
        <f t="shared" ca="1" si="4"/>
        <v>0.7916204353234505</v>
      </c>
      <c r="T134" s="29">
        <v>0</v>
      </c>
      <c r="V134" s="22">
        <v>44679</v>
      </c>
      <c r="W134" s="26">
        <f t="shared" ca="1" si="5"/>
        <v>0.14643768496100418</v>
      </c>
      <c r="X134" s="29">
        <v>0</v>
      </c>
      <c r="Z134" s="22">
        <v>44679</v>
      </c>
      <c r="AA134" s="26">
        <f t="shared" ca="1" si="6"/>
        <v>0.17639931322450841</v>
      </c>
      <c r="AB134" s="29">
        <v>0</v>
      </c>
      <c r="AC134"/>
      <c r="AD134" s="25"/>
      <c r="AF134" s="22">
        <v>44679</v>
      </c>
      <c r="AG134" s="26">
        <f t="shared" ca="1" si="7"/>
        <v>0.55447247688798573</v>
      </c>
      <c r="AH134" s="29">
        <v>0</v>
      </c>
      <c r="AJ134" s="22">
        <v>44679</v>
      </c>
      <c r="AK134" s="26">
        <f t="shared" ca="1" si="8"/>
        <v>0.13080223984054384</v>
      </c>
      <c r="AL134" s="29">
        <v>0</v>
      </c>
      <c r="AN134" s="22">
        <v>44679</v>
      </c>
      <c r="AO134" s="26">
        <f t="shared" ca="1" si="9"/>
        <v>0.60315224334252948</v>
      </c>
      <c r="AP134" s="29">
        <v>0</v>
      </c>
      <c r="AR134" s="22">
        <v>44679</v>
      </c>
      <c r="AS134" s="26">
        <f t="shared" ca="1" si="10"/>
        <v>6.6485182568122303E-3</v>
      </c>
      <c r="AT134" s="29">
        <v>0</v>
      </c>
      <c r="AV134" s="22">
        <v>44679</v>
      </c>
      <c r="AW134" s="26">
        <f t="shared" ca="1" si="11"/>
        <v>0.5931548563050173</v>
      </c>
      <c r="AX134" s="29">
        <v>0</v>
      </c>
      <c r="AZ134" s="22">
        <v>44679</v>
      </c>
      <c r="BA134" s="26">
        <f t="shared" ca="1" si="12"/>
        <v>0.78555637679391643</v>
      </c>
      <c r="BB134" s="29">
        <v>0</v>
      </c>
      <c r="BC134"/>
      <c r="BD134" s="25"/>
      <c r="BF134" s="22">
        <v>44679</v>
      </c>
      <c r="BG134" s="26">
        <f t="shared" ca="1" si="13"/>
        <v>0.16326012234033749</v>
      </c>
      <c r="BH134" s="29">
        <v>0</v>
      </c>
      <c r="BJ134" s="22">
        <v>44679</v>
      </c>
      <c r="BK134" s="26">
        <f t="shared" ca="1" si="14"/>
        <v>0.98921007929662008</v>
      </c>
      <c r="BL134" s="29">
        <v>0</v>
      </c>
      <c r="BN134" s="22">
        <v>44679</v>
      </c>
      <c r="BO134" s="26">
        <f t="shared" ca="1" si="15"/>
        <v>0.87531219922067327</v>
      </c>
      <c r="BP134" s="29">
        <v>0</v>
      </c>
      <c r="BR134" s="22">
        <v>44679</v>
      </c>
      <c r="BS134" s="26">
        <f t="shared" ca="1" si="16"/>
        <v>0.29970005716219039</v>
      </c>
      <c r="BT134" s="29">
        <v>0</v>
      </c>
      <c r="BV134" s="22">
        <v>44679</v>
      </c>
      <c r="BW134" s="26">
        <f t="shared" ca="1" si="17"/>
        <v>0.22297388831916509</v>
      </c>
      <c r="BX134" s="29">
        <v>0</v>
      </c>
    </row>
    <row r="135" spans="2:77" ht="12.75" x14ac:dyDescent="0.2">
      <c r="B135" s="22">
        <v>44680</v>
      </c>
      <c r="C135" s="26">
        <f t="shared" ca="1" si="0"/>
        <v>0.31132948817997141</v>
      </c>
      <c r="D135" s="29">
        <f t="shared" ca="1" si="22"/>
        <v>66</v>
      </c>
      <c r="F135" s="22">
        <v>44680</v>
      </c>
      <c r="G135" s="26">
        <f t="shared" ca="1" si="1"/>
        <v>0.47013333121026335</v>
      </c>
      <c r="H135" s="29">
        <v>0</v>
      </c>
      <c r="J135" s="22">
        <v>44680</v>
      </c>
      <c r="K135" s="26">
        <f t="shared" ca="1" si="2"/>
        <v>0.59812085748905541</v>
      </c>
      <c r="L135" s="29">
        <v>0</v>
      </c>
      <c r="N135" s="22">
        <v>44680</v>
      </c>
      <c r="O135" s="26">
        <f t="shared" ca="1" si="3"/>
        <v>1.2779162576629477E-2</v>
      </c>
      <c r="P135" s="29">
        <v>0</v>
      </c>
      <c r="R135" s="22">
        <v>44680</v>
      </c>
      <c r="S135" s="26">
        <f t="shared" ca="1" si="4"/>
        <v>0.62502944362711288</v>
      </c>
      <c r="T135" s="29">
        <v>0</v>
      </c>
      <c r="V135" s="22">
        <v>44680</v>
      </c>
      <c r="W135" s="26">
        <f t="shared" ca="1" si="5"/>
        <v>0.70520011932452864</v>
      </c>
      <c r="X135" s="29">
        <v>0</v>
      </c>
      <c r="Z135" s="22">
        <v>44680</v>
      </c>
      <c r="AA135" s="26">
        <f t="shared" ca="1" si="6"/>
        <v>0.45902051959501222</v>
      </c>
      <c r="AB135" s="29">
        <v>0</v>
      </c>
      <c r="AC135"/>
      <c r="AD135" s="25"/>
      <c r="AF135" s="22">
        <v>44680</v>
      </c>
      <c r="AG135" s="26">
        <f t="shared" ca="1" si="7"/>
        <v>0.23650137405984195</v>
      </c>
      <c r="AH135" s="29">
        <v>0</v>
      </c>
      <c r="AJ135" s="22">
        <v>44680</v>
      </c>
      <c r="AK135" s="26">
        <f t="shared" ca="1" si="8"/>
        <v>0.29162853868357352</v>
      </c>
      <c r="AL135" s="29">
        <v>0</v>
      </c>
      <c r="AN135" s="22">
        <v>44680</v>
      </c>
      <c r="AO135" s="26">
        <f t="shared" ca="1" si="9"/>
        <v>7.9260040306350033E-2</v>
      </c>
      <c r="AP135" s="29">
        <v>0</v>
      </c>
      <c r="AR135" s="22">
        <v>44680</v>
      </c>
      <c r="AS135" s="26">
        <f t="shared" ca="1" si="10"/>
        <v>9.4344071370982552E-2</v>
      </c>
      <c r="AT135" s="29">
        <v>0</v>
      </c>
      <c r="AV135" s="22">
        <v>44680</v>
      </c>
      <c r="AW135" s="26">
        <f t="shared" ca="1" si="11"/>
        <v>0.89268040228034284</v>
      </c>
      <c r="AX135" s="29">
        <v>0</v>
      </c>
      <c r="AZ135" s="22">
        <v>44680</v>
      </c>
      <c r="BA135" s="26">
        <f t="shared" ca="1" si="12"/>
        <v>8.5998188909329865E-2</v>
      </c>
      <c r="BB135" s="29">
        <v>0</v>
      </c>
      <c r="BC135"/>
      <c r="BD135" s="25"/>
      <c r="BF135" s="22">
        <v>44680</v>
      </c>
      <c r="BG135" s="26">
        <f t="shared" ca="1" si="13"/>
        <v>0.39333995870968019</v>
      </c>
      <c r="BH135" s="29">
        <v>0</v>
      </c>
      <c r="BJ135" s="22">
        <v>44680</v>
      </c>
      <c r="BK135" s="26">
        <f t="shared" ca="1" si="14"/>
        <v>0.83253322366019389</v>
      </c>
      <c r="BL135" s="29">
        <v>0</v>
      </c>
      <c r="BN135" s="22">
        <v>44680</v>
      </c>
      <c r="BO135" s="26">
        <f t="shared" ca="1" si="15"/>
        <v>0.86460843475190685</v>
      </c>
      <c r="BP135" s="29">
        <v>0</v>
      </c>
      <c r="BR135" s="22">
        <v>44680</v>
      </c>
      <c r="BS135" s="26">
        <f t="shared" ca="1" si="16"/>
        <v>0.69085090074658428</v>
      </c>
      <c r="BT135" s="29">
        <v>0</v>
      </c>
      <c r="BV135" s="22">
        <v>44680</v>
      </c>
      <c r="BW135" s="26">
        <f t="shared" ca="1" si="17"/>
        <v>0.16340538406635041</v>
      </c>
      <c r="BX135" s="29">
        <v>0</v>
      </c>
    </row>
    <row r="136" spans="2:77" ht="12.75" x14ac:dyDescent="0.2">
      <c r="B136" s="22">
        <v>44681</v>
      </c>
      <c r="C136" s="26">
        <f t="shared" ca="1" si="0"/>
        <v>0.98632924501795494</v>
      </c>
      <c r="D136" s="29">
        <f t="shared" ca="1" si="22"/>
        <v>120</v>
      </c>
      <c r="E136">
        <v>1513</v>
      </c>
      <c r="F136" s="22">
        <v>44681</v>
      </c>
      <c r="G136" s="26">
        <f t="shared" ca="1" si="1"/>
        <v>0.18226823003202908</v>
      </c>
      <c r="H136" s="29">
        <v>0</v>
      </c>
      <c r="I136">
        <v>0</v>
      </c>
      <c r="J136" s="22">
        <v>44681</v>
      </c>
      <c r="K136" s="26">
        <f t="shared" ca="1" si="2"/>
        <v>0.5947142415795843</v>
      </c>
      <c r="L136" s="29">
        <v>0</v>
      </c>
      <c r="M136">
        <v>0</v>
      </c>
      <c r="N136" s="22">
        <v>44681</v>
      </c>
      <c r="O136" s="26">
        <f t="shared" ca="1" si="3"/>
        <v>0.98662294678067164</v>
      </c>
      <c r="P136" s="29">
        <v>0</v>
      </c>
      <c r="Q136">
        <v>0</v>
      </c>
      <c r="R136" s="22">
        <v>44681</v>
      </c>
      <c r="S136" s="26">
        <f t="shared" ca="1" si="4"/>
        <v>0.60159011368412096</v>
      </c>
      <c r="T136" s="29">
        <v>0</v>
      </c>
      <c r="U136">
        <v>0</v>
      </c>
      <c r="V136" s="22">
        <v>44681</v>
      </c>
      <c r="W136" s="26">
        <f t="shared" ca="1" si="5"/>
        <v>0.81255996893123317</v>
      </c>
      <c r="X136" s="29">
        <v>0</v>
      </c>
      <c r="Y136">
        <v>0</v>
      </c>
      <c r="Z136" s="22">
        <v>44681</v>
      </c>
      <c r="AA136" s="26">
        <f t="shared" ca="1" si="6"/>
        <v>2.5449356963110681E-2</v>
      </c>
      <c r="AB136" s="29">
        <v>0</v>
      </c>
      <c r="AC136">
        <v>0</v>
      </c>
      <c r="AD136" s="25"/>
      <c r="AF136" s="22">
        <v>44681</v>
      </c>
      <c r="AG136" s="26">
        <f t="shared" ca="1" si="7"/>
        <v>0.25304928137027671</v>
      </c>
      <c r="AH136" s="29">
        <v>0</v>
      </c>
      <c r="AI136">
        <v>0</v>
      </c>
      <c r="AJ136" s="22">
        <v>44681</v>
      </c>
      <c r="AK136" s="26">
        <f t="shared" ca="1" si="8"/>
        <v>0.40667304213818523</v>
      </c>
      <c r="AL136" s="29">
        <v>0</v>
      </c>
      <c r="AM136">
        <v>0</v>
      </c>
      <c r="AN136" s="22">
        <v>44681</v>
      </c>
      <c r="AO136" s="26">
        <f t="shared" ca="1" si="9"/>
        <v>0.78404607111920133</v>
      </c>
      <c r="AP136" s="29">
        <v>0</v>
      </c>
      <c r="AQ136">
        <v>0</v>
      </c>
      <c r="AR136" s="22">
        <v>44681</v>
      </c>
      <c r="AS136" s="26">
        <f t="shared" ca="1" si="10"/>
        <v>0.9438018970851102</v>
      </c>
      <c r="AT136" s="29">
        <v>0</v>
      </c>
      <c r="AU136">
        <v>0</v>
      </c>
      <c r="AV136" s="22">
        <v>44681</v>
      </c>
      <c r="AW136" s="26">
        <f t="shared" ca="1" si="11"/>
        <v>0.51668972025028514</v>
      </c>
      <c r="AX136" s="29">
        <v>0</v>
      </c>
      <c r="AY136">
        <v>0</v>
      </c>
      <c r="AZ136" s="22">
        <v>44681</v>
      </c>
      <c r="BA136" s="26">
        <f t="shared" ca="1" si="12"/>
        <v>0.54930635435304853</v>
      </c>
      <c r="BB136" s="29">
        <v>0</v>
      </c>
      <c r="BC136">
        <v>0</v>
      </c>
      <c r="BD136" s="25"/>
      <c r="BF136" s="22">
        <v>44681</v>
      </c>
      <c r="BG136" s="26">
        <f t="shared" ca="1" si="13"/>
        <v>0.77981352329071141</v>
      </c>
      <c r="BH136" s="29">
        <v>0</v>
      </c>
      <c r="BI136">
        <v>0</v>
      </c>
      <c r="BJ136" s="22">
        <v>44681</v>
      </c>
      <c r="BK136" s="26">
        <f t="shared" ca="1" si="14"/>
        <v>0.30881267075190888</v>
      </c>
      <c r="BL136" s="29">
        <v>0</v>
      </c>
      <c r="BM136">
        <v>0</v>
      </c>
      <c r="BN136" s="22">
        <v>44681</v>
      </c>
      <c r="BO136" s="26">
        <f t="shared" ca="1" si="15"/>
        <v>0.8155289768648436</v>
      </c>
      <c r="BP136" s="29">
        <v>0</v>
      </c>
      <c r="BQ136">
        <v>0</v>
      </c>
      <c r="BR136" s="22">
        <v>44681</v>
      </c>
      <c r="BS136" s="26">
        <f t="shared" ca="1" si="16"/>
        <v>0.80159234717895211</v>
      </c>
      <c r="BT136" s="29">
        <v>0</v>
      </c>
      <c r="BU136">
        <v>0</v>
      </c>
      <c r="BV136" s="22">
        <v>44681</v>
      </c>
      <c r="BW136" s="26">
        <f t="shared" ca="1" si="17"/>
        <v>0.44697720447612121</v>
      </c>
      <c r="BX136" s="29">
        <v>0</v>
      </c>
      <c r="BY136">
        <v>0</v>
      </c>
    </row>
    <row r="137" spans="2:77" ht="12.75" x14ac:dyDescent="0.2">
      <c r="B137" s="22">
        <v>44682</v>
      </c>
      <c r="C137" s="26">
        <f t="shared" ca="1" si="0"/>
        <v>0.77441803673388931</v>
      </c>
      <c r="D137" s="29">
        <f ca="1">ROUNDUP(_xlfn.NORM.INV(C136,C$10,C$12),0)</f>
        <v>120</v>
      </c>
      <c r="F137" s="22">
        <v>44682</v>
      </c>
      <c r="G137" s="26">
        <f t="shared" ca="1" si="1"/>
        <v>0.68715891574904575</v>
      </c>
      <c r="H137" s="29">
        <v>0</v>
      </c>
      <c r="J137" s="22">
        <v>44682</v>
      </c>
      <c r="K137" s="26">
        <f t="shared" ca="1" si="2"/>
        <v>0.18607594824785112</v>
      </c>
      <c r="L137" s="29">
        <v>0</v>
      </c>
      <c r="N137" s="22">
        <v>44682</v>
      </c>
      <c r="O137" s="26">
        <f t="shared" ca="1" si="3"/>
        <v>5.281280388449805E-2</v>
      </c>
      <c r="P137" s="29">
        <v>0</v>
      </c>
      <c r="R137" s="22">
        <v>44682</v>
      </c>
      <c r="S137" s="26">
        <f t="shared" ca="1" si="4"/>
        <v>1.5637821036709187E-3</v>
      </c>
      <c r="T137" s="29">
        <v>0</v>
      </c>
      <c r="V137" s="22">
        <v>44682</v>
      </c>
      <c r="W137" s="26">
        <f t="shared" ca="1" si="5"/>
        <v>0.46044069255255993</v>
      </c>
      <c r="X137" s="29">
        <v>0</v>
      </c>
      <c r="Z137" s="22">
        <v>44682</v>
      </c>
      <c r="AA137" s="26">
        <f t="shared" ca="1" si="6"/>
        <v>0.24527368895789747</v>
      </c>
      <c r="AB137" s="29">
        <v>0</v>
      </c>
      <c r="AC137"/>
      <c r="AD137" s="25"/>
      <c r="AF137" s="22">
        <v>44682</v>
      </c>
      <c r="AG137" s="26">
        <f t="shared" ca="1" si="7"/>
        <v>1.743796725573199E-2</v>
      </c>
      <c r="AH137" s="29">
        <v>0</v>
      </c>
      <c r="AJ137" s="22">
        <v>44682</v>
      </c>
      <c r="AK137" s="26">
        <f t="shared" ca="1" si="8"/>
        <v>0.24089544304841115</v>
      </c>
      <c r="AL137" s="29">
        <v>0</v>
      </c>
      <c r="AN137" s="22">
        <v>44682</v>
      </c>
      <c r="AO137" s="26">
        <f t="shared" ca="1" si="9"/>
        <v>0.12369500343994599</v>
      </c>
      <c r="AP137" s="29">
        <v>0</v>
      </c>
      <c r="AR137" s="22">
        <v>44682</v>
      </c>
      <c r="AS137" s="26">
        <f t="shared" ca="1" si="10"/>
        <v>0.55103792853092981</v>
      </c>
      <c r="AT137" s="29">
        <v>0</v>
      </c>
      <c r="AV137" s="22">
        <v>44682</v>
      </c>
      <c r="AW137" s="26">
        <f t="shared" ca="1" si="11"/>
        <v>0.32278477494929492</v>
      </c>
      <c r="AX137" s="29">
        <v>0</v>
      </c>
      <c r="AZ137" s="22">
        <v>44682</v>
      </c>
      <c r="BA137" s="26">
        <f t="shared" ca="1" si="12"/>
        <v>0.90810969959441401</v>
      </c>
      <c r="BB137" s="29">
        <v>0</v>
      </c>
      <c r="BC137"/>
      <c r="BD137" s="25"/>
      <c r="BF137" s="22">
        <v>44682</v>
      </c>
      <c r="BG137" s="26">
        <f t="shared" ca="1" si="13"/>
        <v>0.67525601839238769</v>
      </c>
      <c r="BH137" s="29">
        <v>0</v>
      </c>
      <c r="BJ137" s="22">
        <v>44682</v>
      </c>
      <c r="BK137" s="26">
        <f t="shared" ca="1" si="14"/>
        <v>0.41261757281921985</v>
      </c>
      <c r="BL137" s="29">
        <v>0</v>
      </c>
      <c r="BN137" s="22">
        <v>44682</v>
      </c>
      <c r="BO137" s="26">
        <f t="shared" ca="1" si="15"/>
        <v>0.78112237254727135</v>
      </c>
      <c r="BP137" s="29">
        <v>0</v>
      </c>
      <c r="BR137" s="22">
        <v>44682</v>
      </c>
      <c r="BS137" s="26">
        <f t="shared" ca="1" si="16"/>
        <v>0.83820245712420349</v>
      </c>
      <c r="BT137" s="29">
        <v>0</v>
      </c>
      <c r="BV137" s="22">
        <v>44682</v>
      </c>
      <c r="BW137" s="26">
        <f t="shared" ca="1" si="17"/>
        <v>0.7686758112823634</v>
      </c>
      <c r="BX137" s="29">
        <v>0</v>
      </c>
    </row>
    <row r="138" spans="2:77" ht="12.75" x14ac:dyDescent="0.2">
      <c r="B138" s="22">
        <v>44683</v>
      </c>
      <c r="C138" s="26">
        <f t="shared" ca="1" si="0"/>
        <v>0.63071811873779482</v>
      </c>
      <c r="D138" s="29">
        <f t="shared" ca="1" si="22"/>
        <v>82</v>
      </c>
      <c r="F138" s="22">
        <v>44683</v>
      </c>
      <c r="G138" s="26">
        <f t="shared" ca="1" si="1"/>
        <v>0.21411763945825524</v>
      </c>
      <c r="H138" s="29">
        <f t="shared" ref="H138:H147" ca="1" si="23">ROUNDUP(_xlfn.NORM.INV(G138,G$10,G$12),0)</f>
        <v>205</v>
      </c>
      <c r="J138" s="22">
        <v>44683</v>
      </c>
      <c r="K138" s="26">
        <f t="shared" ca="1" si="2"/>
        <v>0.94716032245474002</v>
      </c>
      <c r="L138" s="29">
        <v>0</v>
      </c>
      <c r="N138" s="22">
        <v>44683</v>
      </c>
      <c r="O138" s="26">
        <f t="shared" ca="1" si="3"/>
        <v>0.17374345814876324</v>
      </c>
      <c r="P138" s="29">
        <v>0</v>
      </c>
      <c r="R138" s="22">
        <v>44683</v>
      </c>
      <c r="S138" s="26">
        <f t="shared" ca="1" si="4"/>
        <v>0.23944869513479949</v>
      </c>
      <c r="T138" s="29">
        <v>0</v>
      </c>
      <c r="V138" s="22">
        <v>44683</v>
      </c>
      <c r="W138" s="26">
        <f t="shared" ca="1" si="5"/>
        <v>0.73737498166012383</v>
      </c>
      <c r="X138" s="29">
        <v>0</v>
      </c>
      <c r="Z138" s="22">
        <v>44683</v>
      </c>
      <c r="AA138" s="26">
        <f t="shared" ca="1" si="6"/>
        <v>0.91605937834089224</v>
      </c>
      <c r="AB138" s="29">
        <v>0</v>
      </c>
      <c r="AC138"/>
      <c r="AD138" s="25"/>
      <c r="AF138" s="22">
        <v>44683</v>
      </c>
      <c r="AG138" s="26">
        <f t="shared" ca="1" si="7"/>
        <v>0.44079783663718475</v>
      </c>
      <c r="AH138" s="29">
        <v>0</v>
      </c>
      <c r="AJ138" s="22">
        <v>44683</v>
      </c>
      <c r="AK138" s="26">
        <f t="shared" ca="1" si="8"/>
        <v>0.85861826143801512</v>
      </c>
      <c r="AL138" s="29">
        <v>0</v>
      </c>
      <c r="AN138" s="22">
        <v>44683</v>
      </c>
      <c r="AO138" s="26">
        <f t="shared" ca="1" si="9"/>
        <v>0.62273352900038847</v>
      </c>
      <c r="AP138" s="29">
        <v>0</v>
      </c>
      <c r="AR138" s="22">
        <v>44683</v>
      </c>
      <c r="AS138" s="26">
        <f t="shared" ca="1" si="10"/>
        <v>0.98655062104448255</v>
      </c>
      <c r="AT138" s="29">
        <v>0</v>
      </c>
      <c r="AV138" s="22">
        <v>44683</v>
      </c>
      <c r="AW138" s="26">
        <f t="shared" ca="1" si="11"/>
        <v>0.98348714754758582</v>
      </c>
      <c r="AX138" s="29">
        <v>0</v>
      </c>
      <c r="AZ138" s="22">
        <v>44683</v>
      </c>
      <c r="BA138" s="26">
        <f t="shared" ca="1" si="12"/>
        <v>0.28821095676510766</v>
      </c>
      <c r="BB138" s="29">
        <v>0</v>
      </c>
      <c r="BC138"/>
      <c r="BD138" s="25"/>
      <c r="BF138" s="22">
        <v>44683</v>
      </c>
      <c r="BG138" s="26">
        <f t="shared" ca="1" si="13"/>
        <v>0.28069505786714732</v>
      </c>
      <c r="BH138" s="29">
        <v>0</v>
      </c>
      <c r="BJ138" s="22">
        <v>44683</v>
      </c>
      <c r="BK138" s="26">
        <f t="shared" ca="1" si="14"/>
        <v>0.14350448516266812</v>
      </c>
      <c r="BL138" s="29">
        <v>0</v>
      </c>
      <c r="BN138" s="22">
        <v>44683</v>
      </c>
      <c r="BO138" s="26">
        <f t="shared" ca="1" si="15"/>
        <v>0.55673652684805852</v>
      </c>
      <c r="BP138" s="29">
        <v>0</v>
      </c>
      <c r="BR138" s="22">
        <v>44683</v>
      </c>
      <c r="BS138" s="26">
        <f t="shared" ca="1" si="16"/>
        <v>0.89034120421275798</v>
      </c>
      <c r="BT138" s="29">
        <v>0</v>
      </c>
      <c r="BV138" s="22">
        <v>44683</v>
      </c>
      <c r="BW138" s="26">
        <f t="shared" ca="1" si="17"/>
        <v>0.31721578156228802</v>
      </c>
      <c r="BX138" s="29">
        <v>0</v>
      </c>
    </row>
    <row r="139" spans="2:77" ht="12.75" x14ac:dyDescent="0.2">
      <c r="B139" s="22">
        <v>44684</v>
      </c>
      <c r="C139" s="26">
        <f t="shared" ca="1" si="0"/>
        <v>0.61927473451014814</v>
      </c>
      <c r="D139" s="29">
        <f t="shared" ca="1" si="22"/>
        <v>82</v>
      </c>
      <c r="F139" s="22">
        <v>44684</v>
      </c>
      <c r="G139" s="26">
        <f t="shared" ca="1" si="1"/>
        <v>7.6576413279752509E-2</v>
      </c>
      <c r="H139" s="29">
        <f t="shared" ca="1" si="23"/>
        <v>195</v>
      </c>
      <c r="J139" s="22">
        <v>44684</v>
      </c>
      <c r="K139" s="26">
        <f t="shared" ca="1" si="2"/>
        <v>0.72505634940451624</v>
      </c>
      <c r="L139" s="29">
        <v>0</v>
      </c>
      <c r="N139" s="22">
        <v>44684</v>
      </c>
      <c r="O139" s="26">
        <f t="shared" ca="1" si="3"/>
        <v>0.68651228574469958</v>
      </c>
      <c r="P139" s="29">
        <v>0</v>
      </c>
      <c r="R139" s="22">
        <v>44684</v>
      </c>
      <c r="S139" s="26">
        <f t="shared" ca="1" si="4"/>
        <v>0.24894552929656177</v>
      </c>
      <c r="T139" s="29">
        <v>0</v>
      </c>
      <c r="V139" s="22">
        <v>44684</v>
      </c>
      <c r="W139" s="26">
        <f t="shared" ca="1" si="5"/>
        <v>0.19877326609991297</v>
      </c>
      <c r="X139" s="29">
        <v>0</v>
      </c>
      <c r="Z139" s="22">
        <v>44684</v>
      </c>
      <c r="AA139" s="26">
        <f t="shared" ca="1" si="6"/>
        <v>0.12553300754711472</v>
      </c>
      <c r="AB139" s="29">
        <v>0</v>
      </c>
      <c r="AC139"/>
      <c r="AD139" s="25"/>
      <c r="AF139" s="22">
        <v>44684</v>
      </c>
      <c r="AG139" s="26">
        <f t="shared" ca="1" si="7"/>
        <v>0.10453304021304954</v>
      </c>
      <c r="AH139" s="29">
        <v>0</v>
      </c>
      <c r="AJ139" s="22">
        <v>44684</v>
      </c>
      <c r="AK139" s="26">
        <f t="shared" ca="1" si="8"/>
        <v>0.4860897019367999</v>
      </c>
      <c r="AL139" s="29">
        <v>0</v>
      </c>
      <c r="AN139" s="22">
        <v>44684</v>
      </c>
      <c r="AO139" s="26">
        <f t="shared" ca="1" si="9"/>
        <v>0.15947199184464944</v>
      </c>
      <c r="AP139" s="29">
        <v>0</v>
      </c>
      <c r="AR139" s="22">
        <v>44684</v>
      </c>
      <c r="AS139" s="26">
        <f t="shared" ca="1" si="10"/>
        <v>0.8885861112879756</v>
      </c>
      <c r="AT139" s="29">
        <v>0</v>
      </c>
      <c r="AV139" s="22">
        <v>44684</v>
      </c>
      <c r="AW139" s="26">
        <f t="shared" ca="1" si="11"/>
        <v>0.81602386401625715</v>
      </c>
      <c r="AX139" s="29">
        <v>0</v>
      </c>
      <c r="AZ139" s="22">
        <v>44684</v>
      </c>
      <c r="BA139" s="26">
        <f t="shared" ca="1" si="12"/>
        <v>0.41485718742301592</v>
      </c>
      <c r="BB139" s="29">
        <v>0</v>
      </c>
      <c r="BC139"/>
      <c r="BD139" s="25"/>
      <c r="BF139" s="22">
        <v>44684</v>
      </c>
      <c r="BG139" s="26">
        <f t="shared" ca="1" si="13"/>
        <v>0.95139228020526778</v>
      </c>
      <c r="BH139" s="29">
        <v>0</v>
      </c>
      <c r="BJ139" s="22">
        <v>44684</v>
      </c>
      <c r="BK139" s="26">
        <f t="shared" ca="1" si="14"/>
        <v>0.80614944334469107</v>
      </c>
      <c r="BL139" s="29">
        <v>0</v>
      </c>
      <c r="BN139" s="22">
        <v>44684</v>
      </c>
      <c r="BO139" s="26">
        <f t="shared" ca="1" si="15"/>
        <v>0.64807970709194807</v>
      </c>
      <c r="BP139" s="29">
        <v>0</v>
      </c>
      <c r="BR139" s="22">
        <v>44684</v>
      </c>
      <c r="BS139" s="26">
        <f t="shared" ca="1" si="16"/>
        <v>0.4388941432003739</v>
      </c>
      <c r="BT139" s="29">
        <v>0</v>
      </c>
      <c r="BV139" s="22">
        <v>44684</v>
      </c>
      <c r="BW139" s="26">
        <f t="shared" ca="1" si="17"/>
        <v>0.24906339979635173</v>
      </c>
      <c r="BX139" s="29">
        <v>0</v>
      </c>
    </row>
    <row r="140" spans="2:77" ht="12.75" x14ac:dyDescent="0.2">
      <c r="B140" s="22">
        <v>44685</v>
      </c>
      <c r="C140" s="26">
        <f t="shared" ca="1" si="0"/>
        <v>9.1280188046473421E-2</v>
      </c>
      <c r="D140" s="29">
        <f t="shared" ca="1" si="22"/>
        <v>49</v>
      </c>
      <c r="F140" s="22">
        <v>44685</v>
      </c>
      <c r="G140" s="26">
        <f t="shared" ca="1" si="1"/>
        <v>6.9832178492843844E-2</v>
      </c>
      <c r="H140" s="29">
        <f t="shared" ca="1" si="23"/>
        <v>195</v>
      </c>
      <c r="J140" s="22">
        <v>44685</v>
      </c>
      <c r="K140" s="26">
        <f t="shared" ca="1" si="2"/>
        <v>0.42768419026383153</v>
      </c>
      <c r="L140" s="29">
        <v>0</v>
      </c>
      <c r="N140" s="22">
        <v>44685</v>
      </c>
      <c r="O140" s="26">
        <f t="shared" ca="1" si="3"/>
        <v>0.28540317276640392</v>
      </c>
      <c r="P140" s="29">
        <v>0</v>
      </c>
      <c r="R140" s="22">
        <v>44685</v>
      </c>
      <c r="S140" s="26">
        <f t="shared" ca="1" si="4"/>
        <v>0.85656703645993004</v>
      </c>
      <c r="T140" s="29">
        <v>0</v>
      </c>
      <c r="V140" s="22">
        <v>44685</v>
      </c>
      <c r="W140" s="26">
        <f t="shared" ca="1" si="5"/>
        <v>0.26523450599288256</v>
      </c>
      <c r="X140" s="29">
        <v>0</v>
      </c>
      <c r="Z140" s="22">
        <v>44685</v>
      </c>
      <c r="AA140" s="26">
        <f t="shared" ca="1" si="6"/>
        <v>0.97412421201926114</v>
      </c>
      <c r="AB140" s="29">
        <v>0</v>
      </c>
      <c r="AC140"/>
      <c r="AD140" s="25"/>
      <c r="AF140" s="22">
        <v>44685</v>
      </c>
      <c r="AG140" s="26">
        <f t="shared" ca="1" si="7"/>
        <v>0.70981316852552589</v>
      </c>
      <c r="AH140" s="29">
        <v>0</v>
      </c>
      <c r="AJ140" s="22">
        <v>44685</v>
      </c>
      <c r="AK140" s="26">
        <f t="shared" ca="1" si="8"/>
        <v>0.40575036305553258</v>
      </c>
      <c r="AL140" s="29">
        <v>0</v>
      </c>
      <c r="AN140" s="22">
        <v>44685</v>
      </c>
      <c r="AO140" s="26">
        <f t="shared" ca="1" si="9"/>
        <v>0.87598223640999762</v>
      </c>
      <c r="AP140" s="29">
        <v>0</v>
      </c>
      <c r="AR140" s="22">
        <v>44685</v>
      </c>
      <c r="AS140" s="26">
        <f t="shared" ca="1" si="10"/>
        <v>3.865329364364023E-2</v>
      </c>
      <c r="AT140" s="29">
        <v>0</v>
      </c>
      <c r="AV140" s="22">
        <v>44685</v>
      </c>
      <c r="AW140" s="26">
        <f t="shared" ca="1" si="11"/>
        <v>0.28870607939719717</v>
      </c>
      <c r="AX140" s="29">
        <v>0</v>
      </c>
      <c r="AZ140" s="22">
        <v>44685</v>
      </c>
      <c r="BA140" s="26">
        <f t="shared" ca="1" si="12"/>
        <v>0.90052586187409978</v>
      </c>
      <c r="BB140" s="29">
        <v>0</v>
      </c>
      <c r="BC140"/>
      <c r="BD140" s="25"/>
      <c r="BF140" s="22">
        <v>44685</v>
      </c>
      <c r="BG140" s="26">
        <f t="shared" ca="1" si="13"/>
        <v>0.10144891173535187</v>
      </c>
      <c r="BH140" s="29">
        <v>0</v>
      </c>
      <c r="BJ140" s="22">
        <v>44685</v>
      </c>
      <c r="BK140" s="26">
        <f t="shared" ca="1" si="14"/>
        <v>0.82102044919244921</v>
      </c>
      <c r="BL140" s="29">
        <v>0</v>
      </c>
      <c r="BN140" s="22">
        <v>44685</v>
      </c>
      <c r="BO140" s="26">
        <f t="shared" ca="1" si="15"/>
        <v>0.45674791858983721</v>
      </c>
      <c r="BP140" s="29">
        <v>0</v>
      </c>
      <c r="BR140" s="22">
        <v>44685</v>
      </c>
      <c r="BS140" s="26">
        <f t="shared" ca="1" si="16"/>
        <v>0.3370530447029445</v>
      </c>
      <c r="BT140" s="29">
        <v>0</v>
      </c>
      <c r="BV140" s="22">
        <v>44685</v>
      </c>
      <c r="BW140" s="26">
        <f t="shared" ca="1" si="17"/>
        <v>0.99832788645925619</v>
      </c>
      <c r="BX140" s="29">
        <v>0</v>
      </c>
    </row>
    <row r="141" spans="2:77" ht="12.75" x14ac:dyDescent="0.2">
      <c r="B141" s="22">
        <v>44686</v>
      </c>
      <c r="C141" s="26">
        <f t="shared" ca="1" si="0"/>
        <v>0.18377154696756182</v>
      </c>
      <c r="D141" s="29">
        <f t="shared" ca="1" si="22"/>
        <v>57</v>
      </c>
      <c r="F141" s="22">
        <v>44686</v>
      </c>
      <c r="G141" s="26">
        <f t="shared" ca="1" si="1"/>
        <v>0.7199445770952555</v>
      </c>
      <c r="H141" s="29">
        <f t="shared" ca="1" si="23"/>
        <v>224</v>
      </c>
      <c r="J141" s="22">
        <v>44686</v>
      </c>
      <c r="K141" s="26">
        <f t="shared" ca="1" si="2"/>
        <v>0.73250361516101337</v>
      </c>
      <c r="L141" s="29">
        <v>0</v>
      </c>
      <c r="N141" s="22">
        <v>44686</v>
      </c>
      <c r="O141" s="26">
        <f t="shared" ca="1" si="3"/>
        <v>0.99112959770669784</v>
      </c>
      <c r="P141" s="29">
        <v>0</v>
      </c>
      <c r="R141" s="22">
        <v>44686</v>
      </c>
      <c r="S141" s="26">
        <f t="shared" ca="1" si="4"/>
        <v>0.80215121107940901</v>
      </c>
      <c r="T141" s="29">
        <v>0</v>
      </c>
      <c r="V141" s="22">
        <v>44686</v>
      </c>
      <c r="W141" s="26">
        <f t="shared" ca="1" si="5"/>
        <v>0.51170883410321666</v>
      </c>
      <c r="X141" s="29">
        <v>0</v>
      </c>
      <c r="Z141" s="22">
        <v>44686</v>
      </c>
      <c r="AA141" s="26">
        <f t="shared" ca="1" si="6"/>
        <v>0.90593859262002563</v>
      </c>
      <c r="AB141" s="29">
        <v>0</v>
      </c>
      <c r="AC141"/>
      <c r="AD141" s="25"/>
      <c r="AF141" s="22">
        <v>44686</v>
      </c>
      <c r="AG141" s="26">
        <f t="shared" ca="1" si="7"/>
        <v>0.37740436152589241</v>
      </c>
      <c r="AH141" s="29">
        <v>0</v>
      </c>
      <c r="AJ141" s="22">
        <v>44686</v>
      </c>
      <c r="AK141" s="26">
        <f t="shared" ca="1" si="8"/>
        <v>0.85659271079021471</v>
      </c>
      <c r="AL141" s="29">
        <v>0</v>
      </c>
      <c r="AN141" s="22">
        <v>44686</v>
      </c>
      <c r="AO141" s="26">
        <f t="shared" ca="1" si="9"/>
        <v>0.66707842939765449</v>
      </c>
      <c r="AP141" s="29">
        <v>0</v>
      </c>
      <c r="AR141" s="22">
        <v>44686</v>
      </c>
      <c r="AS141" s="26">
        <f t="shared" ca="1" si="10"/>
        <v>1.6287401806025059E-2</v>
      </c>
      <c r="AT141" s="29">
        <v>0</v>
      </c>
      <c r="AV141" s="22">
        <v>44686</v>
      </c>
      <c r="AW141" s="26">
        <f t="shared" ca="1" si="11"/>
        <v>0.64289840989107627</v>
      </c>
      <c r="AX141" s="29">
        <v>0</v>
      </c>
      <c r="AZ141" s="22">
        <v>44686</v>
      </c>
      <c r="BA141" s="26">
        <f t="shared" ca="1" si="12"/>
        <v>0.10754348877431186</v>
      </c>
      <c r="BB141" s="29">
        <v>0</v>
      </c>
      <c r="BC141"/>
      <c r="BD141" s="25"/>
      <c r="BF141" s="22">
        <v>44686</v>
      </c>
      <c r="BG141" s="26">
        <f t="shared" ca="1" si="13"/>
        <v>0.84117484273351195</v>
      </c>
      <c r="BH141" s="29">
        <v>0</v>
      </c>
      <c r="BJ141" s="22">
        <v>44686</v>
      </c>
      <c r="BK141" s="26">
        <f t="shared" ca="1" si="14"/>
        <v>0.81773524882798565</v>
      </c>
      <c r="BL141" s="29">
        <v>0</v>
      </c>
      <c r="BN141" s="22">
        <v>44686</v>
      </c>
      <c r="BO141" s="26">
        <f t="shared" ca="1" si="15"/>
        <v>0.45577958709031396</v>
      </c>
      <c r="BP141" s="29">
        <v>0</v>
      </c>
      <c r="BR141" s="22">
        <v>44686</v>
      </c>
      <c r="BS141" s="26">
        <f t="shared" ca="1" si="16"/>
        <v>0.30792694317134517</v>
      </c>
      <c r="BT141" s="29">
        <v>0</v>
      </c>
      <c r="BV141" s="22">
        <v>44686</v>
      </c>
      <c r="BW141" s="26">
        <f t="shared" ca="1" si="17"/>
        <v>0.56549916170619352</v>
      </c>
      <c r="BX141" s="29">
        <v>0</v>
      </c>
    </row>
    <row r="142" spans="2:77" ht="12.75" x14ac:dyDescent="0.2">
      <c r="B142" s="22">
        <v>44687</v>
      </c>
      <c r="C142" s="26">
        <f t="shared" ca="1" si="0"/>
        <v>0.57859084864460464</v>
      </c>
      <c r="D142" s="29">
        <f t="shared" ca="1" si="22"/>
        <v>79</v>
      </c>
      <c r="F142" s="22">
        <v>44687</v>
      </c>
      <c r="G142" s="26">
        <f t="shared" ca="1" si="1"/>
        <v>0.26330346989604658</v>
      </c>
      <c r="H142" s="29">
        <f t="shared" ca="1" si="23"/>
        <v>207</v>
      </c>
      <c r="J142" s="22">
        <v>44687</v>
      </c>
      <c r="K142" s="26">
        <f t="shared" ca="1" si="2"/>
        <v>0.15828785093999442</v>
      </c>
      <c r="L142" s="29">
        <v>0</v>
      </c>
      <c r="N142" s="22">
        <v>44687</v>
      </c>
      <c r="O142" s="26">
        <f t="shared" ca="1" si="3"/>
        <v>2.1580328884241218E-2</v>
      </c>
      <c r="P142" s="29">
        <v>0</v>
      </c>
      <c r="R142" s="22">
        <v>44687</v>
      </c>
      <c r="S142" s="26">
        <f t="shared" ca="1" si="4"/>
        <v>0.14566290028156903</v>
      </c>
      <c r="T142" s="29">
        <v>0</v>
      </c>
      <c r="V142" s="22">
        <v>44687</v>
      </c>
      <c r="W142" s="26">
        <f t="shared" ca="1" si="5"/>
        <v>0.86649685634715479</v>
      </c>
      <c r="X142" s="29">
        <v>0</v>
      </c>
      <c r="Z142" s="22">
        <v>44687</v>
      </c>
      <c r="AA142" s="26">
        <f t="shared" ca="1" si="6"/>
        <v>0.96698520400921684</v>
      </c>
      <c r="AB142" s="29">
        <v>0</v>
      </c>
      <c r="AC142"/>
      <c r="AD142" s="25"/>
      <c r="AF142" s="22">
        <v>44687</v>
      </c>
      <c r="AG142" s="26">
        <f t="shared" ca="1" si="7"/>
        <v>0.61124326676636864</v>
      </c>
      <c r="AH142" s="29">
        <v>0</v>
      </c>
      <c r="AJ142" s="22">
        <v>44687</v>
      </c>
      <c r="AK142" s="26">
        <f t="shared" ca="1" si="8"/>
        <v>0.91809013116541449</v>
      </c>
      <c r="AL142" s="29">
        <v>0</v>
      </c>
      <c r="AN142" s="22">
        <v>44687</v>
      </c>
      <c r="AO142" s="26">
        <f t="shared" ca="1" si="9"/>
        <v>0.98288329105963401</v>
      </c>
      <c r="AP142" s="29">
        <v>0</v>
      </c>
      <c r="AR142" s="22">
        <v>44687</v>
      </c>
      <c r="AS142" s="26">
        <f t="shared" ca="1" si="10"/>
        <v>1.3827728878243573E-2</v>
      </c>
      <c r="AT142" s="29">
        <v>0</v>
      </c>
      <c r="AV142" s="22">
        <v>44687</v>
      </c>
      <c r="AW142" s="26">
        <f t="shared" ca="1" si="11"/>
        <v>0.51297044302982975</v>
      </c>
      <c r="AX142" s="29">
        <v>0</v>
      </c>
      <c r="AZ142" s="22">
        <v>44687</v>
      </c>
      <c r="BA142" s="26">
        <f t="shared" ca="1" si="12"/>
        <v>0.74933386317496953</v>
      </c>
      <c r="BB142" s="29">
        <v>0</v>
      </c>
      <c r="BC142"/>
      <c r="BD142" s="25"/>
      <c r="BF142" s="22">
        <v>44687</v>
      </c>
      <c r="BG142" s="26">
        <f t="shared" ca="1" si="13"/>
        <v>0.50336827956643382</v>
      </c>
      <c r="BH142" s="29">
        <v>0</v>
      </c>
      <c r="BJ142" s="22">
        <v>44687</v>
      </c>
      <c r="BK142" s="26">
        <f t="shared" ca="1" si="14"/>
        <v>0.26457702154584517</v>
      </c>
      <c r="BL142" s="29">
        <v>0</v>
      </c>
      <c r="BN142" s="22">
        <v>44687</v>
      </c>
      <c r="BO142" s="26">
        <f t="shared" ca="1" si="15"/>
        <v>0.56505709961925998</v>
      </c>
      <c r="BP142" s="29">
        <v>0</v>
      </c>
      <c r="BR142" s="22">
        <v>44687</v>
      </c>
      <c r="BS142" s="26">
        <f t="shared" ca="1" si="16"/>
        <v>0.97366433592646351</v>
      </c>
      <c r="BT142" s="29">
        <v>0</v>
      </c>
      <c r="BV142" s="22">
        <v>44687</v>
      </c>
      <c r="BW142" s="26">
        <f t="shared" ca="1" si="17"/>
        <v>4.5631541340331983E-2</v>
      </c>
      <c r="BX142" s="29">
        <v>0</v>
      </c>
    </row>
    <row r="143" spans="2:77" ht="12.75" x14ac:dyDescent="0.2">
      <c r="B143" s="22">
        <v>44688</v>
      </c>
      <c r="C143" s="26">
        <f t="shared" ca="1" si="0"/>
        <v>0.25042031042221158</v>
      </c>
      <c r="D143" s="29">
        <f t="shared" ca="1" si="22"/>
        <v>62</v>
      </c>
      <c r="F143" s="22">
        <v>44688</v>
      </c>
      <c r="G143" s="26">
        <f t="shared" ca="1" si="1"/>
        <v>0.21671000272516083</v>
      </c>
      <c r="H143" s="29">
        <f t="shared" ca="1" si="23"/>
        <v>205</v>
      </c>
      <c r="J143" s="22">
        <v>44688</v>
      </c>
      <c r="K143" s="26">
        <f t="shared" ca="1" si="2"/>
        <v>8.7078925282729647E-2</v>
      </c>
      <c r="L143" s="29">
        <v>0</v>
      </c>
      <c r="N143" s="22">
        <v>44688</v>
      </c>
      <c r="O143" s="26">
        <f t="shared" ca="1" si="3"/>
        <v>0.65525321282780979</v>
      </c>
      <c r="P143" s="29">
        <v>0</v>
      </c>
      <c r="R143" s="22">
        <v>44688</v>
      </c>
      <c r="S143" s="26">
        <f t="shared" ca="1" si="4"/>
        <v>0.81797739761832056</v>
      </c>
      <c r="T143" s="29">
        <v>0</v>
      </c>
      <c r="V143" s="22">
        <v>44688</v>
      </c>
      <c r="W143" s="26">
        <f t="shared" ca="1" si="5"/>
        <v>0.80189688093779143</v>
      </c>
      <c r="X143" s="29">
        <v>0</v>
      </c>
      <c r="Z143" s="22">
        <v>44688</v>
      </c>
      <c r="AA143" s="26">
        <f t="shared" ca="1" si="6"/>
        <v>0.98939271366947767</v>
      </c>
      <c r="AB143" s="29">
        <v>0</v>
      </c>
      <c r="AC143"/>
      <c r="AD143" s="25"/>
      <c r="AF143" s="22">
        <v>44688</v>
      </c>
      <c r="AG143" s="26">
        <f t="shared" ca="1" si="7"/>
        <v>0.64471323891901122</v>
      </c>
      <c r="AH143" s="29">
        <v>0</v>
      </c>
      <c r="AJ143" s="22">
        <v>44688</v>
      </c>
      <c r="AK143" s="26">
        <f t="shared" ca="1" si="8"/>
        <v>0.3192101881193441</v>
      </c>
      <c r="AL143" s="29">
        <v>0</v>
      </c>
      <c r="AN143" s="22">
        <v>44688</v>
      </c>
      <c r="AO143" s="26">
        <f t="shared" ca="1" si="9"/>
        <v>0.35250348705246592</v>
      </c>
      <c r="AP143" s="29">
        <v>0</v>
      </c>
      <c r="AR143" s="22">
        <v>44688</v>
      </c>
      <c r="AS143" s="26">
        <f t="shared" ca="1" si="10"/>
        <v>0.76602308430464883</v>
      </c>
      <c r="AT143" s="29">
        <v>0</v>
      </c>
      <c r="AV143" s="22">
        <v>44688</v>
      </c>
      <c r="AW143" s="26">
        <f t="shared" ca="1" si="11"/>
        <v>0.54032018412618521</v>
      </c>
      <c r="AX143" s="29">
        <v>0</v>
      </c>
      <c r="AZ143" s="22">
        <v>44688</v>
      </c>
      <c r="BA143" s="26">
        <f t="shared" ca="1" si="12"/>
        <v>0.80938524393205502</v>
      </c>
      <c r="BB143" s="29">
        <v>0</v>
      </c>
      <c r="BC143"/>
      <c r="BD143" s="25"/>
      <c r="BF143" s="22">
        <v>44688</v>
      </c>
      <c r="BG143" s="26">
        <f t="shared" ca="1" si="13"/>
        <v>0.51651844631057076</v>
      </c>
      <c r="BH143" s="29">
        <v>0</v>
      </c>
      <c r="BJ143" s="22">
        <v>44688</v>
      </c>
      <c r="BK143" s="26">
        <f t="shared" ca="1" si="14"/>
        <v>0.24009549964058252</v>
      </c>
      <c r="BL143" s="29">
        <v>0</v>
      </c>
      <c r="BN143" s="22">
        <v>44688</v>
      </c>
      <c r="BO143" s="26">
        <f t="shared" ca="1" si="15"/>
        <v>0.35696084337592482</v>
      </c>
      <c r="BP143" s="29">
        <v>0</v>
      </c>
      <c r="BR143" s="22">
        <v>44688</v>
      </c>
      <c r="BS143" s="26">
        <f t="shared" ca="1" si="16"/>
        <v>9.5278685243687544E-2</v>
      </c>
      <c r="BT143" s="29">
        <v>0</v>
      </c>
      <c r="BV143" s="22">
        <v>44688</v>
      </c>
      <c r="BW143" s="26">
        <f t="shared" ca="1" si="17"/>
        <v>0.77705253779558703</v>
      </c>
      <c r="BX143" s="29">
        <v>0</v>
      </c>
    </row>
    <row r="144" spans="2:77" ht="12.75" x14ac:dyDescent="0.2">
      <c r="B144" s="22">
        <v>44689</v>
      </c>
      <c r="C144" s="26">
        <f t="shared" ca="1" si="0"/>
        <v>0.52131040816425755</v>
      </c>
      <c r="D144" s="29">
        <f t="shared" ca="1" si="22"/>
        <v>77</v>
      </c>
      <c r="F144" s="22">
        <v>44689</v>
      </c>
      <c r="G144" s="26">
        <f t="shared" ca="1" si="1"/>
        <v>0.88506454941621338</v>
      </c>
      <c r="H144" s="29">
        <f t="shared" ca="1" si="23"/>
        <v>233</v>
      </c>
      <c r="J144" s="22">
        <v>44689</v>
      </c>
      <c r="K144" s="26">
        <f t="shared" ca="1" si="2"/>
        <v>0.47295190524981379</v>
      </c>
      <c r="L144" s="29">
        <v>0</v>
      </c>
      <c r="N144" s="22">
        <v>44689</v>
      </c>
      <c r="O144" s="26">
        <f t="shared" ca="1" si="3"/>
        <v>0.71860210240639344</v>
      </c>
      <c r="P144" s="29">
        <v>0</v>
      </c>
      <c r="R144" s="22">
        <v>44689</v>
      </c>
      <c r="S144" s="26">
        <f t="shared" ca="1" si="4"/>
        <v>0.97515483307143791</v>
      </c>
      <c r="T144" s="29">
        <v>0</v>
      </c>
      <c r="V144" s="22">
        <v>44689</v>
      </c>
      <c r="W144" s="26">
        <f t="shared" ca="1" si="5"/>
        <v>0.55268248164281542</v>
      </c>
      <c r="X144" s="29">
        <v>0</v>
      </c>
      <c r="Z144" s="22">
        <v>44689</v>
      </c>
      <c r="AA144" s="26">
        <f t="shared" ca="1" si="6"/>
        <v>0.9873278898366753</v>
      </c>
      <c r="AB144" s="29">
        <v>0</v>
      </c>
      <c r="AC144"/>
      <c r="AD144" s="25"/>
      <c r="AF144" s="22">
        <v>44689</v>
      </c>
      <c r="AG144" s="26">
        <f t="shared" ca="1" si="7"/>
        <v>0.80925698376395261</v>
      </c>
      <c r="AH144" s="29">
        <v>0</v>
      </c>
      <c r="AJ144" s="22">
        <v>44689</v>
      </c>
      <c r="AK144" s="26">
        <f t="shared" ca="1" si="8"/>
        <v>0.69645367143856873</v>
      </c>
      <c r="AL144" s="29">
        <v>0</v>
      </c>
      <c r="AN144" s="22">
        <v>44689</v>
      </c>
      <c r="AO144" s="26">
        <f t="shared" ca="1" si="9"/>
        <v>0.73879470040652473</v>
      </c>
      <c r="AP144" s="29">
        <v>0</v>
      </c>
      <c r="AR144" s="22">
        <v>44689</v>
      </c>
      <c r="AS144" s="26">
        <f t="shared" ca="1" si="10"/>
        <v>0.23514619576359375</v>
      </c>
      <c r="AT144" s="29">
        <v>0</v>
      </c>
      <c r="AV144" s="22">
        <v>44689</v>
      </c>
      <c r="AW144" s="26">
        <f t="shared" ca="1" si="11"/>
        <v>3.8636314558812779E-2</v>
      </c>
      <c r="AX144" s="29">
        <v>0</v>
      </c>
      <c r="AZ144" s="22">
        <v>44689</v>
      </c>
      <c r="BA144" s="26">
        <f t="shared" ca="1" si="12"/>
        <v>0.68053880082824336</v>
      </c>
      <c r="BB144" s="29">
        <v>0</v>
      </c>
      <c r="BC144"/>
      <c r="BD144" s="25"/>
      <c r="BF144" s="22">
        <v>44689</v>
      </c>
      <c r="BG144" s="26">
        <f t="shared" ca="1" si="13"/>
        <v>0.93817162722510195</v>
      </c>
      <c r="BH144" s="29">
        <v>0</v>
      </c>
      <c r="BJ144" s="22">
        <v>44689</v>
      </c>
      <c r="BK144" s="26">
        <f t="shared" ca="1" si="14"/>
        <v>0.68223448355060301</v>
      </c>
      <c r="BL144" s="29">
        <v>0</v>
      </c>
      <c r="BN144" s="22">
        <v>44689</v>
      </c>
      <c r="BO144" s="26">
        <f t="shared" ca="1" si="15"/>
        <v>0.68301990938825996</v>
      </c>
      <c r="BP144" s="29">
        <v>0</v>
      </c>
      <c r="BR144" s="22">
        <v>44689</v>
      </c>
      <c r="BS144" s="26">
        <f t="shared" ca="1" si="16"/>
        <v>0.549180249717239</v>
      </c>
      <c r="BT144" s="29">
        <v>0</v>
      </c>
      <c r="BV144" s="22">
        <v>44689</v>
      </c>
      <c r="BW144" s="26">
        <f t="shared" ca="1" si="17"/>
        <v>0.82576684085936247</v>
      </c>
      <c r="BX144" s="29">
        <v>0</v>
      </c>
    </row>
    <row r="145" spans="2:76" ht="12.75" x14ac:dyDescent="0.2">
      <c r="B145" s="22">
        <v>44690</v>
      </c>
      <c r="C145" s="26">
        <f t="shared" ca="1" si="0"/>
        <v>0.16194418902800467</v>
      </c>
      <c r="D145" s="29">
        <f t="shared" ca="1" si="22"/>
        <v>56</v>
      </c>
      <c r="F145" s="22">
        <v>44690</v>
      </c>
      <c r="G145" s="26">
        <f t="shared" ca="1" si="1"/>
        <v>0.16189604151822101</v>
      </c>
      <c r="H145" s="29">
        <f t="shared" ca="1" si="23"/>
        <v>202</v>
      </c>
      <c r="J145" s="22">
        <v>44690</v>
      </c>
      <c r="K145" s="26">
        <f t="shared" ca="1" si="2"/>
        <v>0.9602046385459535</v>
      </c>
      <c r="L145" s="29">
        <v>0</v>
      </c>
      <c r="N145" s="22">
        <v>44690</v>
      </c>
      <c r="O145" s="26">
        <f t="shared" ca="1" si="3"/>
        <v>0.49017913394110679</v>
      </c>
      <c r="P145" s="29">
        <v>0</v>
      </c>
      <c r="R145" s="22">
        <v>44690</v>
      </c>
      <c r="S145" s="26">
        <f t="shared" ca="1" si="4"/>
        <v>0.14270234527757764</v>
      </c>
      <c r="T145" s="29">
        <v>0</v>
      </c>
      <c r="V145" s="22">
        <v>44690</v>
      </c>
      <c r="W145" s="26">
        <f t="shared" ca="1" si="5"/>
        <v>0.21027022557159769</v>
      </c>
      <c r="X145" s="29">
        <v>0</v>
      </c>
      <c r="Z145" s="22">
        <v>44690</v>
      </c>
      <c r="AA145" s="26">
        <f t="shared" ca="1" si="6"/>
        <v>0.47041352853758167</v>
      </c>
      <c r="AB145" s="29">
        <v>0</v>
      </c>
      <c r="AC145"/>
      <c r="AD145" s="25"/>
      <c r="AF145" s="22">
        <v>44690</v>
      </c>
      <c r="AG145" s="26">
        <f t="shared" ca="1" si="7"/>
        <v>0.76735154032682162</v>
      </c>
      <c r="AH145" s="29">
        <v>0</v>
      </c>
      <c r="AJ145" s="22">
        <v>44690</v>
      </c>
      <c r="AK145" s="26">
        <f t="shared" ca="1" si="8"/>
        <v>0.3226192170801796</v>
      </c>
      <c r="AL145" s="29">
        <v>0</v>
      </c>
      <c r="AN145" s="22">
        <v>44690</v>
      </c>
      <c r="AO145" s="26">
        <f t="shared" ca="1" si="9"/>
        <v>0.17559916445414003</v>
      </c>
      <c r="AP145" s="29">
        <v>0</v>
      </c>
      <c r="AR145" s="22">
        <v>44690</v>
      </c>
      <c r="AS145" s="26">
        <f t="shared" ca="1" si="10"/>
        <v>0.67757408982210232</v>
      </c>
      <c r="AT145" s="29">
        <v>0</v>
      </c>
      <c r="AV145" s="22">
        <v>44690</v>
      </c>
      <c r="AW145" s="26">
        <f t="shared" ca="1" si="11"/>
        <v>0.88348200547891476</v>
      </c>
      <c r="AX145" s="29">
        <v>0</v>
      </c>
      <c r="AZ145" s="22">
        <v>44690</v>
      </c>
      <c r="BA145" s="26">
        <f t="shared" ca="1" si="12"/>
        <v>0.14237204513015511</v>
      </c>
      <c r="BB145" s="29">
        <v>0</v>
      </c>
      <c r="BC145"/>
      <c r="BD145" s="25"/>
      <c r="BF145" s="22">
        <v>44690</v>
      </c>
      <c r="BG145" s="26">
        <f t="shared" ca="1" si="13"/>
        <v>0.3697027195239041</v>
      </c>
      <c r="BH145" s="29">
        <v>0</v>
      </c>
      <c r="BJ145" s="22">
        <v>44690</v>
      </c>
      <c r="BK145" s="26">
        <f t="shared" ca="1" si="14"/>
        <v>0.94803837163376481</v>
      </c>
      <c r="BL145" s="29">
        <v>0</v>
      </c>
      <c r="BN145" s="22">
        <v>44690</v>
      </c>
      <c r="BO145" s="26">
        <f t="shared" ca="1" si="15"/>
        <v>0.40982105948094583</v>
      </c>
      <c r="BP145" s="29">
        <v>0</v>
      </c>
      <c r="BR145" s="22">
        <v>44690</v>
      </c>
      <c r="BS145" s="26">
        <f t="shared" ca="1" si="16"/>
        <v>0.19591695847366863</v>
      </c>
      <c r="BT145" s="29">
        <v>0</v>
      </c>
      <c r="BV145" s="22">
        <v>44690</v>
      </c>
      <c r="BW145" s="26">
        <f t="shared" ca="1" si="17"/>
        <v>0.28464546965144399</v>
      </c>
      <c r="BX145" s="29">
        <v>0</v>
      </c>
    </row>
    <row r="146" spans="2:76" ht="12.75" x14ac:dyDescent="0.2">
      <c r="B146" s="22">
        <v>44691</v>
      </c>
      <c r="C146" s="26">
        <f t="shared" ca="1" si="0"/>
        <v>0.16794021319538632</v>
      </c>
      <c r="D146" s="29">
        <f t="shared" ref="D146:D203" ca="1" si="24">ROUNDUP(_xlfn.NORM.INV(C146,C$10,C$12),0)</f>
        <v>56</v>
      </c>
      <c r="F146" s="22">
        <v>44691</v>
      </c>
      <c r="G146" s="26">
        <f t="shared" ca="1" si="1"/>
        <v>0.62672983075775857</v>
      </c>
      <c r="H146" s="29">
        <f t="shared" ca="1" si="23"/>
        <v>221</v>
      </c>
      <c r="J146" s="22">
        <v>44691</v>
      </c>
      <c r="K146" s="26">
        <f t="shared" ca="1" si="2"/>
        <v>0.67611429194478256</v>
      </c>
      <c r="L146" s="29">
        <v>0</v>
      </c>
      <c r="N146" s="22">
        <v>44691</v>
      </c>
      <c r="O146" s="26">
        <f t="shared" ca="1" si="3"/>
        <v>0.60449596732936284</v>
      </c>
      <c r="P146" s="29">
        <v>0</v>
      </c>
      <c r="R146" s="22">
        <v>44691</v>
      </c>
      <c r="S146" s="26">
        <f t="shared" ca="1" si="4"/>
        <v>0.14820888964132017</v>
      </c>
      <c r="T146" s="29">
        <v>0</v>
      </c>
      <c r="V146" s="22">
        <v>44691</v>
      </c>
      <c r="W146" s="26">
        <f t="shared" ca="1" si="5"/>
        <v>0.4628354158660053</v>
      </c>
      <c r="X146" s="29">
        <v>0</v>
      </c>
      <c r="Z146" s="22">
        <v>44691</v>
      </c>
      <c r="AA146" s="26">
        <f t="shared" ca="1" si="6"/>
        <v>0.75912929072670166</v>
      </c>
      <c r="AB146" s="29">
        <v>0</v>
      </c>
      <c r="AC146"/>
      <c r="AD146" s="25"/>
      <c r="AF146" s="22">
        <v>44691</v>
      </c>
      <c r="AG146" s="26">
        <f t="shared" ca="1" si="7"/>
        <v>0.14820802078653605</v>
      </c>
      <c r="AH146" s="29">
        <v>0</v>
      </c>
      <c r="AJ146" s="22">
        <v>44691</v>
      </c>
      <c r="AK146" s="26">
        <f t="shared" ca="1" si="8"/>
        <v>3.3498148178537024E-2</v>
      </c>
      <c r="AL146" s="29">
        <v>0</v>
      </c>
      <c r="AN146" s="22">
        <v>44691</v>
      </c>
      <c r="AO146" s="26">
        <f t="shared" ca="1" si="9"/>
        <v>0.67658537340037228</v>
      </c>
      <c r="AP146" s="29">
        <v>0</v>
      </c>
      <c r="AR146" s="22">
        <v>44691</v>
      </c>
      <c r="AS146" s="26">
        <f t="shared" ca="1" si="10"/>
        <v>0.64012116353236914</v>
      </c>
      <c r="AT146" s="29">
        <v>0</v>
      </c>
      <c r="AV146" s="22">
        <v>44691</v>
      </c>
      <c r="AW146" s="26">
        <f t="shared" ca="1" si="11"/>
        <v>0.61402045040513165</v>
      </c>
      <c r="AX146" s="29">
        <v>0</v>
      </c>
      <c r="AZ146" s="22">
        <v>44691</v>
      </c>
      <c r="BA146" s="26">
        <f t="shared" ca="1" si="12"/>
        <v>7.0994908368549714E-2</v>
      </c>
      <c r="BB146" s="29">
        <v>0</v>
      </c>
      <c r="BC146"/>
      <c r="BD146" s="25"/>
      <c r="BF146" s="22">
        <v>44691</v>
      </c>
      <c r="BG146" s="26">
        <f t="shared" ca="1" si="13"/>
        <v>0.40422403328337997</v>
      </c>
      <c r="BH146" s="29">
        <v>0</v>
      </c>
      <c r="BJ146" s="22">
        <v>44691</v>
      </c>
      <c r="BK146" s="26">
        <f t="shared" ca="1" si="14"/>
        <v>0.1245335448809447</v>
      </c>
      <c r="BL146" s="29">
        <v>0</v>
      </c>
      <c r="BN146" s="22">
        <v>44691</v>
      </c>
      <c r="BO146" s="26">
        <f t="shared" ca="1" si="15"/>
        <v>0.57659515801463701</v>
      </c>
      <c r="BP146" s="29">
        <v>0</v>
      </c>
      <c r="BR146" s="22">
        <v>44691</v>
      </c>
      <c r="BS146" s="26">
        <f t="shared" ca="1" si="16"/>
        <v>0.44259060090284064</v>
      </c>
      <c r="BT146" s="29">
        <v>0</v>
      </c>
      <c r="BV146" s="22">
        <v>44691</v>
      </c>
      <c r="BW146" s="26">
        <f t="shared" ca="1" si="17"/>
        <v>0.16147929273968797</v>
      </c>
      <c r="BX146" s="29">
        <v>0</v>
      </c>
    </row>
    <row r="147" spans="2:76" ht="12.75" x14ac:dyDescent="0.2">
      <c r="B147" s="22">
        <v>44692</v>
      </c>
      <c r="C147" s="26">
        <f t="shared" ca="1" si="0"/>
        <v>0.15792770218742358</v>
      </c>
      <c r="D147" s="29">
        <f t="shared" ca="1" si="24"/>
        <v>55</v>
      </c>
      <c r="F147" s="22">
        <v>44692</v>
      </c>
      <c r="G147" s="26">
        <f t="shared" ca="1" si="1"/>
        <v>5.9492450905636041E-3</v>
      </c>
      <c r="H147" s="29">
        <f t="shared" ca="1" si="23"/>
        <v>180</v>
      </c>
      <c r="J147" s="22">
        <v>44692</v>
      </c>
      <c r="K147" s="26">
        <f t="shared" ca="1" si="2"/>
        <v>0.64287892538097247</v>
      </c>
      <c r="L147" s="29">
        <v>0</v>
      </c>
      <c r="N147" s="22">
        <v>44692</v>
      </c>
      <c r="O147" s="26">
        <f t="shared" ca="1" si="3"/>
        <v>0.90703677394198756</v>
      </c>
      <c r="P147" s="29">
        <v>0</v>
      </c>
      <c r="R147" s="22">
        <v>44692</v>
      </c>
      <c r="S147" s="26">
        <f t="shared" ca="1" si="4"/>
        <v>0.13359595596385265</v>
      </c>
      <c r="T147" s="29">
        <v>0</v>
      </c>
      <c r="V147" s="22">
        <v>44692</v>
      </c>
      <c r="W147" s="26">
        <f t="shared" ca="1" si="5"/>
        <v>0.5316730369082604</v>
      </c>
      <c r="X147" s="29">
        <v>0</v>
      </c>
      <c r="Z147" s="22">
        <v>44692</v>
      </c>
      <c r="AA147" s="26">
        <f t="shared" ca="1" si="6"/>
        <v>0.57788212564510744</v>
      </c>
      <c r="AB147" s="29">
        <v>0</v>
      </c>
      <c r="AC147"/>
      <c r="AD147" s="25"/>
      <c r="AF147" s="22">
        <v>44692</v>
      </c>
      <c r="AG147" s="26">
        <f t="shared" ca="1" si="7"/>
        <v>0.8753898446484395</v>
      </c>
      <c r="AH147" s="29">
        <v>0</v>
      </c>
      <c r="AJ147" s="22">
        <v>44692</v>
      </c>
      <c r="AK147" s="26">
        <f t="shared" ca="1" si="8"/>
        <v>0.20234249143723504</v>
      </c>
      <c r="AL147" s="29">
        <v>0</v>
      </c>
      <c r="AN147" s="22">
        <v>44692</v>
      </c>
      <c r="AO147" s="26">
        <f t="shared" ca="1" si="9"/>
        <v>0.59555461657976017</v>
      </c>
      <c r="AP147" s="29">
        <v>0</v>
      </c>
      <c r="AR147" s="22">
        <v>44692</v>
      </c>
      <c r="AS147" s="26">
        <f t="shared" ca="1" si="10"/>
        <v>0.54087819394360648</v>
      </c>
      <c r="AT147" s="29">
        <v>0</v>
      </c>
      <c r="AV147" s="22">
        <v>44692</v>
      </c>
      <c r="AW147" s="26">
        <f t="shared" ca="1" si="11"/>
        <v>0.47674889730296344</v>
      </c>
      <c r="AX147" s="29">
        <v>0</v>
      </c>
      <c r="AZ147" s="22">
        <v>44692</v>
      </c>
      <c r="BA147" s="26">
        <f t="shared" ca="1" si="12"/>
        <v>0.13599563223634636</v>
      </c>
      <c r="BB147" s="29">
        <v>0</v>
      </c>
      <c r="BC147"/>
      <c r="BD147" s="25"/>
      <c r="BF147" s="22">
        <v>44692</v>
      </c>
      <c r="BG147" s="26">
        <f t="shared" ca="1" si="13"/>
        <v>4.9822769150279944E-2</v>
      </c>
      <c r="BH147" s="29">
        <v>0</v>
      </c>
      <c r="BJ147" s="22">
        <v>44692</v>
      </c>
      <c r="BK147" s="26">
        <f t="shared" ca="1" si="14"/>
        <v>0.32057774473773237</v>
      </c>
      <c r="BL147" s="29">
        <v>0</v>
      </c>
      <c r="BN147" s="22">
        <v>44692</v>
      </c>
      <c r="BO147" s="26">
        <f t="shared" ca="1" si="15"/>
        <v>8.1598324275604095E-2</v>
      </c>
      <c r="BP147" s="29">
        <v>0</v>
      </c>
      <c r="BR147" s="22">
        <v>44692</v>
      </c>
      <c r="BS147" s="26">
        <f t="shared" ca="1" si="16"/>
        <v>0.74309434889316139</v>
      </c>
      <c r="BT147" s="29">
        <v>0</v>
      </c>
      <c r="BV147" s="22">
        <v>44692</v>
      </c>
      <c r="BW147" s="26">
        <f t="shared" ca="1" si="17"/>
        <v>0.8928631081880013</v>
      </c>
      <c r="BX147" s="29">
        <v>0</v>
      </c>
    </row>
    <row r="148" spans="2:76" ht="12.75" x14ac:dyDescent="0.2">
      <c r="B148" s="22">
        <v>44693</v>
      </c>
      <c r="C148" s="26">
        <f t="shared" ca="1" si="0"/>
        <v>0.96538734335558252</v>
      </c>
      <c r="D148" s="29">
        <f t="shared" ca="1" si="24"/>
        <v>112</v>
      </c>
      <c r="F148" s="22">
        <v>44693</v>
      </c>
      <c r="G148" s="26">
        <f t="shared" ca="1" si="1"/>
        <v>0.22980493141500513</v>
      </c>
      <c r="H148" s="29">
        <f t="shared" ref="H148:H203" ca="1" si="25">ROUNDUP(_xlfn.NORM.INV(G148,G$10,G$12),0)</f>
        <v>205</v>
      </c>
      <c r="J148" s="22">
        <v>44693</v>
      </c>
      <c r="K148" s="26">
        <f t="shared" ca="1" si="2"/>
        <v>0.11811351669821801</v>
      </c>
      <c r="L148" s="29">
        <v>0</v>
      </c>
      <c r="N148" s="22">
        <v>44693</v>
      </c>
      <c r="O148" s="26">
        <f t="shared" ca="1" si="3"/>
        <v>0.87366096742865984</v>
      </c>
      <c r="P148" s="29">
        <v>0</v>
      </c>
      <c r="R148" s="22">
        <v>44693</v>
      </c>
      <c r="S148" s="26">
        <f t="shared" ca="1" si="4"/>
        <v>6.7835040954748127E-2</v>
      </c>
      <c r="T148" s="29">
        <v>0</v>
      </c>
      <c r="V148" s="22">
        <v>44693</v>
      </c>
      <c r="W148" s="26">
        <f t="shared" ca="1" si="5"/>
        <v>0.29070209744027187</v>
      </c>
      <c r="X148" s="29">
        <v>0</v>
      </c>
      <c r="Z148" s="22">
        <v>44693</v>
      </c>
      <c r="AA148" s="26">
        <f t="shared" ca="1" si="6"/>
        <v>0.75415742983956058</v>
      </c>
      <c r="AB148" s="29">
        <v>0</v>
      </c>
      <c r="AC148"/>
      <c r="AD148" s="25"/>
      <c r="AF148" s="22">
        <v>44693</v>
      </c>
      <c r="AG148" s="26">
        <f t="shared" ca="1" si="7"/>
        <v>0.87857813244709404</v>
      </c>
      <c r="AH148" s="29">
        <v>0</v>
      </c>
      <c r="AJ148" s="22">
        <v>44693</v>
      </c>
      <c r="AK148" s="26">
        <f t="shared" ca="1" si="8"/>
        <v>0.86891021539623825</v>
      </c>
      <c r="AL148" s="29">
        <v>0</v>
      </c>
      <c r="AN148" s="22">
        <v>44693</v>
      </c>
      <c r="AO148" s="26">
        <f t="shared" ca="1" si="9"/>
        <v>0.1304485226464005</v>
      </c>
      <c r="AP148" s="29">
        <v>0</v>
      </c>
      <c r="AR148" s="22">
        <v>44693</v>
      </c>
      <c r="AS148" s="26">
        <f t="shared" ca="1" si="10"/>
        <v>0.85155026882473739</v>
      </c>
      <c r="AT148" s="29">
        <v>0</v>
      </c>
      <c r="AV148" s="22">
        <v>44693</v>
      </c>
      <c r="AW148" s="26">
        <f t="shared" ca="1" si="11"/>
        <v>0.27614463832864133</v>
      </c>
      <c r="AX148" s="29">
        <v>0</v>
      </c>
      <c r="AZ148" s="22">
        <v>44693</v>
      </c>
      <c r="BA148" s="26">
        <f t="shared" ca="1" si="12"/>
        <v>0.25704559120870984</v>
      </c>
      <c r="BB148" s="29">
        <v>0</v>
      </c>
      <c r="BC148"/>
      <c r="BD148" s="25"/>
      <c r="BF148" s="22">
        <v>44693</v>
      </c>
      <c r="BG148" s="26">
        <f t="shared" ca="1" si="13"/>
        <v>0.25877248067830227</v>
      </c>
      <c r="BH148" s="29">
        <v>0</v>
      </c>
      <c r="BJ148" s="22">
        <v>44693</v>
      </c>
      <c r="BK148" s="26">
        <f t="shared" ca="1" si="14"/>
        <v>0.69073466463183453</v>
      </c>
      <c r="BL148" s="29">
        <v>0</v>
      </c>
      <c r="BN148" s="22">
        <v>44693</v>
      </c>
      <c r="BO148" s="26">
        <f t="shared" ca="1" si="15"/>
        <v>0.19261124345346226</v>
      </c>
      <c r="BP148" s="29">
        <v>0</v>
      </c>
      <c r="BR148" s="22">
        <v>44693</v>
      </c>
      <c r="BS148" s="26">
        <f t="shared" ca="1" si="16"/>
        <v>0.9047659174407926</v>
      </c>
      <c r="BT148" s="29">
        <v>0</v>
      </c>
      <c r="BV148" s="22">
        <v>44693</v>
      </c>
      <c r="BW148" s="26">
        <f t="shared" ca="1" si="17"/>
        <v>0.56381873415559458</v>
      </c>
      <c r="BX148" s="29">
        <v>0</v>
      </c>
    </row>
    <row r="149" spans="2:76" ht="12.75" x14ac:dyDescent="0.2">
      <c r="B149" s="22">
        <v>44694</v>
      </c>
      <c r="C149" s="26">
        <f t="shared" ca="1" si="0"/>
        <v>0.63987290257573948</v>
      </c>
      <c r="D149" s="29">
        <f t="shared" ca="1" si="24"/>
        <v>83</v>
      </c>
      <c r="F149" s="22">
        <v>44694</v>
      </c>
      <c r="G149" s="26">
        <f t="shared" ca="1" si="1"/>
        <v>0.69168186805492371</v>
      </c>
      <c r="H149" s="29">
        <f t="shared" ca="1" si="25"/>
        <v>223</v>
      </c>
      <c r="J149" s="22">
        <v>44694</v>
      </c>
      <c r="K149" s="26">
        <f t="shared" ca="1" si="2"/>
        <v>0.42392562760866515</v>
      </c>
      <c r="L149" s="29">
        <v>0</v>
      </c>
      <c r="N149" s="22">
        <v>44694</v>
      </c>
      <c r="O149" s="26">
        <f t="shared" ca="1" si="3"/>
        <v>0.55475367476184578</v>
      </c>
      <c r="P149" s="29">
        <v>0</v>
      </c>
      <c r="R149" s="22">
        <v>44694</v>
      </c>
      <c r="S149" s="26">
        <f t="shared" ca="1" si="4"/>
        <v>0.59456193463308682</v>
      </c>
      <c r="T149" s="29">
        <v>0</v>
      </c>
      <c r="V149" s="22">
        <v>44694</v>
      </c>
      <c r="W149" s="26">
        <f t="shared" ca="1" si="5"/>
        <v>0.94884512054648695</v>
      </c>
      <c r="X149" s="29">
        <v>0</v>
      </c>
      <c r="Z149" s="22">
        <v>44694</v>
      </c>
      <c r="AA149" s="26">
        <f t="shared" ca="1" si="6"/>
        <v>0.9640830434747294</v>
      </c>
      <c r="AB149" s="29">
        <v>0</v>
      </c>
      <c r="AC149"/>
      <c r="AD149" s="25"/>
      <c r="AF149" s="22">
        <v>44694</v>
      </c>
      <c r="AG149" s="26">
        <f t="shared" ca="1" si="7"/>
        <v>0.22823185977632487</v>
      </c>
      <c r="AH149" s="29">
        <v>0</v>
      </c>
      <c r="AJ149" s="22">
        <v>44694</v>
      </c>
      <c r="AK149" s="26">
        <f t="shared" ca="1" si="8"/>
        <v>0.78782508534910889</v>
      </c>
      <c r="AL149" s="29">
        <v>0</v>
      </c>
      <c r="AN149" s="22">
        <v>44694</v>
      </c>
      <c r="AO149" s="26">
        <f t="shared" ca="1" si="9"/>
        <v>0.56487919763087147</v>
      </c>
      <c r="AP149" s="29">
        <v>0</v>
      </c>
      <c r="AR149" s="22">
        <v>44694</v>
      </c>
      <c r="AS149" s="26">
        <f t="shared" ca="1" si="10"/>
        <v>0.93791363053621413</v>
      </c>
      <c r="AT149" s="29">
        <v>0</v>
      </c>
      <c r="AV149" s="22">
        <v>44694</v>
      </c>
      <c r="AW149" s="26">
        <f t="shared" ca="1" si="11"/>
        <v>0.12688498813935623</v>
      </c>
      <c r="AX149" s="29">
        <v>0</v>
      </c>
      <c r="AZ149" s="22">
        <v>44694</v>
      </c>
      <c r="BA149" s="26">
        <f t="shared" ca="1" si="12"/>
        <v>0.17321295821366878</v>
      </c>
      <c r="BB149" s="29">
        <v>0</v>
      </c>
      <c r="BC149"/>
      <c r="BD149" s="25"/>
      <c r="BF149" s="22">
        <v>44694</v>
      </c>
      <c r="BG149" s="26">
        <f t="shared" ca="1" si="13"/>
        <v>0.70751289957464203</v>
      </c>
      <c r="BH149" s="29">
        <v>0</v>
      </c>
      <c r="BJ149" s="22">
        <v>44694</v>
      </c>
      <c r="BK149" s="26">
        <f t="shared" ca="1" si="14"/>
        <v>0.40146687799592007</v>
      </c>
      <c r="BL149" s="29">
        <v>0</v>
      </c>
      <c r="BN149" s="22">
        <v>44694</v>
      </c>
      <c r="BO149" s="26">
        <f t="shared" ca="1" si="15"/>
        <v>0.63198888210154835</v>
      </c>
      <c r="BP149" s="29">
        <v>0</v>
      </c>
      <c r="BR149" s="22">
        <v>44694</v>
      </c>
      <c r="BS149" s="26">
        <f t="shared" ca="1" si="16"/>
        <v>0.12902042651831369</v>
      </c>
      <c r="BT149" s="29">
        <v>0</v>
      </c>
      <c r="BV149" s="22">
        <v>44694</v>
      </c>
      <c r="BW149" s="26">
        <f t="shared" ca="1" si="17"/>
        <v>0.73222201498168848</v>
      </c>
      <c r="BX149" s="29">
        <v>0</v>
      </c>
    </row>
    <row r="150" spans="2:76" ht="12.75" x14ac:dyDescent="0.2">
      <c r="B150" s="22">
        <v>44695</v>
      </c>
      <c r="C150" s="26">
        <f t="shared" ca="1" si="0"/>
        <v>7.6979961916421424E-2</v>
      </c>
      <c r="D150" s="29">
        <f t="shared" ca="1" si="24"/>
        <v>47</v>
      </c>
      <c r="F150" s="22">
        <v>44695</v>
      </c>
      <c r="G150" s="26">
        <f t="shared" ca="1" si="1"/>
        <v>0.22032604076190665</v>
      </c>
      <c r="H150" s="29">
        <f t="shared" ca="1" si="25"/>
        <v>205</v>
      </c>
      <c r="J150" s="22">
        <v>44695</v>
      </c>
      <c r="K150" s="26">
        <f t="shared" ca="1" si="2"/>
        <v>0.65519434834518675</v>
      </c>
      <c r="L150" s="29">
        <v>0</v>
      </c>
      <c r="N150" s="22">
        <v>44695</v>
      </c>
      <c r="O150" s="26">
        <f t="shared" ca="1" si="3"/>
        <v>0.37788547516674298</v>
      </c>
      <c r="P150" s="29">
        <v>0</v>
      </c>
      <c r="R150" s="22">
        <v>44695</v>
      </c>
      <c r="S150" s="26">
        <f t="shared" ca="1" si="4"/>
        <v>0.97706721776645178</v>
      </c>
      <c r="T150" s="29">
        <v>0</v>
      </c>
      <c r="V150" s="22">
        <v>44695</v>
      </c>
      <c r="W150" s="26">
        <f t="shared" ca="1" si="5"/>
        <v>0.6996596420712512</v>
      </c>
      <c r="X150" s="29">
        <v>0</v>
      </c>
      <c r="Z150" s="22">
        <v>44695</v>
      </c>
      <c r="AA150" s="26">
        <f t="shared" ca="1" si="6"/>
        <v>0.58563523657662797</v>
      </c>
      <c r="AB150" s="29">
        <v>0</v>
      </c>
      <c r="AC150"/>
      <c r="AD150" s="25"/>
      <c r="AF150" s="22">
        <v>44695</v>
      </c>
      <c r="AG150" s="26">
        <f t="shared" ca="1" si="7"/>
        <v>0.72312319955784221</v>
      </c>
      <c r="AH150" s="29">
        <v>0</v>
      </c>
      <c r="AJ150" s="22">
        <v>44695</v>
      </c>
      <c r="AK150" s="26">
        <f t="shared" ca="1" si="8"/>
        <v>0.3816789439465188</v>
      </c>
      <c r="AL150" s="29">
        <v>0</v>
      </c>
      <c r="AN150" s="22">
        <v>44695</v>
      </c>
      <c r="AO150" s="26">
        <f t="shared" ca="1" si="9"/>
        <v>0.89530100248008893</v>
      </c>
      <c r="AP150" s="29">
        <v>0</v>
      </c>
      <c r="AR150" s="22">
        <v>44695</v>
      </c>
      <c r="AS150" s="26">
        <f t="shared" ca="1" si="10"/>
        <v>0.51311630567062594</v>
      </c>
      <c r="AT150" s="29">
        <v>0</v>
      </c>
      <c r="AV150" s="22">
        <v>44695</v>
      </c>
      <c r="AW150" s="26">
        <f t="shared" ca="1" si="11"/>
        <v>1.8772453910470666E-2</v>
      </c>
      <c r="AX150" s="29">
        <v>0</v>
      </c>
      <c r="AZ150" s="22">
        <v>44695</v>
      </c>
      <c r="BA150" s="26">
        <f t="shared" ca="1" si="12"/>
        <v>0.41825367109210387</v>
      </c>
      <c r="BB150" s="29">
        <v>0</v>
      </c>
      <c r="BC150"/>
      <c r="BD150" s="25"/>
      <c r="BF150" s="22">
        <v>44695</v>
      </c>
      <c r="BG150" s="26">
        <f t="shared" ca="1" si="13"/>
        <v>0.53466755699181601</v>
      </c>
      <c r="BH150" s="29">
        <v>0</v>
      </c>
      <c r="BJ150" s="22">
        <v>44695</v>
      </c>
      <c r="BK150" s="26">
        <f t="shared" ca="1" si="14"/>
        <v>0.80578196069368058</v>
      </c>
      <c r="BL150" s="29">
        <v>0</v>
      </c>
      <c r="BN150" s="22">
        <v>44695</v>
      </c>
      <c r="BO150" s="26">
        <f t="shared" ca="1" si="15"/>
        <v>0.80196662980551214</v>
      </c>
      <c r="BP150" s="29">
        <v>0</v>
      </c>
      <c r="BR150" s="22">
        <v>44695</v>
      </c>
      <c r="BS150" s="26">
        <f t="shared" ca="1" si="16"/>
        <v>0.5628855525641947</v>
      </c>
      <c r="BT150" s="29">
        <v>0</v>
      </c>
      <c r="BV150" s="22">
        <v>44695</v>
      </c>
      <c r="BW150" s="26">
        <f t="shared" ca="1" si="17"/>
        <v>0.54125468509198205</v>
      </c>
      <c r="BX150" s="29">
        <v>0</v>
      </c>
    </row>
    <row r="151" spans="2:76" ht="12.75" x14ac:dyDescent="0.2">
      <c r="B151" s="22">
        <v>44696</v>
      </c>
      <c r="C151" s="26">
        <f t="shared" ca="1" si="0"/>
        <v>0.49159730270423074</v>
      </c>
      <c r="D151" s="29">
        <f t="shared" ca="1" si="24"/>
        <v>75</v>
      </c>
      <c r="F151" s="22">
        <v>44696</v>
      </c>
      <c r="G151" s="26">
        <f t="shared" ca="1" si="1"/>
        <v>0.31990993717493632</v>
      </c>
      <c r="H151" s="29">
        <f t="shared" ca="1" si="25"/>
        <v>209</v>
      </c>
      <c r="J151" s="22">
        <v>44696</v>
      </c>
      <c r="K151" s="26">
        <f t="shared" ca="1" si="2"/>
        <v>0.9129912552374112</v>
      </c>
      <c r="L151" s="29">
        <v>0</v>
      </c>
      <c r="N151" s="22">
        <v>44696</v>
      </c>
      <c r="O151" s="26">
        <f t="shared" ca="1" si="3"/>
        <v>0.38779706664020308</v>
      </c>
      <c r="P151" s="29">
        <v>0</v>
      </c>
      <c r="R151" s="22">
        <v>44696</v>
      </c>
      <c r="S151" s="26">
        <f t="shared" ca="1" si="4"/>
        <v>0.33657359054552283</v>
      </c>
      <c r="T151" s="29">
        <v>0</v>
      </c>
      <c r="V151" s="22">
        <v>44696</v>
      </c>
      <c r="W151" s="26">
        <f t="shared" ca="1" si="5"/>
        <v>0.92529914009869285</v>
      </c>
      <c r="X151" s="29">
        <v>0</v>
      </c>
      <c r="Z151" s="22">
        <v>44696</v>
      </c>
      <c r="AA151" s="26">
        <f t="shared" ca="1" si="6"/>
        <v>0.42557710093520495</v>
      </c>
      <c r="AB151" s="29">
        <v>0</v>
      </c>
      <c r="AC151"/>
      <c r="AD151" s="25"/>
      <c r="AF151" s="22">
        <v>44696</v>
      </c>
      <c r="AG151" s="26">
        <f t="shared" ca="1" si="7"/>
        <v>0.49959152812745333</v>
      </c>
      <c r="AH151" s="29">
        <v>0</v>
      </c>
      <c r="AJ151" s="22">
        <v>44696</v>
      </c>
      <c r="AK151" s="26">
        <f t="shared" ca="1" si="8"/>
        <v>0.80246483290472626</v>
      </c>
      <c r="AL151" s="29">
        <v>0</v>
      </c>
      <c r="AN151" s="22">
        <v>44696</v>
      </c>
      <c r="AO151" s="26">
        <f t="shared" ca="1" si="9"/>
        <v>0.29891076884102463</v>
      </c>
      <c r="AP151" s="29">
        <v>0</v>
      </c>
      <c r="AR151" s="22">
        <v>44696</v>
      </c>
      <c r="AS151" s="26">
        <f t="shared" ca="1" si="10"/>
        <v>0.26485151239347615</v>
      </c>
      <c r="AT151" s="29">
        <v>0</v>
      </c>
      <c r="AV151" s="22">
        <v>44696</v>
      </c>
      <c r="AW151" s="26">
        <f t="shared" ca="1" si="11"/>
        <v>0.66411793604882352</v>
      </c>
      <c r="AX151" s="29">
        <v>0</v>
      </c>
      <c r="AZ151" s="22">
        <v>44696</v>
      </c>
      <c r="BA151" s="26">
        <f t="shared" ca="1" si="12"/>
        <v>0.94680000282807786</v>
      </c>
      <c r="BB151" s="29">
        <v>0</v>
      </c>
      <c r="BC151"/>
      <c r="BD151" s="25"/>
      <c r="BF151" s="22">
        <v>44696</v>
      </c>
      <c r="BG151" s="26">
        <f t="shared" ca="1" si="13"/>
        <v>0.62645108713289377</v>
      </c>
      <c r="BH151" s="29">
        <v>0</v>
      </c>
      <c r="BJ151" s="22">
        <v>44696</v>
      </c>
      <c r="BK151" s="26">
        <f t="shared" ca="1" si="14"/>
        <v>0.58908551832323286</v>
      </c>
      <c r="BL151" s="29">
        <v>0</v>
      </c>
      <c r="BN151" s="22">
        <v>44696</v>
      </c>
      <c r="BO151" s="26">
        <f t="shared" ca="1" si="15"/>
        <v>5.1593401583079346E-2</v>
      </c>
      <c r="BP151" s="29">
        <v>0</v>
      </c>
      <c r="BR151" s="22">
        <v>44696</v>
      </c>
      <c r="BS151" s="26">
        <f t="shared" ca="1" si="16"/>
        <v>0.49914192614616748</v>
      </c>
      <c r="BT151" s="29">
        <v>0</v>
      </c>
      <c r="BV151" s="22">
        <v>44696</v>
      </c>
      <c r="BW151" s="26">
        <f t="shared" ca="1" si="17"/>
        <v>0.75025948565738509</v>
      </c>
      <c r="BX151" s="29">
        <v>0</v>
      </c>
    </row>
    <row r="152" spans="2:76" ht="12.75" x14ac:dyDescent="0.2">
      <c r="B152" s="22">
        <v>44697</v>
      </c>
      <c r="C152" s="26">
        <f t="shared" ca="1" si="0"/>
        <v>0.29256040100910319</v>
      </c>
      <c r="D152" s="29">
        <f t="shared" ca="1" si="24"/>
        <v>65</v>
      </c>
      <c r="F152" s="22">
        <v>44697</v>
      </c>
      <c r="G152" s="26">
        <f t="shared" ca="1" si="1"/>
        <v>0.46838037445587088</v>
      </c>
      <c r="H152" s="29">
        <f t="shared" ca="1" si="25"/>
        <v>215</v>
      </c>
      <c r="J152" s="22">
        <v>44697</v>
      </c>
      <c r="K152" s="26">
        <f t="shared" ca="1" si="2"/>
        <v>0.8841929793533333</v>
      </c>
      <c r="L152" s="29">
        <v>0</v>
      </c>
      <c r="N152" s="22">
        <v>44697</v>
      </c>
      <c r="O152" s="26">
        <f t="shared" ca="1" si="3"/>
        <v>0.93306329333317184</v>
      </c>
      <c r="P152" s="29">
        <v>0</v>
      </c>
      <c r="R152" s="22">
        <v>44697</v>
      </c>
      <c r="S152" s="26">
        <f t="shared" ca="1" si="4"/>
        <v>0.30209346776115753</v>
      </c>
      <c r="T152" s="29">
        <v>0</v>
      </c>
      <c r="V152" s="22">
        <v>44697</v>
      </c>
      <c r="W152" s="26">
        <f t="shared" ca="1" si="5"/>
        <v>0.28245190434049838</v>
      </c>
      <c r="X152" s="29">
        <v>0</v>
      </c>
      <c r="Z152" s="22">
        <v>44697</v>
      </c>
      <c r="AA152" s="26">
        <f t="shared" ca="1" si="6"/>
        <v>0.98330844915835836</v>
      </c>
      <c r="AB152" s="29">
        <v>0</v>
      </c>
      <c r="AC152"/>
      <c r="AD152" s="25"/>
      <c r="AF152" s="22">
        <v>44697</v>
      </c>
      <c r="AG152" s="26">
        <f t="shared" ca="1" si="7"/>
        <v>0.79782585909104231</v>
      </c>
      <c r="AH152" s="29">
        <v>0</v>
      </c>
      <c r="AJ152" s="22">
        <v>44697</v>
      </c>
      <c r="AK152" s="26">
        <f t="shared" ca="1" si="8"/>
        <v>0.89236198968752656</v>
      </c>
      <c r="AL152" s="29">
        <v>0</v>
      </c>
      <c r="AN152" s="22">
        <v>44697</v>
      </c>
      <c r="AO152" s="26">
        <f t="shared" ca="1" si="9"/>
        <v>0.74538457767866673</v>
      </c>
      <c r="AP152" s="29">
        <v>0</v>
      </c>
      <c r="AR152" s="22">
        <v>44697</v>
      </c>
      <c r="AS152" s="26">
        <f t="shared" ca="1" si="10"/>
        <v>0.72118428007051227</v>
      </c>
      <c r="AT152" s="29">
        <v>0</v>
      </c>
      <c r="AV152" s="22">
        <v>44697</v>
      </c>
      <c r="AW152" s="26">
        <f t="shared" ca="1" si="11"/>
        <v>4.4314830388777038E-2</v>
      </c>
      <c r="AX152" s="29">
        <v>0</v>
      </c>
      <c r="AZ152" s="22">
        <v>44697</v>
      </c>
      <c r="BA152" s="26">
        <f t="shared" ca="1" si="12"/>
        <v>0.18529020770304439</v>
      </c>
      <c r="BB152" s="29">
        <v>0</v>
      </c>
      <c r="BC152"/>
      <c r="BD152" s="25"/>
      <c r="BF152" s="22">
        <v>44697</v>
      </c>
      <c r="BG152" s="26">
        <f t="shared" ca="1" si="13"/>
        <v>0.83827878428608049</v>
      </c>
      <c r="BH152" s="29">
        <v>0</v>
      </c>
      <c r="BJ152" s="22">
        <v>44697</v>
      </c>
      <c r="BK152" s="26">
        <f t="shared" ca="1" si="14"/>
        <v>0.33165549498695768</v>
      </c>
      <c r="BL152" s="29">
        <v>0</v>
      </c>
      <c r="BN152" s="22">
        <v>44697</v>
      </c>
      <c r="BO152" s="26">
        <f t="shared" ca="1" si="15"/>
        <v>0.16974647920790753</v>
      </c>
      <c r="BP152" s="29">
        <v>0</v>
      </c>
      <c r="BR152" s="22">
        <v>44697</v>
      </c>
      <c r="BS152" s="26">
        <f t="shared" ca="1" si="16"/>
        <v>0.90712434469776793</v>
      </c>
      <c r="BT152" s="29">
        <v>0</v>
      </c>
      <c r="BV152" s="22">
        <v>44697</v>
      </c>
      <c r="BW152" s="26">
        <f t="shared" ca="1" si="17"/>
        <v>0.4964300034048782</v>
      </c>
      <c r="BX152" s="29">
        <v>0</v>
      </c>
    </row>
    <row r="153" spans="2:76" ht="12.75" x14ac:dyDescent="0.2">
      <c r="B153" s="22">
        <v>44698</v>
      </c>
      <c r="C153" s="26">
        <f t="shared" ca="1" si="0"/>
        <v>0.57676525134187961</v>
      </c>
      <c r="D153" s="29">
        <f t="shared" ca="1" si="24"/>
        <v>79</v>
      </c>
      <c r="F153" s="22">
        <v>44698</v>
      </c>
      <c r="G153" s="26">
        <f t="shared" ca="1" si="1"/>
        <v>0.53021433824782738</v>
      </c>
      <c r="H153" s="29">
        <f t="shared" ca="1" si="25"/>
        <v>217</v>
      </c>
      <c r="J153" s="22">
        <v>44698</v>
      </c>
      <c r="K153" s="26">
        <f t="shared" ca="1" si="2"/>
        <v>0.14242900147771365</v>
      </c>
      <c r="L153" s="29">
        <v>0</v>
      </c>
      <c r="N153" s="22">
        <v>44698</v>
      </c>
      <c r="O153" s="26">
        <f t="shared" ca="1" si="3"/>
        <v>0.35018949003439748</v>
      </c>
      <c r="P153" s="29">
        <v>0</v>
      </c>
      <c r="R153" s="22">
        <v>44698</v>
      </c>
      <c r="S153" s="26">
        <f t="shared" ca="1" si="4"/>
        <v>0.68514179443147782</v>
      </c>
      <c r="T153" s="29">
        <v>0</v>
      </c>
      <c r="V153" s="22">
        <v>44698</v>
      </c>
      <c r="W153" s="26">
        <f t="shared" ca="1" si="5"/>
        <v>0.46286409048758004</v>
      </c>
      <c r="X153" s="29">
        <v>0</v>
      </c>
      <c r="Z153" s="22">
        <v>44698</v>
      </c>
      <c r="AA153" s="26">
        <f t="shared" ca="1" si="6"/>
        <v>0.74463229732773395</v>
      </c>
      <c r="AB153" s="29">
        <v>0</v>
      </c>
      <c r="AC153"/>
      <c r="AD153" s="25"/>
      <c r="AF153" s="22">
        <v>44698</v>
      </c>
      <c r="AG153" s="26">
        <f t="shared" ca="1" si="7"/>
        <v>0.72618507163782742</v>
      </c>
      <c r="AH153" s="29">
        <v>0</v>
      </c>
      <c r="AJ153" s="22">
        <v>44698</v>
      </c>
      <c r="AK153" s="26">
        <f t="shared" ca="1" si="8"/>
        <v>0.17795722191181718</v>
      </c>
      <c r="AL153" s="29">
        <v>0</v>
      </c>
      <c r="AN153" s="22">
        <v>44698</v>
      </c>
      <c r="AO153" s="26">
        <f t="shared" ca="1" si="9"/>
        <v>9.5163653627017286E-4</v>
      </c>
      <c r="AP153" s="29">
        <v>0</v>
      </c>
      <c r="AR153" s="22">
        <v>44698</v>
      </c>
      <c r="AS153" s="26">
        <f t="shared" ca="1" si="10"/>
        <v>0.52184479776963533</v>
      </c>
      <c r="AT153" s="29">
        <v>0</v>
      </c>
      <c r="AV153" s="22">
        <v>44698</v>
      </c>
      <c r="AW153" s="26">
        <f t="shared" ca="1" si="11"/>
        <v>0.2294300786932334</v>
      </c>
      <c r="AX153" s="29">
        <v>0</v>
      </c>
      <c r="AZ153" s="22">
        <v>44698</v>
      </c>
      <c r="BA153" s="26">
        <f t="shared" ca="1" si="12"/>
        <v>0.19692789819651813</v>
      </c>
      <c r="BB153" s="29">
        <v>0</v>
      </c>
      <c r="BC153"/>
      <c r="BD153" s="25"/>
      <c r="BF153" s="22">
        <v>44698</v>
      </c>
      <c r="BG153" s="26">
        <f t="shared" ca="1" si="13"/>
        <v>0.38918274043134904</v>
      </c>
      <c r="BH153" s="29">
        <v>0</v>
      </c>
      <c r="BJ153" s="22">
        <v>44698</v>
      </c>
      <c r="BK153" s="26">
        <f t="shared" ca="1" si="14"/>
        <v>7.703725777942505E-2</v>
      </c>
      <c r="BL153" s="29">
        <v>0</v>
      </c>
      <c r="BN153" s="22">
        <v>44698</v>
      </c>
      <c r="BO153" s="26">
        <f t="shared" ca="1" si="15"/>
        <v>0.3348927254506916</v>
      </c>
      <c r="BP153" s="29">
        <v>0</v>
      </c>
      <c r="BR153" s="22">
        <v>44698</v>
      </c>
      <c r="BS153" s="26">
        <f t="shared" ca="1" si="16"/>
        <v>0.67307229744092667</v>
      </c>
      <c r="BT153" s="29">
        <v>0</v>
      </c>
      <c r="BV153" s="22">
        <v>44698</v>
      </c>
      <c r="BW153" s="26">
        <f t="shared" ca="1" si="17"/>
        <v>0.39528259701834523</v>
      </c>
      <c r="BX153" s="29">
        <v>0</v>
      </c>
    </row>
    <row r="154" spans="2:76" ht="12.75" x14ac:dyDescent="0.2">
      <c r="B154" s="22">
        <v>44699</v>
      </c>
      <c r="C154" s="26">
        <f t="shared" ca="1" si="0"/>
        <v>0.43135714781798806</v>
      </c>
      <c r="D154" s="29">
        <f t="shared" ca="1" si="24"/>
        <v>72</v>
      </c>
      <c r="F154" s="22">
        <v>44699</v>
      </c>
      <c r="G154" s="26">
        <f t="shared" ca="1" si="1"/>
        <v>0.42950099310649736</v>
      </c>
      <c r="H154" s="29">
        <f t="shared" ca="1" si="25"/>
        <v>213</v>
      </c>
      <c r="J154" s="22">
        <v>44699</v>
      </c>
      <c r="K154" s="26">
        <f t="shared" ca="1" si="2"/>
        <v>0.38332740131573129</v>
      </c>
      <c r="L154" s="29">
        <v>0</v>
      </c>
      <c r="N154" s="22">
        <v>44699</v>
      </c>
      <c r="O154" s="26">
        <f t="shared" ca="1" si="3"/>
        <v>0.76884529989801542</v>
      </c>
      <c r="P154" s="29">
        <v>0</v>
      </c>
      <c r="R154" s="22">
        <v>44699</v>
      </c>
      <c r="S154" s="26">
        <f t="shared" ca="1" si="4"/>
        <v>0.7035013981875734</v>
      </c>
      <c r="T154" s="29">
        <v>0</v>
      </c>
      <c r="V154" s="22">
        <v>44699</v>
      </c>
      <c r="W154" s="26">
        <f t="shared" ca="1" si="5"/>
        <v>0.77543465001728074</v>
      </c>
      <c r="X154" s="29">
        <v>0</v>
      </c>
      <c r="Z154" s="22">
        <v>44699</v>
      </c>
      <c r="AA154" s="26">
        <f t="shared" ca="1" si="6"/>
        <v>5.7276969537543465E-2</v>
      </c>
      <c r="AB154" s="29">
        <v>0</v>
      </c>
      <c r="AC154"/>
      <c r="AD154" s="25"/>
      <c r="AF154" s="22">
        <v>44699</v>
      </c>
      <c r="AG154" s="26">
        <f t="shared" ca="1" si="7"/>
        <v>0.67748975472194617</v>
      </c>
      <c r="AH154" s="29">
        <v>0</v>
      </c>
      <c r="AJ154" s="22">
        <v>44699</v>
      </c>
      <c r="AK154" s="26">
        <f t="shared" ca="1" si="8"/>
        <v>0.16781126763509779</v>
      </c>
      <c r="AL154" s="29">
        <v>0</v>
      </c>
      <c r="AN154" s="22">
        <v>44699</v>
      </c>
      <c r="AO154" s="26">
        <f t="shared" ca="1" si="9"/>
        <v>0.84315425709150182</v>
      </c>
      <c r="AP154" s="29">
        <v>0</v>
      </c>
      <c r="AR154" s="22">
        <v>44699</v>
      </c>
      <c r="AS154" s="26">
        <f t="shared" ca="1" si="10"/>
        <v>0.42441333981197227</v>
      </c>
      <c r="AT154" s="29">
        <v>0</v>
      </c>
      <c r="AV154" s="22">
        <v>44699</v>
      </c>
      <c r="AW154" s="26">
        <f t="shared" ca="1" si="11"/>
        <v>0.41597697468406558</v>
      </c>
      <c r="AX154" s="29">
        <v>0</v>
      </c>
      <c r="AZ154" s="22">
        <v>44699</v>
      </c>
      <c r="BA154" s="26">
        <f t="shared" ca="1" si="12"/>
        <v>0.93352290537684979</v>
      </c>
      <c r="BB154" s="29">
        <v>0</v>
      </c>
      <c r="BC154"/>
      <c r="BD154" s="25"/>
      <c r="BF154" s="22">
        <v>44699</v>
      </c>
      <c r="BG154" s="26">
        <f t="shared" ca="1" si="13"/>
        <v>0.61825993069912943</v>
      </c>
      <c r="BH154" s="29">
        <v>0</v>
      </c>
      <c r="BJ154" s="22">
        <v>44699</v>
      </c>
      <c r="BK154" s="26">
        <f t="shared" ca="1" si="14"/>
        <v>0.91794176234382896</v>
      </c>
      <c r="BL154" s="29">
        <v>0</v>
      </c>
      <c r="BN154" s="22">
        <v>44699</v>
      </c>
      <c r="BO154" s="26">
        <f t="shared" ca="1" si="15"/>
        <v>0.76647446655971274</v>
      </c>
      <c r="BP154" s="29">
        <v>0</v>
      </c>
      <c r="BR154" s="22">
        <v>44699</v>
      </c>
      <c r="BS154" s="26">
        <f t="shared" ca="1" si="16"/>
        <v>0.46818982948269083</v>
      </c>
      <c r="BT154" s="29">
        <v>0</v>
      </c>
      <c r="BV154" s="22">
        <v>44699</v>
      </c>
      <c r="BW154" s="26">
        <f t="shared" ca="1" si="17"/>
        <v>0.82536785278390645</v>
      </c>
      <c r="BX154" s="29">
        <v>0</v>
      </c>
    </row>
    <row r="155" spans="2:76" ht="12.75" x14ac:dyDescent="0.2">
      <c r="B155" s="22">
        <v>44700</v>
      </c>
      <c r="C155" s="26">
        <f t="shared" ca="1" si="0"/>
        <v>0.50673338882024488</v>
      </c>
      <c r="D155" s="29">
        <f t="shared" ca="1" si="24"/>
        <v>76</v>
      </c>
      <c r="F155" s="22">
        <v>44700</v>
      </c>
      <c r="G155" s="26">
        <f t="shared" ca="1" si="1"/>
        <v>0.47311007906007385</v>
      </c>
      <c r="H155" s="29">
        <f t="shared" ca="1" si="25"/>
        <v>215</v>
      </c>
      <c r="J155" s="22">
        <v>44700</v>
      </c>
      <c r="K155" s="26">
        <f t="shared" ca="1" si="2"/>
        <v>0.5058224161080469</v>
      </c>
      <c r="L155" s="29">
        <v>0</v>
      </c>
      <c r="N155" s="22">
        <v>44700</v>
      </c>
      <c r="O155" s="26">
        <f t="shared" ca="1" si="3"/>
        <v>0.48365941311921534</v>
      </c>
      <c r="P155" s="29">
        <v>0</v>
      </c>
      <c r="R155" s="22">
        <v>44700</v>
      </c>
      <c r="S155" s="26">
        <f t="shared" ca="1" si="4"/>
        <v>0.22078063375501589</v>
      </c>
      <c r="T155" s="29">
        <v>0</v>
      </c>
      <c r="V155" s="22">
        <v>44700</v>
      </c>
      <c r="W155" s="26">
        <f t="shared" ca="1" si="5"/>
        <v>0.98474808296423311</v>
      </c>
      <c r="X155" s="29">
        <v>0</v>
      </c>
      <c r="Z155" s="22">
        <v>44700</v>
      </c>
      <c r="AA155" s="26">
        <f t="shared" ca="1" si="6"/>
        <v>0.50375526922861635</v>
      </c>
      <c r="AB155" s="29">
        <v>0</v>
      </c>
      <c r="AC155"/>
      <c r="AD155" s="25"/>
      <c r="AF155" s="22">
        <v>44700</v>
      </c>
      <c r="AG155" s="26">
        <f t="shared" ca="1" si="7"/>
        <v>0.78505281886863698</v>
      </c>
      <c r="AH155" s="29">
        <v>0</v>
      </c>
      <c r="AJ155" s="22">
        <v>44700</v>
      </c>
      <c r="AK155" s="26">
        <f t="shared" ca="1" si="8"/>
        <v>0.58230447876766855</v>
      </c>
      <c r="AL155" s="29">
        <v>0</v>
      </c>
      <c r="AN155" s="22">
        <v>44700</v>
      </c>
      <c r="AO155" s="26">
        <f t="shared" ca="1" si="9"/>
        <v>0.27882586514126151</v>
      </c>
      <c r="AP155" s="29">
        <v>0</v>
      </c>
      <c r="AR155" s="22">
        <v>44700</v>
      </c>
      <c r="AS155" s="26">
        <f t="shared" ca="1" si="10"/>
        <v>0.96855967960988054</v>
      </c>
      <c r="AT155" s="29">
        <v>0</v>
      </c>
      <c r="AV155" s="22">
        <v>44700</v>
      </c>
      <c r="AW155" s="26">
        <f t="shared" ca="1" si="11"/>
        <v>0.82975196850272537</v>
      </c>
      <c r="AX155" s="29">
        <v>0</v>
      </c>
      <c r="AZ155" s="22">
        <v>44700</v>
      </c>
      <c r="BA155" s="26">
        <f t="shared" ca="1" si="12"/>
        <v>0.55966288839901646</v>
      </c>
      <c r="BB155" s="29">
        <v>0</v>
      </c>
      <c r="BC155"/>
      <c r="BD155" s="25"/>
      <c r="BF155" s="22">
        <v>44700</v>
      </c>
      <c r="BG155" s="26">
        <f t="shared" ca="1" si="13"/>
        <v>0.18743484584104686</v>
      </c>
      <c r="BH155" s="29">
        <v>0</v>
      </c>
      <c r="BJ155" s="22">
        <v>44700</v>
      </c>
      <c r="BK155" s="26">
        <f t="shared" ca="1" si="14"/>
        <v>0.49190221883552565</v>
      </c>
      <c r="BL155" s="29">
        <v>0</v>
      </c>
      <c r="BN155" s="22">
        <v>44700</v>
      </c>
      <c r="BO155" s="26">
        <f t="shared" ca="1" si="15"/>
        <v>0.49538304572607506</v>
      </c>
      <c r="BP155" s="29">
        <v>0</v>
      </c>
      <c r="BR155" s="22">
        <v>44700</v>
      </c>
      <c r="BS155" s="26">
        <f t="shared" ca="1" si="16"/>
        <v>0.7776132979965833</v>
      </c>
      <c r="BT155" s="29">
        <v>0</v>
      </c>
      <c r="BV155" s="22">
        <v>44700</v>
      </c>
      <c r="BW155" s="26">
        <f t="shared" ca="1" si="17"/>
        <v>0.29626922310474468</v>
      </c>
      <c r="BX155" s="29">
        <v>0</v>
      </c>
    </row>
    <row r="156" spans="2:76" ht="12.75" x14ac:dyDescent="0.2">
      <c r="B156" s="22">
        <v>44701</v>
      </c>
      <c r="C156" s="26">
        <f t="shared" ca="1" si="0"/>
        <v>0.74721721512283734</v>
      </c>
      <c r="D156" s="29">
        <f t="shared" ca="1" si="24"/>
        <v>89</v>
      </c>
      <c r="F156" s="22">
        <v>44701</v>
      </c>
      <c r="G156" s="26">
        <f t="shared" ca="1" si="1"/>
        <v>0.69404803896474687</v>
      </c>
      <c r="H156" s="29">
        <f t="shared" ca="1" si="25"/>
        <v>223</v>
      </c>
      <c r="J156" s="22">
        <v>44701</v>
      </c>
      <c r="K156" s="26">
        <f t="shared" ca="1" si="2"/>
        <v>0.18472483954574359</v>
      </c>
      <c r="L156" s="29">
        <v>0</v>
      </c>
      <c r="N156" s="22">
        <v>44701</v>
      </c>
      <c r="O156" s="26">
        <f t="shared" ca="1" si="3"/>
        <v>0.38277736401477891</v>
      </c>
      <c r="P156" s="29">
        <v>0</v>
      </c>
      <c r="R156" s="22">
        <v>44701</v>
      </c>
      <c r="S156" s="26">
        <f t="shared" ca="1" si="4"/>
        <v>0.88263842928262104</v>
      </c>
      <c r="T156" s="29">
        <v>0</v>
      </c>
      <c r="V156" s="22">
        <v>44701</v>
      </c>
      <c r="W156" s="26">
        <f t="shared" ca="1" si="5"/>
        <v>0.68211761822133155</v>
      </c>
      <c r="X156" s="29">
        <v>0</v>
      </c>
      <c r="Z156" s="22">
        <v>44701</v>
      </c>
      <c r="AA156" s="26">
        <f t="shared" ca="1" si="6"/>
        <v>0.30819270828195477</v>
      </c>
      <c r="AB156" s="29">
        <v>0</v>
      </c>
      <c r="AC156"/>
      <c r="AD156" s="25"/>
      <c r="AF156" s="22">
        <v>44701</v>
      </c>
      <c r="AG156" s="26">
        <f t="shared" ca="1" si="7"/>
        <v>0.85770285405718194</v>
      </c>
      <c r="AH156" s="29">
        <v>0</v>
      </c>
      <c r="AJ156" s="22">
        <v>44701</v>
      </c>
      <c r="AK156" s="26">
        <f t="shared" ca="1" si="8"/>
        <v>0.50320223781417206</v>
      </c>
      <c r="AL156" s="29">
        <v>0</v>
      </c>
      <c r="AN156" s="22">
        <v>44701</v>
      </c>
      <c r="AO156" s="26">
        <f t="shared" ca="1" si="9"/>
        <v>0.47698218208836518</v>
      </c>
      <c r="AP156" s="29">
        <v>0</v>
      </c>
      <c r="AR156" s="22">
        <v>44701</v>
      </c>
      <c r="AS156" s="26">
        <f t="shared" ca="1" si="10"/>
        <v>0.25704420606828482</v>
      </c>
      <c r="AT156" s="29">
        <v>0</v>
      </c>
      <c r="AV156" s="22">
        <v>44701</v>
      </c>
      <c r="AW156" s="26">
        <f t="shared" ca="1" si="11"/>
        <v>0.98239214601642888</v>
      </c>
      <c r="AX156" s="29">
        <v>0</v>
      </c>
      <c r="AZ156" s="22">
        <v>44701</v>
      </c>
      <c r="BA156" s="26">
        <f t="shared" ca="1" si="12"/>
        <v>0.89088087321159237</v>
      </c>
      <c r="BB156" s="29">
        <v>0</v>
      </c>
      <c r="BC156"/>
      <c r="BD156" s="25"/>
      <c r="BF156" s="22">
        <v>44701</v>
      </c>
      <c r="BG156" s="26">
        <f t="shared" ca="1" si="13"/>
        <v>0.50410009023499203</v>
      </c>
      <c r="BH156" s="29">
        <v>0</v>
      </c>
      <c r="BJ156" s="22">
        <v>44701</v>
      </c>
      <c r="BK156" s="26">
        <f t="shared" ca="1" si="14"/>
        <v>0.43648770095694256</v>
      </c>
      <c r="BL156" s="29">
        <v>0</v>
      </c>
      <c r="BN156" s="22">
        <v>44701</v>
      </c>
      <c r="BO156" s="26">
        <f t="shared" ca="1" si="15"/>
        <v>0.63953047576676947</v>
      </c>
      <c r="BP156" s="29">
        <v>0</v>
      </c>
      <c r="BR156" s="22">
        <v>44701</v>
      </c>
      <c r="BS156" s="26">
        <f t="shared" ca="1" si="16"/>
        <v>0.30552622964891452</v>
      </c>
      <c r="BT156" s="29">
        <v>0</v>
      </c>
      <c r="BV156" s="22">
        <v>44701</v>
      </c>
      <c r="BW156" s="26">
        <f t="shared" ca="1" si="17"/>
        <v>0.25550849258950448</v>
      </c>
      <c r="BX156" s="29">
        <v>0</v>
      </c>
    </row>
    <row r="157" spans="2:76" ht="12.75" x14ac:dyDescent="0.2">
      <c r="B157" s="22">
        <v>44702</v>
      </c>
      <c r="C157" s="26">
        <f t="shared" ca="1" si="0"/>
        <v>0.8530186854835593</v>
      </c>
      <c r="D157" s="29">
        <f t="shared" ca="1" si="24"/>
        <v>96</v>
      </c>
      <c r="F157" s="22">
        <v>44702</v>
      </c>
      <c r="G157" s="26">
        <f t="shared" ca="1" si="1"/>
        <v>0.61068181463053717</v>
      </c>
      <c r="H157" s="29">
        <f t="shared" ca="1" si="25"/>
        <v>220</v>
      </c>
      <c r="J157" s="22">
        <v>44702</v>
      </c>
      <c r="K157" s="26">
        <f t="shared" ca="1" si="2"/>
        <v>0.21137513967471533</v>
      </c>
      <c r="L157" s="29">
        <v>0</v>
      </c>
      <c r="N157" s="22">
        <v>44702</v>
      </c>
      <c r="O157" s="26">
        <f t="shared" ca="1" si="3"/>
        <v>0.97444510413317198</v>
      </c>
      <c r="P157" s="29">
        <v>0</v>
      </c>
      <c r="R157" s="22">
        <v>44702</v>
      </c>
      <c r="S157" s="26">
        <f t="shared" ca="1" si="4"/>
        <v>0.71621882108646151</v>
      </c>
      <c r="T157" s="29">
        <v>0</v>
      </c>
      <c r="V157" s="22">
        <v>44702</v>
      </c>
      <c r="W157" s="26">
        <f t="shared" ca="1" si="5"/>
        <v>0.76611014299064528</v>
      </c>
      <c r="X157" s="29">
        <v>0</v>
      </c>
      <c r="Z157" s="22">
        <v>44702</v>
      </c>
      <c r="AA157" s="26">
        <f t="shared" ca="1" si="6"/>
        <v>2.7462533886600471E-2</v>
      </c>
      <c r="AB157" s="29">
        <v>0</v>
      </c>
      <c r="AC157"/>
      <c r="AD157" s="25"/>
      <c r="AF157" s="22">
        <v>44702</v>
      </c>
      <c r="AG157" s="26">
        <f t="shared" ca="1" si="7"/>
        <v>0.65470807427087452</v>
      </c>
      <c r="AH157" s="29">
        <v>0</v>
      </c>
      <c r="AJ157" s="22">
        <v>44702</v>
      </c>
      <c r="AK157" s="26">
        <f t="shared" ca="1" si="8"/>
        <v>0.72543477564512038</v>
      </c>
      <c r="AL157" s="29">
        <v>0</v>
      </c>
      <c r="AN157" s="22">
        <v>44702</v>
      </c>
      <c r="AO157" s="26">
        <f t="shared" ca="1" si="9"/>
        <v>0.62523269724482888</v>
      </c>
      <c r="AP157" s="29">
        <v>0</v>
      </c>
      <c r="AR157" s="22">
        <v>44702</v>
      </c>
      <c r="AS157" s="26">
        <f t="shared" ca="1" si="10"/>
        <v>8.9494996449793307E-2</v>
      </c>
      <c r="AT157" s="29">
        <v>0</v>
      </c>
      <c r="AV157" s="22">
        <v>44702</v>
      </c>
      <c r="AW157" s="26">
        <f t="shared" ca="1" si="11"/>
        <v>0.45315983169477525</v>
      </c>
      <c r="AX157" s="29">
        <v>0</v>
      </c>
      <c r="AZ157" s="22">
        <v>44702</v>
      </c>
      <c r="BA157" s="26">
        <f t="shared" ca="1" si="12"/>
        <v>0.88758621620791411</v>
      </c>
      <c r="BB157" s="29">
        <v>0</v>
      </c>
      <c r="BC157"/>
      <c r="BD157" s="25"/>
      <c r="BF157" s="22">
        <v>44702</v>
      </c>
      <c r="BG157" s="26">
        <f t="shared" ca="1" si="13"/>
        <v>0.42924493482139503</v>
      </c>
      <c r="BH157" s="29">
        <v>0</v>
      </c>
      <c r="BJ157" s="22">
        <v>44702</v>
      </c>
      <c r="BK157" s="26">
        <f t="shared" ca="1" si="14"/>
        <v>0.44687469580279926</v>
      </c>
      <c r="BL157" s="29">
        <v>0</v>
      </c>
      <c r="BN157" s="22">
        <v>44702</v>
      </c>
      <c r="BO157" s="26">
        <f t="shared" ca="1" si="15"/>
        <v>0.68337361072556257</v>
      </c>
      <c r="BP157" s="29">
        <v>0</v>
      </c>
      <c r="BR157" s="22">
        <v>44702</v>
      </c>
      <c r="BS157" s="26">
        <f t="shared" ca="1" si="16"/>
        <v>0.95306136128218233</v>
      </c>
      <c r="BT157" s="29">
        <v>0</v>
      </c>
      <c r="BV157" s="22">
        <v>44702</v>
      </c>
      <c r="BW157" s="26">
        <f t="shared" ca="1" si="17"/>
        <v>0.22381975341804217</v>
      </c>
      <c r="BX157" s="29">
        <v>0</v>
      </c>
    </row>
    <row r="158" spans="2:76" ht="12.75" x14ac:dyDescent="0.2">
      <c r="B158" s="22">
        <v>44703</v>
      </c>
      <c r="C158" s="26">
        <f t="shared" ca="1" si="0"/>
        <v>0.1012868031760088</v>
      </c>
      <c r="D158" s="29">
        <f t="shared" ca="1" si="24"/>
        <v>50</v>
      </c>
      <c r="F158" s="22">
        <v>44703</v>
      </c>
      <c r="G158" s="26">
        <f t="shared" ca="1" si="1"/>
        <v>0.52319431973804509</v>
      </c>
      <c r="H158" s="29">
        <f t="shared" ca="1" si="25"/>
        <v>217</v>
      </c>
      <c r="J158" s="22">
        <v>44703</v>
      </c>
      <c r="K158" s="26">
        <f t="shared" ca="1" si="2"/>
        <v>0.20750503681486077</v>
      </c>
      <c r="L158" s="29">
        <v>0</v>
      </c>
      <c r="N158" s="22">
        <v>44703</v>
      </c>
      <c r="O158" s="26">
        <f t="shared" ca="1" si="3"/>
        <v>1.7582680514535487E-2</v>
      </c>
      <c r="P158" s="29">
        <v>0</v>
      </c>
      <c r="R158" s="22">
        <v>44703</v>
      </c>
      <c r="S158" s="26">
        <f t="shared" ca="1" si="4"/>
        <v>0.59194397083917971</v>
      </c>
      <c r="T158" s="29">
        <v>0</v>
      </c>
      <c r="V158" s="22">
        <v>44703</v>
      </c>
      <c r="W158" s="26">
        <f t="shared" ca="1" si="5"/>
        <v>0.74355246917411488</v>
      </c>
      <c r="X158" s="29">
        <v>0</v>
      </c>
      <c r="Z158" s="22">
        <v>44703</v>
      </c>
      <c r="AA158" s="26">
        <f t="shared" ca="1" si="6"/>
        <v>0.56948937848505465</v>
      </c>
      <c r="AB158" s="29">
        <v>0</v>
      </c>
      <c r="AC158"/>
      <c r="AD158" s="25"/>
      <c r="AF158" s="22">
        <v>44703</v>
      </c>
      <c r="AG158" s="26">
        <f t="shared" ca="1" si="7"/>
        <v>0.25088367238819165</v>
      </c>
      <c r="AH158" s="29">
        <v>0</v>
      </c>
      <c r="AJ158" s="22">
        <v>44703</v>
      </c>
      <c r="AK158" s="26">
        <f t="shared" ca="1" si="8"/>
        <v>0.4111964453076058</v>
      </c>
      <c r="AL158" s="29">
        <v>0</v>
      </c>
      <c r="AN158" s="22">
        <v>44703</v>
      </c>
      <c r="AO158" s="26">
        <f t="shared" ca="1" si="9"/>
        <v>0.80987425306877303</v>
      </c>
      <c r="AP158" s="29">
        <v>0</v>
      </c>
      <c r="AR158" s="22">
        <v>44703</v>
      </c>
      <c r="AS158" s="26">
        <f t="shared" ca="1" si="10"/>
        <v>0.72386830445005679</v>
      </c>
      <c r="AT158" s="29">
        <v>0</v>
      </c>
      <c r="AV158" s="22">
        <v>44703</v>
      </c>
      <c r="AW158" s="26">
        <f t="shared" ca="1" si="11"/>
        <v>0.41795619278433083</v>
      </c>
      <c r="AX158" s="29">
        <v>0</v>
      </c>
      <c r="AZ158" s="22">
        <v>44703</v>
      </c>
      <c r="BA158" s="26">
        <f t="shared" ca="1" si="12"/>
        <v>0.1803401015963032</v>
      </c>
      <c r="BB158" s="29">
        <v>0</v>
      </c>
      <c r="BC158"/>
      <c r="BD158" s="25"/>
      <c r="BF158" s="22">
        <v>44703</v>
      </c>
      <c r="BG158" s="26">
        <f t="shared" ca="1" si="13"/>
        <v>0.74576897111061036</v>
      </c>
      <c r="BH158" s="29">
        <v>0</v>
      </c>
      <c r="BJ158" s="22">
        <v>44703</v>
      </c>
      <c r="BK158" s="26">
        <f t="shared" ca="1" si="14"/>
        <v>0.10904765980489262</v>
      </c>
      <c r="BL158" s="29">
        <v>0</v>
      </c>
      <c r="BN158" s="22">
        <v>44703</v>
      </c>
      <c r="BO158" s="26">
        <f t="shared" ca="1" si="15"/>
        <v>0.62158165127416209</v>
      </c>
      <c r="BP158" s="29">
        <v>0</v>
      </c>
      <c r="BR158" s="22">
        <v>44703</v>
      </c>
      <c r="BS158" s="26">
        <f t="shared" ca="1" si="16"/>
        <v>0.6190711447949373</v>
      </c>
      <c r="BT158" s="29">
        <v>0</v>
      </c>
      <c r="BV158" s="22">
        <v>44703</v>
      </c>
      <c r="BW158" s="26">
        <f t="shared" ca="1" si="17"/>
        <v>0.51200891399040316</v>
      </c>
      <c r="BX158" s="29">
        <v>0</v>
      </c>
    </row>
    <row r="159" spans="2:76" ht="12.75" x14ac:dyDescent="0.2">
      <c r="B159" s="22">
        <v>44704</v>
      </c>
      <c r="C159" s="26">
        <f t="shared" ca="1" si="0"/>
        <v>0.79862480106554801</v>
      </c>
      <c r="D159" s="29">
        <f t="shared" ca="1" si="24"/>
        <v>92</v>
      </c>
      <c r="F159" s="22">
        <v>44704</v>
      </c>
      <c r="G159" s="26">
        <f t="shared" ca="1" si="1"/>
        <v>0.2312412936906868</v>
      </c>
      <c r="H159" s="29">
        <f t="shared" ca="1" si="25"/>
        <v>205</v>
      </c>
      <c r="J159" s="22">
        <v>44704</v>
      </c>
      <c r="K159" s="26">
        <f t="shared" ca="1" si="2"/>
        <v>0.61577874802111643</v>
      </c>
      <c r="L159" s="29">
        <v>0</v>
      </c>
      <c r="N159" s="22">
        <v>44704</v>
      </c>
      <c r="O159" s="26">
        <f t="shared" ca="1" si="3"/>
        <v>0.10777761545292974</v>
      </c>
      <c r="P159" s="29">
        <v>0</v>
      </c>
      <c r="R159" s="22">
        <v>44704</v>
      </c>
      <c r="S159" s="26">
        <f t="shared" ca="1" si="4"/>
        <v>0.50035686852400063</v>
      </c>
      <c r="T159" s="29">
        <v>0</v>
      </c>
      <c r="V159" s="22">
        <v>44704</v>
      </c>
      <c r="W159" s="26">
        <f t="shared" ca="1" si="5"/>
        <v>0.5070698040812891</v>
      </c>
      <c r="X159" s="29">
        <v>0</v>
      </c>
      <c r="Z159" s="22">
        <v>44704</v>
      </c>
      <c r="AA159" s="26">
        <f t="shared" ca="1" si="6"/>
        <v>0.84234092483375678</v>
      </c>
      <c r="AB159" s="29">
        <v>0</v>
      </c>
      <c r="AC159"/>
      <c r="AD159" s="25"/>
      <c r="AF159" s="22">
        <v>44704</v>
      </c>
      <c r="AG159" s="26">
        <f t="shared" ca="1" si="7"/>
        <v>0.64636533853101674</v>
      </c>
      <c r="AH159" s="29">
        <v>0</v>
      </c>
      <c r="AJ159" s="22">
        <v>44704</v>
      </c>
      <c r="AK159" s="26">
        <f t="shared" ca="1" si="8"/>
        <v>0.51652786268089934</v>
      </c>
      <c r="AL159" s="29">
        <v>0</v>
      </c>
      <c r="AN159" s="22">
        <v>44704</v>
      </c>
      <c r="AO159" s="26">
        <f t="shared" ca="1" si="9"/>
        <v>0.25465993993376124</v>
      </c>
      <c r="AP159" s="29">
        <v>0</v>
      </c>
      <c r="AR159" s="22">
        <v>44704</v>
      </c>
      <c r="AS159" s="26">
        <f t="shared" ca="1" si="10"/>
        <v>0.25217189492148739</v>
      </c>
      <c r="AT159" s="29">
        <v>0</v>
      </c>
      <c r="AV159" s="22">
        <v>44704</v>
      </c>
      <c r="AW159" s="26">
        <f t="shared" ca="1" si="11"/>
        <v>0.78463591831719481</v>
      </c>
      <c r="AX159" s="29">
        <v>0</v>
      </c>
      <c r="AZ159" s="22">
        <v>44704</v>
      </c>
      <c r="BA159" s="26">
        <f t="shared" ca="1" si="12"/>
        <v>0.496473072598553</v>
      </c>
      <c r="BB159" s="29">
        <v>0</v>
      </c>
      <c r="BC159"/>
      <c r="BD159" s="25"/>
      <c r="BF159" s="22">
        <v>44704</v>
      </c>
      <c r="BG159" s="26">
        <f t="shared" ca="1" si="13"/>
        <v>0.29272907509480683</v>
      </c>
      <c r="BH159" s="29">
        <v>0</v>
      </c>
      <c r="BJ159" s="22">
        <v>44704</v>
      </c>
      <c r="BK159" s="26">
        <f t="shared" ca="1" si="14"/>
        <v>0.16036485101011833</v>
      </c>
      <c r="BL159" s="29">
        <v>0</v>
      </c>
      <c r="BN159" s="22">
        <v>44704</v>
      </c>
      <c r="BO159" s="26">
        <f t="shared" ca="1" si="15"/>
        <v>0.5569973397657062</v>
      </c>
      <c r="BP159" s="29">
        <v>0</v>
      </c>
      <c r="BR159" s="22">
        <v>44704</v>
      </c>
      <c r="BS159" s="26">
        <f t="shared" ca="1" si="16"/>
        <v>0.54231145773923073</v>
      </c>
      <c r="BT159" s="29">
        <v>0</v>
      </c>
      <c r="BV159" s="22">
        <v>44704</v>
      </c>
      <c r="BW159" s="26">
        <f t="shared" ca="1" si="17"/>
        <v>0.69247662419612621</v>
      </c>
      <c r="BX159" s="29">
        <v>0</v>
      </c>
    </row>
    <row r="160" spans="2:76" ht="12.75" x14ac:dyDescent="0.2">
      <c r="B160" s="22">
        <v>44705</v>
      </c>
      <c r="C160" s="26">
        <f t="shared" ca="1" si="0"/>
        <v>0.46192098182639008</v>
      </c>
      <c r="D160" s="29">
        <f t="shared" ca="1" si="24"/>
        <v>74</v>
      </c>
      <c r="F160" s="22">
        <v>44705</v>
      </c>
      <c r="G160" s="26">
        <f t="shared" ca="1" si="1"/>
        <v>0.69231067507432065</v>
      </c>
      <c r="H160" s="29">
        <f t="shared" ca="1" si="25"/>
        <v>223</v>
      </c>
      <c r="J160" s="22">
        <v>44705</v>
      </c>
      <c r="K160" s="26">
        <f t="shared" ca="1" si="2"/>
        <v>0.11474956334492858</v>
      </c>
      <c r="L160" s="29">
        <v>0</v>
      </c>
      <c r="N160" s="22">
        <v>44705</v>
      </c>
      <c r="O160" s="26">
        <f t="shared" ca="1" si="3"/>
        <v>0.46693075823706987</v>
      </c>
      <c r="P160" s="29">
        <v>0</v>
      </c>
      <c r="R160" s="22">
        <v>44705</v>
      </c>
      <c r="S160" s="26">
        <f t="shared" ca="1" si="4"/>
        <v>9.5091060114906534E-2</v>
      </c>
      <c r="T160" s="29">
        <v>0</v>
      </c>
      <c r="V160" s="22">
        <v>44705</v>
      </c>
      <c r="W160" s="26">
        <f t="shared" ca="1" si="5"/>
        <v>0.86665865169412692</v>
      </c>
      <c r="X160" s="29">
        <v>0</v>
      </c>
      <c r="Z160" s="22">
        <v>44705</v>
      </c>
      <c r="AA160" s="26">
        <f t="shared" ca="1" si="6"/>
        <v>0.80275825606430462</v>
      </c>
      <c r="AB160" s="29">
        <v>0</v>
      </c>
      <c r="AC160"/>
      <c r="AD160" s="25"/>
      <c r="AF160" s="22">
        <v>44705</v>
      </c>
      <c r="AG160" s="26">
        <f t="shared" ca="1" si="7"/>
        <v>0.38742826766858207</v>
      </c>
      <c r="AH160" s="29">
        <v>0</v>
      </c>
      <c r="AJ160" s="22">
        <v>44705</v>
      </c>
      <c r="AK160" s="26">
        <f t="shared" ca="1" si="8"/>
        <v>0.90977930787618055</v>
      </c>
      <c r="AL160" s="29">
        <v>0</v>
      </c>
      <c r="AN160" s="22">
        <v>44705</v>
      </c>
      <c r="AO160" s="26">
        <f t="shared" ca="1" si="9"/>
        <v>0.31941466335604352</v>
      </c>
      <c r="AP160" s="29">
        <v>0</v>
      </c>
      <c r="AR160" s="22">
        <v>44705</v>
      </c>
      <c r="AS160" s="26">
        <f t="shared" ca="1" si="10"/>
        <v>0.33129898411423575</v>
      </c>
      <c r="AT160" s="29">
        <v>0</v>
      </c>
      <c r="AV160" s="22">
        <v>44705</v>
      </c>
      <c r="AW160" s="26">
        <f t="shared" ca="1" si="11"/>
        <v>0.62788128426148693</v>
      </c>
      <c r="AX160" s="29">
        <v>0</v>
      </c>
      <c r="AZ160" s="22">
        <v>44705</v>
      </c>
      <c r="BA160" s="26">
        <f t="shared" ca="1" si="12"/>
        <v>0.60868195298749361</v>
      </c>
      <c r="BB160" s="29">
        <v>0</v>
      </c>
      <c r="BC160"/>
      <c r="BD160" s="25"/>
      <c r="BF160" s="22">
        <v>44705</v>
      </c>
      <c r="BG160" s="26">
        <f t="shared" ca="1" si="13"/>
        <v>0.26321523848115258</v>
      </c>
      <c r="BH160" s="29">
        <v>0</v>
      </c>
      <c r="BJ160" s="22">
        <v>44705</v>
      </c>
      <c r="BK160" s="26">
        <f t="shared" ca="1" si="14"/>
        <v>5.7657870379446696E-2</v>
      </c>
      <c r="BL160" s="29">
        <v>0</v>
      </c>
      <c r="BN160" s="22">
        <v>44705</v>
      </c>
      <c r="BO160" s="26">
        <f t="shared" ca="1" si="15"/>
        <v>2.2493165078063093E-2</v>
      </c>
      <c r="BP160" s="29">
        <v>0</v>
      </c>
      <c r="BR160" s="22">
        <v>44705</v>
      </c>
      <c r="BS160" s="26">
        <f t="shared" ca="1" si="16"/>
        <v>0.45712570906258054</v>
      </c>
      <c r="BT160" s="29">
        <v>0</v>
      </c>
      <c r="BV160" s="22">
        <v>44705</v>
      </c>
      <c r="BW160" s="26">
        <f t="shared" ca="1" si="17"/>
        <v>0.78722641546521122</v>
      </c>
      <c r="BX160" s="29">
        <v>0</v>
      </c>
    </row>
    <row r="161" spans="2:77" ht="12.75" x14ac:dyDescent="0.2">
      <c r="B161" s="22">
        <v>44706</v>
      </c>
      <c r="C161" s="26">
        <f t="shared" ca="1" si="0"/>
        <v>0.1298188780989612</v>
      </c>
      <c r="D161" s="29">
        <f t="shared" ca="1" si="24"/>
        <v>53</v>
      </c>
      <c r="F161" s="22">
        <v>44706</v>
      </c>
      <c r="G161" s="26">
        <f t="shared" ca="1" si="1"/>
        <v>0.74603778355143813</v>
      </c>
      <c r="H161" s="29">
        <f t="shared" ca="1" si="25"/>
        <v>225</v>
      </c>
      <c r="J161" s="22">
        <v>44706</v>
      </c>
      <c r="K161" s="26">
        <f t="shared" ca="1" si="2"/>
        <v>0.22423104714372899</v>
      </c>
      <c r="L161" s="29">
        <v>0</v>
      </c>
      <c r="N161" s="22">
        <v>44706</v>
      </c>
      <c r="O161" s="26">
        <f t="shared" ca="1" si="3"/>
        <v>0.72023320455295814</v>
      </c>
      <c r="P161" s="29">
        <v>0</v>
      </c>
      <c r="R161" s="22">
        <v>44706</v>
      </c>
      <c r="S161" s="26">
        <f t="shared" ca="1" si="4"/>
        <v>0.89810325635360289</v>
      </c>
      <c r="T161" s="29">
        <v>0</v>
      </c>
      <c r="V161" s="22">
        <v>44706</v>
      </c>
      <c r="W161" s="26">
        <f t="shared" ca="1" si="5"/>
        <v>0.47784948334796062</v>
      </c>
      <c r="X161" s="29">
        <v>0</v>
      </c>
      <c r="Z161" s="22">
        <v>44706</v>
      </c>
      <c r="AA161" s="26">
        <f t="shared" ca="1" si="6"/>
        <v>0.16491424620799833</v>
      </c>
      <c r="AB161" s="29">
        <v>0</v>
      </c>
      <c r="AC161"/>
      <c r="AD161" s="25"/>
      <c r="AF161" s="22">
        <v>44706</v>
      </c>
      <c r="AG161" s="26">
        <f t="shared" ca="1" si="7"/>
        <v>0.34780703749684727</v>
      </c>
      <c r="AH161" s="29">
        <v>0</v>
      </c>
      <c r="AJ161" s="22">
        <v>44706</v>
      </c>
      <c r="AK161" s="26">
        <f t="shared" ca="1" si="8"/>
        <v>0.22531159036185588</v>
      </c>
      <c r="AL161" s="29">
        <v>0</v>
      </c>
      <c r="AN161" s="22">
        <v>44706</v>
      </c>
      <c r="AO161" s="26">
        <f t="shared" ca="1" si="9"/>
        <v>0.64779203234260396</v>
      </c>
      <c r="AP161" s="29">
        <v>0</v>
      </c>
      <c r="AR161" s="22">
        <v>44706</v>
      </c>
      <c r="AS161" s="26">
        <f t="shared" ca="1" si="10"/>
        <v>4.2025750423620334E-2</v>
      </c>
      <c r="AT161" s="29">
        <v>0</v>
      </c>
      <c r="AV161" s="22">
        <v>44706</v>
      </c>
      <c r="AW161" s="26">
        <f t="shared" ca="1" si="11"/>
        <v>0.14525804466884473</v>
      </c>
      <c r="AX161" s="29">
        <v>0</v>
      </c>
      <c r="AZ161" s="22">
        <v>44706</v>
      </c>
      <c r="BA161" s="26">
        <f t="shared" ca="1" si="12"/>
        <v>0.74083559841137581</v>
      </c>
      <c r="BB161" s="29">
        <v>0</v>
      </c>
      <c r="BC161"/>
      <c r="BD161" s="25"/>
      <c r="BF161" s="22">
        <v>44706</v>
      </c>
      <c r="BG161" s="26">
        <f t="shared" ca="1" si="13"/>
        <v>0.83481508371546043</v>
      </c>
      <c r="BH161" s="29">
        <v>0</v>
      </c>
      <c r="BJ161" s="22">
        <v>44706</v>
      </c>
      <c r="BK161" s="26">
        <f t="shared" ca="1" si="14"/>
        <v>0.98296423968684465</v>
      </c>
      <c r="BL161" s="29">
        <v>0</v>
      </c>
      <c r="BN161" s="22">
        <v>44706</v>
      </c>
      <c r="BO161" s="26">
        <f t="shared" ca="1" si="15"/>
        <v>0.79998158953991416</v>
      </c>
      <c r="BP161" s="29">
        <v>0</v>
      </c>
      <c r="BR161" s="22">
        <v>44706</v>
      </c>
      <c r="BS161" s="26">
        <f t="shared" ca="1" si="16"/>
        <v>0.12023682491618926</v>
      </c>
      <c r="BT161" s="29">
        <v>0</v>
      </c>
      <c r="BV161" s="22">
        <v>44706</v>
      </c>
      <c r="BW161" s="26">
        <f t="shared" ca="1" si="17"/>
        <v>8.3868373355788561E-2</v>
      </c>
      <c r="BX161" s="29">
        <v>0</v>
      </c>
    </row>
    <row r="162" spans="2:77" ht="12.75" x14ac:dyDescent="0.2">
      <c r="B162" s="22">
        <v>44707</v>
      </c>
      <c r="C162" s="26">
        <f t="shared" ca="1" si="0"/>
        <v>7.7074522222219777E-2</v>
      </c>
      <c r="D162" s="29">
        <f t="shared" ca="1" si="24"/>
        <v>47</v>
      </c>
      <c r="F162" s="22">
        <v>44707</v>
      </c>
      <c r="G162" s="26">
        <f t="shared" ca="1" si="1"/>
        <v>0.2688009076462301</v>
      </c>
      <c r="H162" s="29">
        <f t="shared" ca="1" si="25"/>
        <v>207</v>
      </c>
      <c r="J162" s="22">
        <v>44707</v>
      </c>
      <c r="K162" s="26">
        <f t="shared" ca="1" si="2"/>
        <v>0.79188409010450556</v>
      </c>
      <c r="L162" s="29">
        <v>0</v>
      </c>
      <c r="N162" s="22">
        <v>44707</v>
      </c>
      <c r="O162" s="26">
        <f t="shared" ca="1" si="3"/>
        <v>0.62074537493122117</v>
      </c>
      <c r="P162" s="29">
        <v>0</v>
      </c>
      <c r="R162" s="22">
        <v>44707</v>
      </c>
      <c r="S162" s="26">
        <f t="shared" ca="1" si="4"/>
        <v>0.97025798126390939</v>
      </c>
      <c r="T162" s="29">
        <v>0</v>
      </c>
      <c r="V162" s="22">
        <v>44707</v>
      </c>
      <c r="W162" s="26">
        <f t="shared" ca="1" si="5"/>
        <v>0.35552094504946696</v>
      </c>
      <c r="X162" s="29">
        <v>0</v>
      </c>
      <c r="Z162" s="22">
        <v>44707</v>
      </c>
      <c r="AA162" s="26">
        <f t="shared" ca="1" si="6"/>
        <v>0.29371127349804926</v>
      </c>
      <c r="AB162" s="29">
        <v>0</v>
      </c>
      <c r="AC162"/>
      <c r="AD162" s="25"/>
      <c r="AF162" s="22">
        <v>44707</v>
      </c>
      <c r="AG162" s="26">
        <f t="shared" ca="1" si="7"/>
        <v>0.97977651684523193</v>
      </c>
      <c r="AH162" s="29">
        <v>0</v>
      </c>
      <c r="AJ162" s="22">
        <v>44707</v>
      </c>
      <c r="AK162" s="26">
        <f t="shared" ca="1" si="8"/>
        <v>3.99667551344699E-2</v>
      </c>
      <c r="AL162" s="29">
        <v>0</v>
      </c>
      <c r="AN162" s="22">
        <v>44707</v>
      </c>
      <c r="AO162" s="26">
        <f t="shared" ca="1" si="9"/>
        <v>0.14964479855827972</v>
      </c>
      <c r="AP162" s="29">
        <v>0</v>
      </c>
      <c r="AR162" s="22">
        <v>44707</v>
      </c>
      <c r="AS162" s="26">
        <f t="shared" ca="1" si="10"/>
        <v>0.86476275049555784</v>
      </c>
      <c r="AT162" s="29">
        <v>0</v>
      </c>
      <c r="AV162" s="22">
        <v>44707</v>
      </c>
      <c r="AW162" s="26">
        <f t="shared" ca="1" si="11"/>
        <v>0.28725307971337755</v>
      </c>
      <c r="AX162" s="29">
        <v>0</v>
      </c>
      <c r="AZ162" s="22">
        <v>44707</v>
      </c>
      <c r="BA162" s="26">
        <f t="shared" ca="1" si="12"/>
        <v>0.53845235797704738</v>
      </c>
      <c r="BB162" s="29">
        <v>0</v>
      </c>
      <c r="BC162"/>
      <c r="BD162" s="25"/>
      <c r="BF162" s="22">
        <v>44707</v>
      </c>
      <c r="BG162" s="26">
        <f t="shared" ca="1" si="13"/>
        <v>8.457671684011403E-2</v>
      </c>
      <c r="BH162" s="29">
        <v>0</v>
      </c>
      <c r="BJ162" s="22">
        <v>44707</v>
      </c>
      <c r="BK162" s="26">
        <f t="shared" ca="1" si="14"/>
        <v>6.7663478946798472E-2</v>
      </c>
      <c r="BL162" s="29">
        <v>0</v>
      </c>
      <c r="BN162" s="22">
        <v>44707</v>
      </c>
      <c r="BO162" s="26">
        <f t="shared" ca="1" si="15"/>
        <v>0.82682578537747298</v>
      </c>
      <c r="BP162" s="29">
        <v>0</v>
      </c>
      <c r="BR162" s="22">
        <v>44707</v>
      </c>
      <c r="BS162" s="26">
        <f t="shared" ca="1" si="16"/>
        <v>0.90942387806520741</v>
      </c>
      <c r="BT162" s="29">
        <v>0</v>
      </c>
      <c r="BV162" s="22">
        <v>44707</v>
      </c>
      <c r="BW162" s="26">
        <f t="shared" ca="1" si="17"/>
        <v>0.91351410753073292</v>
      </c>
      <c r="BX162" s="29">
        <v>0</v>
      </c>
    </row>
    <row r="163" spans="2:77" ht="12.75" x14ac:dyDescent="0.2">
      <c r="B163" s="22">
        <v>44708</v>
      </c>
      <c r="C163" s="26">
        <f t="shared" ca="1" si="0"/>
        <v>0.3149607574557457</v>
      </c>
      <c r="D163" s="29">
        <f t="shared" ca="1" si="24"/>
        <v>66</v>
      </c>
      <c r="F163" s="22">
        <v>44708</v>
      </c>
      <c r="G163" s="26">
        <f t="shared" ca="1" si="1"/>
        <v>0.72598147103533039</v>
      </c>
      <c r="H163" s="29">
        <f t="shared" ca="1" si="25"/>
        <v>225</v>
      </c>
      <c r="J163" s="22">
        <v>44708</v>
      </c>
      <c r="K163" s="26">
        <f t="shared" ca="1" si="2"/>
        <v>0.53874826221699412</v>
      </c>
      <c r="L163" s="29">
        <v>0</v>
      </c>
      <c r="N163" s="22">
        <v>44708</v>
      </c>
      <c r="O163" s="26">
        <f t="shared" ca="1" si="3"/>
        <v>0.88327987011925113</v>
      </c>
      <c r="P163" s="29">
        <v>0</v>
      </c>
      <c r="R163" s="22">
        <v>44708</v>
      </c>
      <c r="S163" s="26">
        <f t="shared" ca="1" si="4"/>
        <v>0.53142826791622244</v>
      </c>
      <c r="T163" s="29">
        <v>0</v>
      </c>
      <c r="V163" s="22">
        <v>44708</v>
      </c>
      <c r="W163" s="26">
        <f t="shared" ca="1" si="5"/>
        <v>0.4669781222313043</v>
      </c>
      <c r="X163" s="29">
        <v>0</v>
      </c>
      <c r="Z163" s="22">
        <v>44708</v>
      </c>
      <c r="AA163" s="26">
        <f t="shared" ca="1" si="6"/>
        <v>0.50658749384795942</v>
      </c>
      <c r="AB163" s="29">
        <v>0</v>
      </c>
      <c r="AC163"/>
      <c r="AD163" s="25"/>
      <c r="AF163" s="22">
        <v>44708</v>
      </c>
      <c r="AG163" s="26">
        <f t="shared" ca="1" si="7"/>
        <v>0.24798996497902981</v>
      </c>
      <c r="AH163" s="29">
        <v>0</v>
      </c>
      <c r="AJ163" s="22">
        <v>44708</v>
      </c>
      <c r="AK163" s="26">
        <f t="shared" ca="1" si="8"/>
        <v>0.77762573477064545</v>
      </c>
      <c r="AL163" s="29">
        <v>0</v>
      </c>
      <c r="AN163" s="22">
        <v>44708</v>
      </c>
      <c r="AO163" s="26">
        <f t="shared" ca="1" si="9"/>
        <v>0.62404898557490163</v>
      </c>
      <c r="AP163" s="29">
        <v>0</v>
      </c>
      <c r="AR163" s="22">
        <v>44708</v>
      </c>
      <c r="AS163" s="26">
        <f t="shared" ca="1" si="10"/>
        <v>0.80140658407326371</v>
      </c>
      <c r="AT163" s="29">
        <v>0</v>
      </c>
      <c r="AV163" s="22">
        <v>44708</v>
      </c>
      <c r="AW163" s="26">
        <f t="shared" ca="1" si="11"/>
        <v>0.11862563730452946</v>
      </c>
      <c r="AX163" s="29">
        <v>0</v>
      </c>
      <c r="AZ163" s="22">
        <v>44708</v>
      </c>
      <c r="BA163" s="26">
        <f t="shared" ca="1" si="12"/>
        <v>0.48703771293428544</v>
      </c>
      <c r="BB163" s="29">
        <v>0</v>
      </c>
      <c r="BC163"/>
      <c r="BD163" s="25"/>
      <c r="BF163" s="22">
        <v>44708</v>
      </c>
      <c r="BG163" s="26">
        <f t="shared" ca="1" si="13"/>
        <v>0.47116257950808171</v>
      </c>
      <c r="BH163" s="29">
        <v>0</v>
      </c>
      <c r="BJ163" s="22">
        <v>44708</v>
      </c>
      <c r="BK163" s="26">
        <f t="shared" ca="1" si="14"/>
        <v>0.3610132245538541</v>
      </c>
      <c r="BL163" s="29">
        <v>0</v>
      </c>
      <c r="BN163" s="22">
        <v>44708</v>
      </c>
      <c r="BO163" s="26">
        <f t="shared" ca="1" si="15"/>
        <v>0.40144758781096934</v>
      </c>
      <c r="BP163" s="29">
        <v>0</v>
      </c>
      <c r="BR163" s="22">
        <v>44708</v>
      </c>
      <c r="BS163" s="26">
        <f t="shared" ca="1" si="16"/>
        <v>0.81493196471305251</v>
      </c>
      <c r="BT163" s="29">
        <v>0</v>
      </c>
      <c r="BV163" s="22">
        <v>44708</v>
      </c>
      <c r="BW163" s="26">
        <f t="shared" ca="1" si="17"/>
        <v>0.99830385465484106</v>
      </c>
      <c r="BX163" s="29">
        <v>0</v>
      </c>
    </row>
    <row r="164" spans="2:77" ht="12.75" x14ac:dyDescent="0.2">
      <c r="B164" s="22">
        <v>44709</v>
      </c>
      <c r="C164" s="26">
        <f t="shared" ca="1" si="0"/>
        <v>0.43143597273907819</v>
      </c>
      <c r="D164" s="29">
        <f t="shared" ca="1" si="24"/>
        <v>72</v>
      </c>
      <c r="F164" s="22">
        <v>44709</v>
      </c>
      <c r="G164" s="26">
        <f t="shared" ca="1" si="1"/>
        <v>0.76356938454968626</v>
      </c>
      <c r="H164" s="29">
        <f t="shared" ca="1" si="25"/>
        <v>226</v>
      </c>
      <c r="J164" s="22">
        <v>44709</v>
      </c>
      <c r="K164" s="26">
        <f t="shared" ca="1" si="2"/>
        <v>0.90867071453841286</v>
      </c>
      <c r="L164" s="29">
        <v>0</v>
      </c>
      <c r="N164" s="22">
        <v>44709</v>
      </c>
      <c r="O164" s="26">
        <f t="shared" ca="1" si="3"/>
        <v>0.20967942863504174</v>
      </c>
      <c r="P164" s="29">
        <v>0</v>
      </c>
      <c r="R164" s="22">
        <v>44709</v>
      </c>
      <c r="S164" s="26">
        <f t="shared" ca="1" si="4"/>
        <v>0.30289329966710088</v>
      </c>
      <c r="T164" s="29">
        <v>0</v>
      </c>
      <c r="V164" s="22">
        <v>44709</v>
      </c>
      <c r="W164" s="26">
        <f t="shared" ca="1" si="5"/>
        <v>0.72626684361224214</v>
      </c>
      <c r="X164" s="29">
        <v>0</v>
      </c>
      <c r="Z164" s="22">
        <v>44709</v>
      </c>
      <c r="AA164" s="26">
        <f t="shared" ca="1" si="6"/>
        <v>0.9018410821413827</v>
      </c>
      <c r="AB164" s="29">
        <v>0</v>
      </c>
      <c r="AC164"/>
      <c r="AD164" s="25"/>
      <c r="AF164" s="22">
        <v>44709</v>
      </c>
      <c r="AG164" s="26">
        <f t="shared" ca="1" si="7"/>
        <v>0.95957999551930628</v>
      </c>
      <c r="AH164" s="29">
        <v>0</v>
      </c>
      <c r="AJ164" s="22">
        <v>44709</v>
      </c>
      <c r="AK164" s="26">
        <f t="shared" ca="1" si="8"/>
        <v>0.90276122914643409</v>
      </c>
      <c r="AL164" s="29">
        <v>0</v>
      </c>
      <c r="AN164" s="22">
        <v>44709</v>
      </c>
      <c r="AO164" s="26">
        <f t="shared" ca="1" si="9"/>
        <v>0.6949860879799763</v>
      </c>
      <c r="AP164" s="29">
        <v>0</v>
      </c>
      <c r="AR164" s="22">
        <v>44709</v>
      </c>
      <c r="AS164" s="26">
        <f t="shared" ca="1" si="10"/>
        <v>0.21809368735659251</v>
      </c>
      <c r="AT164" s="29">
        <v>0</v>
      </c>
      <c r="AV164" s="22">
        <v>44709</v>
      </c>
      <c r="AW164" s="26">
        <f t="shared" ca="1" si="11"/>
        <v>0.33659650932765728</v>
      </c>
      <c r="AX164" s="29">
        <v>0</v>
      </c>
      <c r="AZ164" s="22">
        <v>44709</v>
      </c>
      <c r="BA164" s="26">
        <f t="shared" ca="1" si="12"/>
        <v>0.82217007525912356</v>
      </c>
      <c r="BB164" s="29">
        <v>0</v>
      </c>
      <c r="BC164"/>
      <c r="BD164" s="25"/>
      <c r="BF164" s="22">
        <v>44709</v>
      </c>
      <c r="BG164" s="26">
        <f t="shared" ca="1" si="13"/>
        <v>0.76707608214943035</v>
      </c>
      <c r="BH164" s="29">
        <v>0</v>
      </c>
      <c r="BJ164" s="22">
        <v>44709</v>
      </c>
      <c r="BK164" s="26">
        <f t="shared" ca="1" si="14"/>
        <v>7.0852110791879253E-2</v>
      </c>
      <c r="BL164" s="29">
        <v>0</v>
      </c>
      <c r="BN164" s="22">
        <v>44709</v>
      </c>
      <c r="BO164" s="26">
        <f t="shared" ca="1" si="15"/>
        <v>0.13311735570113559</v>
      </c>
      <c r="BP164" s="29">
        <v>0</v>
      </c>
      <c r="BR164" s="22">
        <v>44709</v>
      </c>
      <c r="BS164" s="26">
        <f t="shared" ca="1" si="16"/>
        <v>0.60491576316722551</v>
      </c>
      <c r="BT164" s="29">
        <v>0</v>
      </c>
      <c r="BV164" s="22">
        <v>44709</v>
      </c>
      <c r="BW164" s="26">
        <f t="shared" ca="1" si="17"/>
        <v>0.96120601324649657</v>
      </c>
      <c r="BX164" s="29">
        <v>0</v>
      </c>
    </row>
    <row r="165" spans="2:77" ht="12.75" x14ac:dyDescent="0.2">
      <c r="B165" s="22">
        <v>44710</v>
      </c>
      <c r="C165" s="26">
        <f t="shared" ca="1" si="0"/>
        <v>0.23158232384837096</v>
      </c>
      <c r="D165" s="29">
        <f t="shared" ca="1" si="24"/>
        <v>61</v>
      </c>
      <c r="F165" s="22">
        <v>44710</v>
      </c>
      <c r="G165" s="26">
        <f t="shared" ca="1" si="1"/>
        <v>5.3315350531452754E-2</v>
      </c>
      <c r="H165" s="29">
        <f t="shared" ca="1" si="25"/>
        <v>193</v>
      </c>
      <c r="J165" s="22">
        <v>44710</v>
      </c>
      <c r="K165" s="26">
        <f t="shared" ca="1" si="2"/>
        <v>0.26432289258114661</v>
      </c>
      <c r="L165" s="29">
        <v>0</v>
      </c>
      <c r="N165" s="22">
        <v>44710</v>
      </c>
      <c r="O165" s="26">
        <f t="shared" ca="1" si="3"/>
        <v>3.5931298759255048E-2</v>
      </c>
      <c r="P165" s="29">
        <v>0</v>
      </c>
      <c r="R165" s="22">
        <v>44710</v>
      </c>
      <c r="S165" s="26">
        <f t="shared" ca="1" si="4"/>
        <v>9.2236152068471022E-2</v>
      </c>
      <c r="T165" s="29">
        <v>0</v>
      </c>
      <c r="V165" s="22">
        <v>44710</v>
      </c>
      <c r="W165" s="26">
        <f t="shared" ca="1" si="5"/>
        <v>0.35539634374933771</v>
      </c>
      <c r="X165" s="29">
        <v>0</v>
      </c>
      <c r="Z165" s="22">
        <v>44710</v>
      </c>
      <c r="AA165" s="26">
        <f t="shared" ca="1" si="6"/>
        <v>0.95823283690294436</v>
      </c>
      <c r="AB165" s="29">
        <v>0</v>
      </c>
      <c r="AC165"/>
      <c r="AD165" s="25"/>
      <c r="AF165" s="22">
        <v>44710</v>
      </c>
      <c r="AG165" s="26">
        <f t="shared" ca="1" si="7"/>
        <v>0.97775675784256488</v>
      </c>
      <c r="AH165" s="29">
        <v>0</v>
      </c>
      <c r="AJ165" s="22">
        <v>44710</v>
      </c>
      <c r="AK165" s="26">
        <f t="shared" ca="1" si="8"/>
        <v>0.89533355007162119</v>
      </c>
      <c r="AL165" s="29">
        <v>0</v>
      </c>
      <c r="AN165" s="22">
        <v>44710</v>
      </c>
      <c r="AO165" s="26">
        <f t="shared" ca="1" si="9"/>
        <v>0.66042584441596763</v>
      </c>
      <c r="AP165" s="29">
        <v>0</v>
      </c>
      <c r="AR165" s="22">
        <v>44710</v>
      </c>
      <c r="AS165" s="26">
        <f t="shared" ca="1" si="10"/>
        <v>0.5610572576827938</v>
      </c>
      <c r="AT165" s="29">
        <v>0</v>
      </c>
      <c r="AV165" s="22">
        <v>44710</v>
      </c>
      <c r="AW165" s="26">
        <f t="shared" ca="1" si="11"/>
        <v>0.39796978710245834</v>
      </c>
      <c r="AX165" s="29">
        <v>0</v>
      </c>
      <c r="AZ165" s="22">
        <v>44710</v>
      </c>
      <c r="BA165" s="26">
        <f t="shared" ca="1" si="12"/>
        <v>0.71109781471973321</v>
      </c>
      <c r="BB165" s="29">
        <v>0</v>
      </c>
      <c r="BC165"/>
      <c r="BD165" s="25"/>
      <c r="BF165" s="22">
        <v>44710</v>
      </c>
      <c r="BG165" s="26">
        <f t="shared" ca="1" si="13"/>
        <v>8.271772300425706E-2</v>
      </c>
      <c r="BH165" s="29">
        <v>0</v>
      </c>
      <c r="BJ165" s="22">
        <v>44710</v>
      </c>
      <c r="BK165" s="26">
        <f t="shared" ca="1" si="14"/>
        <v>0.72632844598186364</v>
      </c>
      <c r="BL165" s="29">
        <v>0</v>
      </c>
      <c r="BN165" s="22">
        <v>44710</v>
      </c>
      <c r="BO165" s="26">
        <f t="shared" ca="1" si="15"/>
        <v>0.21123935077309719</v>
      </c>
      <c r="BP165" s="29">
        <v>0</v>
      </c>
      <c r="BR165" s="22">
        <v>44710</v>
      </c>
      <c r="BS165" s="26">
        <f t="shared" ca="1" si="16"/>
        <v>0.53758000574508225</v>
      </c>
      <c r="BT165" s="29">
        <v>0</v>
      </c>
      <c r="BV165" s="22">
        <v>44710</v>
      </c>
      <c r="BW165" s="26">
        <f t="shared" ca="1" si="17"/>
        <v>1.8635062766827026E-2</v>
      </c>
      <c r="BX165" s="29">
        <v>0</v>
      </c>
    </row>
    <row r="166" spans="2:77" ht="12.75" x14ac:dyDescent="0.2">
      <c r="B166" s="22">
        <v>44711</v>
      </c>
      <c r="C166" s="26">
        <f t="shared" ca="1" si="0"/>
        <v>0.56251351594225463</v>
      </c>
      <c r="D166" s="29">
        <f t="shared" ca="1" si="24"/>
        <v>79</v>
      </c>
      <c r="F166" s="22">
        <v>44711</v>
      </c>
      <c r="G166" s="26">
        <f t="shared" ca="1" si="1"/>
        <v>0.37309291986586168</v>
      </c>
      <c r="H166" s="29">
        <f t="shared" ca="1" si="25"/>
        <v>211</v>
      </c>
      <c r="J166" s="22">
        <v>44711</v>
      </c>
      <c r="K166" s="26">
        <f t="shared" ca="1" si="2"/>
        <v>0.50827024268467669</v>
      </c>
      <c r="L166" s="29">
        <v>0</v>
      </c>
      <c r="N166" s="22">
        <v>44711</v>
      </c>
      <c r="O166" s="26">
        <f t="shared" ca="1" si="3"/>
        <v>0.27280186361082703</v>
      </c>
      <c r="P166" s="29">
        <v>0</v>
      </c>
      <c r="R166" s="22">
        <v>44711</v>
      </c>
      <c r="S166" s="26">
        <f t="shared" ca="1" si="4"/>
        <v>0.93835122105745583</v>
      </c>
      <c r="T166" s="29">
        <v>0</v>
      </c>
      <c r="V166" s="22">
        <v>44711</v>
      </c>
      <c r="W166" s="26">
        <f t="shared" ca="1" si="5"/>
        <v>1.988434678822415E-2</v>
      </c>
      <c r="X166" s="29">
        <v>0</v>
      </c>
      <c r="Z166" s="22">
        <v>44711</v>
      </c>
      <c r="AA166" s="26">
        <f t="shared" ca="1" si="6"/>
        <v>0.56236290232633956</v>
      </c>
      <c r="AB166" s="29">
        <v>0</v>
      </c>
      <c r="AC166"/>
      <c r="AD166" s="25"/>
      <c r="AF166" s="22">
        <v>44711</v>
      </c>
      <c r="AG166" s="26">
        <f t="shared" ca="1" si="7"/>
        <v>0.41555005174218995</v>
      </c>
      <c r="AH166" s="29">
        <v>0</v>
      </c>
      <c r="AJ166" s="22">
        <v>44711</v>
      </c>
      <c r="AK166" s="26">
        <f t="shared" ca="1" si="8"/>
        <v>0.96980341211425447</v>
      </c>
      <c r="AL166" s="29">
        <v>0</v>
      </c>
      <c r="AN166" s="22">
        <v>44711</v>
      </c>
      <c r="AO166" s="26">
        <f t="shared" ca="1" si="9"/>
        <v>0.35326578674014808</v>
      </c>
      <c r="AP166" s="29">
        <v>0</v>
      </c>
      <c r="AR166" s="22">
        <v>44711</v>
      </c>
      <c r="AS166" s="26">
        <f t="shared" ca="1" si="10"/>
        <v>0.50061155198886242</v>
      </c>
      <c r="AT166" s="29">
        <v>0</v>
      </c>
      <c r="AV166" s="22">
        <v>44711</v>
      </c>
      <c r="AW166" s="26">
        <f t="shared" ca="1" si="11"/>
        <v>0.31963523605450517</v>
      </c>
      <c r="AX166" s="29">
        <v>0</v>
      </c>
      <c r="AZ166" s="22">
        <v>44711</v>
      </c>
      <c r="BA166" s="26">
        <f t="shared" ca="1" si="12"/>
        <v>6.0407748495323377E-2</v>
      </c>
      <c r="BB166" s="29">
        <v>0</v>
      </c>
      <c r="BC166"/>
      <c r="BD166" s="25"/>
      <c r="BF166" s="22">
        <v>44711</v>
      </c>
      <c r="BG166" s="26">
        <f t="shared" ca="1" si="13"/>
        <v>0.83289396704315122</v>
      </c>
      <c r="BH166" s="29">
        <v>0</v>
      </c>
      <c r="BJ166" s="22">
        <v>44711</v>
      </c>
      <c r="BK166" s="26">
        <f t="shared" ca="1" si="14"/>
        <v>0.28870973358524754</v>
      </c>
      <c r="BL166" s="29">
        <v>0</v>
      </c>
      <c r="BN166" s="22">
        <v>44711</v>
      </c>
      <c r="BO166" s="26">
        <f t="shared" ca="1" si="15"/>
        <v>0.64819720864692132</v>
      </c>
      <c r="BP166" s="29">
        <v>0</v>
      </c>
      <c r="BR166" s="22">
        <v>44711</v>
      </c>
      <c r="BS166" s="26">
        <f t="shared" ca="1" si="16"/>
        <v>0.25107203143063028</v>
      </c>
      <c r="BT166" s="29">
        <v>0</v>
      </c>
      <c r="BV166" s="22">
        <v>44711</v>
      </c>
      <c r="BW166" s="26">
        <f t="shared" ca="1" si="17"/>
        <v>0.48751324686995889</v>
      </c>
      <c r="BX166" s="29">
        <v>0</v>
      </c>
    </row>
    <row r="167" spans="2:77" ht="12.75" x14ac:dyDescent="0.2">
      <c r="B167" s="22">
        <v>44712</v>
      </c>
      <c r="C167" s="26">
        <f t="shared" ca="1" si="0"/>
        <v>8.6245047058909563E-2</v>
      </c>
      <c r="D167" s="29">
        <f t="shared" ca="1" si="24"/>
        <v>48</v>
      </c>
      <c r="E167">
        <v>2461</v>
      </c>
      <c r="F167" s="22">
        <v>44712</v>
      </c>
      <c r="G167" s="26">
        <f t="shared" ca="1" si="1"/>
        <v>0.61890384782394936</v>
      </c>
      <c r="H167" s="29">
        <f t="shared" ca="1" si="25"/>
        <v>220</v>
      </c>
      <c r="I167">
        <v>6457</v>
      </c>
      <c r="J167" s="22">
        <v>44712</v>
      </c>
      <c r="K167" s="26">
        <f t="shared" ca="1" si="2"/>
        <v>0.74511804431684103</v>
      </c>
      <c r="L167" s="29">
        <v>0</v>
      </c>
      <c r="M167">
        <v>0</v>
      </c>
      <c r="N167" s="22">
        <v>44712</v>
      </c>
      <c r="O167" s="26">
        <f t="shared" ca="1" si="3"/>
        <v>0.22132149120288813</v>
      </c>
      <c r="P167" s="29">
        <v>0</v>
      </c>
      <c r="Q167">
        <v>0</v>
      </c>
      <c r="R167" s="22">
        <v>44712</v>
      </c>
      <c r="S167" s="26">
        <f t="shared" ca="1" si="4"/>
        <v>0.37452523161821816</v>
      </c>
      <c r="T167" s="29">
        <v>0</v>
      </c>
      <c r="U167">
        <v>0</v>
      </c>
      <c r="V167" s="22">
        <v>44712</v>
      </c>
      <c r="W167" s="26">
        <f t="shared" ca="1" si="5"/>
        <v>0.84448841396749386</v>
      </c>
      <c r="X167" s="29">
        <v>0</v>
      </c>
      <c r="Y167">
        <v>0</v>
      </c>
      <c r="Z167" s="22">
        <v>44712</v>
      </c>
      <c r="AA167" s="26">
        <f t="shared" ca="1" si="6"/>
        <v>0.25612315031788346</v>
      </c>
      <c r="AB167" s="29">
        <v>0</v>
      </c>
      <c r="AC167">
        <v>0</v>
      </c>
      <c r="AD167" s="25"/>
      <c r="AF167" s="22">
        <v>44712</v>
      </c>
      <c r="AG167" s="26">
        <f t="shared" ca="1" si="7"/>
        <v>0.75332997797693091</v>
      </c>
      <c r="AH167" s="29">
        <v>0</v>
      </c>
      <c r="AI167">
        <v>0</v>
      </c>
      <c r="AJ167" s="22">
        <v>44712</v>
      </c>
      <c r="AK167" s="26">
        <f t="shared" ca="1" si="8"/>
        <v>0.29138783952307534</v>
      </c>
      <c r="AL167" s="29">
        <v>0</v>
      </c>
      <c r="AM167">
        <v>0</v>
      </c>
      <c r="AN167" s="22">
        <v>44712</v>
      </c>
      <c r="AO167" s="26">
        <f t="shared" ca="1" si="9"/>
        <v>7.5278427513629897E-2</v>
      </c>
      <c r="AP167" s="29">
        <v>0</v>
      </c>
      <c r="AQ167">
        <v>0</v>
      </c>
      <c r="AR167" s="22">
        <v>44712</v>
      </c>
      <c r="AS167" s="26">
        <f t="shared" ca="1" si="10"/>
        <v>0.2272168047476375</v>
      </c>
      <c r="AT167" s="29">
        <v>0</v>
      </c>
      <c r="AU167">
        <v>0</v>
      </c>
      <c r="AV167" s="22">
        <v>44712</v>
      </c>
      <c r="AW167" s="26">
        <f t="shared" ca="1" si="11"/>
        <v>0.95064048026303705</v>
      </c>
      <c r="AX167" s="29">
        <v>0</v>
      </c>
      <c r="AY167">
        <v>0</v>
      </c>
      <c r="AZ167" s="22">
        <v>44712</v>
      </c>
      <c r="BA167" s="26">
        <f t="shared" ca="1" si="12"/>
        <v>0.30598754145550067</v>
      </c>
      <c r="BB167" s="29">
        <v>0</v>
      </c>
      <c r="BC167">
        <v>0</v>
      </c>
      <c r="BD167" s="25"/>
      <c r="BF167" s="22">
        <v>44712</v>
      </c>
      <c r="BG167" s="26">
        <f t="shared" ca="1" si="13"/>
        <v>0.6053518102215788</v>
      </c>
      <c r="BH167" s="29">
        <v>0</v>
      </c>
      <c r="BI167">
        <v>0</v>
      </c>
      <c r="BJ167" s="22">
        <v>44712</v>
      </c>
      <c r="BK167" s="26">
        <f t="shared" ca="1" si="14"/>
        <v>0.30559778885610744</v>
      </c>
      <c r="BL167" s="29">
        <v>0</v>
      </c>
      <c r="BM167">
        <v>0</v>
      </c>
      <c r="BN167" s="22">
        <v>44712</v>
      </c>
      <c r="BO167" s="26">
        <f t="shared" ca="1" si="15"/>
        <v>0.20607745523580845</v>
      </c>
      <c r="BP167" s="29">
        <v>0</v>
      </c>
      <c r="BQ167">
        <v>0</v>
      </c>
      <c r="BR167" s="22">
        <v>44712</v>
      </c>
      <c r="BS167" s="26">
        <f t="shared" ca="1" si="16"/>
        <v>9.0055870374196934E-2</v>
      </c>
      <c r="BT167" s="29">
        <v>0</v>
      </c>
      <c r="BU167">
        <v>0</v>
      </c>
      <c r="BV167" s="22">
        <v>44712</v>
      </c>
      <c r="BW167" s="26">
        <f t="shared" ca="1" si="17"/>
        <v>0.44588290516626894</v>
      </c>
      <c r="BX167" s="29">
        <v>0</v>
      </c>
      <c r="BY167">
        <v>0</v>
      </c>
    </row>
    <row r="168" spans="2:77" ht="12.75" x14ac:dyDescent="0.2">
      <c r="B168" s="22">
        <v>44713</v>
      </c>
      <c r="C168" s="26">
        <f t="shared" ca="1" si="0"/>
        <v>0.76612128834928217</v>
      </c>
      <c r="D168" s="29">
        <f ca="1">ROUNDUP(_xlfn.NORM.INV(C167,C$10,C$12),0)</f>
        <v>48</v>
      </c>
      <c r="F168" s="22">
        <v>44713</v>
      </c>
      <c r="G168" s="26">
        <f t="shared" ca="1" si="1"/>
        <v>0.23373913453982342</v>
      </c>
      <c r="H168" s="29">
        <f ca="1">ROUNDUP(_xlfn.NORM.INV(G167,G$10,G$12),0)</f>
        <v>220</v>
      </c>
      <c r="J168" s="22">
        <v>44713</v>
      </c>
      <c r="K168" s="26">
        <f t="shared" ca="1" si="2"/>
        <v>0.76058935356728818</v>
      </c>
      <c r="L168" s="29">
        <v>0</v>
      </c>
      <c r="N168" s="22">
        <v>44713</v>
      </c>
      <c r="O168" s="26">
        <f t="shared" ca="1" si="3"/>
        <v>2.122505852299239E-2</v>
      </c>
      <c r="P168" s="29">
        <v>0</v>
      </c>
      <c r="R168" s="22">
        <v>44713</v>
      </c>
      <c r="S168" s="26">
        <f t="shared" ca="1" si="4"/>
        <v>0.42193431276042992</v>
      </c>
      <c r="T168" s="29">
        <v>0</v>
      </c>
      <c r="V168" s="22">
        <v>44713</v>
      </c>
      <c r="W168" s="26">
        <f t="shared" ca="1" si="5"/>
        <v>0.11937688903924637</v>
      </c>
      <c r="X168" s="29">
        <v>0</v>
      </c>
      <c r="Z168" s="22">
        <v>44713</v>
      </c>
      <c r="AA168" s="26">
        <f t="shared" ca="1" si="6"/>
        <v>0.86281573716077165</v>
      </c>
      <c r="AB168" s="29">
        <v>0</v>
      </c>
      <c r="AC168"/>
      <c r="AD168" s="25"/>
      <c r="AF168" s="22">
        <v>44713</v>
      </c>
      <c r="AG168" s="26">
        <f t="shared" ca="1" si="7"/>
        <v>0.3492237980153774</v>
      </c>
      <c r="AH168" s="29">
        <v>0</v>
      </c>
      <c r="AJ168" s="22">
        <v>44713</v>
      </c>
      <c r="AK168" s="26">
        <f t="shared" ca="1" si="8"/>
        <v>0.43379031207709906</v>
      </c>
      <c r="AL168" s="29">
        <v>0</v>
      </c>
      <c r="AN168" s="22">
        <v>44713</v>
      </c>
      <c r="AO168" s="26">
        <f t="shared" ca="1" si="9"/>
        <v>9.8782555631096169E-2</v>
      </c>
      <c r="AP168" s="29">
        <v>0</v>
      </c>
      <c r="AR168" s="22">
        <v>44713</v>
      </c>
      <c r="AS168" s="26">
        <f t="shared" ca="1" si="10"/>
        <v>0.50254179615255756</v>
      </c>
      <c r="AT168" s="29">
        <v>0</v>
      </c>
      <c r="AV168" s="22">
        <v>44713</v>
      </c>
      <c r="AW168" s="26">
        <f t="shared" ca="1" si="11"/>
        <v>0.96401431953521222</v>
      </c>
      <c r="AX168" s="29">
        <v>0</v>
      </c>
      <c r="AZ168" s="22">
        <v>44713</v>
      </c>
      <c r="BA168" s="26">
        <f t="shared" ca="1" si="12"/>
        <v>0.52256798757012568</v>
      </c>
      <c r="BB168" s="29">
        <v>0</v>
      </c>
      <c r="BC168"/>
      <c r="BD168" s="25"/>
      <c r="BF168" s="22">
        <v>44713</v>
      </c>
      <c r="BG168" s="26">
        <f t="shared" ca="1" si="13"/>
        <v>0.83316788666058961</v>
      </c>
      <c r="BH168" s="29">
        <v>0</v>
      </c>
      <c r="BJ168" s="22">
        <v>44713</v>
      </c>
      <c r="BK168" s="26">
        <f t="shared" ca="1" si="14"/>
        <v>0.26181555379511956</v>
      </c>
      <c r="BL168" s="29">
        <v>0</v>
      </c>
      <c r="BN168" s="22">
        <v>44713</v>
      </c>
      <c r="BO168" s="26">
        <f t="shared" ca="1" si="15"/>
        <v>0.27382127048059746</v>
      </c>
      <c r="BP168" s="29">
        <v>0</v>
      </c>
      <c r="BR168" s="22">
        <v>44713</v>
      </c>
      <c r="BS168" s="26">
        <f t="shared" ca="1" si="16"/>
        <v>0.63724106708959904</v>
      </c>
      <c r="BT168" s="29">
        <v>0</v>
      </c>
      <c r="BV168" s="22">
        <v>44713</v>
      </c>
      <c r="BW168" s="26">
        <f t="shared" ca="1" si="17"/>
        <v>0.49113200561230963</v>
      </c>
      <c r="BX168" s="29">
        <v>0</v>
      </c>
    </row>
    <row r="169" spans="2:77" ht="12.75" x14ac:dyDescent="0.2">
      <c r="B169" s="22">
        <v>44714</v>
      </c>
      <c r="C169" s="26">
        <f t="shared" ca="1" si="0"/>
        <v>0.18089361273130355</v>
      </c>
      <c r="D169" s="29">
        <f t="shared" ca="1" si="24"/>
        <v>57</v>
      </c>
      <c r="F169" s="22">
        <v>44714</v>
      </c>
      <c r="G169" s="26">
        <f t="shared" ca="1" si="1"/>
        <v>0.99020668266262535</v>
      </c>
      <c r="H169" s="29">
        <f t="shared" ca="1" si="25"/>
        <v>249</v>
      </c>
      <c r="J169" s="22">
        <v>44714</v>
      </c>
      <c r="K169" s="26">
        <f t="shared" ca="1" si="2"/>
        <v>9.7011276079632114E-2</v>
      </c>
      <c r="L169" s="29">
        <v>0</v>
      </c>
      <c r="N169" s="22">
        <v>44714</v>
      </c>
      <c r="O169" s="26">
        <f t="shared" ca="1" si="3"/>
        <v>0.70673348178134032</v>
      </c>
      <c r="P169" s="29">
        <v>0</v>
      </c>
      <c r="R169" s="22">
        <v>44714</v>
      </c>
      <c r="S169" s="26">
        <f t="shared" ca="1" si="4"/>
        <v>0.3927149000259772</v>
      </c>
      <c r="T169" s="29">
        <v>0</v>
      </c>
      <c r="V169" s="22">
        <v>44714</v>
      </c>
      <c r="W169" s="26">
        <f t="shared" ca="1" si="5"/>
        <v>0.91693980357525773</v>
      </c>
      <c r="X169" s="29">
        <v>0</v>
      </c>
      <c r="Z169" s="22">
        <v>44714</v>
      </c>
      <c r="AA169" s="26">
        <f t="shared" ca="1" si="6"/>
        <v>0.97780939472864115</v>
      </c>
      <c r="AB169" s="29">
        <v>0</v>
      </c>
      <c r="AC169"/>
      <c r="AD169" s="25"/>
      <c r="AF169" s="22">
        <v>44714</v>
      </c>
      <c r="AG169" s="26">
        <f t="shared" ca="1" si="7"/>
        <v>0.68696716979655115</v>
      </c>
      <c r="AH169" s="29">
        <v>0</v>
      </c>
      <c r="AJ169" s="22">
        <v>44714</v>
      </c>
      <c r="AK169" s="26">
        <f t="shared" ca="1" si="8"/>
        <v>8.7520329227327442E-2</v>
      </c>
      <c r="AL169" s="29">
        <v>0</v>
      </c>
      <c r="AN169" s="22">
        <v>44714</v>
      </c>
      <c r="AO169" s="26">
        <f t="shared" ca="1" si="9"/>
        <v>0.84283182947476154</v>
      </c>
      <c r="AP169" s="29">
        <v>0</v>
      </c>
      <c r="AR169" s="22">
        <v>44714</v>
      </c>
      <c r="AS169" s="26">
        <f t="shared" ca="1" si="10"/>
        <v>0.49587845542709219</v>
      </c>
      <c r="AT169" s="29">
        <v>0</v>
      </c>
      <c r="AV169" s="22">
        <v>44714</v>
      </c>
      <c r="AW169" s="26">
        <f t="shared" ca="1" si="11"/>
        <v>0.94996412643197425</v>
      </c>
      <c r="AX169" s="29">
        <v>0</v>
      </c>
      <c r="AZ169" s="22">
        <v>44714</v>
      </c>
      <c r="BA169" s="26">
        <f t="shared" ca="1" si="12"/>
        <v>0.42246075603766853</v>
      </c>
      <c r="BB169" s="29">
        <v>0</v>
      </c>
      <c r="BC169"/>
      <c r="BD169" s="25"/>
      <c r="BF169" s="22">
        <v>44714</v>
      </c>
      <c r="BG169" s="26">
        <f t="shared" ca="1" si="13"/>
        <v>0.37256273097231585</v>
      </c>
      <c r="BH169" s="29">
        <v>0</v>
      </c>
      <c r="BJ169" s="22">
        <v>44714</v>
      </c>
      <c r="BK169" s="26">
        <f t="shared" ca="1" si="14"/>
        <v>3.4548065783066351E-2</v>
      </c>
      <c r="BL169" s="29">
        <v>0</v>
      </c>
      <c r="BN169" s="22">
        <v>44714</v>
      </c>
      <c r="BO169" s="26">
        <f t="shared" ca="1" si="15"/>
        <v>1.2683149752204304E-2</v>
      </c>
      <c r="BP169" s="29">
        <v>0</v>
      </c>
      <c r="BR169" s="22">
        <v>44714</v>
      </c>
      <c r="BS169" s="26">
        <f t="shared" ca="1" si="16"/>
        <v>9.6417644124493718E-2</v>
      </c>
      <c r="BT169" s="29">
        <v>0</v>
      </c>
      <c r="BV169" s="22">
        <v>44714</v>
      </c>
      <c r="BW169" s="26">
        <f t="shared" ca="1" si="17"/>
        <v>0.40851798998901112</v>
      </c>
      <c r="BX169" s="29">
        <v>0</v>
      </c>
    </row>
    <row r="170" spans="2:77" ht="12.75" x14ac:dyDescent="0.2">
      <c r="B170" s="22">
        <v>44715</v>
      </c>
      <c r="C170" s="26">
        <f t="shared" ca="1" si="0"/>
        <v>0.17405070478407469</v>
      </c>
      <c r="D170" s="29">
        <f t="shared" ca="1" si="24"/>
        <v>57</v>
      </c>
      <c r="F170" s="22">
        <v>44715</v>
      </c>
      <c r="G170" s="26">
        <f t="shared" ca="1" si="1"/>
        <v>0.82996874113232755</v>
      </c>
      <c r="H170" s="29">
        <f t="shared" ca="1" si="25"/>
        <v>230</v>
      </c>
      <c r="J170" s="22">
        <v>44715</v>
      </c>
      <c r="K170" s="26">
        <f t="shared" ca="1" si="2"/>
        <v>0.30047968905031619</v>
      </c>
      <c r="L170" s="29">
        <v>0</v>
      </c>
      <c r="N170" s="22">
        <v>44715</v>
      </c>
      <c r="O170" s="26">
        <f t="shared" ca="1" si="3"/>
        <v>4.459790042736278E-2</v>
      </c>
      <c r="P170" s="29">
        <v>0</v>
      </c>
      <c r="R170" s="22">
        <v>44715</v>
      </c>
      <c r="S170" s="26">
        <f t="shared" ca="1" si="4"/>
        <v>0.33450119203404072</v>
      </c>
      <c r="T170" s="29">
        <v>0</v>
      </c>
      <c r="V170" s="22">
        <v>44715</v>
      </c>
      <c r="W170" s="26">
        <f t="shared" ca="1" si="5"/>
        <v>0.26389009080397285</v>
      </c>
      <c r="X170" s="29">
        <v>0</v>
      </c>
      <c r="Z170" s="22">
        <v>44715</v>
      </c>
      <c r="AA170" s="26">
        <f t="shared" ca="1" si="6"/>
        <v>0.63008278308069177</v>
      </c>
      <c r="AB170" s="29">
        <v>0</v>
      </c>
      <c r="AC170"/>
      <c r="AD170" s="25"/>
      <c r="AF170" s="22">
        <v>44715</v>
      </c>
      <c r="AG170" s="26">
        <f t="shared" ca="1" si="7"/>
        <v>0.29928311875745151</v>
      </c>
      <c r="AH170" s="29">
        <v>0</v>
      </c>
      <c r="AJ170" s="22">
        <v>44715</v>
      </c>
      <c r="AK170" s="26">
        <f t="shared" ca="1" si="8"/>
        <v>0.1559300879741301</v>
      </c>
      <c r="AL170" s="29">
        <v>0</v>
      </c>
      <c r="AN170" s="22">
        <v>44715</v>
      </c>
      <c r="AO170" s="26">
        <f t="shared" ca="1" si="9"/>
        <v>0.24499768600836302</v>
      </c>
      <c r="AP170" s="29">
        <v>0</v>
      </c>
      <c r="AR170" s="22">
        <v>44715</v>
      </c>
      <c r="AS170" s="26">
        <f t="shared" ca="1" si="10"/>
        <v>0.47563730735506815</v>
      </c>
      <c r="AT170" s="29">
        <v>0</v>
      </c>
      <c r="AV170" s="22">
        <v>44715</v>
      </c>
      <c r="AW170" s="26">
        <f t="shared" ca="1" si="11"/>
        <v>0.16476704414326282</v>
      </c>
      <c r="AX170" s="29">
        <v>0</v>
      </c>
      <c r="AZ170" s="22">
        <v>44715</v>
      </c>
      <c r="BA170" s="26">
        <f t="shared" ca="1" si="12"/>
        <v>0.39495641666688475</v>
      </c>
      <c r="BB170" s="29">
        <v>0</v>
      </c>
      <c r="BC170"/>
      <c r="BD170" s="25"/>
      <c r="BF170" s="22">
        <v>44715</v>
      </c>
      <c r="BG170" s="26">
        <f t="shared" ca="1" si="13"/>
        <v>0.69876223930108572</v>
      </c>
      <c r="BH170" s="29">
        <v>0</v>
      </c>
      <c r="BJ170" s="22">
        <v>44715</v>
      </c>
      <c r="BK170" s="26">
        <f t="shared" ca="1" si="14"/>
        <v>3.5925120334670213E-2</v>
      </c>
      <c r="BL170" s="29">
        <v>0</v>
      </c>
      <c r="BN170" s="22">
        <v>44715</v>
      </c>
      <c r="BO170" s="26">
        <f t="shared" ca="1" si="15"/>
        <v>0.19911723884429799</v>
      </c>
      <c r="BP170" s="29">
        <v>0</v>
      </c>
      <c r="BR170" s="22">
        <v>44715</v>
      </c>
      <c r="BS170" s="26">
        <f t="shared" ca="1" si="16"/>
        <v>9.4763720254237627E-2</v>
      </c>
      <c r="BT170" s="29">
        <v>0</v>
      </c>
      <c r="BV170" s="22">
        <v>44715</v>
      </c>
      <c r="BW170" s="26">
        <f t="shared" ca="1" si="17"/>
        <v>0.5436463449832164</v>
      </c>
      <c r="BX170" s="29">
        <v>0</v>
      </c>
    </row>
    <row r="171" spans="2:77" ht="12.75" x14ac:dyDescent="0.2">
      <c r="B171" s="22">
        <v>44716</v>
      </c>
      <c r="C171" s="26">
        <f t="shared" ca="1" si="0"/>
        <v>4.8827650871322681E-2</v>
      </c>
      <c r="D171" s="29">
        <f t="shared" ca="1" si="24"/>
        <v>42</v>
      </c>
      <c r="F171" s="22">
        <v>44716</v>
      </c>
      <c r="G171" s="26">
        <f t="shared" ca="1" si="1"/>
        <v>0.79386095219941721</v>
      </c>
      <c r="H171" s="29">
        <f t="shared" ca="1" si="25"/>
        <v>228</v>
      </c>
      <c r="J171" s="22">
        <v>44716</v>
      </c>
      <c r="K171" s="26">
        <f t="shared" ca="1" si="2"/>
        <v>0.85198007133172748</v>
      </c>
      <c r="L171" s="29">
        <v>0</v>
      </c>
      <c r="N171" s="22">
        <v>44716</v>
      </c>
      <c r="O171" s="26">
        <f t="shared" ca="1" si="3"/>
        <v>0.64870252238209192</v>
      </c>
      <c r="P171" s="29">
        <v>0</v>
      </c>
      <c r="R171" s="22">
        <v>44716</v>
      </c>
      <c r="S171" s="26">
        <f t="shared" ca="1" si="4"/>
        <v>0.77118895508107443</v>
      </c>
      <c r="T171" s="29">
        <v>0</v>
      </c>
      <c r="V171" s="22">
        <v>44716</v>
      </c>
      <c r="W171" s="26">
        <f t="shared" ca="1" si="5"/>
        <v>0.88744051961408632</v>
      </c>
      <c r="X171" s="29">
        <v>0</v>
      </c>
      <c r="Z171" s="22">
        <v>44716</v>
      </c>
      <c r="AA171" s="26">
        <f t="shared" ca="1" si="6"/>
        <v>0.71777827945186023</v>
      </c>
      <c r="AB171" s="29">
        <v>0</v>
      </c>
      <c r="AC171"/>
      <c r="AD171" s="25"/>
      <c r="AF171" s="22">
        <v>44716</v>
      </c>
      <c r="AG171" s="26">
        <f t="shared" ca="1" si="7"/>
        <v>0.8623535720440737</v>
      </c>
      <c r="AH171" s="29">
        <v>0</v>
      </c>
      <c r="AJ171" s="22">
        <v>44716</v>
      </c>
      <c r="AK171" s="26">
        <f t="shared" ca="1" si="8"/>
        <v>0.72464115310519261</v>
      </c>
      <c r="AL171" s="29">
        <v>0</v>
      </c>
      <c r="AN171" s="22">
        <v>44716</v>
      </c>
      <c r="AO171" s="26">
        <f t="shared" ca="1" si="9"/>
        <v>0.58565231431489251</v>
      </c>
      <c r="AP171" s="29">
        <v>0</v>
      </c>
      <c r="AR171" s="22">
        <v>44716</v>
      </c>
      <c r="AS171" s="26">
        <f t="shared" ca="1" si="10"/>
        <v>0.50600119949443323</v>
      </c>
      <c r="AT171" s="29">
        <v>0</v>
      </c>
      <c r="AV171" s="22">
        <v>44716</v>
      </c>
      <c r="AW171" s="26">
        <f t="shared" ca="1" si="11"/>
        <v>0.63547462950163847</v>
      </c>
      <c r="AX171" s="29">
        <v>0</v>
      </c>
      <c r="AZ171" s="22">
        <v>44716</v>
      </c>
      <c r="BA171" s="26">
        <f t="shared" ca="1" si="12"/>
        <v>0.7536318259749708</v>
      </c>
      <c r="BB171" s="29">
        <v>0</v>
      </c>
      <c r="BC171"/>
      <c r="BD171" s="25"/>
      <c r="BF171" s="22">
        <v>44716</v>
      </c>
      <c r="BG171" s="26">
        <f t="shared" ca="1" si="13"/>
        <v>0.86384783256921072</v>
      </c>
      <c r="BH171" s="29">
        <v>0</v>
      </c>
      <c r="BJ171" s="22">
        <v>44716</v>
      </c>
      <c r="BK171" s="26">
        <f t="shared" ca="1" si="14"/>
        <v>0.68028783353734723</v>
      </c>
      <c r="BL171" s="29">
        <v>0</v>
      </c>
      <c r="BN171" s="22">
        <v>44716</v>
      </c>
      <c r="BO171" s="26">
        <f t="shared" ca="1" si="15"/>
        <v>0.17952129797385219</v>
      </c>
      <c r="BP171" s="29">
        <v>0</v>
      </c>
      <c r="BR171" s="22">
        <v>44716</v>
      </c>
      <c r="BS171" s="26">
        <f t="shared" ca="1" si="16"/>
        <v>0.22989092310108794</v>
      </c>
      <c r="BT171" s="29">
        <v>0</v>
      </c>
      <c r="BV171" s="22">
        <v>44716</v>
      </c>
      <c r="BW171" s="26">
        <f t="shared" ca="1" si="17"/>
        <v>0.50012959128112366</v>
      </c>
      <c r="BX171" s="29">
        <v>0</v>
      </c>
    </row>
    <row r="172" spans="2:77" ht="12.75" x14ac:dyDescent="0.2">
      <c r="B172" s="22">
        <v>44717</v>
      </c>
      <c r="C172" s="26">
        <f t="shared" ca="1" si="0"/>
        <v>0.82723559531229074</v>
      </c>
      <c r="D172" s="29">
        <f t="shared" ca="1" si="24"/>
        <v>94</v>
      </c>
      <c r="F172" s="22">
        <v>44717</v>
      </c>
      <c r="G172" s="26">
        <f t="shared" ca="1" si="1"/>
        <v>7.3317328684109451E-2</v>
      </c>
      <c r="H172" s="29">
        <f t="shared" ca="1" si="25"/>
        <v>195</v>
      </c>
      <c r="J172" s="22">
        <v>44717</v>
      </c>
      <c r="K172" s="26">
        <f t="shared" ca="1" si="2"/>
        <v>0.35549500286357749</v>
      </c>
      <c r="L172" s="29">
        <v>0</v>
      </c>
      <c r="N172" s="22">
        <v>44717</v>
      </c>
      <c r="O172" s="26">
        <f t="shared" ca="1" si="3"/>
        <v>0.8082179617322125</v>
      </c>
      <c r="P172" s="29">
        <v>0</v>
      </c>
      <c r="R172" s="22">
        <v>44717</v>
      </c>
      <c r="S172" s="26">
        <f t="shared" ca="1" si="4"/>
        <v>9.4949610885819435E-3</v>
      </c>
      <c r="T172" s="29">
        <v>0</v>
      </c>
      <c r="V172" s="22">
        <v>44717</v>
      </c>
      <c r="W172" s="26">
        <f t="shared" ca="1" si="5"/>
        <v>0.22341985059186764</v>
      </c>
      <c r="X172" s="29">
        <v>0</v>
      </c>
      <c r="Z172" s="22">
        <v>44717</v>
      </c>
      <c r="AA172" s="26">
        <f t="shared" ca="1" si="6"/>
        <v>0.99004252104352775</v>
      </c>
      <c r="AB172" s="29">
        <v>0</v>
      </c>
      <c r="AC172"/>
      <c r="AD172" s="25"/>
      <c r="AF172" s="22">
        <v>44717</v>
      </c>
      <c r="AG172" s="26">
        <f t="shared" ca="1" si="7"/>
        <v>0.33397172068959124</v>
      </c>
      <c r="AH172" s="29">
        <v>0</v>
      </c>
      <c r="AJ172" s="22">
        <v>44717</v>
      </c>
      <c r="AK172" s="26">
        <f t="shared" ca="1" si="8"/>
        <v>5.6478802523173277E-3</v>
      </c>
      <c r="AL172" s="29">
        <v>0</v>
      </c>
      <c r="AN172" s="22">
        <v>44717</v>
      </c>
      <c r="AO172" s="26">
        <f t="shared" ca="1" si="9"/>
        <v>0.21246811512366637</v>
      </c>
      <c r="AP172" s="29">
        <v>0</v>
      </c>
      <c r="AR172" s="22">
        <v>44717</v>
      </c>
      <c r="AS172" s="26">
        <f t="shared" ca="1" si="10"/>
        <v>0.17492776428680501</v>
      </c>
      <c r="AT172" s="29">
        <v>0</v>
      </c>
      <c r="AV172" s="22">
        <v>44717</v>
      </c>
      <c r="AW172" s="26">
        <f t="shared" ca="1" si="11"/>
        <v>0.49815163000287621</v>
      </c>
      <c r="AX172" s="29">
        <v>0</v>
      </c>
      <c r="AZ172" s="22">
        <v>44717</v>
      </c>
      <c r="BA172" s="26">
        <f t="shared" ca="1" si="12"/>
        <v>0.16072109366989129</v>
      </c>
      <c r="BB172" s="29">
        <v>0</v>
      </c>
      <c r="BC172"/>
      <c r="BD172" s="25"/>
      <c r="BF172" s="22">
        <v>44717</v>
      </c>
      <c r="BG172" s="26">
        <f t="shared" ca="1" si="13"/>
        <v>0.33482364245199459</v>
      </c>
      <c r="BH172" s="29">
        <v>0</v>
      </c>
      <c r="BJ172" s="22">
        <v>44717</v>
      </c>
      <c r="BK172" s="26">
        <f t="shared" ca="1" si="14"/>
        <v>0.80373512731651353</v>
      </c>
      <c r="BL172" s="29">
        <v>0</v>
      </c>
      <c r="BN172" s="22">
        <v>44717</v>
      </c>
      <c r="BO172" s="26">
        <f t="shared" ca="1" si="15"/>
        <v>0.43118833353362251</v>
      </c>
      <c r="BP172" s="29">
        <v>0</v>
      </c>
      <c r="BR172" s="22">
        <v>44717</v>
      </c>
      <c r="BS172" s="26">
        <f t="shared" ca="1" si="16"/>
        <v>0.2930274920654361</v>
      </c>
      <c r="BT172" s="29">
        <v>0</v>
      </c>
      <c r="BV172" s="22">
        <v>44717</v>
      </c>
      <c r="BW172" s="26">
        <f t="shared" ca="1" si="17"/>
        <v>0.10682900211395452</v>
      </c>
      <c r="BX172" s="29">
        <v>0</v>
      </c>
    </row>
    <row r="173" spans="2:77" ht="12.75" x14ac:dyDescent="0.2">
      <c r="B173" s="22">
        <v>44718</v>
      </c>
      <c r="C173" s="26">
        <f t="shared" ca="1" si="0"/>
        <v>0.19853169203901722</v>
      </c>
      <c r="D173" s="29">
        <f t="shared" ca="1" si="24"/>
        <v>59</v>
      </c>
      <c r="F173" s="22">
        <v>44718</v>
      </c>
      <c r="G173" s="26">
        <f t="shared" ca="1" si="1"/>
        <v>0.17858315792870949</v>
      </c>
      <c r="H173" s="29">
        <f t="shared" ca="1" si="25"/>
        <v>203</v>
      </c>
      <c r="J173" s="22">
        <v>44718</v>
      </c>
      <c r="K173" s="26">
        <f t="shared" ca="1" si="2"/>
        <v>0.33655704112948526</v>
      </c>
      <c r="L173" s="29">
        <v>0</v>
      </c>
      <c r="N173" s="22">
        <v>44718</v>
      </c>
      <c r="O173" s="26">
        <f t="shared" ca="1" si="3"/>
        <v>0.58209678127040254</v>
      </c>
      <c r="P173" s="29">
        <v>0</v>
      </c>
      <c r="R173" s="22">
        <v>44718</v>
      </c>
      <c r="S173" s="26">
        <f t="shared" ca="1" si="4"/>
        <v>0.16123251938188699</v>
      </c>
      <c r="T173" s="29">
        <v>0</v>
      </c>
      <c r="V173" s="22">
        <v>44718</v>
      </c>
      <c r="W173" s="26">
        <f t="shared" ca="1" si="5"/>
        <v>0.77186199477784223</v>
      </c>
      <c r="X173" s="29">
        <v>0</v>
      </c>
      <c r="Z173" s="22">
        <v>44718</v>
      </c>
      <c r="AA173" s="26">
        <f t="shared" ca="1" si="6"/>
        <v>0.47124883321010158</v>
      </c>
      <c r="AB173" s="29">
        <v>0</v>
      </c>
      <c r="AC173"/>
      <c r="AD173" s="25"/>
      <c r="AF173" s="22">
        <v>44718</v>
      </c>
      <c r="AG173" s="26">
        <f t="shared" ca="1" si="7"/>
        <v>0.35096294766440828</v>
      </c>
      <c r="AH173" s="29">
        <v>0</v>
      </c>
      <c r="AJ173" s="22">
        <v>44718</v>
      </c>
      <c r="AK173" s="26">
        <f t="shared" ca="1" si="8"/>
        <v>0.11234655394729287</v>
      </c>
      <c r="AL173" s="29">
        <v>0</v>
      </c>
      <c r="AN173" s="22">
        <v>44718</v>
      </c>
      <c r="AO173" s="26">
        <f t="shared" ca="1" si="9"/>
        <v>0.27379335227135448</v>
      </c>
      <c r="AP173" s="29">
        <v>0</v>
      </c>
      <c r="AR173" s="22">
        <v>44718</v>
      </c>
      <c r="AS173" s="26">
        <f t="shared" ca="1" si="10"/>
        <v>0.28400731960464121</v>
      </c>
      <c r="AT173" s="29">
        <v>0</v>
      </c>
      <c r="AV173" s="22">
        <v>44718</v>
      </c>
      <c r="AW173" s="26">
        <f t="shared" ca="1" si="11"/>
        <v>0.1640965558823031</v>
      </c>
      <c r="AX173" s="29">
        <v>0</v>
      </c>
      <c r="AZ173" s="22">
        <v>44718</v>
      </c>
      <c r="BA173" s="26">
        <f t="shared" ca="1" si="12"/>
        <v>0.16302550836867014</v>
      </c>
      <c r="BB173" s="29">
        <v>0</v>
      </c>
      <c r="BC173"/>
      <c r="BD173" s="25"/>
      <c r="BF173" s="22">
        <v>44718</v>
      </c>
      <c r="BG173" s="26">
        <f t="shared" ca="1" si="13"/>
        <v>0.18949253964531065</v>
      </c>
      <c r="BH173" s="29">
        <v>0</v>
      </c>
      <c r="BJ173" s="22">
        <v>44718</v>
      </c>
      <c r="BK173" s="26">
        <f t="shared" ca="1" si="14"/>
        <v>0.52354020231331477</v>
      </c>
      <c r="BL173" s="29">
        <v>0</v>
      </c>
      <c r="BN173" s="22">
        <v>44718</v>
      </c>
      <c r="BO173" s="26">
        <f t="shared" ca="1" si="15"/>
        <v>6.1198531955854452E-2</v>
      </c>
      <c r="BP173" s="29">
        <v>0</v>
      </c>
      <c r="BR173" s="22">
        <v>44718</v>
      </c>
      <c r="BS173" s="26">
        <f t="shared" ca="1" si="16"/>
        <v>0.61772785451310275</v>
      </c>
      <c r="BT173" s="29">
        <v>0</v>
      </c>
      <c r="BV173" s="22">
        <v>44718</v>
      </c>
      <c r="BW173" s="26">
        <f t="shared" ca="1" si="17"/>
        <v>0.30201092670322871</v>
      </c>
      <c r="BX173" s="29">
        <v>0</v>
      </c>
    </row>
    <row r="174" spans="2:77" ht="12.75" x14ac:dyDescent="0.2">
      <c r="B174" s="22">
        <v>44719</v>
      </c>
      <c r="C174" s="26">
        <f t="shared" ca="1" si="0"/>
        <v>0.24223043643336395</v>
      </c>
      <c r="D174" s="29">
        <f t="shared" ca="1" si="24"/>
        <v>62</v>
      </c>
      <c r="F174" s="22">
        <v>44719</v>
      </c>
      <c r="G174" s="26">
        <f t="shared" ca="1" si="1"/>
        <v>0.98035998476244202</v>
      </c>
      <c r="H174" s="29">
        <f t="shared" ca="1" si="25"/>
        <v>245</v>
      </c>
      <c r="J174" s="22">
        <v>44719</v>
      </c>
      <c r="K174" s="26">
        <f t="shared" ca="1" si="2"/>
        <v>0.86134457935112163</v>
      </c>
      <c r="L174" s="29">
        <v>0</v>
      </c>
      <c r="N174" s="22">
        <v>44719</v>
      </c>
      <c r="O174" s="26">
        <f t="shared" ca="1" si="3"/>
        <v>0.38684895993282009</v>
      </c>
      <c r="P174" s="29">
        <v>0</v>
      </c>
      <c r="R174" s="22">
        <v>44719</v>
      </c>
      <c r="S174" s="26">
        <f t="shared" ca="1" si="4"/>
        <v>1.3027999315776584E-2</v>
      </c>
      <c r="T174" s="29">
        <v>0</v>
      </c>
      <c r="V174" s="22">
        <v>44719</v>
      </c>
      <c r="W174" s="26">
        <f t="shared" ca="1" si="5"/>
        <v>0.7724887213053131</v>
      </c>
      <c r="X174" s="29">
        <v>0</v>
      </c>
      <c r="Z174" s="22">
        <v>44719</v>
      </c>
      <c r="AA174" s="26">
        <f t="shared" ca="1" si="6"/>
        <v>0.29259389214568776</v>
      </c>
      <c r="AB174" s="29">
        <v>0</v>
      </c>
      <c r="AC174"/>
      <c r="AD174" s="25"/>
      <c r="AF174" s="22">
        <v>44719</v>
      </c>
      <c r="AG174" s="26">
        <f t="shared" ca="1" si="7"/>
        <v>0.48981780292276356</v>
      </c>
      <c r="AH174" s="29">
        <v>0</v>
      </c>
      <c r="AJ174" s="22">
        <v>44719</v>
      </c>
      <c r="AK174" s="26">
        <f t="shared" ca="1" si="8"/>
        <v>0.86425918606076468</v>
      </c>
      <c r="AL174" s="29">
        <v>0</v>
      </c>
      <c r="AN174" s="22">
        <v>44719</v>
      </c>
      <c r="AO174" s="26">
        <f t="shared" ca="1" si="9"/>
        <v>0.91820328996111977</v>
      </c>
      <c r="AP174" s="29">
        <v>0</v>
      </c>
      <c r="AR174" s="22">
        <v>44719</v>
      </c>
      <c r="AS174" s="26">
        <f t="shared" ca="1" si="10"/>
        <v>0.74773834704214948</v>
      </c>
      <c r="AT174" s="29">
        <v>0</v>
      </c>
      <c r="AV174" s="22">
        <v>44719</v>
      </c>
      <c r="AW174" s="26">
        <f t="shared" ca="1" si="11"/>
        <v>0.70039177009540932</v>
      </c>
      <c r="AX174" s="29">
        <v>0</v>
      </c>
      <c r="AZ174" s="22">
        <v>44719</v>
      </c>
      <c r="BA174" s="26">
        <f t="shared" ca="1" si="12"/>
        <v>0.41745616069250602</v>
      </c>
      <c r="BB174" s="29">
        <v>0</v>
      </c>
      <c r="BC174"/>
      <c r="BD174" s="25"/>
      <c r="BF174" s="22">
        <v>44719</v>
      </c>
      <c r="BG174" s="26">
        <f t="shared" ca="1" si="13"/>
        <v>0.25779616015181084</v>
      </c>
      <c r="BH174" s="29">
        <v>0</v>
      </c>
      <c r="BJ174" s="22">
        <v>44719</v>
      </c>
      <c r="BK174" s="26">
        <f t="shared" ca="1" si="14"/>
        <v>0.23879847920507591</v>
      </c>
      <c r="BL174" s="29">
        <v>0</v>
      </c>
      <c r="BN174" s="22">
        <v>44719</v>
      </c>
      <c r="BO174" s="26">
        <f t="shared" ca="1" si="15"/>
        <v>0.24900651181741607</v>
      </c>
      <c r="BP174" s="29">
        <v>0</v>
      </c>
      <c r="BR174" s="22">
        <v>44719</v>
      </c>
      <c r="BS174" s="26">
        <f t="shared" ca="1" si="16"/>
        <v>0.87941184323649491</v>
      </c>
      <c r="BT174" s="29">
        <v>0</v>
      </c>
      <c r="BV174" s="22">
        <v>44719</v>
      </c>
      <c r="BW174" s="26">
        <f t="shared" ca="1" si="17"/>
        <v>0.40914577203080871</v>
      </c>
      <c r="BX174" s="29">
        <v>0</v>
      </c>
    </row>
    <row r="175" spans="2:77" ht="12.75" x14ac:dyDescent="0.2">
      <c r="B175" s="22">
        <v>44720</v>
      </c>
      <c r="C175" s="26">
        <f t="shared" ca="1" si="0"/>
        <v>4.266484099590051E-2</v>
      </c>
      <c r="D175" s="29">
        <f t="shared" ca="1" si="24"/>
        <v>41</v>
      </c>
      <c r="F175" s="22">
        <v>44720</v>
      </c>
      <c r="G175" s="26">
        <f t="shared" ca="1" si="1"/>
        <v>0.68642148753451027</v>
      </c>
      <c r="H175" s="29">
        <f t="shared" ca="1" si="25"/>
        <v>223</v>
      </c>
      <c r="J175" s="22">
        <v>44720</v>
      </c>
      <c r="K175" s="26">
        <f t="shared" ca="1" si="2"/>
        <v>9.2049301372864489E-2</v>
      </c>
      <c r="L175" s="29">
        <v>0</v>
      </c>
      <c r="N175" s="22">
        <v>44720</v>
      </c>
      <c r="O175" s="26">
        <f t="shared" ca="1" si="3"/>
        <v>0.91706462621003693</v>
      </c>
      <c r="P175" s="29">
        <v>0</v>
      </c>
      <c r="R175" s="22">
        <v>44720</v>
      </c>
      <c r="S175" s="26">
        <f t="shared" ca="1" si="4"/>
        <v>0.96210991676682533</v>
      </c>
      <c r="T175" s="29">
        <v>0</v>
      </c>
      <c r="V175" s="22">
        <v>44720</v>
      </c>
      <c r="W175" s="26">
        <f t="shared" ca="1" si="5"/>
        <v>0.20410761198378735</v>
      </c>
      <c r="X175" s="29">
        <v>0</v>
      </c>
      <c r="Z175" s="22">
        <v>44720</v>
      </c>
      <c r="AA175" s="26">
        <f t="shared" ca="1" si="6"/>
        <v>0.61196734929469243</v>
      </c>
      <c r="AB175" s="29">
        <v>0</v>
      </c>
      <c r="AC175"/>
      <c r="AD175" s="25"/>
      <c r="AF175" s="22">
        <v>44720</v>
      </c>
      <c r="AG175" s="26">
        <f t="shared" ca="1" si="7"/>
        <v>5.9024069162734172E-3</v>
      </c>
      <c r="AH175" s="29">
        <v>0</v>
      </c>
      <c r="AJ175" s="22">
        <v>44720</v>
      </c>
      <c r="AK175" s="26">
        <f t="shared" ca="1" si="8"/>
        <v>4.6947961854744258E-2</v>
      </c>
      <c r="AL175" s="29">
        <v>0</v>
      </c>
      <c r="AN175" s="22">
        <v>44720</v>
      </c>
      <c r="AO175" s="26">
        <f t="shared" ca="1" si="9"/>
        <v>0.76851024472363383</v>
      </c>
      <c r="AP175" s="29">
        <v>0</v>
      </c>
      <c r="AR175" s="22">
        <v>44720</v>
      </c>
      <c r="AS175" s="26">
        <f t="shared" ca="1" si="10"/>
        <v>0.61201722719388962</v>
      </c>
      <c r="AT175" s="29">
        <v>0</v>
      </c>
      <c r="AV175" s="22">
        <v>44720</v>
      </c>
      <c r="AW175" s="26">
        <f t="shared" ca="1" si="11"/>
        <v>0.63156991760417747</v>
      </c>
      <c r="AX175" s="29">
        <v>0</v>
      </c>
      <c r="AZ175" s="22">
        <v>44720</v>
      </c>
      <c r="BA175" s="26">
        <f t="shared" ca="1" si="12"/>
        <v>6.0541180936750094E-2</v>
      </c>
      <c r="BB175" s="29">
        <v>0</v>
      </c>
      <c r="BC175"/>
      <c r="BD175" s="25"/>
      <c r="BF175" s="22">
        <v>44720</v>
      </c>
      <c r="BG175" s="26">
        <f t="shared" ca="1" si="13"/>
        <v>0.19465922884360298</v>
      </c>
      <c r="BH175" s="29">
        <v>0</v>
      </c>
      <c r="BJ175" s="22">
        <v>44720</v>
      </c>
      <c r="BK175" s="26">
        <f t="shared" ca="1" si="14"/>
        <v>0.75905453719700677</v>
      </c>
      <c r="BL175" s="29">
        <v>0</v>
      </c>
      <c r="BN175" s="22">
        <v>44720</v>
      </c>
      <c r="BO175" s="26">
        <f t="shared" ca="1" si="15"/>
        <v>0.44069645653726164</v>
      </c>
      <c r="BP175" s="29">
        <v>0</v>
      </c>
      <c r="BR175" s="22">
        <v>44720</v>
      </c>
      <c r="BS175" s="26">
        <f t="shared" ca="1" si="16"/>
        <v>0.83031601357354934</v>
      </c>
      <c r="BT175" s="29">
        <v>0</v>
      </c>
      <c r="BV175" s="22">
        <v>44720</v>
      </c>
      <c r="BW175" s="26">
        <f t="shared" ca="1" si="17"/>
        <v>0.63488538078313062</v>
      </c>
      <c r="BX175" s="29">
        <v>0</v>
      </c>
    </row>
    <row r="176" spans="2:77" ht="12.75" x14ac:dyDescent="0.2">
      <c r="B176" s="22">
        <v>44721</v>
      </c>
      <c r="C176" s="26">
        <f t="shared" ca="1" si="0"/>
        <v>0.40617557097413803</v>
      </c>
      <c r="D176" s="29">
        <f t="shared" ca="1" si="24"/>
        <v>71</v>
      </c>
      <c r="F176" s="22">
        <v>44721</v>
      </c>
      <c r="G176" s="26">
        <f t="shared" ca="1" si="1"/>
        <v>0.42293509080494407</v>
      </c>
      <c r="H176" s="29">
        <f t="shared" ca="1" si="25"/>
        <v>213</v>
      </c>
      <c r="J176" s="22">
        <v>44721</v>
      </c>
      <c r="K176" s="26">
        <f t="shared" ca="1" si="2"/>
        <v>0.32891124653607051</v>
      </c>
      <c r="L176" s="29">
        <v>0</v>
      </c>
      <c r="N176" s="22">
        <v>44721</v>
      </c>
      <c r="O176" s="26">
        <f t="shared" ca="1" si="3"/>
        <v>0.38035765063469273</v>
      </c>
      <c r="P176" s="29">
        <v>0</v>
      </c>
      <c r="R176" s="22">
        <v>44721</v>
      </c>
      <c r="S176" s="26">
        <f t="shared" ca="1" si="4"/>
        <v>0.2190917484337106</v>
      </c>
      <c r="T176" s="29">
        <v>0</v>
      </c>
      <c r="V176" s="22">
        <v>44721</v>
      </c>
      <c r="W176" s="26">
        <f t="shared" ca="1" si="5"/>
        <v>0.87634853917239719</v>
      </c>
      <c r="X176" s="29">
        <v>0</v>
      </c>
      <c r="Z176" s="22">
        <v>44721</v>
      </c>
      <c r="AA176" s="26">
        <f t="shared" ca="1" si="6"/>
        <v>0.13801743192713145</v>
      </c>
      <c r="AB176" s="29">
        <v>0</v>
      </c>
      <c r="AC176"/>
      <c r="AD176" s="25"/>
      <c r="AF176" s="22">
        <v>44721</v>
      </c>
      <c r="AG176" s="26">
        <f t="shared" ca="1" si="7"/>
        <v>0.5864030905405625</v>
      </c>
      <c r="AH176" s="29">
        <v>0</v>
      </c>
      <c r="AJ176" s="22">
        <v>44721</v>
      </c>
      <c r="AK176" s="26">
        <f t="shared" ca="1" si="8"/>
        <v>0.9210497686623037</v>
      </c>
      <c r="AL176" s="29">
        <v>0</v>
      </c>
      <c r="AN176" s="22">
        <v>44721</v>
      </c>
      <c r="AO176" s="26">
        <f t="shared" ca="1" si="9"/>
        <v>0.89311744487177169</v>
      </c>
      <c r="AP176" s="29">
        <v>0</v>
      </c>
      <c r="AR176" s="22">
        <v>44721</v>
      </c>
      <c r="AS176" s="26">
        <f t="shared" ca="1" si="10"/>
        <v>0.62736315048759206</v>
      </c>
      <c r="AT176" s="29">
        <v>0</v>
      </c>
      <c r="AV176" s="22">
        <v>44721</v>
      </c>
      <c r="AW176" s="26">
        <f t="shared" ca="1" si="11"/>
        <v>0.10157042969612362</v>
      </c>
      <c r="AX176" s="29">
        <v>0</v>
      </c>
      <c r="AZ176" s="22">
        <v>44721</v>
      </c>
      <c r="BA176" s="26">
        <f t="shared" ca="1" si="12"/>
        <v>0.69409433831387912</v>
      </c>
      <c r="BB176" s="29">
        <v>0</v>
      </c>
      <c r="BC176"/>
      <c r="BD176" s="25"/>
      <c r="BF176" s="22">
        <v>44721</v>
      </c>
      <c r="BG176" s="26">
        <f t="shared" ca="1" si="13"/>
        <v>0.30607429462714075</v>
      </c>
      <c r="BH176" s="29">
        <v>0</v>
      </c>
      <c r="BJ176" s="22">
        <v>44721</v>
      </c>
      <c r="BK176" s="26">
        <f t="shared" ca="1" si="14"/>
        <v>0.2323992555599903</v>
      </c>
      <c r="BL176" s="29">
        <v>0</v>
      </c>
      <c r="BN176" s="22">
        <v>44721</v>
      </c>
      <c r="BO176" s="26">
        <f t="shared" ca="1" si="15"/>
        <v>2.2942553092750173E-2</v>
      </c>
      <c r="BP176" s="29">
        <v>0</v>
      </c>
      <c r="BR176" s="22">
        <v>44721</v>
      </c>
      <c r="BS176" s="26">
        <f t="shared" ca="1" si="16"/>
        <v>0.45633477112639675</v>
      </c>
      <c r="BT176" s="29">
        <v>0</v>
      </c>
      <c r="BV176" s="22">
        <v>44721</v>
      </c>
      <c r="BW176" s="26">
        <f t="shared" ca="1" si="17"/>
        <v>0.76326797388119194</v>
      </c>
      <c r="BX176" s="29">
        <v>0</v>
      </c>
    </row>
    <row r="177" spans="2:76" ht="12.75" x14ac:dyDescent="0.2">
      <c r="B177" s="22">
        <v>44722</v>
      </c>
      <c r="C177" s="26">
        <f t="shared" ca="1" si="0"/>
        <v>0.61813513938154863</v>
      </c>
      <c r="D177" s="29">
        <f t="shared" ca="1" si="24"/>
        <v>82</v>
      </c>
      <c r="F177" s="22">
        <v>44722</v>
      </c>
      <c r="G177" s="26">
        <f t="shared" ca="1" si="1"/>
        <v>0.48752485068645357</v>
      </c>
      <c r="H177" s="29">
        <f t="shared" ca="1" si="25"/>
        <v>215</v>
      </c>
      <c r="J177" s="22">
        <v>44722</v>
      </c>
      <c r="K177" s="26">
        <f t="shared" ca="1" si="2"/>
        <v>0.16461693260093146</v>
      </c>
      <c r="L177" s="29">
        <v>0</v>
      </c>
      <c r="N177" s="22">
        <v>44722</v>
      </c>
      <c r="O177" s="26">
        <f t="shared" ca="1" si="3"/>
        <v>0.54530262888517778</v>
      </c>
      <c r="P177" s="29">
        <v>0</v>
      </c>
      <c r="R177" s="22">
        <v>44722</v>
      </c>
      <c r="S177" s="26">
        <f t="shared" ca="1" si="4"/>
        <v>0.53501260209182033</v>
      </c>
      <c r="T177" s="29">
        <v>0</v>
      </c>
      <c r="V177" s="22">
        <v>44722</v>
      </c>
      <c r="W177" s="26">
        <f t="shared" ca="1" si="5"/>
        <v>4.7539092091079316E-2</v>
      </c>
      <c r="X177" s="29">
        <v>0</v>
      </c>
      <c r="Z177" s="22">
        <v>44722</v>
      </c>
      <c r="AA177" s="26">
        <f t="shared" ca="1" si="6"/>
        <v>0.44952050818682177</v>
      </c>
      <c r="AB177" s="29">
        <v>0</v>
      </c>
      <c r="AC177"/>
      <c r="AD177" s="25"/>
      <c r="AF177" s="22">
        <v>44722</v>
      </c>
      <c r="AG177" s="26">
        <f t="shared" ca="1" si="7"/>
        <v>0.89702264553001365</v>
      </c>
      <c r="AH177" s="29">
        <v>0</v>
      </c>
      <c r="AJ177" s="22">
        <v>44722</v>
      </c>
      <c r="AK177" s="26">
        <f t="shared" ca="1" si="8"/>
        <v>0.47519774262512893</v>
      </c>
      <c r="AL177" s="29">
        <v>0</v>
      </c>
      <c r="AN177" s="22">
        <v>44722</v>
      </c>
      <c r="AO177" s="26">
        <f t="shared" ca="1" si="9"/>
        <v>0.76093701472026032</v>
      </c>
      <c r="AP177" s="29">
        <v>0</v>
      </c>
      <c r="AR177" s="22">
        <v>44722</v>
      </c>
      <c r="AS177" s="26">
        <f t="shared" ca="1" si="10"/>
        <v>0.55976084185870523</v>
      </c>
      <c r="AT177" s="29">
        <v>0</v>
      </c>
      <c r="AV177" s="22">
        <v>44722</v>
      </c>
      <c r="AW177" s="26">
        <f t="shared" ca="1" si="11"/>
        <v>0.50178401013334117</v>
      </c>
      <c r="AX177" s="29">
        <v>0</v>
      </c>
      <c r="AZ177" s="22">
        <v>44722</v>
      </c>
      <c r="BA177" s="26">
        <f t="shared" ca="1" si="12"/>
        <v>0.49883827403116143</v>
      </c>
      <c r="BB177" s="29">
        <v>0</v>
      </c>
      <c r="BC177"/>
      <c r="BD177" s="25"/>
      <c r="BF177" s="22">
        <v>44722</v>
      </c>
      <c r="BG177" s="26">
        <f t="shared" ca="1" si="13"/>
        <v>7.3385333922361129E-3</v>
      </c>
      <c r="BH177" s="29">
        <v>0</v>
      </c>
      <c r="BJ177" s="22">
        <v>44722</v>
      </c>
      <c r="BK177" s="26">
        <f t="shared" ca="1" si="14"/>
        <v>0.1867056087379011</v>
      </c>
      <c r="BL177" s="29">
        <v>0</v>
      </c>
      <c r="BN177" s="22">
        <v>44722</v>
      </c>
      <c r="BO177" s="26">
        <f t="shared" ca="1" si="15"/>
        <v>0.91294567404081206</v>
      </c>
      <c r="BP177" s="29">
        <v>0</v>
      </c>
      <c r="BR177" s="22">
        <v>44722</v>
      </c>
      <c r="BS177" s="26">
        <f t="shared" ca="1" si="16"/>
        <v>0.66744328666114905</v>
      </c>
      <c r="BT177" s="29">
        <v>0</v>
      </c>
      <c r="BV177" s="22">
        <v>44722</v>
      </c>
      <c r="BW177" s="26">
        <f t="shared" ca="1" si="17"/>
        <v>7.4047113614230664E-2</v>
      </c>
      <c r="BX177" s="29">
        <v>0</v>
      </c>
    </row>
    <row r="178" spans="2:76" ht="12.75" x14ac:dyDescent="0.2">
      <c r="B178" s="22">
        <v>44723</v>
      </c>
      <c r="C178" s="26">
        <f t="shared" ca="1" si="0"/>
        <v>0.87074534124008651</v>
      </c>
      <c r="D178" s="29">
        <f t="shared" ca="1" si="24"/>
        <v>98</v>
      </c>
      <c r="F178" s="22">
        <v>44723</v>
      </c>
      <c r="G178" s="26">
        <f t="shared" ca="1" si="1"/>
        <v>0.90543328774517096</v>
      </c>
      <c r="H178" s="29">
        <f t="shared" ca="1" si="25"/>
        <v>235</v>
      </c>
      <c r="J178" s="22">
        <v>44723</v>
      </c>
      <c r="K178" s="26">
        <f t="shared" ca="1" si="2"/>
        <v>0.68204907777070156</v>
      </c>
      <c r="L178" s="29">
        <v>0</v>
      </c>
      <c r="N178" s="22">
        <v>44723</v>
      </c>
      <c r="O178" s="26">
        <f t="shared" ca="1" si="3"/>
        <v>0.18166240519971721</v>
      </c>
      <c r="P178" s="29">
        <v>0</v>
      </c>
      <c r="R178" s="22">
        <v>44723</v>
      </c>
      <c r="S178" s="26">
        <f t="shared" ca="1" si="4"/>
        <v>0.68644011765430768</v>
      </c>
      <c r="T178" s="29">
        <v>0</v>
      </c>
      <c r="V178" s="22">
        <v>44723</v>
      </c>
      <c r="W178" s="26">
        <f t="shared" ca="1" si="5"/>
        <v>0.80768951933736466</v>
      </c>
      <c r="X178" s="29">
        <v>0</v>
      </c>
      <c r="Z178" s="22">
        <v>44723</v>
      </c>
      <c r="AA178" s="26">
        <f t="shared" ca="1" si="6"/>
        <v>0.82297950387365548</v>
      </c>
      <c r="AB178" s="29">
        <v>0</v>
      </c>
      <c r="AC178"/>
      <c r="AD178" s="25"/>
      <c r="AF178" s="22">
        <v>44723</v>
      </c>
      <c r="AG178" s="26">
        <f t="shared" ca="1" si="7"/>
        <v>0.34248571621358503</v>
      </c>
      <c r="AH178" s="29">
        <v>0</v>
      </c>
      <c r="AJ178" s="22">
        <v>44723</v>
      </c>
      <c r="AK178" s="26">
        <f t="shared" ca="1" si="8"/>
        <v>0.22740030374026676</v>
      </c>
      <c r="AL178" s="29">
        <v>0</v>
      </c>
      <c r="AN178" s="22">
        <v>44723</v>
      </c>
      <c r="AO178" s="26">
        <f t="shared" ca="1" si="9"/>
        <v>0.10157983642115154</v>
      </c>
      <c r="AP178" s="29">
        <v>0</v>
      </c>
      <c r="AR178" s="22">
        <v>44723</v>
      </c>
      <c r="AS178" s="26">
        <f t="shared" ca="1" si="10"/>
        <v>0.62596613110604138</v>
      </c>
      <c r="AT178" s="29">
        <v>0</v>
      </c>
      <c r="AV178" s="22">
        <v>44723</v>
      </c>
      <c r="AW178" s="26">
        <f t="shared" ca="1" si="11"/>
        <v>0.80829530805794669</v>
      </c>
      <c r="AX178" s="29">
        <v>0</v>
      </c>
      <c r="AZ178" s="22">
        <v>44723</v>
      </c>
      <c r="BA178" s="26">
        <f t="shared" ca="1" si="12"/>
        <v>0.12910259393032086</v>
      </c>
      <c r="BB178" s="29">
        <v>0</v>
      </c>
      <c r="BC178"/>
      <c r="BD178" s="25"/>
      <c r="BF178" s="22">
        <v>44723</v>
      </c>
      <c r="BG178" s="26">
        <f t="shared" ca="1" si="13"/>
        <v>0.34063399339038125</v>
      </c>
      <c r="BH178" s="29">
        <v>0</v>
      </c>
      <c r="BJ178" s="22">
        <v>44723</v>
      </c>
      <c r="BK178" s="26">
        <f t="shared" ca="1" si="14"/>
        <v>0.20684270959980777</v>
      </c>
      <c r="BL178" s="29">
        <v>0</v>
      </c>
      <c r="BN178" s="22">
        <v>44723</v>
      </c>
      <c r="BO178" s="26">
        <f t="shared" ca="1" si="15"/>
        <v>1.0316612200880537E-2</v>
      </c>
      <c r="BP178" s="29">
        <v>0</v>
      </c>
      <c r="BR178" s="22">
        <v>44723</v>
      </c>
      <c r="BS178" s="26">
        <f t="shared" ca="1" si="16"/>
        <v>0.62384182018648338</v>
      </c>
      <c r="BT178" s="29">
        <v>0</v>
      </c>
      <c r="BV178" s="22">
        <v>44723</v>
      </c>
      <c r="BW178" s="26">
        <f t="shared" ca="1" si="17"/>
        <v>0.51400338995808537</v>
      </c>
      <c r="BX178" s="29">
        <v>0</v>
      </c>
    </row>
    <row r="179" spans="2:76" ht="12.75" x14ac:dyDescent="0.2">
      <c r="B179" s="22">
        <v>44724</v>
      </c>
      <c r="C179" s="26">
        <f t="shared" ca="1" si="0"/>
        <v>0.25466147953089913</v>
      </c>
      <c r="D179" s="29">
        <f t="shared" ca="1" si="24"/>
        <v>62</v>
      </c>
      <c r="F179" s="22">
        <v>44724</v>
      </c>
      <c r="G179" s="26">
        <f t="shared" ca="1" si="1"/>
        <v>0.88202909886994396</v>
      </c>
      <c r="H179" s="29">
        <f t="shared" ca="1" si="25"/>
        <v>233</v>
      </c>
      <c r="J179" s="22">
        <v>44724</v>
      </c>
      <c r="K179" s="26">
        <f t="shared" ca="1" si="2"/>
        <v>0.48265879119324606</v>
      </c>
      <c r="L179" s="29">
        <v>0</v>
      </c>
      <c r="N179" s="22">
        <v>44724</v>
      </c>
      <c r="O179" s="26">
        <f t="shared" ca="1" si="3"/>
        <v>3.8679283697018452E-4</v>
      </c>
      <c r="P179" s="29">
        <v>0</v>
      </c>
      <c r="R179" s="22">
        <v>44724</v>
      </c>
      <c r="S179" s="26">
        <f t="shared" ca="1" si="4"/>
        <v>0.62189432690829693</v>
      </c>
      <c r="T179" s="29">
        <v>0</v>
      </c>
      <c r="V179" s="22">
        <v>44724</v>
      </c>
      <c r="W179" s="26">
        <f t="shared" ca="1" si="5"/>
        <v>0.42819561802517858</v>
      </c>
      <c r="X179" s="29">
        <v>0</v>
      </c>
      <c r="Z179" s="22">
        <v>44724</v>
      </c>
      <c r="AA179" s="26">
        <f t="shared" ca="1" si="6"/>
        <v>0.86902251768547978</v>
      </c>
      <c r="AB179" s="29">
        <v>0</v>
      </c>
      <c r="AC179"/>
      <c r="AD179" s="25"/>
      <c r="AF179" s="22">
        <v>44724</v>
      </c>
      <c r="AG179" s="26">
        <f t="shared" ca="1" si="7"/>
        <v>0.99744229528109174</v>
      </c>
      <c r="AH179" s="29">
        <v>0</v>
      </c>
      <c r="AJ179" s="22">
        <v>44724</v>
      </c>
      <c r="AK179" s="26">
        <f t="shared" ca="1" si="8"/>
        <v>0.96960786879140548</v>
      </c>
      <c r="AL179" s="29">
        <v>0</v>
      </c>
      <c r="AN179" s="22">
        <v>44724</v>
      </c>
      <c r="AO179" s="26">
        <f t="shared" ca="1" si="9"/>
        <v>0.47968428496270943</v>
      </c>
      <c r="AP179" s="29">
        <v>0</v>
      </c>
      <c r="AR179" s="22">
        <v>44724</v>
      </c>
      <c r="AS179" s="26">
        <f t="shared" ca="1" si="10"/>
        <v>0.86377115185854947</v>
      </c>
      <c r="AT179" s="29">
        <v>0</v>
      </c>
      <c r="AV179" s="22">
        <v>44724</v>
      </c>
      <c r="AW179" s="26">
        <f t="shared" ca="1" si="11"/>
        <v>0.79857198616988689</v>
      </c>
      <c r="AX179" s="29">
        <v>0</v>
      </c>
      <c r="AZ179" s="22">
        <v>44724</v>
      </c>
      <c r="BA179" s="26">
        <f t="shared" ca="1" si="12"/>
        <v>5.1630715067294997E-2</v>
      </c>
      <c r="BB179" s="29">
        <v>0</v>
      </c>
      <c r="BC179"/>
      <c r="BD179" s="25"/>
      <c r="BF179" s="22">
        <v>44724</v>
      </c>
      <c r="BG179" s="26">
        <f t="shared" ca="1" si="13"/>
        <v>0.66792817349083411</v>
      </c>
      <c r="BH179" s="29">
        <v>0</v>
      </c>
      <c r="BJ179" s="22">
        <v>44724</v>
      </c>
      <c r="BK179" s="26">
        <f t="shared" ca="1" si="14"/>
        <v>0.63973702194394644</v>
      </c>
      <c r="BL179" s="29">
        <v>0</v>
      </c>
      <c r="BN179" s="22">
        <v>44724</v>
      </c>
      <c r="BO179" s="26">
        <f t="shared" ca="1" si="15"/>
        <v>0.27194927695996152</v>
      </c>
      <c r="BP179" s="29">
        <v>0</v>
      </c>
      <c r="BR179" s="22">
        <v>44724</v>
      </c>
      <c r="BS179" s="26">
        <f t="shared" ca="1" si="16"/>
        <v>0.56104413947965415</v>
      </c>
      <c r="BT179" s="29">
        <v>0</v>
      </c>
      <c r="BV179" s="22">
        <v>44724</v>
      </c>
      <c r="BW179" s="26">
        <f t="shared" ca="1" si="17"/>
        <v>0.38606683405877584</v>
      </c>
      <c r="BX179" s="29">
        <v>0</v>
      </c>
    </row>
    <row r="180" spans="2:76" ht="12.75" x14ac:dyDescent="0.2">
      <c r="B180" s="22">
        <v>44725</v>
      </c>
      <c r="C180" s="26">
        <f t="shared" ca="1" si="0"/>
        <v>0.34203726191059958</v>
      </c>
      <c r="D180" s="29">
        <f t="shared" ca="1" si="24"/>
        <v>67</v>
      </c>
      <c r="F180" s="22">
        <v>44725</v>
      </c>
      <c r="G180" s="26">
        <f t="shared" ca="1" si="1"/>
        <v>0.1067459615387415</v>
      </c>
      <c r="H180" s="29">
        <f t="shared" ca="1" si="25"/>
        <v>198</v>
      </c>
      <c r="J180" s="22">
        <v>44725</v>
      </c>
      <c r="K180" s="26">
        <f t="shared" ca="1" si="2"/>
        <v>0.21115377414506897</v>
      </c>
      <c r="L180" s="29">
        <v>0</v>
      </c>
      <c r="N180" s="22">
        <v>44725</v>
      </c>
      <c r="O180" s="26">
        <f t="shared" ca="1" si="3"/>
        <v>0.79243248235966324</v>
      </c>
      <c r="P180" s="29">
        <v>0</v>
      </c>
      <c r="R180" s="22">
        <v>44725</v>
      </c>
      <c r="S180" s="26">
        <f t="shared" ca="1" si="4"/>
        <v>0.55435038784403023</v>
      </c>
      <c r="T180" s="29">
        <v>0</v>
      </c>
      <c r="V180" s="22">
        <v>44725</v>
      </c>
      <c r="W180" s="26">
        <f t="shared" ca="1" si="5"/>
        <v>0.60777956442103021</v>
      </c>
      <c r="X180" s="29">
        <v>0</v>
      </c>
      <c r="Z180" s="22">
        <v>44725</v>
      </c>
      <c r="AA180" s="26">
        <f t="shared" ca="1" si="6"/>
        <v>0.77733549106630118</v>
      </c>
      <c r="AB180" s="29">
        <v>0</v>
      </c>
      <c r="AC180"/>
      <c r="AD180" s="25"/>
      <c r="AF180" s="22">
        <v>44725</v>
      </c>
      <c r="AG180" s="26">
        <f t="shared" ca="1" si="7"/>
        <v>0.33010662308715166</v>
      </c>
      <c r="AH180" s="29">
        <v>0</v>
      </c>
      <c r="AJ180" s="22">
        <v>44725</v>
      </c>
      <c r="AK180" s="26">
        <f t="shared" ca="1" si="8"/>
        <v>0.68540184482418698</v>
      </c>
      <c r="AL180" s="29">
        <v>0</v>
      </c>
      <c r="AN180" s="22">
        <v>44725</v>
      </c>
      <c r="AO180" s="26">
        <f t="shared" ca="1" si="9"/>
        <v>0.13923599768511086</v>
      </c>
      <c r="AP180" s="29">
        <v>0</v>
      </c>
      <c r="AR180" s="22">
        <v>44725</v>
      </c>
      <c r="AS180" s="26">
        <f t="shared" ca="1" si="10"/>
        <v>0.73046333512709671</v>
      </c>
      <c r="AT180" s="29">
        <v>0</v>
      </c>
      <c r="AV180" s="22">
        <v>44725</v>
      </c>
      <c r="AW180" s="26">
        <f t="shared" ca="1" si="11"/>
        <v>0.61029031099047182</v>
      </c>
      <c r="AX180" s="29">
        <v>0</v>
      </c>
      <c r="AZ180" s="22">
        <v>44725</v>
      </c>
      <c r="BA180" s="26">
        <f t="shared" ca="1" si="12"/>
        <v>0.57583449418315402</v>
      </c>
      <c r="BB180" s="29">
        <v>0</v>
      </c>
      <c r="BC180"/>
      <c r="BD180" s="25"/>
      <c r="BF180" s="22">
        <v>44725</v>
      </c>
      <c r="BG180" s="26">
        <f t="shared" ca="1" si="13"/>
        <v>0.67412707541897421</v>
      </c>
      <c r="BH180" s="29">
        <v>0</v>
      </c>
      <c r="BJ180" s="22">
        <v>44725</v>
      </c>
      <c r="BK180" s="26">
        <f t="shared" ca="1" si="14"/>
        <v>0.94872874356195469</v>
      </c>
      <c r="BL180" s="29">
        <v>0</v>
      </c>
      <c r="BN180" s="22">
        <v>44725</v>
      </c>
      <c r="BO180" s="26">
        <f t="shared" ca="1" si="15"/>
        <v>0.28151545456896643</v>
      </c>
      <c r="BP180" s="29">
        <v>0</v>
      </c>
      <c r="BR180" s="22">
        <v>44725</v>
      </c>
      <c r="BS180" s="26">
        <f t="shared" ca="1" si="16"/>
        <v>0.7492689288454043</v>
      </c>
      <c r="BT180" s="29">
        <v>0</v>
      </c>
      <c r="BV180" s="22">
        <v>44725</v>
      </c>
      <c r="BW180" s="26">
        <f t="shared" ca="1" si="17"/>
        <v>0.77347641637859188</v>
      </c>
      <c r="BX180" s="29">
        <v>0</v>
      </c>
    </row>
    <row r="181" spans="2:76" ht="12.75" x14ac:dyDescent="0.2">
      <c r="B181" s="22">
        <v>44726</v>
      </c>
      <c r="C181" s="26">
        <f t="shared" ca="1" si="0"/>
        <v>5.8011125476763459E-3</v>
      </c>
      <c r="D181" s="29">
        <f t="shared" ca="1" si="24"/>
        <v>25</v>
      </c>
      <c r="F181" s="22">
        <v>44726</v>
      </c>
      <c r="G181" s="26">
        <f t="shared" ca="1" si="1"/>
        <v>0.95862732956116425</v>
      </c>
      <c r="H181" s="29">
        <f t="shared" ca="1" si="25"/>
        <v>241</v>
      </c>
      <c r="J181" s="22">
        <v>44726</v>
      </c>
      <c r="K181" s="26">
        <f t="shared" ca="1" si="2"/>
        <v>0.41651504669368367</v>
      </c>
      <c r="L181" s="29">
        <v>0</v>
      </c>
      <c r="N181" s="22">
        <v>44726</v>
      </c>
      <c r="O181" s="26">
        <f t="shared" ca="1" si="3"/>
        <v>0.80879404325055004</v>
      </c>
      <c r="P181" s="29">
        <v>0</v>
      </c>
      <c r="R181" s="22">
        <v>44726</v>
      </c>
      <c r="S181" s="26">
        <f t="shared" ca="1" si="4"/>
        <v>0.42673603004392058</v>
      </c>
      <c r="T181" s="29">
        <v>0</v>
      </c>
      <c r="V181" s="22">
        <v>44726</v>
      </c>
      <c r="W181" s="26">
        <f t="shared" ca="1" si="5"/>
        <v>0.62625600403723769</v>
      </c>
      <c r="X181" s="29">
        <v>0</v>
      </c>
      <c r="Z181" s="22">
        <v>44726</v>
      </c>
      <c r="AA181" s="26">
        <f t="shared" ca="1" si="6"/>
        <v>0.95901069506246828</v>
      </c>
      <c r="AB181" s="29">
        <v>0</v>
      </c>
      <c r="AC181"/>
      <c r="AD181" s="25"/>
      <c r="AF181" s="22">
        <v>44726</v>
      </c>
      <c r="AG181" s="26">
        <f t="shared" ca="1" si="7"/>
        <v>0.63354813381212594</v>
      </c>
      <c r="AH181" s="29">
        <v>0</v>
      </c>
      <c r="AJ181" s="22">
        <v>44726</v>
      </c>
      <c r="AK181" s="26">
        <f t="shared" ca="1" si="8"/>
        <v>9.6860673889771598E-2</v>
      </c>
      <c r="AL181" s="29">
        <v>0</v>
      </c>
      <c r="AN181" s="22">
        <v>44726</v>
      </c>
      <c r="AO181" s="26">
        <f t="shared" ca="1" si="9"/>
        <v>0.83540133238674785</v>
      </c>
      <c r="AP181" s="29">
        <v>0</v>
      </c>
      <c r="AR181" s="22">
        <v>44726</v>
      </c>
      <c r="AS181" s="26">
        <f t="shared" ca="1" si="10"/>
        <v>2.4869187952539895E-2</v>
      </c>
      <c r="AT181" s="29">
        <v>0</v>
      </c>
      <c r="AV181" s="22">
        <v>44726</v>
      </c>
      <c r="AW181" s="26">
        <f t="shared" ca="1" si="11"/>
        <v>0.86788009666332522</v>
      </c>
      <c r="AX181" s="29">
        <v>0</v>
      </c>
      <c r="AZ181" s="22">
        <v>44726</v>
      </c>
      <c r="BA181" s="26">
        <f t="shared" ca="1" si="12"/>
        <v>0.20475005797428047</v>
      </c>
      <c r="BB181" s="29">
        <v>0</v>
      </c>
      <c r="BC181"/>
      <c r="BD181" s="25"/>
      <c r="BF181" s="22">
        <v>44726</v>
      </c>
      <c r="BG181" s="26">
        <f t="shared" ca="1" si="13"/>
        <v>0.53340147649439784</v>
      </c>
      <c r="BH181" s="29">
        <v>0</v>
      </c>
      <c r="BJ181" s="22">
        <v>44726</v>
      </c>
      <c r="BK181" s="26">
        <f t="shared" ca="1" si="14"/>
        <v>0.56367235722633324</v>
      </c>
      <c r="BL181" s="29">
        <v>0</v>
      </c>
      <c r="BN181" s="22">
        <v>44726</v>
      </c>
      <c r="BO181" s="26">
        <f t="shared" ca="1" si="15"/>
        <v>0.30746524521001672</v>
      </c>
      <c r="BP181" s="29">
        <v>0</v>
      </c>
      <c r="BR181" s="22">
        <v>44726</v>
      </c>
      <c r="BS181" s="26">
        <f t="shared" ca="1" si="16"/>
        <v>0.35487962013014429</v>
      </c>
      <c r="BT181" s="29">
        <v>0</v>
      </c>
      <c r="BV181" s="22">
        <v>44726</v>
      </c>
      <c r="BW181" s="26">
        <f t="shared" ca="1" si="17"/>
        <v>0.43844348370883512</v>
      </c>
      <c r="BX181" s="29">
        <v>0</v>
      </c>
    </row>
    <row r="182" spans="2:76" ht="12.75" x14ac:dyDescent="0.2">
      <c r="B182" s="22">
        <v>44727</v>
      </c>
      <c r="C182" s="26">
        <f t="shared" ca="1" si="0"/>
        <v>0.81502792053948525</v>
      </c>
      <c r="D182" s="29">
        <f t="shared" ca="1" si="24"/>
        <v>93</v>
      </c>
      <c r="F182" s="22">
        <v>44727</v>
      </c>
      <c r="G182" s="26">
        <f t="shared" ca="1" si="1"/>
        <v>0.52731741839176705</v>
      </c>
      <c r="H182" s="29">
        <f t="shared" ca="1" si="25"/>
        <v>217</v>
      </c>
      <c r="J182" s="22">
        <v>44727</v>
      </c>
      <c r="K182" s="26">
        <f t="shared" ca="1" si="2"/>
        <v>0.38367216043919494</v>
      </c>
      <c r="L182" s="29">
        <v>0</v>
      </c>
      <c r="N182" s="22">
        <v>44727</v>
      </c>
      <c r="O182" s="26">
        <f t="shared" ca="1" si="3"/>
        <v>9.8702430795134632E-2</v>
      </c>
      <c r="P182" s="29">
        <v>0</v>
      </c>
      <c r="R182" s="22">
        <v>44727</v>
      </c>
      <c r="S182" s="26">
        <f t="shared" ca="1" si="4"/>
        <v>0.22345103728766957</v>
      </c>
      <c r="T182" s="29">
        <v>0</v>
      </c>
      <c r="V182" s="22">
        <v>44727</v>
      </c>
      <c r="W182" s="26">
        <f t="shared" ca="1" si="5"/>
        <v>0.60656550357579253</v>
      </c>
      <c r="X182" s="29">
        <v>0</v>
      </c>
      <c r="Z182" s="22">
        <v>44727</v>
      </c>
      <c r="AA182" s="26">
        <f t="shared" ca="1" si="6"/>
        <v>0.67390519994816378</v>
      </c>
      <c r="AB182" s="29">
        <v>0</v>
      </c>
      <c r="AC182"/>
      <c r="AD182" s="25"/>
      <c r="AF182" s="22">
        <v>44727</v>
      </c>
      <c r="AG182" s="26">
        <f t="shared" ca="1" si="7"/>
        <v>0.25653613429876776</v>
      </c>
      <c r="AH182" s="29">
        <v>0</v>
      </c>
      <c r="AJ182" s="22">
        <v>44727</v>
      </c>
      <c r="AK182" s="26">
        <f t="shared" ca="1" si="8"/>
        <v>0.84716254540941749</v>
      </c>
      <c r="AL182" s="29">
        <v>0</v>
      </c>
      <c r="AN182" s="22">
        <v>44727</v>
      </c>
      <c r="AO182" s="26">
        <f t="shared" ca="1" si="9"/>
        <v>0.802610868237564</v>
      </c>
      <c r="AP182" s="29">
        <v>0</v>
      </c>
      <c r="AR182" s="22">
        <v>44727</v>
      </c>
      <c r="AS182" s="26">
        <f t="shared" ca="1" si="10"/>
        <v>0.17702975157298051</v>
      </c>
      <c r="AT182" s="29">
        <v>0</v>
      </c>
      <c r="AV182" s="22">
        <v>44727</v>
      </c>
      <c r="AW182" s="26">
        <f t="shared" ca="1" si="11"/>
        <v>4.6071517112365568E-2</v>
      </c>
      <c r="AX182" s="29">
        <v>0</v>
      </c>
      <c r="AZ182" s="22">
        <v>44727</v>
      </c>
      <c r="BA182" s="26">
        <f t="shared" ca="1" si="12"/>
        <v>0.60310087258910028</v>
      </c>
      <c r="BB182" s="29">
        <v>0</v>
      </c>
      <c r="BC182"/>
      <c r="BD182" s="25"/>
      <c r="BF182" s="22">
        <v>44727</v>
      </c>
      <c r="BG182" s="26">
        <f t="shared" ca="1" si="13"/>
        <v>0.46237936308377137</v>
      </c>
      <c r="BH182" s="29">
        <v>0</v>
      </c>
      <c r="BJ182" s="22">
        <v>44727</v>
      </c>
      <c r="BK182" s="26">
        <f t="shared" ca="1" si="14"/>
        <v>0.49281433932648855</v>
      </c>
      <c r="BL182" s="29">
        <v>0</v>
      </c>
      <c r="BN182" s="22">
        <v>44727</v>
      </c>
      <c r="BO182" s="26">
        <f t="shared" ca="1" si="15"/>
        <v>0.22247336183913669</v>
      </c>
      <c r="BP182" s="29">
        <v>0</v>
      </c>
      <c r="BR182" s="22">
        <v>44727</v>
      </c>
      <c r="BS182" s="26">
        <f t="shared" ca="1" si="16"/>
        <v>0.88364556932095228</v>
      </c>
      <c r="BT182" s="29">
        <v>0</v>
      </c>
      <c r="BV182" s="22">
        <v>44727</v>
      </c>
      <c r="BW182" s="26">
        <f t="shared" ca="1" si="17"/>
        <v>4.504523149641404E-2</v>
      </c>
      <c r="BX182" s="29">
        <v>0</v>
      </c>
    </row>
    <row r="183" spans="2:76" ht="12.75" x14ac:dyDescent="0.2">
      <c r="B183" s="22">
        <v>44728</v>
      </c>
      <c r="C183" s="26">
        <f t="shared" ca="1" si="0"/>
        <v>0.11857218858087515</v>
      </c>
      <c r="D183" s="29">
        <f t="shared" ca="1" si="24"/>
        <v>52</v>
      </c>
      <c r="F183" s="22">
        <v>44728</v>
      </c>
      <c r="G183" s="26">
        <f t="shared" ca="1" si="1"/>
        <v>0.44704392798155035</v>
      </c>
      <c r="H183" s="29">
        <f t="shared" ca="1" si="25"/>
        <v>214</v>
      </c>
      <c r="J183" s="22">
        <v>44728</v>
      </c>
      <c r="K183" s="26">
        <f t="shared" ca="1" si="2"/>
        <v>0.4235657340638993</v>
      </c>
      <c r="L183" s="29">
        <v>0</v>
      </c>
      <c r="N183" s="22">
        <v>44728</v>
      </c>
      <c r="O183" s="26">
        <f t="shared" ca="1" si="3"/>
        <v>0.19751752731770567</v>
      </c>
      <c r="P183" s="29">
        <v>0</v>
      </c>
      <c r="R183" s="22">
        <v>44728</v>
      </c>
      <c r="S183" s="26">
        <f t="shared" ca="1" si="4"/>
        <v>0.35603668153300283</v>
      </c>
      <c r="T183" s="29">
        <v>0</v>
      </c>
      <c r="V183" s="22">
        <v>44728</v>
      </c>
      <c r="W183" s="26">
        <f t="shared" ca="1" si="5"/>
        <v>0.24321989848507841</v>
      </c>
      <c r="X183" s="29">
        <v>0</v>
      </c>
      <c r="Z183" s="22">
        <v>44728</v>
      </c>
      <c r="AA183" s="26">
        <f t="shared" ca="1" si="6"/>
        <v>0.85492332629291312</v>
      </c>
      <c r="AB183" s="29">
        <v>0</v>
      </c>
      <c r="AC183"/>
      <c r="AD183" s="25"/>
      <c r="AF183" s="22">
        <v>44728</v>
      </c>
      <c r="AG183" s="26">
        <f t="shared" ca="1" si="7"/>
        <v>0.72910290656526644</v>
      </c>
      <c r="AH183" s="29">
        <v>0</v>
      </c>
      <c r="AJ183" s="22">
        <v>44728</v>
      </c>
      <c r="AK183" s="26">
        <f t="shared" ca="1" si="8"/>
        <v>3.4131991706989551E-2</v>
      </c>
      <c r="AL183" s="29">
        <v>0</v>
      </c>
      <c r="AN183" s="22">
        <v>44728</v>
      </c>
      <c r="AO183" s="26">
        <f t="shared" ca="1" si="9"/>
        <v>0.32945226691625884</v>
      </c>
      <c r="AP183" s="29">
        <v>0</v>
      </c>
      <c r="AR183" s="22">
        <v>44728</v>
      </c>
      <c r="AS183" s="26">
        <f t="shared" ca="1" si="10"/>
        <v>0.31203023168156252</v>
      </c>
      <c r="AT183" s="29">
        <v>0</v>
      </c>
      <c r="AV183" s="22">
        <v>44728</v>
      </c>
      <c r="AW183" s="26">
        <f t="shared" ca="1" si="11"/>
        <v>0.299405390584362</v>
      </c>
      <c r="AX183" s="29">
        <v>0</v>
      </c>
      <c r="AZ183" s="22">
        <v>44728</v>
      </c>
      <c r="BA183" s="26">
        <f t="shared" ca="1" si="12"/>
        <v>0.17855829248276112</v>
      </c>
      <c r="BB183" s="29">
        <v>0</v>
      </c>
      <c r="BC183"/>
      <c r="BD183" s="25"/>
      <c r="BF183" s="22">
        <v>44728</v>
      </c>
      <c r="BG183" s="26">
        <f t="shared" ca="1" si="13"/>
        <v>0.44759726092446517</v>
      </c>
      <c r="BH183" s="29">
        <v>0</v>
      </c>
      <c r="BJ183" s="22">
        <v>44728</v>
      </c>
      <c r="BK183" s="26">
        <f t="shared" ca="1" si="14"/>
        <v>0.15157677641679734</v>
      </c>
      <c r="BL183" s="29">
        <v>0</v>
      </c>
      <c r="BN183" s="22">
        <v>44728</v>
      </c>
      <c r="BO183" s="26">
        <f t="shared" ca="1" si="15"/>
        <v>0.56025159880738584</v>
      </c>
      <c r="BP183" s="29">
        <v>0</v>
      </c>
      <c r="BR183" s="22">
        <v>44728</v>
      </c>
      <c r="BS183" s="26">
        <f t="shared" ca="1" si="16"/>
        <v>0.65840700230060123</v>
      </c>
      <c r="BT183" s="29">
        <v>0</v>
      </c>
      <c r="BV183" s="22">
        <v>44728</v>
      </c>
      <c r="BW183" s="26">
        <f t="shared" ca="1" si="17"/>
        <v>0.26377848952230443</v>
      </c>
      <c r="BX183" s="29">
        <v>0</v>
      </c>
    </row>
    <row r="184" spans="2:76" ht="12.75" x14ac:dyDescent="0.2">
      <c r="B184" s="22">
        <v>44729</v>
      </c>
      <c r="C184" s="26">
        <f t="shared" ca="1" si="0"/>
        <v>0.61625113870156489</v>
      </c>
      <c r="D184" s="29">
        <f t="shared" ca="1" si="24"/>
        <v>81</v>
      </c>
      <c r="F184" s="22">
        <v>44729</v>
      </c>
      <c r="G184" s="26">
        <f t="shared" ca="1" si="1"/>
        <v>0.43213828164292745</v>
      </c>
      <c r="H184" s="29">
        <f t="shared" ca="1" si="25"/>
        <v>213</v>
      </c>
      <c r="J184" s="22">
        <v>44729</v>
      </c>
      <c r="K184" s="26">
        <f t="shared" ca="1" si="2"/>
        <v>0.34889918733026259</v>
      </c>
      <c r="L184" s="29">
        <v>0</v>
      </c>
      <c r="N184" s="22">
        <v>44729</v>
      </c>
      <c r="O184" s="26">
        <f t="shared" ca="1" si="3"/>
        <v>0.59351913050316429</v>
      </c>
      <c r="P184" s="29">
        <v>0</v>
      </c>
      <c r="R184" s="22">
        <v>44729</v>
      </c>
      <c r="S184" s="26">
        <f t="shared" ca="1" si="4"/>
        <v>0.52640229138529993</v>
      </c>
      <c r="T184" s="29">
        <v>0</v>
      </c>
      <c r="V184" s="22">
        <v>44729</v>
      </c>
      <c r="W184" s="26">
        <f t="shared" ca="1" si="5"/>
        <v>0.39438392159442537</v>
      </c>
      <c r="X184" s="29">
        <v>0</v>
      </c>
      <c r="Z184" s="22">
        <v>44729</v>
      </c>
      <c r="AA184" s="26">
        <f t="shared" ca="1" si="6"/>
        <v>0.83768963948690867</v>
      </c>
      <c r="AB184" s="29">
        <v>0</v>
      </c>
      <c r="AC184"/>
      <c r="AD184" s="25"/>
      <c r="AF184" s="22">
        <v>44729</v>
      </c>
      <c r="AG184" s="26">
        <f t="shared" ca="1" si="7"/>
        <v>0.59128331438538484</v>
      </c>
      <c r="AH184" s="29">
        <v>0</v>
      </c>
      <c r="AJ184" s="22">
        <v>44729</v>
      </c>
      <c r="AK184" s="26">
        <f t="shared" ca="1" si="8"/>
        <v>0.91120635348115309</v>
      </c>
      <c r="AL184" s="29">
        <v>0</v>
      </c>
      <c r="AN184" s="22">
        <v>44729</v>
      </c>
      <c r="AO184" s="26">
        <f t="shared" ca="1" si="9"/>
        <v>8.556776775608832E-2</v>
      </c>
      <c r="AP184" s="29">
        <v>0</v>
      </c>
      <c r="AR184" s="22">
        <v>44729</v>
      </c>
      <c r="AS184" s="26">
        <f t="shared" ca="1" si="10"/>
        <v>0.32730478717710032</v>
      </c>
      <c r="AT184" s="29">
        <v>0</v>
      </c>
      <c r="AV184" s="22">
        <v>44729</v>
      </c>
      <c r="AW184" s="26">
        <f t="shared" ca="1" si="11"/>
        <v>0.70912015899877534</v>
      </c>
      <c r="AX184" s="29">
        <v>0</v>
      </c>
      <c r="AZ184" s="22">
        <v>44729</v>
      </c>
      <c r="BA184" s="26">
        <f t="shared" ca="1" si="12"/>
        <v>0.16083816169254039</v>
      </c>
      <c r="BB184" s="29">
        <v>0</v>
      </c>
      <c r="BC184"/>
      <c r="BD184" s="25"/>
      <c r="BF184" s="22">
        <v>44729</v>
      </c>
      <c r="BG184" s="26">
        <f t="shared" ca="1" si="13"/>
        <v>0.65204129519392018</v>
      </c>
      <c r="BH184" s="29">
        <v>0</v>
      </c>
      <c r="BJ184" s="22">
        <v>44729</v>
      </c>
      <c r="BK184" s="26">
        <f t="shared" ca="1" si="14"/>
        <v>0.53021815147797891</v>
      </c>
      <c r="BL184" s="29">
        <v>0</v>
      </c>
      <c r="BN184" s="22">
        <v>44729</v>
      </c>
      <c r="BO184" s="26">
        <f t="shared" ca="1" si="15"/>
        <v>0.21284399725324055</v>
      </c>
      <c r="BP184" s="29">
        <v>0</v>
      </c>
      <c r="BR184" s="22">
        <v>44729</v>
      </c>
      <c r="BS184" s="26">
        <f t="shared" ca="1" si="16"/>
        <v>0.95338624301877717</v>
      </c>
      <c r="BT184" s="29">
        <v>0</v>
      </c>
      <c r="BV184" s="22">
        <v>44729</v>
      </c>
      <c r="BW184" s="26">
        <f t="shared" ca="1" si="17"/>
        <v>0.71710374332066562</v>
      </c>
      <c r="BX184" s="29">
        <v>0</v>
      </c>
    </row>
    <row r="185" spans="2:76" ht="12.75" x14ac:dyDescent="0.2">
      <c r="B185" s="22">
        <v>44730</v>
      </c>
      <c r="C185" s="26">
        <f t="shared" ca="1" si="0"/>
        <v>0.92632103798558996</v>
      </c>
      <c r="D185" s="29">
        <f t="shared" ca="1" si="24"/>
        <v>104</v>
      </c>
      <c r="F185" s="22">
        <v>44730</v>
      </c>
      <c r="G185" s="26">
        <f t="shared" ca="1" si="1"/>
        <v>0.16184601865805537</v>
      </c>
      <c r="H185" s="29">
        <f t="shared" ca="1" si="25"/>
        <v>202</v>
      </c>
      <c r="J185" s="22">
        <v>44730</v>
      </c>
      <c r="K185" s="26">
        <f t="shared" ca="1" si="2"/>
        <v>8.1998671073161056E-2</v>
      </c>
      <c r="L185" s="29">
        <v>0</v>
      </c>
      <c r="N185" s="22">
        <v>44730</v>
      </c>
      <c r="O185" s="26">
        <f t="shared" ca="1" si="3"/>
        <v>0.386491676324063</v>
      </c>
      <c r="P185" s="29">
        <v>0</v>
      </c>
      <c r="R185" s="22">
        <v>44730</v>
      </c>
      <c r="S185" s="26">
        <f t="shared" ca="1" si="4"/>
        <v>0.47413405564914979</v>
      </c>
      <c r="T185" s="29">
        <v>0</v>
      </c>
      <c r="V185" s="22">
        <v>44730</v>
      </c>
      <c r="W185" s="26">
        <f t="shared" ca="1" si="5"/>
        <v>0.16204089781611219</v>
      </c>
      <c r="X185" s="29">
        <v>0</v>
      </c>
      <c r="Z185" s="22">
        <v>44730</v>
      </c>
      <c r="AA185" s="26">
        <f t="shared" ca="1" si="6"/>
        <v>0.62720494760380896</v>
      </c>
      <c r="AB185" s="29">
        <v>0</v>
      </c>
      <c r="AC185"/>
      <c r="AD185" s="25"/>
      <c r="AF185" s="22">
        <v>44730</v>
      </c>
      <c r="AG185" s="26">
        <f t="shared" ca="1" si="7"/>
        <v>0.86060474641114193</v>
      </c>
      <c r="AH185" s="29">
        <v>0</v>
      </c>
      <c r="AJ185" s="22">
        <v>44730</v>
      </c>
      <c r="AK185" s="26">
        <f t="shared" ca="1" si="8"/>
        <v>0.55970865769912448</v>
      </c>
      <c r="AL185" s="29">
        <v>0</v>
      </c>
      <c r="AN185" s="22">
        <v>44730</v>
      </c>
      <c r="AO185" s="26">
        <f t="shared" ca="1" si="9"/>
        <v>0.72084997149620189</v>
      </c>
      <c r="AP185" s="29">
        <v>0</v>
      </c>
      <c r="AR185" s="22">
        <v>44730</v>
      </c>
      <c r="AS185" s="26">
        <f t="shared" ca="1" si="10"/>
        <v>0.43518980324146717</v>
      </c>
      <c r="AT185" s="29">
        <v>0</v>
      </c>
      <c r="AV185" s="22">
        <v>44730</v>
      </c>
      <c r="AW185" s="26">
        <f t="shared" ca="1" si="11"/>
        <v>0.27005218857950319</v>
      </c>
      <c r="AX185" s="29">
        <v>0</v>
      </c>
      <c r="AZ185" s="22">
        <v>44730</v>
      </c>
      <c r="BA185" s="26">
        <f t="shared" ca="1" si="12"/>
        <v>0.90412696716302199</v>
      </c>
      <c r="BB185" s="29">
        <v>0</v>
      </c>
      <c r="BC185"/>
      <c r="BD185" s="25"/>
      <c r="BF185" s="22">
        <v>44730</v>
      </c>
      <c r="BG185" s="26">
        <f t="shared" ca="1" si="13"/>
        <v>0.22988253022866567</v>
      </c>
      <c r="BH185" s="29">
        <v>0</v>
      </c>
      <c r="BJ185" s="22">
        <v>44730</v>
      </c>
      <c r="BK185" s="26">
        <f t="shared" ca="1" si="14"/>
        <v>6.9565659442240246E-2</v>
      </c>
      <c r="BL185" s="29">
        <v>0</v>
      </c>
      <c r="BN185" s="22">
        <v>44730</v>
      </c>
      <c r="BO185" s="26">
        <f t="shared" ca="1" si="15"/>
        <v>0.92861449047714906</v>
      </c>
      <c r="BP185" s="29">
        <v>0</v>
      </c>
      <c r="BR185" s="22">
        <v>44730</v>
      </c>
      <c r="BS185" s="26">
        <f t="shared" ca="1" si="16"/>
        <v>0.98684325655248895</v>
      </c>
      <c r="BT185" s="29">
        <v>0</v>
      </c>
      <c r="BV185" s="22">
        <v>44730</v>
      </c>
      <c r="BW185" s="26">
        <f t="shared" ca="1" si="17"/>
        <v>0.36228457318243323</v>
      </c>
      <c r="BX185" s="29">
        <v>0</v>
      </c>
    </row>
    <row r="186" spans="2:76" ht="12.75" x14ac:dyDescent="0.2">
      <c r="B186" s="22">
        <v>44731</v>
      </c>
      <c r="C186" s="26">
        <f t="shared" ca="1" si="0"/>
        <v>4.1534207857832239E-2</v>
      </c>
      <c r="D186" s="29">
        <f t="shared" ca="1" si="24"/>
        <v>41</v>
      </c>
      <c r="F186" s="22">
        <v>44731</v>
      </c>
      <c r="G186" s="26">
        <f t="shared" ca="1" si="1"/>
        <v>0.19132813713075514</v>
      </c>
      <c r="H186" s="29">
        <f t="shared" ca="1" si="25"/>
        <v>203</v>
      </c>
      <c r="J186" s="22">
        <v>44731</v>
      </c>
      <c r="K186" s="26">
        <f t="shared" ca="1" si="2"/>
        <v>8.0506195986046469E-3</v>
      </c>
      <c r="L186" s="29">
        <v>0</v>
      </c>
      <c r="N186" s="22">
        <v>44731</v>
      </c>
      <c r="O186" s="26">
        <f t="shared" ca="1" si="3"/>
        <v>1.3721388509762011E-3</v>
      </c>
      <c r="P186" s="29">
        <v>0</v>
      </c>
      <c r="R186" s="22">
        <v>44731</v>
      </c>
      <c r="S186" s="26">
        <f t="shared" ca="1" si="4"/>
        <v>0.5487152199317461</v>
      </c>
      <c r="T186" s="29">
        <v>0</v>
      </c>
      <c r="V186" s="22">
        <v>44731</v>
      </c>
      <c r="W186" s="26">
        <f t="shared" ca="1" si="5"/>
        <v>0.98678355182391941</v>
      </c>
      <c r="X186" s="29">
        <v>0</v>
      </c>
      <c r="Z186" s="22">
        <v>44731</v>
      </c>
      <c r="AA186" s="26">
        <f t="shared" ca="1" si="6"/>
        <v>0.75226601120799352</v>
      </c>
      <c r="AB186" s="29">
        <v>0</v>
      </c>
      <c r="AC186"/>
      <c r="AD186" s="25"/>
      <c r="AF186" s="22">
        <v>44731</v>
      </c>
      <c r="AG186" s="26">
        <f t="shared" ca="1" si="7"/>
        <v>0.72998637826631774</v>
      </c>
      <c r="AH186" s="29">
        <v>0</v>
      </c>
      <c r="AJ186" s="22">
        <v>44731</v>
      </c>
      <c r="AK186" s="26">
        <f t="shared" ca="1" si="8"/>
        <v>8.1092035949819175E-2</v>
      </c>
      <c r="AL186" s="29">
        <v>0</v>
      </c>
      <c r="AN186" s="22">
        <v>44731</v>
      </c>
      <c r="AO186" s="26">
        <f t="shared" ca="1" si="9"/>
        <v>0.86457822023556519</v>
      </c>
      <c r="AP186" s="29">
        <v>0</v>
      </c>
      <c r="AR186" s="22">
        <v>44731</v>
      </c>
      <c r="AS186" s="26">
        <f t="shared" ca="1" si="10"/>
        <v>0.83984176397153287</v>
      </c>
      <c r="AT186" s="29">
        <v>0</v>
      </c>
      <c r="AV186" s="22">
        <v>44731</v>
      </c>
      <c r="AW186" s="26">
        <f t="shared" ca="1" si="11"/>
        <v>0.54990275679216594</v>
      </c>
      <c r="AX186" s="29">
        <v>0</v>
      </c>
      <c r="AZ186" s="22">
        <v>44731</v>
      </c>
      <c r="BA186" s="26">
        <f t="shared" ca="1" si="12"/>
        <v>0.22505761661253554</v>
      </c>
      <c r="BB186" s="29">
        <v>0</v>
      </c>
      <c r="BC186"/>
      <c r="BD186" s="25"/>
      <c r="BF186" s="22">
        <v>44731</v>
      </c>
      <c r="BG186" s="26">
        <f t="shared" ca="1" si="13"/>
        <v>0.10909085081197967</v>
      </c>
      <c r="BH186" s="29">
        <v>0</v>
      </c>
      <c r="BJ186" s="22">
        <v>44731</v>
      </c>
      <c r="BK186" s="26">
        <f t="shared" ca="1" si="14"/>
        <v>0.15080309710336381</v>
      </c>
      <c r="BL186" s="29">
        <v>0</v>
      </c>
      <c r="BN186" s="22">
        <v>44731</v>
      </c>
      <c r="BO186" s="26">
        <f t="shared" ca="1" si="15"/>
        <v>0.93472980317635301</v>
      </c>
      <c r="BP186" s="29">
        <v>0</v>
      </c>
      <c r="BR186" s="22">
        <v>44731</v>
      </c>
      <c r="BS186" s="26">
        <f t="shared" ca="1" si="16"/>
        <v>0.13797625982665074</v>
      </c>
      <c r="BT186" s="29">
        <v>0</v>
      </c>
      <c r="BV186" s="22">
        <v>44731</v>
      </c>
      <c r="BW186" s="26">
        <f t="shared" ca="1" si="17"/>
        <v>0.4279983017866954</v>
      </c>
      <c r="BX186" s="29">
        <v>0</v>
      </c>
    </row>
    <row r="187" spans="2:76" ht="12.75" x14ac:dyDescent="0.2">
      <c r="B187" s="22">
        <v>44732</v>
      </c>
      <c r="C187" s="26">
        <f t="shared" ca="1" si="0"/>
        <v>0.39316577076008574</v>
      </c>
      <c r="D187" s="29">
        <f t="shared" ca="1" si="24"/>
        <v>70</v>
      </c>
      <c r="F187" s="22">
        <v>44732</v>
      </c>
      <c r="G187" s="26">
        <f t="shared" ca="1" si="1"/>
        <v>0.76563041671981824</v>
      </c>
      <c r="H187" s="29">
        <f t="shared" ca="1" si="25"/>
        <v>226</v>
      </c>
      <c r="J187" s="22">
        <v>44732</v>
      </c>
      <c r="K187" s="26">
        <f t="shared" ca="1" si="2"/>
        <v>0.21497680968919608</v>
      </c>
      <c r="L187" s="29">
        <v>0</v>
      </c>
      <c r="N187" s="22">
        <v>44732</v>
      </c>
      <c r="O187" s="26">
        <f t="shared" ca="1" si="3"/>
        <v>0.42756321221070992</v>
      </c>
      <c r="P187" s="29">
        <v>0</v>
      </c>
      <c r="R187" s="22">
        <v>44732</v>
      </c>
      <c r="S187" s="26">
        <f t="shared" ca="1" si="4"/>
        <v>0.76241912761903541</v>
      </c>
      <c r="T187" s="29">
        <v>0</v>
      </c>
      <c r="V187" s="22">
        <v>44732</v>
      </c>
      <c r="W187" s="26">
        <f t="shared" ca="1" si="5"/>
        <v>0.43244628388031348</v>
      </c>
      <c r="X187" s="29">
        <v>0</v>
      </c>
      <c r="Z187" s="22">
        <v>44732</v>
      </c>
      <c r="AA187" s="26">
        <f t="shared" ca="1" si="6"/>
        <v>0.40640055333965985</v>
      </c>
      <c r="AB187" s="29">
        <v>0</v>
      </c>
      <c r="AC187"/>
      <c r="AD187" s="25"/>
      <c r="AF187" s="22">
        <v>44732</v>
      </c>
      <c r="AG187" s="26">
        <f t="shared" ca="1" si="7"/>
        <v>3.0937965026969438E-2</v>
      </c>
      <c r="AH187" s="29">
        <v>0</v>
      </c>
      <c r="AJ187" s="22">
        <v>44732</v>
      </c>
      <c r="AK187" s="26">
        <f t="shared" ca="1" si="8"/>
        <v>0.77561276808704971</v>
      </c>
      <c r="AL187" s="29">
        <v>0</v>
      </c>
      <c r="AN187" s="22">
        <v>44732</v>
      </c>
      <c r="AO187" s="26">
        <f t="shared" ca="1" si="9"/>
        <v>0.86456248786414747</v>
      </c>
      <c r="AP187" s="29">
        <v>0</v>
      </c>
      <c r="AR187" s="22">
        <v>44732</v>
      </c>
      <c r="AS187" s="26">
        <f t="shared" ca="1" si="10"/>
        <v>0.86931290048618248</v>
      </c>
      <c r="AT187" s="29">
        <v>0</v>
      </c>
      <c r="AV187" s="22">
        <v>44732</v>
      </c>
      <c r="AW187" s="26">
        <f t="shared" ca="1" si="11"/>
        <v>0.3226278222885367</v>
      </c>
      <c r="AX187" s="29">
        <v>0</v>
      </c>
      <c r="AZ187" s="22">
        <v>44732</v>
      </c>
      <c r="BA187" s="26">
        <f t="shared" ca="1" si="12"/>
        <v>0.12551409027462779</v>
      </c>
      <c r="BB187" s="29">
        <v>0</v>
      </c>
      <c r="BC187"/>
      <c r="BD187" s="25"/>
      <c r="BF187" s="22">
        <v>44732</v>
      </c>
      <c r="BG187" s="26">
        <f t="shared" ca="1" si="13"/>
        <v>0.23317431742246775</v>
      </c>
      <c r="BH187" s="29">
        <v>0</v>
      </c>
      <c r="BJ187" s="22">
        <v>44732</v>
      </c>
      <c r="BK187" s="26">
        <f t="shared" ca="1" si="14"/>
        <v>7.2438783427557385E-2</v>
      </c>
      <c r="BL187" s="29">
        <v>0</v>
      </c>
      <c r="BN187" s="22">
        <v>44732</v>
      </c>
      <c r="BO187" s="26">
        <f t="shared" ca="1" si="15"/>
        <v>0.21427109968074998</v>
      </c>
      <c r="BP187" s="29">
        <v>0</v>
      </c>
      <c r="BR187" s="22">
        <v>44732</v>
      </c>
      <c r="BS187" s="26">
        <f t="shared" ca="1" si="16"/>
        <v>8.2416515838790727E-2</v>
      </c>
      <c r="BT187" s="29">
        <v>0</v>
      </c>
      <c r="BV187" s="22">
        <v>44732</v>
      </c>
      <c r="BW187" s="26">
        <f t="shared" ca="1" si="17"/>
        <v>0.21364898933975462</v>
      </c>
      <c r="BX187" s="29">
        <v>0</v>
      </c>
    </row>
    <row r="188" spans="2:76" ht="12.75" x14ac:dyDescent="0.2">
      <c r="B188" s="22">
        <v>44733</v>
      </c>
      <c r="C188" s="26">
        <f t="shared" ca="1" si="0"/>
        <v>5.0354516070631017E-2</v>
      </c>
      <c r="D188" s="29">
        <f t="shared" ca="1" si="24"/>
        <v>43</v>
      </c>
      <c r="F188" s="22">
        <v>44733</v>
      </c>
      <c r="G188" s="26">
        <f t="shared" ca="1" si="1"/>
        <v>0.70350975114808223</v>
      </c>
      <c r="H188" s="29">
        <f t="shared" ca="1" si="25"/>
        <v>224</v>
      </c>
      <c r="J188" s="22">
        <v>44733</v>
      </c>
      <c r="K188" s="26">
        <f t="shared" ca="1" si="2"/>
        <v>0.52527512430282575</v>
      </c>
      <c r="L188" s="29">
        <v>0</v>
      </c>
      <c r="N188" s="22">
        <v>44733</v>
      </c>
      <c r="O188" s="26">
        <f t="shared" ca="1" si="3"/>
        <v>0.31368480296371537</v>
      </c>
      <c r="P188" s="29">
        <v>0</v>
      </c>
      <c r="R188" s="22">
        <v>44733</v>
      </c>
      <c r="S188" s="26">
        <f t="shared" ca="1" si="4"/>
        <v>0.66981993445900412</v>
      </c>
      <c r="T188" s="29">
        <v>0</v>
      </c>
      <c r="V188" s="22">
        <v>44733</v>
      </c>
      <c r="W188" s="26">
        <f t="shared" ca="1" si="5"/>
        <v>0.91582509555136049</v>
      </c>
      <c r="X188" s="29">
        <v>0</v>
      </c>
      <c r="Z188" s="22">
        <v>44733</v>
      </c>
      <c r="AA188" s="26">
        <f t="shared" ca="1" si="6"/>
        <v>0.90238489699818547</v>
      </c>
      <c r="AB188" s="29">
        <v>0</v>
      </c>
      <c r="AC188"/>
      <c r="AD188" s="25"/>
      <c r="AF188" s="22">
        <v>44733</v>
      </c>
      <c r="AG188" s="26">
        <f t="shared" ca="1" si="7"/>
        <v>0.58851478991683204</v>
      </c>
      <c r="AH188" s="29">
        <v>0</v>
      </c>
      <c r="AJ188" s="22">
        <v>44733</v>
      </c>
      <c r="AK188" s="26">
        <f t="shared" ca="1" si="8"/>
        <v>0.78630714933789747</v>
      </c>
      <c r="AL188" s="29">
        <v>0</v>
      </c>
      <c r="AN188" s="22">
        <v>44733</v>
      </c>
      <c r="AO188" s="26">
        <f t="shared" ca="1" si="9"/>
        <v>0.60789741777239392</v>
      </c>
      <c r="AP188" s="29">
        <v>0</v>
      </c>
      <c r="AR188" s="22">
        <v>44733</v>
      </c>
      <c r="AS188" s="26">
        <f t="shared" ca="1" si="10"/>
        <v>9.205636772409298E-2</v>
      </c>
      <c r="AT188" s="29">
        <v>0</v>
      </c>
      <c r="AV188" s="22">
        <v>44733</v>
      </c>
      <c r="AW188" s="26">
        <f t="shared" ca="1" si="11"/>
        <v>0.3720705876008279</v>
      </c>
      <c r="AX188" s="29">
        <v>0</v>
      </c>
      <c r="AZ188" s="22">
        <v>44733</v>
      </c>
      <c r="BA188" s="26">
        <f t="shared" ca="1" si="12"/>
        <v>0.68458693203382148</v>
      </c>
      <c r="BB188" s="29">
        <v>0</v>
      </c>
      <c r="BC188"/>
      <c r="BD188" s="25"/>
      <c r="BF188" s="22">
        <v>44733</v>
      </c>
      <c r="BG188" s="26">
        <f t="shared" ca="1" si="13"/>
        <v>0.4667549990800326</v>
      </c>
      <c r="BH188" s="29">
        <v>0</v>
      </c>
      <c r="BJ188" s="22">
        <v>44733</v>
      </c>
      <c r="BK188" s="26">
        <f t="shared" ca="1" si="14"/>
        <v>0.47951875842141856</v>
      </c>
      <c r="BL188" s="29">
        <v>0</v>
      </c>
      <c r="BN188" s="22">
        <v>44733</v>
      </c>
      <c r="BO188" s="26">
        <f t="shared" ca="1" si="15"/>
        <v>0.82887807983491091</v>
      </c>
      <c r="BP188" s="29">
        <v>0</v>
      </c>
      <c r="BR188" s="22">
        <v>44733</v>
      </c>
      <c r="BS188" s="26">
        <f t="shared" ca="1" si="16"/>
        <v>0.58388863619998133</v>
      </c>
      <c r="BT188" s="29">
        <v>0</v>
      </c>
      <c r="BV188" s="22">
        <v>44733</v>
      </c>
      <c r="BW188" s="26">
        <f t="shared" ca="1" si="17"/>
        <v>0.79382703407490729</v>
      </c>
      <c r="BX188" s="29">
        <v>0</v>
      </c>
    </row>
    <row r="189" spans="2:76" ht="12.75" x14ac:dyDescent="0.2">
      <c r="B189" s="22">
        <v>44734</v>
      </c>
      <c r="C189" s="26">
        <f t="shared" ca="1" si="0"/>
        <v>0.1718994218170089</v>
      </c>
      <c r="D189" s="29">
        <f t="shared" ca="1" si="24"/>
        <v>57</v>
      </c>
      <c r="F189" s="22">
        <v>44734</v>
      </c>
      <c r="G189" s="26">
        <f t="shared" ca="1" si="1"/>
        <v>7.924237185074845E-3</v>
      </c>
      <c r="H189" s="29">
        <f t="shared" ca="1" si="25"/>
        <v>181</v>
      </c>
      <c r="J189" s="22">
        <v>44734</v>
      </c>
      <c r="K189" s="26">
        <f t="shared" ca="1" si="2"/>
        <v>0.1955240139402773</v>
      </c>
      <c r="L189" s="29">
        <v>0</v>
      </c>
      <c r="N189" s="22">
        <v>44734</v>
      </c>
      <c r="O189" s="26">
        <f t="shared" ca="1" si="3"/>
        <v>0.71988946086184469</v>
      </c>
      <c r="P189" s="29">
        <v>0</v>
      </c>
      <c r="R189" s="22">
        <v>44734</v>
      </c>
      <c r="S189" s="26">
        <f t="shared" ca="1" si="4"/>
        <v>9.4456135854664836E-2</v>
      </c>
      <c r="T189" s="29">
        <v>0</v>
      </c>
      <c r="V189" s="22">
        <v>44734</v>
      </c>
      <c r="W189" s="26">
        <f t="shared" ca="1" si="5"/>
        <v>0.43862697584567434</v>
      </c>
      <c r="X189" s="29">
        <v>0</v>
      </c>
      <c r="Z189" s="22">
        <v>44734</v>
      </c>
      <c r="AA189" s="26">
        <f t="shared" ca="1" si="6"/>
        <v>0.67344809143416451</v>
      </c>
      <c r="AB189" s="29">
        <v>0</v>
      </c>
      <c r="AC189"/>
      <c r="AD189" s="25"/>
      <c r="AF189" s="22">
        <v>44734</v>
      </c>
      <c r="AG189" s="26">
        <f t="shared" ca="1" si="7"/>
        <v>0.38015883934584505</v>
      </c>
      <c r="AH189" s="29">
        <v>0</v>
      </c>
      <c r="AJ189" s="22">
        <v>44734</v>
      </c>
      <c r="AK189" s="26">
        <f t="shared" ca="1" si="8"/>
        <v>0.81102432343236641</v>
      </c>
      <c r="AL189" s="29">
        <v>0</v>
      </c>
      <c r="AN189" s="22">
        <v>44734</v>
      </c>
      <c r="AO189" s="26">
        <f t="shared" ca="1" si="9"/>
        <v>0.52277676849517385</v>
      </c>
      <c r="AP189" s="29">
        <v>0</v>
      </c>
      <c r="AR189" s="22">
        <v>44734</v>
      </c>
      <c r="AS189" s="26">
        <f t="shared" ca="1" si="10"/>
        <v>3.3084655100484861E-3</v>
      </c>
      <c r="AT189" s="29">
        <v>0</v>
      </c>
      <c r="AV189" s="22">
        <v>44734</v>
      </c>
      <c r="AW189" s="26">
        <f t="shared" ca="1" si="11"/>
        <v>0.62715771642200191</v>
      </c>
      <c r="AX189" s="29">
        <v>0</v>
      </c>
      <c r="AZ189" s="22">
        <v>44734</v>
      </c>
      <c r="BA189" s="26">
        <f t="shared" ca="1" si="12"/>
        <v>0.22171956292107575</v>
      </c>
      <c r="BB189" s="29">
        <v>0</v>
      </c>
      <c r="BC189"/>
      <c r="BD189" s="25"/>
      <c r="BF189" s="22">
        <v>44734</v>
      </c>
      <c r="BG189" s="26">
        <f t="shared" ca="1" si="13"/>
        <v>0.33713745265940565</v>
      </c>
      <c r="BH189" s="29">
        <v>0</v>
      </c>
      <c r="BJ189" s="22">
        <v>44734</v>
      </c>
      <c r="BK189" s="26">
        <f t="shared" ca="1" si="14"/>
        <v>3.3099754414254168E-2</v>
      </c>
      <c r="BL189" s="29">
        <v>0</v>
      </c>
      <c r="BN189" s="22">
        <v>44734</v>
      </c>
      <c r="BO189" s="26">
        <f t="shared" ca="1" si="15"/>
        <v>0.44851647635039504</v>
      </c>
      <c r="BP189" s="29">
        <v>0</v>
      </c>
      <c r="BR189" s="22">
        <v>44734</v>
      </c>
      <c r="BS189" s="26">
        <f t="shared" ca="1" si="16"/>
        <v>0.22960069846995868</v>
      </c>
      <c r="BT189" s="29">
        <v>0</v>
      </c>
      <c r="BV189" s="22">
        <v>44734</v>
      </c>
      <c r="BW189" s="26">
        <f t="shared" ca="1" si="17"/>
        <v>0.51957299629907949</v>
      </c>
      <c r="BX189" s="29">
        <v>0</v>
      </c>
    </row>
    <row r="190" spans="2:76" ht="12.75" x14ac:dyDescent="0.2">
      <c r="B190" s="22">
        <v>44735</v>
      </c>
      <c r="C190" s="26">
        <f t="shared" ca="1" si="0"/>
        <v>0.87658780878061726</v>
      </c>
      <c r="D190" s="29">
        <f t="shared" ca="1" si="24"/>
        <v>99</v>
      </c>
      <c r="F190" s="22">
        <v>44735</v>
      </c>
      <c r="G190" s="26">
        <f t="shared" ca="1" si="1"/>
        <v>1.4406549903587251E-2</v>
      </c>
      <c r="H190" s="29">
        <f t="shared" ca="1" si="25"/>
        <v>185</v>
      </c>
      <c r="J190" s="22">
        <v>44735</v>
      </c>
      <c r="K190" s="26">
        <f t="shared" ca="1" si="2"/>
        <v>0.53337864866807394</v>
      </c>
      <c r="L190" s="29">
        <v>0</v>
      </c>
      <c r="N190" s="22">
        <v>44735</v>
      </c>
      <c r="O190" s="26">
        <f t="shared" ca="1" si="3"/>
        <v>0.27306169136276182</v>
      </c>
      <c r="P190" s="29">
        <v>0</v>
      </c>
      <c r="R190" s="22">
        <v>44735</v>
      </c>
      <c r="S190" s="26">
        <f t="shared" ca="1" si="4"/>
        <v>0.14420709209876514</v>
      </c>
      <c r="T190" s="29">
        <v>0</v>
      </c>
      <c r="V190" s="22">
        <v>44735</v>
      </c>
      <c r="W190" s="26">
        <f t="shared" ca="1" si="5"/>
        <v>0.23130961865254906</v>
      </c>
      <c r="X190" s="29">
        <v>0</v>
      </c>
      <c r="Z190" s="22">
        <v>44735</v>
      </c>
      <c r="AA190" s="26">
        <f t="shared" ca="1" si="6"/>
        <v>0.5914070765966114</v>
      </c>
      <c r="AB190" s="29">
        <v>0</v>
      </c>
      <c r="AC190"/>
      <c r="AD190" s="25"/>
      <c r="AF190" s="22">
        <v>44735</v>
      </c>
      <c r="AG190" s="26">
        <f t="shared" ca="1" si="7"/>
        <v>0.73045946743594159</v>
      </c>
      <c r="AH190" s="29">
        <v>0</v>
      </c>
      <c r="AJ190" s="22">
        <v>44735</v>
      </c>
      <c r="AK190" s="26">
        <f t="shared" ca="1" si="8"/>
        <v>0.69604380750670691</v>
      </c>
      <c r="AL190" s="29">
        <v>0</v>
      </c>
      <c r="AN190" s="22">
        <v>44735</v>
      </c>
      <c r="AO190" s="26">
        <f t="shared" ca="1" si="9"/>
        <v>0.12245667754921497</v>
      </c>
      <c r="AP190" s="29">
        <v>0</v>
      </c>
      <c r="AR190" s="22">
        <v>44735</v>
      </c>
      <c r="AS190" s="26">
        <f t="shared" ca="1" si="10"/>
        <v>0.7936541332335787</v>
      </c>
      <c r="AT190" s="29">
        <v>0</v>
      </c>
      <c r="AV190" s="22">
        <v>44735</v>
      </c>
      <c r="AW190" s="26">
        <f t="shared" ca="1" si="11"/>
        <v>0.5018488886907152</v>
      </c>
      <c r="AX190" s="29">
        <v>0</v>
      </c>
      <c r="AZ190" s="22">
        <v>44735</v>
      </c>
      <c r="BA190" s="26">
        <f t="shared" ca="1" si="12"/>
        <v>0.38210051753395624</v>
      </c>
      <c r="BB190" s="29">
        <v>0</v>
      </c>
      <c r="BC190"/>
      <c r="BD190" s="25"/>
      <c r="BF190" s="22">
        <v>44735</v>
      </c>
      <c r="BG190" s="26">
        <f t="shared" ca="1" si="13"/>
        <v>3.6586465377701494E-3</v>
      </c>
      <c r="BH190" s="29">
        <v>0</v>
      </c>
      <c r="BJ190" s="22">
        <v>44735</v>
      </c>
      <c r="BK190" s="26">
        <f t="shared" ca="1" si="14"/>
        <v>3.8108509235709409E-2</v>
      </c>
      <c r="BL190" s="29">
        <v>0</v>
      </c>
      <c r="BN190" s="22">
        <v>44735</v>
      </c>
      <c r="BO190" s="26">
        <f t="shared" ca="1" si="15"/>
        <v>0.56734455770607994</v>
      </c>
      <c r="BP190" s="29">
        <v>0</v>
      </c>
      <c r="BR190" s="22">
        <v>44735</v>
      </c>
      <c r="BS190" s="26">
        <f t="shared" ca="1" si="16"/>
        <v>0.4592387423417823</v>
      </c>
      <c r="BT190" s="29">
        <v>0</v>
      </c>
      <c r="BV190" s="22">
        <v>44735</v>
      </c>
      <c r="BW190" s="26">
        <f t="shared" ca="1" si="17"/>
        <v>0.57601198999654324</v>
      </c>
      <c r="BX190" s="29">
        <v>0</v>
      </c>
    </row>
    <row r="191" spans="2:76" ht="12.75" x14ac:dyDescent="0.2">
      <c r="B191" s="22">
        <v>44736</v>
      </c>
      <c r="C191" s="26">
        <f t="shared" ca="1" si="0"/>
        <v>0.12041948655402546</v>
      </c>
      <c r="D191" s="29">
        <f t="shared" ca="1" si="24"/>
        <v>52</v>
      </c>
      <c r="F191" s="22">
        <v>44736</v>
      </c>
      <c r="G191" s="26">
        <f t="shared" ca="1" si="1"/>
        <v>0.6395383877515648</v>
      </c>
      <c r="H191" s="29">
        <f t="shared" ca="1" si="25"/>
        <v>221</v>
      </c>
      <c r="J191" s="22">
        <v>44736</v>
      </c>
      <c r="K191" s="26">
        <f t="shared" ca="1" si="2"/>
        <v>0.70747217470624546</v>
      </c>
      <c r="L191" s="29">
        <v>0</v>
      </c>
      <c r="N191" s="22">
        <v>44736</v>
      </c>
      <c r="O191" s="26">
        <f t="shared" ca="1" si="3"/>
        <v>0.10692162900439983</v>
      </c>
      <c r="P191" s="29">
        <v>0</v>
      </c>
      <c r="R191" s="22">
        <v>44736</v>
      </c>
      <c r="S191" s="26">
        <f t="shared" ca="1" si="4"/>
        <v>0.57547387581796861</v>
      </c>
      <c r="T191" s="29">
        <v>0</v>
      </c>
      <c r="V191" s="22">
        <v>44736</v>
      </c>
      <c r="W191" s="26">
        <f t="shared" ca="1" si="5"/>
        <v>0.65078269833977975</v>
      </c>
      <c r="X191" s="29">
        <v>0</v>
      </c>
      <c r="Z191" s="22">
        <v>44736</v>
      </c>
      <c r="AA191" s="26">
        <f t="shared" ca="1" si="6"/>
        <v>0.27306254397151919</v>
      </c>
      <c r="AB191" s="29">
        <v>0</v>
      </c>
      <c r="AC191"/>
      <c r="AD191" s="25"/>
      <c r="AF191" s="22">
        <v>44736</v>
      </c>
      <c r="AG191" s="26">
        <f t="shared" ca="1" si="7"/>
        <v>0.94317467095368046</v>
      </c>
      <c r="AH191" s="29">
        <v>0</v>
      </c>
      <c r="AJ191" s="22">
        <v>44736</v>
      </c>
      <c r="AK191" s="26">
        <f t="shared" ca="1" si="8"/>
        <v>0.65766917546678605</v>
      </c>
      <c r="AL191" s="29">
        <v>0</v>
      </c>
      <c r="AN191" s="22">
        <v>44736</v>
      </c>
      <c r="AO191" s="26">
        <f t="shared" ca="1" si="9"/>
        <v>0.10897745004319892</v>
      </c>
      <c r="AP191" s="29">
        <v>0</v>
      </c>
      <c r="AR191" s="22">
        <v>44736</v>
      </c>
      <c r="AS191" s="26">
        <f t="shared" ca="1" si="10"/>
        <v>0.65216355870344056</v>
      </c>
      <c r="AT191" s="29">
        <v>0</v>
      </c>
      <c r="AV191" s="22">
        <v>44736</v>
      </c>
      <c r="AW191" s="26">
        <f t="shared" ca="1" si="11"/>
        <v>8.3621637624122558E-2</v>
      </c>
      <c r="AX191" s="29">
        <v>0</v>
      </c>
      <c r="AZ191" s="22">
        <v>44736</v>
      </c>
      <c r="BA191" s="26">
        <f t="shared" ca="1" si="12"/>
        <v>0.69959580138522814</v>
      </c>
      <c r="BB191" s="29">
        <v>0</v>
      </c>
      <c r="BC191"/>
      <c r="BD191" s="25"/>
      <c r="BF191" s="22">
        <v>44736</v>
      </c>
      <c r="BG191" s="26">
        <f t="shared" ca="1" si="13"/>
        <v>0.96261091190787962</v>
      </c>
      <c r="BH191" s="29">
        <v>0</v>
      </c>
      <c r="BJ191" s="22">
        <v>44736</v>
      </c>
      <c r="BK191" s="26">
        <f t="shared" ca="1" si="14"/>
        <v>0.85501375397611767</v>
      </c>
      <c r="BL191" s="29">
        <v>0</v>
      </c>
      <c r="BN191" s="22">
        <v>44736</v>
      </c>
      <c r="BO191" s="26">
        <f t="shared" ca="1" si="15"/>
        <v>0.8918205501253107</v>
      </c>
      <c r="BP191" s="29">
        <v>0</v>
      </c>
      <c r="BR191" s="22">
        <v>44736</v>
      </c>
      <c r="BS191" s="26">
        <f t="shared" ca="1" si="16"/>
        <v>0.4867858754184291</v>
      </c>
      <c r="BT191" s="29">
        <v>0</v>
      </c>
      <c r="BV191" s="22">
        <v>44736</v>
      </c>
      <c r="BW191" s="26">
        <f t="shared" ca="1" si="17"/>
        <v>0.61523912742454667</v>
      </c>
      <c r="BX191" s="29">
        <v>0</v>
      </c>
    </row>
    <row r="192" spans="2:76" ht="12.75" x14ac:dyDescent="0.2">
      <c r="B192" s="22">
        <v>44737</v>
      </c>
      <c r="C192" s="26">
        <f t="shared" ca="1" si="0"/>
        <v>0.97300684260390813</v>
      </c>
      <c r="D192" s="29">
        <f t="shared" ca="1" si="24"/>
        <v>114</v>
      </c>
      <c r="F192" s="22">
        <v>44737</v>
      </c>
      <c r="G192" s="26">
        <f t="shared" ca="1" si="1"/>
        <v>0.54864217575645646</v>
      </c>
      <c r="H192" s="29">
        <f t="shared" ca="1" si="25"/>
        <v>218</v>
      </c>
      <c r="J192" s="22">
        <v>44737</v>
      </c>
      <c r="K192" s="26">
        <f t="shared" ca="1" si="2"/>
        <v>0.62171852428693641</v>
      </c>
      <c r="L192" s="29">
        <v>0</v>
      </c>
      <c r="N192" s="22">
        <v>44737</v>
      </c>
      <c r="O192" s="26">
        <f t="shared" ca="1" si="3"/>
        <v>9.1393349080534092E-3</v>
      </c>
      <c r="P192" s="29">
        <v>0</v>
      </c>
      <c r="R192" s="22">
        <v>44737</v>
      </c>
      <c r="S192" s="26">
        <f t="shared" ca="1" si="4"/>
        <v>0.58803049109445171</v>
      </c>
      <c r="T192" s="29">
        <v>0</v>
      </c>
      <c r="V192" s="22">
        <v>44737</v>
      </c>
      <c r="W192" s="26">
        <f t="shared" ca="1" si="5"/>
        <v>0.36937521230367765</v>
      </c>
      <c r="X192" s="29">
        <v>0</v>
      </c>
      <c r="Z192" s="22">
        <v>44737</v>
      </c>
      <c r="AA192" s="26">
        <f t="shared" ca="1" si="6"/>
        <v>0.64608011621521799</v>
      </c>
      <c r="AB192" s="29">
        <v>0</v>
      </c>
      <c r="AC192"/>
      <c r="AD192" s="25"/>
      <c r="AF192" s="22">
        <v>44737</v>
      </c>
      <c r="AG192" s="26">
        <f t="shared" ca="1" si="7"/>
        <v>6.944546693232978E-2</v>
      </c>
      <c r="AH192" s="29">
        <v>0</v>
      </c>
      <c r="AJ192" s="22">
        <v>44737</v>
      </c>
      <c r="AK192" s="26">
        <f t="shared" ca="1" si="8"/>
        <v>0.47761982557295923</v>
      </c>
      <c r="AL192" s="29">
        <v>0</v>
      </c>
      <c r="AN192" s="22">
        <v>44737</v>
      </c>
      <c r="AO192" s="26">
        <f t="shared" ca="1" si="9"/>
        <v>0.39010840720309803</v>
      </c>
      <c r="AP192" s="29">
        <v>0</v>
      </c>
      <c r="AR192" s="22">
        <v>44737</v>
      </c>
      <c r="AS192" s="26">
        <f t="shared" ca="1" si="10"/>
        <v>0.44386166549738759</v>
      </c>
      <c r="AT192" s="29">
        <v>0</v>
      </c>
      <c r="AV192" s="22">
        <v>44737</v>
      </c>
      <c r="AW192" s="26">
        <f t="shared" ca="1" si="11"/>
        <v>0.16347795388859176</v>
      </c>
      <c r="AX192" s="29">
        <v>0</v>
      </c>
      <c r="AZ192" s="22">
        <v>44737</v>
      </c>
      <c r="BA192" s="26">
        <f t="shared" ca="1" si="12"/>
        <v>0.63164331186764677</v>
      </c>
      <c r="BB192" s="29">
        <v>0</v>
      </c>
      <c r="BC192"/>
      <c r="BD192" s="25"/>
      <c r="BF192" s="22">
        <v>44737</v>
      </c>
      <c r="BG192" s="26">
        <f t="shared" ca="1" si="13"/>
        <v>0.63746207992196269</v>
      </c>
      <c r="BH192" s="29">
        <v>0</v>
      </c>
      <c r="BJ192" s="22">
        <v>44737</v>
      </c>
      <c r="BK192" s="26">
        <f t="shared" ca="1" si="14"/>
        <v>0.56417630381104811</v>
      </c>
      <c r="BL192" s="29">
        <v>0</v>
      </c>
      <c r="BN192" s="22">
        <v>44737</v>
      </c>
      <c r="BO192" s="26">
        <f t="shared" ca="1" si="15"/>
        <v>0.89315649297221456</v>
      </c>
      <c r="BP192" s="29">
        <v>0</v>
      </c>
      <c r="BR192" s="22">
        <v>44737</v>
      </c>
      <c r="BS192" s="26">
        <f t="shared" ca="1" si="16"/>
        <v>0.5912149426480342</v>
      </c>
      <c r="BT192" s="29">
        <v>0</v>
      </c>
      <c r="BV192" s="22">
        <v>44737</v>
      </c>
      <c r="BW192" s="26">
        <f t="shared" ca="1" si="17"/>
        <v>0.46458481536091922</v>
      </c>
      <c r="BX192" s="29">
        <v>0</v>
      </c>
    </row>
    <row r="193" spans="2:77" ht="12.75" x14ac:dyDescent="0.2">
      <c r="B193" s="22">
        <v>44738</v>
      </c>
      <c r="C193" s="26">
        <f t="shared" ca="1" si="0"/>
        <v>7.1139369860776958E-2</v>
      </c>
      <c r="D193" s="29">
        <f t="shared" ca="1" si="24"/>
        <v>46</v>
      </c>
      <c r="F193" s="22">
        <v>44738</v>
      </c>
      <c r="G193" s="26">
        <f t="shared" ca="1" si="1"/>
        <v>0.14625364015088127</v>
      </c>
      <c r="H193" s="29">
        <f t="shared" ca="1" si="25"/>
        <v>201</v>
      </c>
      <c r="J193" s="22">
        <v>44738</v>
      </c>
      <c r="K193" s="26">
        <f t="shared" ca="1" si="2"/>
        <v>0.48822617638940602</v>
      </c>
      <c r="L193" s="29">
        <v>0</v>
      </c>
      <c r="N193" s="22">
        <v>44738</v>
      </c>
      <c r="O193" s="26">
        <f t="shared" ca="1" si="3"/>
        <v>0.90223788508445812</v>
      </c>
      <c r="P193" s="29">
        <v>0</v>
      </c>
      <c r="R193" s="22">
        <v>44738</v>
      </c>
      <c r="S193" s="26">
        <f t="shared" ca="1" si="4"/>
        <v>0.82385634001992802</v>
      </c>
      <c r="T193" s="29">
        <v>0</v>
      </c>
      <c r="V193" s="22">
        <v>44738</v>
      </c>
      <c r="W193" s="26">
        <f t="shared" ca="1" si="5"/>
        <v>0.2277852935637974</v>
      </c>
      <c r="X193" s="29">
        <v>0</v>
      </c>
      <c r="Z193" s="22">
        <v>44738</v>
      </c>
      <c r="AA193" s="26">
        <f t="shared" ca="1" si="6"/>
        <v>0.41699192780481109</v>
      </c>
      <c r="AB193" s="29">
        <v>0</v>
      </c>
      <c r="AC193"/>
      <c r="AD193" s="25"/>
      <c r="AF193" s="22">
        <v>44738</v>
      </c>
      <c r="AG193" s="26">
        <f t="shared" ca="1" si="7"/>
        <v>1.5362067967804593E-3</v>
      </c>
      <c r="AH193" s="29">
        <v>0</v>
      </c>
      <c r="AJ193" s="22">
        <v>44738</v>
      </c>
      <c r="AK193" s="26">
        <f t="shared" ca="1" si="8"/>
        <v>0.28985526468902412</v>
      </c>
      <c r="AL193" s="29">
        <v>0</v>
      </c>
      <c r="AN193" s="22">
        <v>44738</v>
      </c>
      <c r="AO193" s="26">
        <f t="shared" ca="1" si="9"/>
        <v>4.3949532304852434E-2</v>
      </c>
      <c r="AP193" s="29">
        <v>0</v>
      </c>
      <c r="AR193" s="22">
        <v>44738</v>
      </c>
      <c r="AS193" s="26">
        <f t="shared" ca="1" si="10"/>
        <v>9.245371102656863E-2</v>
      </c>
      <c r="AT193" s="29">
        <v>0</v>
      </c>
      <c r="AV193" s="22">
        <v>44738</v>
      </c>
      <c r="AW193" s="26">
        <f t="shared" ca="1" si="11"/>
        <v>0.9830641118124952</v>
      </c>
      <c r="AX193" s="29">
        <v>0</v>
      </c>
      <c r="AZ193" s="22">
        <v>44738</v>
      </c>
      <c r="BA193" s="26">
        <f t="shared" ca="1" si="12"/>
        <v>0.95032582611784233</v>
      </c>
      <c r="BB193" s="29">
        <v>0</v>
      </c>
      <c r="BC193"/>
      <c r="BD193" s="25"/>
      <c r="BF193" s="22">
        <v>44738</v>
      </c>
      <c r="BG193" s="26">
        <f t="shared" ca="1" si="13"/>
        <v>0.74178875821503831</v>
      </c>
      <c r="BH193" s="29">
        <v>0</v>
      </c>
      <c r="BJ193" s="22">
        <v>44738</v>
      </c>
      <c r="BK193" s="26">
        <f t="shared" ca="1" si="14"/>
        <v>0.86760221936075566</v>
      </c>
      <c r="BL193" s="29">
        <v>0</v>
      </c>
      <c r="BN193" s="22">
        <v>44738</v>
      </c>
      <c r="BO193" s="26">
        <f t="shared" ca="1" si="15"/>
        <v>5.4643393035289978E-2</v>
      </c>
      <c r="BP193" s="29">
        <v>0</v>
      </c>
      <c r="BR193" s="22">
        <v>44738</v>
      </c>
      <c r="BS193" s="26">
        <f t="shared" ca="1" si="16"/>
        <v>0.80615015585376559</v>
      </c>
      <c r="BT193" s="29">
        <v>0</v>
      </c>
      <c r="BV193" s="22">
        <v>44738</v>
      </c>
      <c r="BW193" s="26">
        <f t="shared" ca="1" si="17"/>
        <v>0.60124833763787222</v>
      </c>
      <c r="BX193" s="29">
        <v>0</v>
      </c>
    </row>
    <row r="194" spans="2:77" ht="12.75" x14ac:dyDescent="0.2">
      <c r="B194" s="22">
        <v>44739</v>
      </c>
      <c r="C194" s="26">
        <f t="shared" ca="1" si="0"/>
        <v>1.3856125974007205E-2</v>
      </c>
      <c r="D194" s="29">
        <f t="shared" ca="1" si="24"/>
        <v>31</v>
      </c>
      <c r="F194" s="22">
        <v>44739</v>
      </c>
      <c r="G194" s="26">
        <f t="shared" ca="1" si="1"/>
        <v>0.99768435996621607</v>
      </c>
      <c r="H194" s="29">
        <f t="shared" ca="1" si="25"/>
        <v>257</v>
      </c>
      <c r="J194" s="22">
        <v>44739</v>
      </c>
      <c r="K194" s="26">
        <f t="shared" ca="1" si="2"/>
        <v>0.916440401834823</v>
      </c>
      <c r="L194" s="29">
        <v>0</v>
      </c>
      <c r="N194" s="22">
        <v>44739</v>
      </c>
      <c r="O194" s="26">
        <f t="shared" ca="1" si="3"/>
        <v>0.23891334352644622</v>
      </c>
      <c r="P194" s="29">
        <v>0</v>
      </c>
      <c r="R194" s="22">
        <v>44739</v>
      </c>
      <c r="S194" s="26">
        <f t="shared" ca="1" si="4"/>
        <v>0.98199924649326653</v>
      </c>
      <c r="T194" s="29">
        <v>0</v>
      </c>
      <c r="V194" s="22">
        <v>44739</v>
      </c>
      <c r="W194" s="26">
        <f t="shared" ca="1" si="5"/>
        <v>0.70268184395499955</v>
      </c>
      <c r="X194" s="29">
        <v>0</v>
      </c>
      <c r="Z194" s="22">
        <v>44739</v>
      </c>
      <c r="AA194" s="26">
        <f t="shared" ca="1" si="6"/>
        <v>0.82824730525976897</v>
      </c>
      <c r="AB194" s="29">
        <v>0</v>
      </c>
      <c r="AC194"/>
      <c r="AD194" s="25"/>
      <c r="AF194" s="22">
        <v>44739</v>
      </c>
      <c r="AG194" s="26">
        <f t="shared" ca="1" si="7"/>
        <v>0.71923899506767097</v>
      </c>
      <c r="AH194" s="29">
        <v>0</v>
      </c>
      <c r="AJ194" s="22">
        <v>44739</v>
      </c>
      <c r="AK194" s="26">
        <f t="shared" ca="1" si="8"/>
        <v>0.46186339026178025</v>
      </c>
      <c r="AL194" s="29">
        <v>0</v>
      </c>
      <c r="AN194" s="22">
        <v>44739</v>
      </c>
      <c r="AO194" s="26">
        <f t="shared" ca="1" si="9"/>
        <v>0.31386634149306647</v>
      </c>
      <c r="AP194" s="29">
        <v>0</v>
      </c>
      <c r="AR194" s="22">
        <v>44739</v>
      </c>
      <c r="AS194" s="26">
        <f t="shared" ca="1" si="10"/>
        <v>0.77772339208598529</v>
      </c>
      <c r="AT194" s="29">
        <v>0</v>
      </c>
      <c r="AV194" s="22">
        <v>44739</v>
      </c>
      <c r="AW194" s="26">
        <f t="shared" ca="1" si="11"/>
        <v>0.10177051014227056</v>
      </c>
      <c r="AX194" s="29">
        <v>0</v>
      </c>
      <c r="AZ194" s="22">
        <v>44739</v>
      </c>
      <c r="BA194" s="26">
        <f t="shared" ca="1" si="12"/>
        <v>0.48109629602868242</v>
      </c>
      <c r="BB194" s="29">
        <v>0</v>
      </c>
      <c r="BC194"/>
      <c r="BD194" s="25"/>
      <c r="BF194" s="22">
        <v>44739</v>
      </c>
      <c r="BG194" s="26">
        <f t="shared" ca="1" si="13"/>
        <v>0.48466527599414377</v>
      </c>
      <c r="BH194" s="29">
        <v>0</v>
      </c>
      <c r="BJ194" s="22">
        <v>44739</v>
      </c>
      <c r="BK194" s="26">
        <f t="shared" ca="1" si="14"/>
        <v>0.1501231894840519</v>
      </c>
      <c r="BL194" s="29">
        <v>0</v>
      </c>
      <c r="BN194" s="22">
        <v>44739</v>
      </c>
      <c r="BO194" s="26">
        <f t="shared" ca="1" si="15"/>
        <v>0.56915193667615915</v>
      </c>
      <c r="BP194" s="29">
        <v>0</v>
      </c>
      <c r="BR194" s="22">
        <v>44739</v>
      </c>
      <c r="BS194" s="26">
        <f t="shared" ca="1" si="16"/>
        <v>0.50041386363604068</v>
      </c>
      <c r="BT194" s="29">
        <v>0</v>
      </c>
      <c r="BV194" s="22">
        <v>44739</v>
      </c>
      <c r="BW194" s="26">
        <f t="shared" ca="1" si="17"/>
        <v>0.50178870787644736</v>
      </c>
      <c r="BX194" s="29">
        <v>0</v>
      </c>
    </row>
    <row r="195" spans="2:77" ht="12.75" x14ac:dyDescent="0.2">
      <c r="B195" s="22">
        <v>44740</v>
      </c>
      <c r="C195" s="26">
        <f t="shared" ca="1" si="0"/>
        <v>0.19308992861522389</v>
      </c>
      <c r="D195" s="29">
        <f t="shared" ca="1" si="24"/>
        <v>58</v>
      </c>
      <c r="F195" s="22">
        <v>44740</v>
      </c>
      <c r="G195" s="26">
        <f t="shared" ca="1" si="1"/>
        <v>0.90491864449011727</v>
      </c>
      <c r="H195" s="29">
        <f t="shared" ca="1" si="25"/>
        <v>235</v>
      </c>
      <c r="J195" s="22">
        <v>44740</v>
      </c>
      <c r="K195" s="26">
        <f t="shared" ca="1" si="2"/>
        <v>0.49237869654453315</v>
      </c>
      <c r="L195" s="29">
        <v>0</v>
      </c>
      <c r="N195" s="22">
        <v>44740</v>
      </c>
      <c r="O195" s="26">
        <f t="shared" ca="1" si="3"/>
        <v>0.2807422067239449</v>
      </c>
      <c r="P195" s="29">
        <v>0</v>
      </c>
      <c r="R195" s="22">
        <v>44740</v>
      </c>
      <c r="S195" s="26">
        <f t="shared" ca="1" si="4"/>
        <v>0.1095149307187735</v>
      </c>
      <c r="T195" s="29">
        <v>0</v>
      </c>
      <c r="V195" s="22">
        <v>44740</v>
      </c>
      <c r="W195" s="26">
        <f t="shared" ca="1" si="5"/>
        <v>0.94974403546556962</v>
      </c>
      <c r="X195" s="29">
        <v>0</v>
      </c>
      <c r="Z195" s="22">
        <v>44740</v>
      </c>
      <c r="AA195" s="26">
        <f t="shared" ca="1" si="6"/>
        <v>0.65822319403897867</v>
      </c>
      <c r="AB195" s="29">
        <v>0</v>
      </c>
      <c r="AC195"/>
      <c r="AD195" s="25"/>
      <c r="AF195" s="22">
        <v>44740</v>
      </c>
      <c r="AG195" s="26">
        <f t="shared" ca="1" si="7"/>
        <v>0.96005769508511207</v>
      </c>
      <c r="AH195" s="29">
        <v>0</v>
      </c>
      <c r="AJ195" s="22">
        <v>44740</v>
      </c>
      <c r="AK195" s="26">
        <f t="shared" ca="1" si="8"/>
        <v>0.9594176039422414</v>
      </c>
      <c r="AL195" s="29">
        <v>0</v>
      </c>
      <c r="AN195" s="22">
        <v>44740</v>
      </c>
      <c r="AO195" s="26">
        <f t="shared" ca="1" si="9"/>
        <v>0.12591100012852752</v>
      </c>
      <c r="AP195" s="29">
        <v>0</v>
      </c>
      <c r="AR195" s="22">
        <v>44740</v>
      </c>
      <c r="AS195" s="26">
        <f t="shared" ca="1" si="10"/>
        <v>0.12214359993804835</v>
      </c>
      <c r="AT195" s="29">
        <v>0</v>
      </c>
      <c r="AV195" s="22">
        <v>44740</v>
      </c>
      <c r="AW195" s="26">
        <f t="shared" ca="1" si="11"/>
        <v>0.75856712979491914</v>
      </c>
      <c r="AX195" s="29">
        <v>0</v>
      </c>
      <c r="AZ195" s="22">
        <v>44740</v>
      </c>
      <c r="BA195" s="26">
        <f t="shared" ca="1" si="12"/>
        <v>0.85984166036744303</v>
      </c>
      <c r="BB195" s="29">
        <v>0</v>
      </c>
      <c r="BC195"/>
      <c r="BD195" s="25"/>
      <c r="BF195" s="22">
        <v>44740</v>
      </c>
      <c r="BG195" s="26">
        <f t="shared" ca="1" si="13"/>
        <v>0.15279696261675679</v>
      </c>
      <c r="BH195" s="29">
        <v>0</v>
      </c>
      <c r="BJ195" s="22">
        <v>44740</v>
      </c>
      <c r="BK195" s="26">
        <f t="shared" ca="1" si="14"/>
        <v>0.74444947782879545</v>
      </c>
      <c r="BL195" s="29">
        <v>0</v>
      </c>
      <c r="BN195" s="22">
        <v>44740</v>
      </c>
      <c r="BO195" s="26">
        <f t="shared" ca="1" si="15"/>
        <v>0.48189413963537409</v>
      </c>
      <c r="BP195" s="29">
        <v>0</v>
      </c>
      <c r="BR195" s="22">
        <v>44740</v>
      </c>
      <c r="BS195" s="26">
        <f t="shared" ca="1" si="16"/>
        <v>0.59282390848036459</v>
      </c>
      <c r="BT195" s="29">
        <v>0</v>
      </c>
      <c r="BV195" s="22">
        <v>44740</v>
      </c>
      <c r="BW195" s="26">
        <f t="shared" ca="1" si="17"/>
        <v>0.12279288766752217</v>
      </c>
      <c r="BX195" s="29">
        <v>0</v>
      </c>
    </row>
    <row r="196" spans="2:77" ht="12.75" x14ac:dyDescent="0.2">
      <c r="B196" s="22">
        <v>44741</v>
      </c>
      <c r="C196" s="26">
        <f t="shared" ca="1" si="0"/>
        <v>0.41942319737073297</v>
      </c>
      <c r="D196" s="29">
        <f t="shared" ca="1" si="24"/>
        <v>71</v>
      </c>
      <c r="F196" s="22">
        <v>44741</v>
      </c>
      <c r="G196" s="26">
        <f t="shared" ca="1" si="1"/>
        <v>0.23990325384492805</v>
      </c>
      <c r="H196" s="29">
        <f t="shared" ca="1" si="25"/>
        <v>206</v>
      </c>
      <c r="J196" s="22">
        <v>44741</v>
      </c>
      <c r="K196" s="26">
        <f t="shared" ca="1" si="2"/>
        <v>0.21820513015007237</v>
      </c>
      <c r="L196" s="29">
        <v>0</v>
      </c>
      <c r="N196" s="22">
        <v>44741</v>
      </c>
      <c r="O196" s="26">
        <f t="shared" ca="1" si="3"/>
        <v>0.36670097570321647</v>
      </c>
      <c r="P196" s="29">
        <v>0</v>
      </c>
      <c r="R196" s="22">
        <v>44741</v>
      </c>
      <c r="S196" s="26">
        <f t="shared" ca="1" si="4"/>
        <v>0.39329843210288107</v>
      </c>
      <c r="T196" s="29">
        <v>0</v>
      </c>
      <c r="V196" s="22">
        <v>44741</v>
      </c>
      <c r="W196" s="26">
        <f t="shared" ca="1" si="5"/>
        <v>0.96770269088012173</v>
      </c>
      <c r="X196" s="29">
        <v>0</v>
      </c>
      <c r="Z196" s="22">
        <v>44741</v>
      </c>
      <c r="AA196" s="26">
        <f t="shared" ca="1" si="6"/>
        <v>0.48482186306345421</v>
      </c>
      <c r="AB196" s="29">
        <v>0</v>
      </c>
      <c r="AC196"/>
      <c r="AD196" s="25"/>
      <c r="AF196" s="22">
        <v>44741</v>
      </c>
      <c r="AG196" s="26">
        <f t="shared" ca="1" si="7"/>
        <v>0.69637832166975622</v>
      </c>
      <c r="AH196" s="29">
        <v>0</v>
      </c>
      <c r="AJ196" s="22">
        <v>44741</v>
      </c>
      <c r="AK196" s="26">
        <f t="shared" ca="1" si="8"/>
        <v>0.87789396447445256</v>
      </c>
      <c r="AL196" s="29">
        <v>0</v>
      </c>
      <c r="AN196" s="22">
        <v>44741</v>
      </c>
      <c r="AO196" s="26">
        <f t="shared" ca="1" si="9"/>
        <v>0.81181887739536207</v>
      </c>
      <c r="AP196" s="29">
        <v>0</v>
      </c>
      <c r="AR196" s="22">
        <v>44741</v>
      </c>
      <c r="AS196" s="26">
        <f t="shared" ca="1" si="10"/>
        <v>0.81202021276377012</v>
      </c>
      <c r="AT196" s="29">
        <v>0</v>
      </c>
      <c r="AV196" s="22">
        <v>44741</v>
      </c>
      <c r="AW196" s="26">
        <f t="shared" ca="1" si="11"/>
        <v>0.14974744815402186</v>
      </c>
      <c r="AX196" s="29">
        <v>0</v>
      </c>
      <c r="AZ196" s="22">
        <v>44741</v>
      </c>
      <c r="BA196" s="26">
        <f t="shared" ca="1" si="12"/>
        <v>0.43975264154673932</v>
      </c>
      <c r="BB196" s="29">
        <v>0</v>
      </c>
      <c r="BC196"/>
      <c r="BD196" s="25"/>
      <c r="BF196" s="22">
        <v>44741</v>
      </c>
      <c r="BG196" s="26">
        <f t="shared" ca="1" si="13"/>
        <v>0.33994001325095424</v>
      </c>
      <c r="BH196" s="29">
        <v>0</v>
      </c>
      <c r="BJ196" s="22">
        <v>44741</v>
      </c>
      <c r="BK196" s="26">
        <f t="shared" ca="1" si="14"/>
        <v>0.2693434046684966</v>
      </c>
      <c r="BL196" s="29">
        <v>0</v>
      </c>
      <c r="BN196" s="22">
        <v>44741</v>
      </c>
      <c r="BO196" s="26">
        <f t="shared" ca="1" si="15"/>
        <v>0.60401857866567898</v>
      </c>
      <c r="BP196" s="29">
        <v>0</v>
      </c>
      <c r="BR196" s="22">
        <v>44741</v>
      </c>
      <c r="BS196" s="26">
        <f t="shared" ca="1" si="16"/>
        <v>0.80376020082624722</v>
      </c>
      <c r="BT196" s="29">
        <v>0</v>
      </c>
      <c r="BV196" s="22">
        <v>44741</v>
      </c>
      <c r="BW196" s="26">
        <f t="shared" ca="1" si="17"/>
        <v>0.19753553082458986</v>
      </c>
      <c r="BX196" s="29">
        <v>0</v>
      </c>
    </row>
    <row r="197" spans="2:77" ht="12.75" x14ac:dyDescent="0.2">
      <c r="B197" s="22">
        <v>44742</v>
      </c>
      <c r="C197" s="26">
        <f t="shared" ca="1" si="0"/>
        <v>0.10470666606434076</v>
      </c>
      <c r="D197" s="29">
        <f t="shared" ca="1" si="24"/>
        <v>50</v>
      </c>
      <c r="E197">
        <v>2438</v>
      </c>
      <c r="F197" s="22">
        <v>44742</v>
      </c>
      <c r="G197" s="26">
        <f t="shared" ca="1" si="1"/>
        <v>0.37330424441684062</v>
      </c>
      <c r="H197" s="29">
        <f t="shared" ca="1" si="25"/>
        <v>211</v>
      </c>
      <c r="I197">
        <v>6579</v>
      </c>
      <c r="J197" s="22">
        <v>44742</v>
      </c>
      <c r="K197" s="26">
        <f t="shared" ca="1" si="2"/>
        <v>0.34480009150595281</v>
      </c>
      <c r="L197" s="29">
        <v>0</v>
      </c>
      <c r="M197">
        <v>0</v>
      </c>
      <c r="N197" s="22">
        <v>44742</v>
      </c>
      <c r="O197" s="26">
        <f t="shared" ca="1" si="3"/>
        <v>0.13927680298136147</v>
      </c>
      <c r="P197" s="29">
        <v>0</v>
      </c>
      <c r="Q197">
        <v>0</v>
      </c>
      <c r="R197" s="22">
        <v>44742</v>
      </c>
      <c r="S197" s="26">
        <f t="shared" ca="1" si="4"/>
        <v>0.17356863188631333</v>
      </c>
      <c r="T197" s="29">
        <v>0</v>
      </c>
      <c r="U197">
        <v>0</v>
      </c>
      <c r="V197" s="22">
        <v>44742</v>
      </c>
      <c r="W197" s="26">
        <f t="shared" ca="1" si="5"/>
        <v>0.41396262857219368</v>
      </c>
      <c r="X197" s="29">
        <v>0</v>
      </c>
      <c r="Y197">
        <v>0</v>
      </c>
      <c r="Z197" s="22">
        <v>44742</v>
      </c>
      <c r="AA197" s="26">
        <f t="shared" ca="1" si="6"/>
        <v>0.45863516200079169</v>
      </c>
      <c r="AB197" s="29">
        <v>0</v>
      </c>
      <c r="AC197">
        <v>0</v>
      </c>
      <c r="AD197" s="25"/>
      <c r="AF197" s="22">
        <v>44742</v>
      </c>
      <c r="AG197" s="26">
        <f t="shared" ca="1" si="7"/>
        <v>0.46651902385449751</v>
      </c>
      <c r="AH197" s="29">
        <v>0</v>
      </c>
      <c r="AI197">
        <v>0</v>
      </c>
      <c r="AJ197" s="22">
        <v>44742</v>
      </c>
      <c r="AK197" s="26">
        <f t="shared" ca="1" si="8"/>
        <v>5.8876407441968648E-2</v>
      </c>
      <c r="AL197" s="29">
        <v>0</v>
      </c>
      <c r="AM197">
        <v>0</v>
      </c>
      <c r="AN197" s="22">
        <v>44742</v>
      </c>
      <c r="AO197" s="26">
        <f t="shared" ca="1" si="9"/>
        <v>0.88108687462635848</v>
      </c>
      <c r="AP197" s="29">
        <v>0</v>
      </c>
      <c r="AQ197">
        <v>0</v>
      </c>
      <c r="AR197" s="22">
        <v>44742</v>
      </c>
      <c r="AS197" s="26">
        <f t="shared" ca="1" si="10"/>
        <v>0.88644818300982098</v>
      </c>
      <c r="AT197" s="29">
        <v>0</v>
      </c>
      <c r="AU197">
        <v>0</v>
      </c>
      <c r="AV197" s="22">
        <v>44742</v>
      </c>
      <c r="AW197" s="26">
        <f t="shared" ca="1" si="11"/>
        <v>0.44898272869620159</v>
      </c>
      <c r="AX197" s="29">
        <v>0</v>
      </c>
      <c r="AY197">
        <v>0</v>
      </c>
      <c r="AZ197" s="22">
        <v>44742</v>
      </c>
      <c r="BA197" s="26">
        <f t="shared" ca="1" si="12"/>
        <v>0.2459550700747517</v>
      </c>
      <c r="BB197" s="29">
        <v>0</v>
      </c>
      <c r="BC197">
        <v>0</v>
      </c>
      <c r="BD197" s="25"/>
      <c r="BF197" s="22">
        <v>44742</v>
      </c>
      <c r="BG197" s="26">
        <f t="shared" ca="1" si="13"/>
        <v>0.13602494072822047</v>
      </c>
      <c r="BH197" s="29">
        <v>0</v>
      </c>
      <c r="BI197">
        <v>0</v>
      </c>
      <c r="BJ197" s="22">
        <v>44742</v>
      </c>
      <c r="BK197" s="26">
        <f t="shared" ca="1" si="14"/>
        <v>0.89727761560877428</v>
      </c>
      <c r="BL197" s="29">
        <v>0</v>
      </c>
      <c r="BM197">
        <v>0</v>
      </c>
      <c r="BN197" s="22">
        <v>44742</v>
      </c>
      <c r="BO197" s="26">
        <f t="shared" ca="1" si="15"/>
        <v>0.69746197284849332</v>
      </c>
      <c r="BP197" s="29">
        <v>0</v>
      </c>
      <c r="BQ197">
        <v>0</v>
      </c>
      <c r="BR197" s="22">
        <v>44742</v>
      </c>
      <c r="BS197" s="26">
        <f t="shared" ca="1" si="16"/>
        <v>0.58208545309016735</v>
      </c>
      <c r="BT197" s="29">
        <v>0</v>
      </c>
      <c r="BU197">
        <v>0</v>
      </c>
      <c r="BV197" s="22">
        <v>44742</v>
      </c>
      <c r="BW197" s="26">
        <f t="shared" ca="1" si="17"/>
        <v>0.95731853274363754</v>
      </c>
      <c r="BX197" s="29">
        <v>0</v>
      </c>
      <c r="BY197">
        <v>0</v>
      </c>
    </row>
    <row r="198" spans="2:77" ht="12.75" x14ac:dyDescent="0.2">
      <c r="B198" s="22">
        <v>44743</v>
      </c>
      <c r="C198" s="26">
        <f t="shared" ca="1" si="0"/>
        <v>0.22487662758763127</v>
      </c>
      <c r="D198" s="29">
        <f ca="1">ROUNDUP(_xlfn.NORM.INV(C197,C$10,C$12),0)</f>
        <v>50</v>
      </c>
      <c r="F198" s="22">
        <v>44743</v>
      </c>
      <c r="G198" s="26">
        <f t="shared" ca="1" si="1"/>
        <v>0.86996033354239988</v>
      </c>
      <c r="H198" s="29">
        <f ca="1">ROUNDUP(_xlfn.NORM.INV(G197,G$10,G$12),0)</f>
        <v>211</v>
      </c>
      <c r="J198" s="22">
        <v>44743</v>
      </c>
      <c r="K198" s="26">
        <f t="shared" ca="1" si="2"/>
        <v>0.92885776061844572</v>
      </c>
      <c r="L198" s="29">
        <v>0</v>
      </c>
      <c r="N198" s="22">
        <v>44743</v>
      </c>
      <c r="O198" s="26">
        <f t="shared" ca="1" si="3"/>
        <v>0.83516066774114883</v>
      </c>
      <c r="P198" s="29">
        <v>0</v>
      </c>
      <c r="R198" s="22">
        <v>44743</v>
      </c>
      <c r="S198" s="26">
        <f t="shared" ca="1" si="4"/>
        <v>0.63329721889531598</v>
      </c>
      <c r="T198" s="29">
        <v>0</v>
      </c>
      <c r="V198" s="22">
        <v>44743</v>
      </c>
      <c r="W198" s="26">
        <f t="shared" ca="1" si="5"/>
        <v>0.97718670722964129</v>
      </c>
      <c r="X198" s="29">
        <v>0</v>
      </c>
      <c r="Z198" s="22">
        <v>44743</v>
      </c>
      <c r="AA198" s="26">
        <f t="shared" ca="1" si="6"/>
        <v>0.29922181387716706</v>
      </c>
      <c r="AB198" s="29">
        <v>0</v>
      </c>
      <c r="AC198"/>
      <c r="AD198" s="25"/>
      <c r="AF198" s="22">
        <v>44743</v>
      </c>
      <c r="AG198" s="26">
        <f t="shared" ca="1" si="7"/>
        <v>0.91060179006640796</v>
      </c>
      <c r="AH198" s="29">
        <v>0</v>
      </c>
      <c r="AJ198" s="22">
        <v>44743</v>
      </c>
      <c r="AK198" s="26">
        <f t="shared" ca="1" si="8"/>
        <v>0.85626178139664877</v>
      </c>
      <c r="AL198" s="29">
        <v>0</v>
      </c>
      <c r="AN198" s="22">
        <v>44743</v>
      </c>
      <c r="AO198" s="26">
        <f t="shared" ca="1" si="9"/>
        <v>1.7648948695488165E-2</v>
      </c>
      <c r="AP198" s="29">
        <v>0</v>
      </c>
      <c r="AR198" s="22">
        <v>44743</v>
      </c>
      <c r="AS198" s="26">
        <f t="shared" ca="1" si="10"/>
        <v>0.22852799875076257</v>
      </c>
      <c r="AT198" s="29">
        <v>0</v>
      </c>
      <c r="AV198" s="22">
        <v>44743</v>
      </c>
      <c r="AW198" s="26">
        <f t="shared" ca="1" si="11"/>
        <v>0.33534014260090739</v>
      </c>
      <c r="AX198" s="29">
        <v>0</v>
      </c>
      <c r="AZ198" s="22">
        <v>44743</v>
      </c>
      <c r="BA198" s="26">
        <f t="shared" ca="1" si="12"/>
        <v>0.46959676955293039</v>
      </c>
      <c r="BB198" s="29">
        <v>0</v>
      </c>
      <c r="BC198"/>
      <c r="BD198" s="25"/>
      <c r="BF198" s="22">
        <v>44743</v>
      </c>
      <c r="BG198" s="26">
        <f t="shared" ca="1" si="13"/>
        <v>0.16850283419773082</v>
      </c>
      <c r="BH198" s="29">
        <v>0</v>
      </c>
      <c r="BJ198" s="22">
        <v>44743</v>
      </c>
      <c r="BK198" s="26">
        <f t="shared" ca="1" si="14"/>
        <v>0.75243509677620191</v>
      </c>
      <c r="BL198" s="29">
        <v>0</v>
      </c>
      <c r="BN198" s="22">
        <v>44743</v>
      </c>
      <c r="BO198" s="26">
        <f t="shared" ca="1" si="15"/>
        <v>0.20053509834443273</v>
      </c>
      <c r="BP198" s="29">
        <v>0</v>
      </c>
      <c r="BR198" s="22">
        <v>44743</v>
      </c>
      <c r="BS198" s="26">
        <f t="shared" ca="1" si="16"/>
        <v>0.5142718074253001</v>
      </c>
      <c r="BT198" s="29">
        <v>0</v>
      </c>
      <c r="BV198" s="22">
        <v>44743</v>
      </c>
      <c r="BW198" s="26">
        <f t="shared" ca="1" si="17"/>
        <v>0.5167176063545269</v>
      </c>
      <c r="BX198" s="29">
        <v>0</v>
      </c>
    </row>
    <row r="199" spans="2:77" ht="12.75" x14ac:dyDescent="0.2">
      <c r="B199" s="22">
        <v>44744</v>
      </c>
      <c r="C199" s="26">
        <f t="shared" ca="1" si="0"/>
        <v>0.27848592433654451</v>
      </c>
      <c r="D199" s="29">
        <f t="shared" ca="1" si="24"/>
        <v>64</v>
      </c>
      <c r="F199" s="22">
        <v>44744</v>
      </c>
      <c r="G199" s="26">
        <f t="shared" ca="1" si="1"/>
        <v>4.9325783836668302E-2</v>
      </c>
      <c r="H199" s="29">
        <f t="shared" ca="1" si="25"/>
        <v>192</v>
      </c>
      <c r="J199" s="22">
        <v>44744</v>
      </c>
      <c r="K199" s="26">
        <f t="shared" ca="1" si="2"/>
        <v>0.36831361229960291</v>
      </c>
      <c r="L199" s="29">
        <v>0</v>
      </c>
      <c r="N199" s="22">
        <v>44744</v>
      </c>
      <c r="O199" s="26">
        <f t="shared" ca="1" si="3"/>
        <v>0.40738350739228035</v>
      </c>
      <c r="P199" s="29">
        <v>0</v>
      </c>
      <c r="R199" s="22">
        <v>44744</v>
      </c>
      <c r="S199" s="26">
        <f t="shared" ca="1" si="4"/>
        <v>0.20766324876530917</v>
      </c>
      <c r="T199" s="29">
        <v>0</v>
      </c>
      <c r="V199" s="22">
        <v>44744</v>
      </c>
      <c r="W199" s="26">
        <f t="shared" ca="1" si="5"/>
        <v>0.45194632525435718</v>
      </c>
      <c r="X199" s="29">
        <v>0</v>
      </c>
      <c r="Z199" s="22">
        <v>44744</v>
      </c>
      <c r="AA199" s="26">
        <f t="shared" ca="1" si="6"/>
        <v>8.5454077183811927E-2</v>
      </c>
      <c r="AB199" s="29">
        <v>0</v>
      </c>
      <c r="AC199"/>
      <c r="AD199" s="25"/>
      <c r="AF199" s="22">
        <v>44744</v>
      </c>
      <c r="AG199" s="26">
        <f t="shared" ca="1" si="7"/>
        <v>0.79977664626172007</v>
      </c>
      <c r="AH199" s="29">
        <v>0</v>
      </c>
      <c r="AJ199" s="22">
        <v>44744</v>
      </c>
      <c r="AK199" s="26">
        <f t="shared" ca="1" si="8"/>
        <v>0.88232469119159462</v>
      </c>
      <c r="AL199" s="29">
        <v>0</v>
      </c>
      <c r="AN199" s="22">
        <v>44744</v>
      </c>
      <c r="AO199" s="26">
        <f t="shared" ca="1" si="9"/>
        <v>0.45608764388264711</v>
      </c>
      <c r="AP199" s="29">
        <v>0</v>
      </c>
      <c r="AR199" s="22">
        <v>44744</v>
      </c>
      <c r="AS199" s="26">
        <f t="shared" ca="1" si="10"/>
        <v>0.17672157460058313</v>
      </c>
      <c r="AT199" s="29">
        <v>0</v>
      </c>
      <c r="AV199" s="22">
        <v>44744</v>
      </c>
      <c r="AW199" s="26">
        <f t="shared" ca="1" si="11"/>
        <v>0.14749474322039768</v>
      </c>
      <c r="AX199" s="29">
        <v>0</v>
      </c>
      <c r="AZ199" s="22">
        <v>44744</v>
      </c>
      <c r="BA199" s="26">
        <f t="shared" ca="1" si="12"/>
        <v>6.1519397881551474E-2</v>
      </c>
      <c r="BB199" s="29">
        <v>0</v>
      </c>
      <c r="BC199"/>
      <c r="BD199" s="25"/>
      <c r="BF199" s="22">
        <v>44744</v>
      </c>
      <c r="BG199" s="26">
        <f t="shared" ca="1" si="13"/>
        <v>0.92942436116562188</v>
      </c>
      <c r="BH199" s="29">
        <v>0</v>
      </c>
      <c r="BJ199" s="22">
        <v>44744</v>
      </c>
      <c r="BK199" s="26">
        <f t="shared" ca="1" si="14"/>
        <v>0.91732186364529789</v>
      </c>
      <c r="BL199" s="29">
        <v>0</v>
      </c>
      <c r="BN199" s="22">
        <v>44744</v>
      </c>
      <c r="BO199" s="26">
        <f t="shared" ca="1" si="15"/>
        <v>0.25470599261104288</v>
      </c>
      <c r="BP199" s="29">
        <v>0</v>
      </c>
      <c r="BR199" s="22">
        <v>44744</v>
      </c>
      <c r="BS199" s="26">
        <f t="shared" ca="1" si="16"/>
        <v>0.9875048870571318</v>
      </c>
      <c r="BT199" s="29">
        <v>0</v>
      </c>
      <c r="BV199" s="22">
        <v>44744</v>
      </c>
      <c r="BW199" s="26">
        <f t="shared" ca="1" si="17"/>
        <v>0.7519050613622239</v>
      </c>
      <c r="BX199" s="29">
        <v>0</v>
      </c>
    </row>
    <row r="200" spans="2:77" ht="12.75" x14ac:dyDescent="0.2">
      <c r="B200" s="22">
        <v>44745</v>
      </c>
      <c r="C200" s="26">
        <f t="shared" ca="1" si="0"/>
        <v>8.8482152556119908E-2</v>
      </c>
      <c r="D200" s="29">
        <f t="shared" ca="1" si="24"/>
        <v>48</v>
      </c>
      <c r="F200" s="22">
        <v>44745</v>
      </c>
      <c r="G200" s="26">
        <f t="shared" ca="1" si="1"/>
        <v>3.5918101170544836E-2</v>
      </c>
      <c r="H200" s="29">
        <f t="shared" ca="1" si="25"/>
        <v>190</v>
      </c>
      <c r="J200" s="22">
        <v>44745</v>
      </c>
      <c r="K200" s="26">
        <f t="shared" ca="1" si="2"/>
        <v>0.60332659019293733</v>
      </c>
      <c r="L200" s="29">
        <v>0</v>
      </c>
      <c r="N200" s="22">
        <v>44745</v>
      </c>
      <c r="O200" s="26">
        <f t="shared" ca="1" si="3"/>
        <v>0.23168394864999653</v>
      </c>
      <c r="P200" s="29">
        <v>0</v>
      </c>
      <c r="R200" s="22">
        <v>44745</v>
      </c>
      <c r="S200" s="26">
        <f t="shared" ca="1" si="4"/>
        <v>0.45282056976171614</v>
      </c>
      <c r="T200" s="29">
        <v>0</v>
      </c>
      <c r="V200" s="22">
        <v>44745</v>
      </c>
      <c r="W200" s="26">
        <f t="shared" ca="1" si="5"/>
        <v>6.3992843738110539E-2</v>
      </c>
      <c r="X200" s="29">
        <v>0</v>
      </c>
      <c r="Z200" s="22">
        <v>44745</v>
      </c>
      <c r="AA200" s="26">
        <f t="shared" ca="1" si="6"/>
        <v>0.5471651513775605</v>
      </c>
      <c r="AB200" s="29">
        <v>0</v>
      </c>
      <c r="AC200"/>
      <c r="AD200" s="25"/>
      <c r="AF200" s="22">
        <v>44745</v>
      </c>
      <c r="AG200" s="26">
        <f t="shared" ca="1" si="7"/>
        <v>0.4956006458148613</v>
      </c>
      <c r="AH200" s="29">
        <v>0</v>
      </c>
      <c r="AJ200" s="22">
        <v>44745</v>
      </c>
      <c r="AK200" s="26">
        <f t="shared" ca="1" si="8"/>
        <v>0.86780813596762674</v>
      </c>
      <c r="AL200" s="29">
        <v>0</v>
      </c>
      <c r="AN200" s="22">
        <v>44745</v>
      </c>
      <c r="AO200" s="26">
        <f t="shared" ca="1" si="9"/>
        <v>0.69801427749210443</v>
      </c>
      <c r="AP200" s="29">
        <v>0</v>
      </c>
      <c r="AR200" s="22">
        <v>44745</v>
      </c>
      <c r="AS200" s="26">
        <f t="shared" ca="1" si="10"/>
        <v>0.63978100647740188</v>
      </c>
      <c r="AT200" s="29">
        <v>0</v>
      </c>
      <c r="AV200" s="22">
        <v>44745</v>
      </c>
      <c r="AW200" s="26">
        <f t="shared" ca="1" si="11"/>
        <v>0.94629945408412941</v>
      </c>
      <c r="AX200" s="29">
        <v>0</v>
      </c>
      <c r="AZ200" s="22">
        <v>44745</v>
      </c>
      <c r="BA200" s="26">
        <f t="shared" ca="1" si="12"/>
        <v>0.35902272473789787</v>
      </c>
      <c r="BB200" s="29">
        <v>0</v>
      </c>
      <c r="BC200"/>
      <c r="BD200" s="25"/>
      <c r="BF200" s="22">
        <v>44745</v>
      </c>
      <c r="BG200" s="26">
        <f t="shared" ca="1" si="13"/>
        <v>0.9248932838737518</v>
      </c>
      <c r="BH200" s="29">
        <v>0</v>
      </c>
      <c r="BJ200" s="22">
        <v>44745</v>
      </c>
      <c r="BK200" s="26">
        <f t="shared" ca="1" si="14"/>
        <v>0.50280469356258972</v>
      </c>
      <c r="BL200" s="29">
        <v>0</v>
      </c>
      <c r="BN200" s="22">
        <v>44745</v>
      </c>
      <c r="BO200" s="26">
        <f t="shared" ca="1" si="15"/>
        <v>0.23430105096854448</v>
      </c>
      <c r="BP200" s="29">
        <v>0</v>
      </c>
      <c r="BR200" s="22">
        <v>44745</v>
      </c>
      <c r="BS200" s="26">
        <f t="shared" ca="1" si="16"/>
        <v>0.63796398135119259</v>
      </c>
      <c r="BT200" s="29">
        <v>0</v>
      </c>
      <c r="BV200" s="22">
        <v>44745</v>
      </c>
      <c r="BW200" s="26">
        <f t="shared" ca="1" si="17"/>
        <v>0.85684351133707337</v>
      </c>
      <c r="BX200" s="29">
        <v>0</v>
      </c>
    </row>
    <row r="201" spans="2:77" ht="12.75" x14ac:dyDescent="0.2">
      <c r="B201" s="22">
        <v>44746</v>
      </c>
      <c r="C201" s="26">
        <f t="shared" ca="1" si="0"/>
        <v>0.74230692477673432</v>
      </c>
      <c r="D201" s="29">
        <f t="shared" ca="1" si="24"/>
        <v>89</v>
      </c>
      <c r="F201" s="22">
        <v>44746</v>
      </c>
      <c r="G201" s="26">
        <f t="shared" ca="1" si="1"/>
        <v>0.80634918424270363</v>
      </c>
      <c r="H201" s="29">
        <f t="shared" ca="1" si="25"/>
        <v>228</v>
      </c>
      <c r="J201" s="22">
        <v>44746</v>
      </c>
      <c r="K201" s="26">
        <f t="shared" ca="1" si="2"/>
        <v>3.8643627367337396E-2</v>
      </c>
      <c r="L201" s="29">
        <v>0</v>
      </c>
      <c r="N201" s="22">
        <v>44746</v>
      </c>
      <c r="O201" s="26">
        <f t="shared" ca="1" si="3"/>
        <v>0.40734058433175147</v>
      </c>
      <c r="P201" s="29">
        <v>0</v>
      </c>
      <c r="R201" s="22">
        <v>44746</v>
      </c>
      <c r="S201" s="26">
        <f t="shared" ca="1" si="4"/>
        <v>0.38891205252741612</v>
      </c>
      <c r="T201" s="29">
        <v>0</v>
      </c>
      <c r="V201" s="22">
        <v>44746</v>
      </c>
      <c r="W201" s="26">
        <f t="shared" ca="1" si="5"/>
        <v>0.29943533059985261</v>
      </c>
      <c r="X201" s="29">
        <v>0</v>
      </c>
      <c r="Z201" s="22">
        <v>44746</v>
      </c>
      <c r="AA201" s="26">
        <f t="shared" ca="1" si="6"/>
        <v>0.86396783399731192</v>
      </c>
      <c r="AB201" s="29">
        <v>0</v>
      </c>
      <c r="AC201"/>
      <c r="AD201" s="25"/>
      <c r="AF201" s="22">
        <v>44746</v>
      </c>
      <c r="AG201" s="26">
        <f t="shared" ca="1" si="7"/>
        <v>0.76001933924070697</v>
      </c>
      <c r="AH201" s="29">
        <v>0</v>
      </c>
      <c r="AJ201" s="22">
        <v>44746</v>
      </c>
      <c r="AK201" s="26">
        <f t="shared" ca="1" si="8"/>
        <v>0.9548022844322468</v>
      </c>
      <c r="AL201" s="29">
        <v>0</v>
      </c>
      <c r="AN201" s="22">
        <v>44746</v>
      </c>
      <c r="AO201" s="26">
        <f t="shared" ca="1" si="9"/>
        <v>0.21088233816074264</v>
      </c>
      <c r="AP201" s="29">
        <v>0</v>
      </c>
      <c r="AR201" s="22">
        <v>44746</v>
      </c>
      <c r="AS201" s="26">
        <f t="shared" ca="1" si="10"/>
        <v>0.73436686461816347</v>
      </c>
      <c r="AT201" s="29">
        <v>0</v>
      </c>
      <c r="AV201" s="22">
        <v>44746</v>
      </c>
      <c r="AW201" s="26">
        <f t="shared" ca="1" si="11"/>
        <v>0.73428928158859053</v>
      </c>
      <c r="AX201" s="29">
        <v>0</v>
      </c>
      <c r="AZ201" s="22">
        <v>44746</v>
      </c>
      <c r="BA201" s="26">
        <f t="shared" ca="1" si="12"/>
        <v>0.31589831810638269</v>
      </c>
      <c r="BB201" s="29">
        <v>0</v>
      </c>
      <c r="BC201"/>
      <c r="BD201" s="25"/>
      <c r="BF201" s="22">
        <v>44746</v>
      </c>
      <c r="BG201" s="26">
        <f t="shared" ca="1" si="13"/>
        <v>0.71316419973735767</v>
      </c>
      <c r="BH201" s="29">
        <v>0</v>
      </c>
      <c r="BJ201" s="22">
        <v>44746</v>
      </c>
      <c r="BK201" s="26">
        <f t="shared" ca="1" si="14"/>
        <v>0.65392794996821157</v>
      </c>
      <c r="BL201" s="29">
        <v>0</v>
      </c>
      <c r="BN201" s="22">
        <v>44746</v>
      </c>
      <c r="BO201" s="26">
        <f t="shared" ca="1" si="15"/>
        <v>0.89650134767682255</v>
      </c>
      <c r="BP201" s="29">
        <v>0</v>
      </c>
      <c r="BR201" s="22">
        <v>44746</v>
      </c>
      <c r="BS201" s="26">
        <f t="shared" ca="1" si="16"/>
        <v>0.30898187423312129</v>
      </c>
      <c r="BT201" s="29">
        <v>0</v>
      </c>
      <c r="BV201" s="22">
        <v>44746</v>
      </c>
      <c r="BW201" s="26">
        <f t="shared" ca="1" si="17"/>
        <v>0.39551841855433745</v>
      </c>
      <c r="BX201" s="29">
        <v>0</v>
      </c>
    </row>
    <row r="202" spans="2:77" ht="12.75" x14ac:dyDescent="0.2">
      <c r="B202" s="22">
        <v>44747</v>
      </c>
      <c r="C202" s="26">
        <f t="shared" ca="1" si="0"/>
        <v>0.65335226891111831</v>
      </c>
      <c r="D202" s="29">
        <f t="shared" ca="1" si="24"/>
        <v>83</v>
      </c>
      <c r="F202" s="22">
        <v>44747</v>
      </c>
      <c r="G202" s="26">
        <f t="shared" ca="1" si="1"/>
        <v>0.2261242965689646</v>
      </c>
      <c r="H202" s="29">
        <f t="shared" ca="1" si="25"/>
        <v>205</v>
      </c>
      <c r="J202" s="22">
        <v>44747</v>
      </c>
      <c r="K202" s="26">
        <f t="shared" ca="1" si="2"/>
        <v>0.90061239522989855</v>
      </c>
      <c r="L202" s="29">
        <v>0</v>
      </c>
      <c r="N202" s="22">
        <v>44747</v>
      </c>
      <c r="O202" s="26">
        <f t="shared" ca="1" si="3"/>
        <v>0.77002556312687964</v>
      </c>
      <c r="P202" s="29">
        <v>0</v>
      </c>
      <c r="R202" s="22">
        <v>44747</v>
      </c>
      <c r="S202" s="26">
        <f t="shared" ca="1" si="4"/>
        <v>0.74580689282886059</v>
      </c>
      <c r="T202" s="29">
        <v>0</v>
      </c>
      <c r="V202" s="22">
        <v>44747</v>
      </c>
      <c r="W202" s="26">
        <f t="shared" ca="1" si="5"/>
        <v>0.12703963260240125</v>
      </c>
      <c r="X202" s="29">
        <v>0</v>
      </c>
      <c r="Z202" s="22">
        <v>44747</v>
      </c>
      <c r="AA202" s="26">
        <f t="shared" ca="1" si="6"/>
        <v>0.73928174100988531</v>
      </c>
      <c r="AB202" s="29">
        <v>0</v>
      </c>
      <c r="AC202"/>
      <c r="AD202" s="25"/>
      <c r="AF202" s="22">
        <v>44747</v>
      </c>
      <c r="AG202" s="26">
        <f t="shared" ca="1" si="7"/>
        <v>0.10971433020065291</v>
      </c>
      <c r="AH202" s="29">
        <v>0</v>
      </c>
      <c r="AJ202" s="22">
        <v>44747</v>
      </c>
      <c r="AK202" s="26">
        <f t="shared" ca="1" si="8"/>
        <v>0.28876868606327277</v>
      </c>
      <c r="AL202" s="29">
        <v>0</v>
      </c>
      <c r="AN202" s="22">
        <v>44747</v>
      </c>
      <c r="AO202" s="26">
        <f t="shared" ca="1" si="9"/>
        <v>0.2257264069883882</v>
      </c>
      <c r="AP202" s="29">
        <v>0</v>
      </c>
      <c r="AR202" s="22">
        <v>44747</v>
      </c>
      <c r="AS202" s="26">
        <f t="shared" ca="1" si="10"/>
        <v>0.30487201745470116</v>
      </c>
      <c r="AT202" s="29">
        <v>0</v>
      </c>
      <c r="AV202" s="22">
        <v>44747</v>
      </c>
      <c r="AW202" s="26">
        <f t="shared" ca="1" si="11"/>
        <v>0.80720274703685446</v>
      </c>
      <c r="AX202" s="29">
        <v>0</v>
      </c>
      <c r="AZ202" s="22">
        <v>44747</v>
      </c>
      <c r="BA202" s="26">
        <f t="shared" ca="1" si="12"/>
        <v>0.66376004023974233</v>
      </c>
      <c r="BB202" s="29">
        <v>0</v>
      </c>
      <c r="BC202"/>
      <c r="BD202" s="25"/>
      <c r="BF202" s="22">
        <v>44747</v>
      </c>
      <c r="BG202" s="26">
        <f t="shared" ca="1" si="13"/>
        <v>0.97713295354320773</v>
      </c>
      <c r="BH202" s="29">
        <v>0</v>
      </c>
      <c r="BJ202" s="22">
        <v>44747</v>
      </c>
      <c r="BK202" s="26">
        <f t="shared" ca="1" si="14"/>
        <v>0.28225662212019176</v>
      </c>
      <c r="BL202" s="29">
        <v>0</v>
      </c>
      <c r="BN202" s="22">
        <v>44747</v>
      </c>
      <c r="BO202" s="26">
        <f t="shared" ca="1" si="15"/>
        <v>0.93605979186640931</v>
      </c>
      <c r="BP202" s="29">
        <v>0</v>
      </c>
      <c r="BR202" s="22">
        <v>44747</v>
      </c>
      <c r="BS202" s="26">
        <f t="shared" ca="1" si="16"/>
        <v>0.79769575881979404</v>
      </c>
      <c r="BT202" s="29">
        <v>0</v>
      </c>
      <c r="BV202" s="22">
        <v>44747</v>
      </c>
      <c r="BW202" s="26">
        <f t="shared" ca="1" si="17"/>
        <v>0.51939376556266992</v>
      </c>
      <c r="BX202" s="29">
        <v>0</v>
      </c>
    </row>
    <row r="203" spans="2:77" ht="12.75" x14ac:dyDescent="0.2">
      <c r="B203" s="22">
        <v>44748</v>
      </c>
      <c r="C203" s="26">
        <f t="shared" ca="1" si="0"/>
        <v>0.26390641220405986</v>
      </c>
      <c r="D203" s="29">
        <f t="shared" ca="1" si="24"/>
        <v>63</v>
      </c>
      <c r="F203" s="22">
        <v>44748</v>
      </c>
      <c r="G203" s="26">
        <f t="shared" ca="1" si="1"/>
        <v>0.79831875892022286</v>
      </c>
      <c r="H203" s="29">
        <f t="shared" ca="1" si="25"/>
        <v>228</v>
      </c>
      <c r="J203" s="22">
        <v>44748</v>
      </c>
      <c r="K203" s="26">
        <f t="shared" ca="1" si="2"/>
        <v>0.86248269046645099</v>
      </c>
      <c r="L203" s="29">
        <v>0</v>
      </c>
      <c r="N203" s="22">
        <v>44748</v>
      </c>
      <c r="O203" s="26">
        <f t="shared" ca="1" si="3"/>
        <v>0.78266804973321358</v>
      </c>
      <c r="P203" s="29">
        <v>0</v>
      </c>
      <c r="R203" s="22">
        <v>44748</v>
      </c>
      <c r="S203" s="26">
        <f t="shared" ca="1" si="4"/>
        <v>4.4006616712582991E-2</v>
      </c>
      <c r="T203" s="29">
        <v>0</v>
      </c>
      <c r="V203" s="22">
        <v>44748</v>
      </c>
      <c r="W203" s="26">
        <f t="shared" ca="1" si="5"/>
        <v>5.6716511675438674E-2</v>
      </c>
      <c r="X203" s="29">
        <v>0</v>
      </c>
      <c r="Z203" s="22">
        <v>44748</v>
      </c>
      <c r="AA203" s="26">
        <f t="shared" ca="1" si="6"/>
        <v>0.85749344491894974</v>
      </c>
      <c r="AB203" s="29">
        <v>0</v>
      </c>
      <c r="AC203"/>
      <c r="AD203" s="25"/>
      <c r="AF203" s="22">
        <v>44748</v>
      </c>
      <c r="AG203" s="26">
        <f t="shared" ca="1" si="7"/>
        <v>0.85074338732244037</v>
      </c>
      <c r="AH203" s="29">
        <v>0</v>
      </c>
      <c r="AJ203" s="22">
        <v>44748</v>
      </c>
      <c r="AK203" s="26">
        <f t="shared" ca="1" si="8"/>
        <v>0.69779760231814969</v>
      </c>
      <c r="AL203" s="29">
        <v>0</v>
      </c>
      <c r="AN203" s="22">
        <v>44748</v>
      </c>
      <c r="AO203" s="26">
        <f t="shared" ca="1" si="9"/>
        <v>0.63589635753660856</v>
      </c>
      <c r="AP203" s="29">
        <v>0</v>
      </c>
      <c r="AR203" s="22">
        <v>44748</v>
      </c>
      <c r="AS203" s="26">
        <f t="shared" ca="1" si="10"/>
        <v>0.94159364091225783</v>
      </c>
      <c r="AT203" s="29">
        <v>0</v>
      </c>
      <c r="AV203" s="22">
        <v>44748</v>
      </c>
      <c r="AW203" s="26">
        <f t="shared" ca="1" si="11"/>
        <v>0.25574352519836541</v>
      </c>
      <c r="AX203" s="29">
        <v>0</v>
      </c>
      <c r="AZ203" s="22">
        <v>44748</v>
      </c>
      <c r="BA203" s="26">
        <f t="shared" ca="1" si="12"/>
        <v>0.67312153992925383</v>
      </c>
      <c r="BB203" s="29">
        <v>0</v>
      </c>
      <c r="BC203"/>
      <c r="BD203" s="25"/>
      <c r="BF203" s="22">
        <v>44748</v>
      </c>
      <c r="BG203" s="26">
        <f t="shared" ca="1" si="13"/>
        <v>0.19646315996672259</v>
      </c>
      <c r="BH203" s="29">
        <v>0</v>
      </c>
      <c r="BJ203" s="22">
        <v>44748</v>
      </c>
      <c r="BK203" s="26">
        <f t="shared" ca="1" si="14"/>
        <v>0.73340543454646867</v>
      </c>
      <c r="BL203" s="29">
        <v>0</v>
      </c>
      <c r="BN203" s="22">
        <v>44748</v>
      </c>
      <c r="BO203" s="26">
        <f t="shared" ca="1" si="15"/>
        <v>0.59545193925689266</v>
      </c>
      <c r="BP203" s="29">
        <v>0</v>
      </c>
      <c r="BR203" s="22">
        <v>44748</v>
      </c>
      <c r="BS203" s="26">
        <f t="shared" ca="1" si="16"/>
        <v>0.91424039598779683</v>
      </c>
      <c r="BT203" s="29">
        <v>0</v>
      </c>
      <c r="BV203" s="22">
        <v>44748</v>
      </c>
      <c r="BW203" s="26">
        <f t="shared" ca="1" si="17"/>
        <v>0.8513105070818402</v>
      </c>
      <c r="BX203" s="29">
        <v>0</v>
      </c>
    </row>
    <row r="204" spans="2:77" ht="12.75" x14ac:dyDescent="0.2">
      <c r="B204" s="22">
        <v>44749</v>
      </c>
      <c r="C204" s="26">
        <f t="shared" ca="1" si="0"/>
        <v>0.65773655775528006</v>
      </c>
      <c r="D204" s="29">
        <v>0</v>
      </c>
      <c r="F204" s="22">
        <v>44749</v>
      </c>
      <c r="G204" s="26">
        <f t="shared" ca="1" si="1"/>
        <v>0.47478388577508368</v>
      </c>
      <c r="H204" s="29">
        <v>0</v>
      </c>
      <c r="J204" s="22">
        <v>44749</v>
      </c>
      <c r="K204" s="26">
        <f t="shared" ca="1" si="2"/>
        <v>6.9591011273354986E-2</v>
      </c>
      <c r="L204" s="29">
        <v>0</v>
      </c>
      <c r="N204" s="22">
        <v>44749</v>
      </c>
      <c r="O204" s="26">
        <f t="shared" ca="1" si="3"/>
        <v>0.89977692117345076</v>
      </c>
      <c r="P204" s="29">
        <v>0</v>
      </c>
      <c r="R204" s="22">
        <v>44749</v>
      </c>
      <c r="S204" s="26">
        <f t="shared" ca="1" si="4"/>
        <v>0.87954247369178251</v>
      </c>
      <c r="T204" s="29">
        <v>0</v>
      </c>
      <c r="V204" s="22">
        <v>44749</v>
      </c>
      <c r="W204" s="26">
        <f t="shared" ca="1" si="5"/>
        <v>0.56450164413028581</v>
      </c>
      <c r="X204" s="29">
        <v>0</v>
      </c>
      <c r="Z204" s="22">
        <v>44749</v>
      </c>
      <c r="AA204" s="26">
        <f t="shared" ca="1" si="6"/>
        <v>0.13934317124017215</v>
      </c>
      <c r="AB204" s="29">
        <v>0</v>
      </c>
      <c r="AC204"/>
      <c r="AD204" s="25"/>
      <c r="AF204" s="22">
        <v>44749</v>
      </c>
      <c r="AG204" s="26">
        <f t="shared" ca="1" si="7"/>
        <v>9.1160559155227694E-2</v>
      </c>
      <c r="AH204" s="29">
        <v>0</v>
      </c>
      <c r="AJ204" s="22">
        <v>44749</v>
      </c>
      <c r="AK204" s="26">
        <f t="shared" ca="1" si="8"/>
        <v>1.1824868193688221E-2</v>
      </c>
      <c r="AL204" s="29">
        <v>0</v>
      </c>
      <c r="AN204" s="22">
        <v>44749</v>
      </c>
      <c r="AO204" s="26">
        <f t="shared" ca="1" si="9"/>
        <v>0.87462441783511957</v>
      </c>
      <c r="AP204" s="29">
        <v>0</v>
      </c>
      <c r="AR204" s="22">
        <v>44749</v>
      </c>
      <c r="AS204" s="26">
        <f t="shared" ca="1" si="10"/>
        <v>0.37189856240874064</v>
      </c>
      <c r="AT204" s="29">
        <v>0</v>
      </c>
      <c r="AV204" s="22">
        <v>44749</v>
      </c>
      <c r="AW204" s="26">
        <f t="shared" ca="1" si="11"/>
        <v>0.52166246406466465</v>
      </c>
      <c r="AX204" s="29">
        <v>0</v>
      </c>
      <c r="AZ204" s="22">
        <v>44749</v>
      </c>
      <c r="BA204" s="26">
        <f t="shared" ca="1" si="12"/>
        <v>0.15484448940447826</v>
      </c>
      <c r="BB204" s="29">
        <v>0</v>
      </c>
      <c r="BC204"/>
      <c r="BD204" s="25"/>
      <c r="BF204" s="22">
        <v>44749</v>
      </c>
      <c r="BG204" s="26">
        <f t="shared" ca="1" si="13"/>
        <v>0.48293065419034353</v>
      </c>
      <c r="BH204" s="29">
        <v>0</v>
      </c>
      <c r="BJ204" s="22">
        <v>44749</v>
      </c>
      <c r="BK204" s="26">
        <f t="shared" ca="1" si="14"/>
        <v>0.11467117649376835</v>
      </c>
      <c r="BL204" s="29">
        <v>0</v>
      </c>
      <c r="BN204" s="22">
        <v>44749</v>
      </c>
      <c r="BO204" s="26">
        <f t="shared" ca="1" si="15"/>
        <v>0.53988599209136057</v>
      </c>
      <c r="BP204" s="29">
        <v>0</v>
      </c>
      <c r="BR204" s="22">
        <v>44749</v>
      </c>
      <c r="BS204" s="26">
        <f t="shared" ca="1" si="16"/>
        <v>0.2690962995423325</v>
      </c>
      <c r="BT204" s="29">
        <v>0</v>
      </c>
      <c r="BV204" s="22">
        <v>44749</v>
      </c>
      <c r="BW204" s="26">
        <f t="shared" ca="1" si="17"/>
        <v>0.14386670072604957</v>
      </c>
      <c r="BX204" s="29">
        <v>0</v>
      </c>
    </row>
    <row r="205" spans="2:77" ht="12.75" x14ac:dyDescent="0.2">
      <c r="B205" s="22">
        <v>44750</v>
      </c>
      <c r="C205" s="26">
        <f t="shared" ca="1" si="0"/>
        <v>0.54017058682719199</v>
      </c>
      <c r="D205" s="29">
        <v>0</v>
      </c>
      <c r="F205" s="22">
        <v>44750</v>
      </c>
      <c r="G205" s="26">
        <f t="shared" ca="1" si="1"/>
        <v>0.19765841863457922</v>
      </c>
      <c r="H205" s="29">
        <v>0</v>
      </c>
      <c r="J205" s="22">
        <v>44750</v>
      </c>
      <c r="K205" s="26">
        <f t="shared" ca="1" si="2"/>
        <v>0.55268853093870063</v>
      </c>
      <c r="L205" s="29">
        <v>0</v>
      </c>
      <c r="N205" s="22">
        <v>44750</v>
      </c>
      <c r="O205" s="26">
        <f t="shared" ca="1" si="3"/>
        <v>0.71819190932977839</v>
      </c>
      <c r="P205" s="29">
        <v>0</v>
      </c>
      <c r="R205" s="22">
        <v>44750</v>
      </c>
      <c r="S205" s="26">
        <f t="shared" ca="1" si="4"/>
        <v>0.66014898912595821</v>
      </c>
      <c r="T205" s="29">
        <v>0</v>
      </c>
      <c r="V205" s="22">
        <v>44750</v>
      </c>
      <c r="W205" s="26">
        <f t="shared" ca="1" si="5"/>
        <v>0.72003097000090521</v>
      </c>
      <c r="X205" s="29">
        <v>0</v>
      </c>
      <c r="Z205" s="22">
        <v>44750</v>
      </c>
      <c r="AA205" s="26">
        <f t="shared" ca="1" si="6"/>
        <v>0.40710797263968579</v>
      </c>
      <c r="AB205" s="29">
        <v>0</v>
      </c>
      <c r="AC205"/>
      <c r="AD205" s="25"/>
      <c r="AF205" s="22">
        <v>44750</v>
      </c>
      <c r="AG205" s="26">
        <f t="shared" ca="1" si="7"/>
        <v>0.69723960000381047</v>
      </c>
      <c r="AH205" s="29">
        <v>0</v>
      </c>
      <c r="AJ205" s="22">
        <v>44750</v>
      </c>
      <c r="AK205" s="26">
        <f t="shared" ca="1" si="8"/>
        <v>0.61595054048270226</v>
      </c>
      <c r="AL205" s="29">
        <v>0</v>
      </c>
      <c r="AN205" s="22">
        <v>44750</v>
      </c>
      <c r="AO205" s="26">
        <f t="shared" ca="1" si="9"/>
        <v>0.66113156610195367</v>
      </c>
      <c r="AP205" s="29">
        <v>0</v>
      </c>
      <c r="AR205" s="22">
        <v>44750</v>
      </c>
      <c r="AS205" s="26">
        <f t="shared" ca="1" si="10"/>
        <v>0.23298791074075975</v>
      </c>
      <c r="AT205" s="29">
        <v>0</v>
      </c>
      <c r="AV205" s="22">
        <v>44750</v>
      </c>
      <c r="AW205" s="26">
        <f t="shared" ca="1" si="11"/>
        <v>0.15828841267473803</v>
      </c>
      <c r="AX205" s="29">
        <v>0</v>
      </c>
      <c r="AZ205" s="22">
        <v>44750</v>
      </c>
      <c r="BA205" s="26">
        <f t="shared" ca="1" si="12"/>
        <v>0.45530002006357084</v>
      </c>
      <c r="BB205" s="29">
        <v>0</v>
      </c>
      <c r="BC205"/>
      <c r="BD205" s="25"/>
      <c r="BF205" s="22">
        <v>44750</v>
      </c>
      <c r="BG205" s="26">
        <f t="shared" ca="1" si="13"/>
        <v>0.47655691075130779</v>
      </c>
      <c r="BH205" s="29">
        <v>0</v>
      </c>
      <c r="BJ205" s="22">
        <v>44750</v>
      </c>
      <c r="BK205" s="26">
        <f t="shared" ca="1" si="14"/>
        <v>0.98006497187916153</v>
      </c>
      <c r="BL205" s="29">
        <v>0</v>
      </c>
      <c r="BN205" s="22">
        <v>44750</v>
      </c>
      <c r="BO205" s="26">
        <f t="shared" ca="1" si="15"/>
        <v>9.7758519233310137E-2</v>
      </c>
      <c r="BP205" s="29">
        <v>0</v>
      </c>
      <c r="BR205" s="22">
        <v>44750</v>
      </c>
      <c r="BS205" s="26">
        <f t="shared" ca="1" si="16"/>
        <v>0.28022161358168496</v>
      </c>
      <c r="BT205" s="29">
        <v>0</v>
      </c>
      <c r="BV205" s="22">
        <v>44750</v>
      </c>
      <c r="BW205" s="26">
        <f t="shared" ca="1" si="17"/>
        <v>0.44508956405794808</v>
      </c>
      <c r="BX205" s="29">
        <v>0</v>
      </c>
    </row>
    <row r="206" spans="2:77" ht="12.75" x14ac:dyDescent="0.2">
      <c r="B206" s="22">
        <v>44751</v>
      </c>
      <c r="C206" s="26">
        <f t="shared" ca="1" si="0"/>
        <v>0.66461053716507545</v>
      </c>
      <c r="D206" s="29">
        <v>0</v>
      </c>
      <c r="F206" s="22">
        <v>44751</v>
      </c>
      <c r="G206" s="26">
        <f t="shared" ca="1" si="1"/>
        <v>0.95426838720858154</v>
      </c>
      <c r="H206" s="29">
        <v>0</v>
      </c>
      <c r="J206" s="22">
        <v>44751</v>
      </c>
      <c r="K206" s="26">
        <f t="shared" ca="1" si="2"/>
        <v>0.56775034138497604</v>
      </c>
      <c r="L206" s="29">
        <v>0</v>
      </c>
      <c r="N206" s="22">
        <v>44751</v>
      </c>
      <c r="O206" s="26">
        <f t="shared" ca="1" si="3"/>
        <v>0.77590878564995558</v>
      </c>
      <c r="P206" s="29">
        <v>0</v>
      </c>
      <c r="R206" s="22">
        <v>44751</v>
      </c>
      <c r="S206" s="26">
        <f t="shared" ca="1" si="4"/>
        <v>7.7702149156084976E-2</v>
      </c>
      <c r="T206" s="29">
        <v>0</v>
      </c>
      <c r="V206" s="22">
        <v>44751</v>
      </c>
      <c r="W206" s="26">
        <f t="shared" ca="1" si="5"/>
        <v>0.60276013215110935</v>
      </c>
      <c r="X206" s="29">
        <v>0</v>
      </c>
      <c r="Z206" s="22">
        <v>44751</v>
      </c>
      <c r="AA206" s="26">
        <f t="shared" ca="1" si="6"/>
        <v>2.0343571984889453E-2</v>
      </c>
      <c r="AB206" s="29">
        <v>0</v>
      </c>
      <c r="AC206"/>
      <c r="AD206" s="25"/>
      <c r="AF206" s="22">
        <v>44751</v>
      </c>
      <c r="AG206" s="26">
        <f t="shared" ca="1" si="7"/>
        <v>0.41717783510306705</v>
      </c>
      <c r="AH206" s="29">
        <v>0</v>
      </c>
      <c r="AJ206" s="22">
        <v>44751</v>
      </c>
      <c r="AK206" s="26">
        <f t="shared" ca="1" si="8"/>
        <v>0.38879437833219777</v>
      </c>
      <c r="AL206" s="29">
        <v>0</v>
      </c>
      <c r="AN206" s="22">
        <v>44751</v>
      </c>
      <c r="AO206" s="26">
        <f t="shared" ca="1" si="9"/>
        <v>0.47260894660586572</v>
      </c>
      <c r="AP206" s="29">
        <v>0</v>
      </c>
      <c r="AR206" s="22">
        <v>44751</v>
      </c>
      <c r="AS206" s="26">
        <f t="shared" ca="1" si="10"/>
        <v>0.39597278313231332</v>
      </c>
      <c r="AT206" s="29">
        <v>0</v>
      </c>
      <c r="AV206" s="22">
        <v>44751</v>
      </c>
      <c r="AW206" s="26">
        <f t="shared" ca="1" si="11"/>
        <v>0.7763347210485344</v>
      </c>
      <c r="AX206" s="29">
        <v>0</v>
      </c>
      <c r="AZ206" s="22">
        <v>44751</v>
      </c>
      <c r="BA206" s="26">
        <f t="shared" ca="1" si="12"/>
        <v>0.89653144367383542</v>
      </c>
      <c r="BB206" s="29">
        <v>0</v>
      </c>
      <c r="BC206"/>
      <c r="BD206" s="25"/>
      <c r="BF206" s="22">
        <v>44751</v>
      </c>
      <c r="BG206" s="26">
        <f t="shared" ca="1" si="13"/>
        <v>0.75778051832190574</v>
      </c>
      <c r="BH206" s="29">
        <v>0</v>
      </c>
      <c r="BJ206" s="22">
        <v>44751</v>
      </c>
      <c r="BK206" s="26">
        <f t="shared" ca="1" si="14"/>
        <v>0.9522738289271615</v>
      </c>
      <c r="BL206" s="29">
        <v>0</v>
      </c>
      <c r="BN206" s="22">
        <v>44751</v>
      </c>
      <c r="BO206" s="26">
        <f t="shared" ca="1" si="15"/>
        <v>1.8131181421693121E-2</v>
      </c>
      <c r="BP206" s="29">
        <v>0</v>
      </c>
      <c r="BR206" s="22">
        <v>44751</v>
      </c>
      <c r="BS206" s="26">
        <f t="shared" ca="1" si="16"/>
        <v>4.6834241809893706E-2</v>
      </c>
      <c r="BT206" s="29">
        <v>0</v>
      </c>
      <c r="BV206" s="22">
        <v>44751</v>
      </c>
      <c r="BW206" s="26">
        <f t="shared" ca="1" si="17"/>
        <v>5.4477605507883609E-2</v>
      </c>
      <c r="BX206" s="29">
        <v>0</v>
      </c>
    </row>
    <row r="207" spans="2:77" ht="12.75" x14ac:dyDescent="0.2">
      <c r="B207" s="22">
        <v>44752</v>
      </c>
      <c r="C207" s="26">
        <f t="shared" ca="1" si="0"/>
        <v>0.77556516959402</v>
      </c>
      <c r="D207" s="29">
        <v>0</v>
      </c>
      <c r="F207" s="22">
        <v>44752</v>
      </c>
      <c r="G207" s="26">
        <f t="shared" ca="1" si="1"/>
        <v>0.55028121431394872</v>
      </c>
      <c r="H207" s="29">
        <v>0</v>
      </c>
      <c r="J207" s="22">
        <v>44752</v>
      </c>
      <c r="K207" s="26">
        <f t="shared" ca="1" si="2"/>
        <v>0.53014656111290248</v>
      </c>
      <c r="L207" s="29">
        <v>0</v>
      </c>
      <c r="N207" s="22">
        <v>44752</v>
      </c>
      <c r="O207" s="26">
        <f t="shared" ca="1" si="3"/>
        <v>0.85715331108197657</v>
      </c>
      <c r="P207" s="29">
        <v>0</v>
      </c>
      <c r="R207" s="22">
        <v>44752</v>
      </c>
      <c r="S207" s="26">
        <f t="shared" ca="1" si="4"/>
        <v>0.14404507895339802</v>
      </c>
      <c r="T207" s="29">
        <v>0</v>
      </c>
      <c r="V207" s="22">
        <v>44752</v>
      </c>
      <c r="W207" s="26">
        <f t="shared" ca="1" si="5"/>
        <v>0.68234749350856905</v>
      </c>
      <c r="X207" s="29">
        <v>0</v>
      </c>
      <c r="Z207" s="22">
        <v>44752</v>
      </c>
      <c r="AA207" s="26">
        <f t="shared" ca="1" si="6"/>
        <v>0.40017905440336543</v>
      </c>
      <c r="AB207" s="29">
        <v>0</v>
      </c>
      <c r="AC207"/>
      <c r="AD207" s="25"/>
      <c r="AF207" s="22">
        <v>44752</v>
      </c>
      <c r="AG207" s="26">
        <f t="shared" ca="1" si="7"/>
        <v>0.88051399640988526</v>
      </c>
      <c r="AH207" s="29">
        <v>0</v>
      </c>
      <c r="AJ207" s="22">
        <v>44752</v>
      </c>
      <c r="AK207" s="26">
        <f t="shared" ca="1" si="8"/>
        <v>0.28167913407582301</v>
      </c>
      <c r="AL207" s="29">
        <v>0</v>
      </c>
      <c r="AN207" s="22">
        <v>44752</v>
      </c>
      <c r="AO207" s="26">
        <f t="shared" ca="1" si="9"/>
        <v>0.91496154775934135</v>
      </c>
      <c r="AP207" s="29">
        <v>0</v>
      </c>
      <c r="AR207" s="22">
        <v>44752</v>
      </c>
      <c r="AS207" s="26">
        <f t="shared" ca="1" si="10"/>
        <v>0.61940473579282662</v>
      </c>
      <c r="AT207" s="29">
        <v>0</v>
      </c>
      <c r="AV207" s="22">
        <v>44752</v>
      </c>
      <c r="AW207" s="26">
        <f t="shared" ca="1" si="11"/>
        <v>0.45942650136904206</v>
      </c>
      <c r="AX207" s="29">
        <v>0</v>
      </c>
      <c r="AZ207" s="22">
        <v>44752</v>
      </c>
      <c r="BA207" s="26">
        <f t="shared" ca="1" si="12"/>
        <v>0.12494052764069763</v>
      </c>
      <c r="BB207" s="29">
        <v>0</v>
      </c>
      <c r="BC207"/>
      <c r="BD207" s="25"/>
      <c r="BF207" s="22">
        <v>44752</v>
      </c>
      <c r="BG207" s="26">
        <f t="shared" ca="1" si="13"/>
        <v>0.75614971162809408</v>
      </c>
      <c r="BH207" s="29">
        <v>0</v>
      </c>
      <c r="BJ207" s="22">
        <v>44752</v>
      </c>
      <c r="BK207" s="26">
        <f t="shared" ca="1" si="14"/>
        <v>0.83164407097414228</v>
      </c>
      <c r="BL207" s="29">
        <v>0</v>
      </c>
      <c r="BN207" s="22">
        <v>44752</v>
      </c>
      <c r="BO207" s="26">
        <f t="shared" ca="1" si="15"/>
        <v>0.70500863328645569</v>
      </c>
      <c r="BP207" s="29">
        <v>0</v>
      </c>
      <c r="BR207" s="22">
        <v>44752</v>
      </c>
      <c r="BS207" s="26">
        <f t="shared" ca="1" si="16"/>
        <v>0.25053286745971504</v>
      </c>
      <c r="BT207" s="29">
        <v>0</v>
      </c>
      <c r="BV207" s="22">
        <v>44752</v>
      </c>
      <c r="BW207" s="26">
        <f t="shared" ca="1" si="17"/>
        <v>0.12779559554198805</v>
      </c>
      <c r="BX207" s="29">
        <v>0</v>
      </c>
    </row>
    <row r="208" spans="2:77" ht="12.75" x14ac:dyDescent="0.2">
      <c r="B208" s="22">
        <v>44753</v>
      </c>
      <c r="C208" s="26">
        <f t="shared" ca="1" si="0"/>
        <v>0.67223581954170697</v>
      </c>
      <c r="D208" s="29">
        <v>0</v>
      </c>
      <c r="F208" s="22">
        <v>44753</v>
      </c>
      <c r="G208" s="26">
        <f t="shared" ca="1" si="1"/>
        <v>0.8406457699579184</v>
      </c>
      <c r="H208" s="29">
        <v>0</v>
      </c>
      <c r="J208" s="22">
        <v>44753</v>
      </c>
      <c r="K208" s="26">
        <f t="shared" ca="1" si="2"/>
        <v>0.90289109443069004</v>
      </c>
      <c r="L208" s="29">
        <v>0</v>
      </c>
      <c r="N208" s="22">
        <v>44753</v>
      </c>
      <c r="O208" s="26">
        <f t="shared" ca="1" si="3"/>
        <v>0.68389640116323691</v>
      </c>
      <c r="P208" s="29">
        <v>0</v>
      </c>
      <c r="R208" s="22">
        <v>44753</v>
      </c>
      <c r="S208" s="26">
        <f t="shared" ca="1" si="4"/>
        <v>0.55139838304531508</v>
      </c>
      <c r="T208" s="29">
        <v>0</v>
      </c>
      <c r="V208" s="22">
        <v>44753</v>
      </c>
      <c r="W208" s="26">
        <f t="shared" ca="1" si="5"/>
        <v>0.9655023936064272</v>
      </c>
      <c r="X208" s="29">
        <v>0</v>
      </c>
      <c r="Z208" s="22">
        <v>44753</v>
      </c>
      <c r="AA208" s="26">
        <f t="shared" ca="1" si="6"/>
        <v>0.62017352162224859</v>
      </c>
      <c r="AB208" s="29">
        <v>0</v>
      </c>
      <c r="AC208"/>
      <c r="AD208" s="25"/>
      <c r="AF208" s="22">
        <v>44753</v>
      </c>
      <c r="AG208" s="26">
        <f t="shared" ca="1" si="7"/>
        <v>0.74327638238545446</v>
      </c>
      <c r="AH208" s="29">
        <v>0</v>
      </c>
      <c r="AJ208" s="22">
        <v>44753</v>
      </c>
      <c r="AK208" s="26">
        <f t="shared" ca="1" si="8"/>
        <v>0.47808914883869735</v>
      </c>
      <c r="AL208" s="29">
        <v>0</v>
      </c>
      <c r="AN208" s="22">
        <v>44753</v>
      </c>
      <c r="AO208" s="26">
        <f t="shared" ca="1" si="9"/>
        <v>0.79984983835597201</v>
      </c>
      <c r="AP208" s="29">
        <v>0</v>
      </c>
      <c r="AR208" s="22">
        <v>44753</v>
      </c>
      <c r="AS208" s="26">
        <f t="shared" ca="1" si="10"/>
        <v>9.5232617768370442E-4</v>
      </c>
      <c r="AT208" s="29">
        <v>0</v>
      </c>
      <c r="AV208" s="22">
        <v>44753</v>
      </c>
      <c r="AW208" s="26">
        <f t="shared" ca="1" si="11"/>
        <v>0.66735192991992187</v>
      </c>
      <c r="AX208" s="29">
        <v>0</v>
      </c>
      <c r="AZ208" s="22">
        <v>44753</v>
      </c>
      <c r="BA208" s="26">
        <f t="shared" ca="1" si="12"/>
        <v>0.79155814960331328</v>
      </c>
      <c r="BB208" s="29">
        <v>0</v>
      </c>
      <c r="BC208"/>
      <c r="BD208" s="25"/>
      <c r="BF208" s="22">
        <v>44753</v>
      </c>
      <c r="BG208" s="26">
        <f t="shared" ca="1" si="13"/>
        <v>0.96435876705694623</v>
      </c>
      <c r="BH208" s="29">
        <v>0</v>
      </c>
      <c r="BJ208" s="22">
        <v>44753</v>
      </c>
      <c r="BK208" s="26">
        <f t="shared" ca="1" si="14"/>
        <v>0.62361819047352729</v>
      </c>
      <c r="BL208" s="29">
        <v>0</v>
      </c>
      <c r="BN208" s="22">
        <v>44753</v>
      </c>
      <c r="BO208" s="26">
        <f t="shared" ca="1" si="15"/>
        <v>0.79060853319912916</v>
      </c>
      <c r="BP208" s="29">
        <v>0</v>
      </c>
      <c r="BR208" s="22">
        <v>44753</v>
      </c>
      <c r="BS208" s="26">
        <f t="shared" ca="1" si="16"/>
        <v>0.36382065466554436</v>
      </c>
      <c r="BT208" s="29">
        <v>0</v>
      </c>
      <c r="BV208" s="22">
        <v>44753</v>
      </c>
      <c r="BW208" s="26">
        <f t="shared" ca="1" si="17"/>
        <v>0.76455853570106114</v>
      </c>
      <c r="BX208" s="29">
        <v>0</v>
      </c>
    </row>
    <row r="209" spans="2:76" ht="12.75" x14ac:dyDescent="0.2">
      <c r="B209" s="22">
        <v>44754</v>
      </c>
      <c r="C209" s="26">
        <f t="shared" ca="1" si="0"/>
        <v>0.54040748625671486</v>
      </c>
      <c r="D209" s="29">
        <v>0</v>
      </c>
      <c r="F209" s="22">
        <v>44754</v>
      </c>
      <c r="G209" s="26">
        <f t="shared" ca="1" si="1"/>
        <v>0.78946606595449909</v>
      </c>
      <c r="H209" s="29">
        <v>0</v>
      </c>
      <c r="J209" s="22">
        <v>44754</v>
      </c>
      <c r="K209" s="26">
        <f t="shared" ca="1" si="2"/>
        <v>0.19005059161059068</v>
      </c>
      <c r="L209" s="29">
        <v>0</v>
      </c>
      <c r="N209" s="22">
        <v>44754</v>
      </c>
      <c r="O209" s="26">
        <f t="shared" ca="1" si="3"/>
        <v>0.27270120664817499</v>
      </c>
      <c r="P209" s="29">
        <v>0</v>
      </c>
      <c r="R209" s="22">
        <v>44754</v>
      </c>
      <c r="S209" s="26">
        <f t="shared" ca="1" si="4"/>
        <v>0.8737636787309806</v>
      </c>
      <c r="T209" s="29">
        <v>0</v>
      </c>
      <c r="V209" s="22">
        <v>44754</v>
      </c>
      <c r="W209" s="26">
        <f t="shared" ca="1" si="5"/>
        <v>0.69463473125947073</v>
      </c>
      <c r="X209" s="29">
        <v>0</v>
      </c>
      <c r="Z209" s="22">
        <v>44754</v>
      </c>
      <c r="AA209" s="26">
        <f t="shared" ca="1" si="6"/>
        <v>0.2194385089400962</v>
      </c>
      <c r="AB209" s="29">
        <v>0</v>
      </c>
      <c r="AC209"/>
      <c r="AD209" s="25"/>
      <c r="AF209" s="22">
        <v>44754</v>
      </c>
      <c r="AG209" s="26">
        <f t="shared" ca="1" si="7"/>
        <v>0.57949174548300941</v>
      </c>
      <c r="AH209" s="29">
        <v>0</v>
      </c>
      <c r="AJ209" s="22">
        <v>44754</v>
      </c>
      <c r="AK209" s="26">
        <f t="shared" ca="1" si="8"/>
        <v>0.84222751160102749</v>
      </c>
      <c r="AL209" s="29">
        <v>0</v>
      </c>
      <c r="AN209" s="22">
        <v>44754</v>
      </c>
      <c r="AO209" s="26">
        <f t="shared" ca="1" si="9"/>
        <v>0.88098594232966754</v>
      </c>
      <c r="AP209" s="29">
        <v>0</v>
      </c>
      <c r="AR209" s="22">
        <v>44754</v>
      </c>
      <c r="AS209" s="26">
        <f t="shared" ca="1" si="10"/>
        <v>0.95765377168676491</v>
      </c>
      <c r="AT209" s="29">
        <v>0</v>
      </c>
      <c r="AV209" s="22">
        <v>44754</v>
      </c>
      <c r="AW209" s="26">
        <f t="shared" ca="1" si="11"/>
        <v>0.90005218898002659</v>
      </c>
      <c r="AX209" s="29">
        <v>0</v>
      </c>
      <c r="AZ209" s="22">
        <v>44754</v>
      </c>
      <c r="BA209" s="26">
        <f t="shared" ca="1" si="12"/>
        <v>0.64853961421742146</v>
      </c>
      <c r="BB209" s="29">
        <v>0</v>
      </c>
      <c r="BC209"/>
      <c r="BD209" s="25"/>
      <c r="BF209" s="22">
        <v>44754</v>
      </c>
      <c r="BG209" s="26">
        <f t="shared" ca="1" si="13"/>
        <v>0.71941726168128106</v>
      </c>
      <c r="BH209" s="29">
        <v>0</v>
      </c>
      <c r="BJ209" s="22">
        <v>44754</v>
      </c>
      <c r="BK209" s="26">
        <f t="shared" ca="1" si="14"/>
        <v>0.59132888830864516</v>
      </c>
      <c r="BL209" s="29">
        <v>0</v>
      </c>
      <c r="BN209" s="22">
        <v>44754</v>
      </c>
      <c r="BO209" s="26">
        <f t="shared" ca="1" si="15"/>
        <v>0.69663037613655721</v>
      </c>
      <c r="BP209" s="29">
        <v>0</v>
      </c>
      <c r="BR209" s="22">
        <v>44754</v>
      </c>
      <c r="BS209" s="26">
        <f t="shared" ca="1" si="16"/>
        <v>0.8200561837759508</v>
      </c>
      <c r="BT209" s="29">
        <v>0</v>
      </c>
      <c r="BV209" s="22">
        <v>44754</v>
      </c>
      <c r="BW209" s="26">
        <f t="shared" ca="1" si="17"/>
        <v>0.50738432091803398</v>
      </c>
      <c r="BX209" s="29">
        <v>0</v>
      </c>
    </row>
    <row r="210" spans="2:76" ht="12.75" x14ac:dyDescent="0.2">
      <c r="B210" s="22">
        <v>44755</v>
      </c>
      <c r="C210" s="26">
        <f t="shared" ca="1" si="0"/>
        <v>0.37279247476390798</v>
      </c>
      <c r="D210" s="29">
        <v>0</v>
      </c>
      <c r="F210" s="22">
        <v>44755</v>
      </c>
      <c r="G210" s="26">
        <f t="shared" ca="1" si="1"/>
        <v>0.74496713659490599</v>
      </c>
      <c r="H210" s="29">
        <v>0</v>
      </c>
      <c r="J210" s="22">
        <v>44755</v>
      </c>
      <c r="K210" s="26">
        <f t="shared" ca="1" si="2"/>
        <v>0.35710516554158334</v>
      </c>
      <c r="L210" s="29">
        <v>0</v>
      </c>
      <c r="N210" s="22">
        <v>44755</v>
      </c>
      <c r="O210" s="26">
        <f t="shared" ca="1" si="3"/>
        <v>0.3386913282977716</v>
      </c>
      <c r="P210" s="29">
        <v>0</v>
      </c>
      <c r="R210" s="22">
        <v>44755</v>
      </c>
      <c r="S210" s="26">
        <f t="shared" ca="1" si="4"/>
        <v>0.35924658988068991</v>
      </c>
      <c r="T210" s="29">
        <v>0</v>
      </c>
      <c r="V210" s="22">
        <v>44755</v>
      </c>
      <c r="W210" s="26">
        <f t="shared" ca="1" si="5"/>
        <v>0.3761281294059412</v>
      </c>
      <c r="X210" s="29">
        <v>0</v>
      </c>
      <c r="Z210" s="22">
        <v>44755</v>
      </c>
      <c r="AA210" s="26">
        <f t="shared" ca="1" si="6"/>
        <v>0.34513681027479315</v>
      </c>
      <c r="AB210" s="29">
        <v>0</v>
      </c>
      <c r="AC210"/>
      <c r="AD210" s="25"/>
      <c r="AF210" s="22">
        <v>44755</v>
      </c>
      <c r="AG210" s="26">
        <f t="shared" ca="1" si="7"/>
        <v>0.82586305851814645</v>
      </c>
      <c r="AH210" s="29">
        <v>0</v>
      </c>
      <c r="AJ210" s="22">
        <v>44755</v>
      </c>
      <c r="AK210" s="26">
        <f t="shared" ca="1" si="8"/>
        <v>0.85578038140965007</v>
      </c>
      <c r="AL210" s="29">
        <v>0</v>
      </c>
      <c r="AN210" s="22">
        <v>44755</v>
      </c>
      <c r="AO210" s="26">
        <f t="shared" ca="1" si="9"/>
        <v>0.27017842901491318</v>
      </c>
      <c r="AP210" s="29">
        <v>0</v>
      </c>
      <c r="AR210" s="22">
        <v>44755</v>
      </c>
      <c r="AS210" s="26">
        <f t="shared" ca="1" si="10"/>
        <v>0.49407131971861573</v>
      </c>
      <c r="AT210" s="29">
        <v>0</v>
      </c>
      <c r="AV210" s="22">
        <v>44755</v>
      </c>
      <c r="AW210" s="26">
        <f t="shared" ca="1" si="11"/>
        <v>0.32173505547041392</v>
      </c>
      <c r="AX210" s="29">
        <v>0</v>
      </c>
      <c r="AZ210" s="22">
        <v>44755</v>
      </c>
      <c r="BA210" s="26">
        <f t="shared" ca="1" si="12"/>
        <v>0.24976998050776322</v>
      </c>
      <c r="BB210" s="29">
        <v>0</v>
      </c>
      <c r="BC210"/>
      <c r="BD210" s="25"/>
      <c r="BF210" s="22">
        <v>44755</v>
      </c>
      <c r="BG210" s="26">
        <f t="shared" ca="1" si="13"/>
        <v>0.78232468203901495</v>
      </c>
      <c r="BH210" s="29">
        <v>0</v>
      </c>
      <c r="BJ210" s="22">
        <v>44755</v>
      </c>
      <c r="BK210" s="26">
        <f t="shared" ca="1" si="14"/>
        <v>0.508031616216163</v>
      </c>
      <c r="BL210" s="29">
        <v>0</v>
      </c>
      <c r="BN210" s="22">
        <v>44755</v>
      </c>
      <c r="BO210" s="26">
        <f t="shared" ca="1" si="15"/>
        <v>0.92745352910007484</v>
      </c>
      <c r="BP210" s="29">
        <v>0</v>
      </c>
      <c r="BR210" s="22">
        <v>44755</v>
      </c>
      <c r="BS210" s="26">
        <f t="shared" ca="1" si="16"/>
        <v>9.7398273224472698E-3</v>
      </c>
      <c r="BT210" s="29">
        <v>0</v>
      </c>
      <c r="BV210" s="22">
        <v>44755</v>
      </c>
      <c r="BW210" s="26">
        <f t="shared" ca="1" si="17"/>
        <v>0.45882507222602165</v>
      </c>
      <c r="BX210" s="29">
        <v>0</v>
      </c>
    </row>
    <row r="211" spans="2:76" ht="12.75" x14ac:dyDescent="0.2">
      <c r="B211" s="22">
        <v>44756</v>
      </c>
      <c r="C211" s="26">
        <f t="shared" ca="1" si="0"/>
        <v>0.53363315441919201</v>
      </c>
      <c r="D211" s="29">
        <v>0</v>
      </c>
      <c r="F211" s="22">
        <v>44756</v>
      </c>
      <c r="G211" s="26">
        <f t="shared" ca="1" si="1"/>
        <v>0.89530686885102795</v>
      </c>
      <c r="H211" s="29">
        <v>0</v>
      </c>
      <c r="J211" s="22">
        <v>44756</v>
      </c>
      <c r="K211" s="26">
        <f t="shared" ca="1" si="2"/>
        <v>0.29470865120871081</v>
      </c>
      <c r="L211" s="29">
        <v>0</v>
      </c>
      <c r="N211" s="22">
        <v>44756</v>
      </c>
      <c r="O211" s="26">
        <f t="shared" ca="1" si="3"/>
        <v>0.805640666378447</v>
      </c>
      <c r="P211" s="29">
        <v>0</v>
      </c>
      <c r="R211" s="22">
        <v>44756</v>
      </c>
      <c r="S211" s="26">
        <f t="shared" ca="1" si="4"/>
        <v>0.87591260088049572</v>
      </c>
      <c r="T211" s="29">
        <v>0</v>
      </c>
      <c r="V211" s="22">
        <v>44756</v>
      </c>
      <c r="W211" s="26">
        <f t="shared" ca="1" si="5"/>
        <v>0.75087659456968225</v>
      </c>
      <c r="X211" s="29">
        <v>0</v>
      </c>
      <c r="Z211" s="22">
        <v>44756</v>
      </c>
      <c r="AA211" s="26">
        <f t="shared" ca="1" si="6"/>
        <v>0.89815148855023019</v>
      </c>
      <c r="AB211" s="29">
        <v>0</v>
      </c>
      <c r="AC211"/>
      <c r="AD211" s="25"/>
      <c r="AF211" s="22">
        <v>44756</v>
      </c>
      <c r="AG211" s="26">
        <f t="shared" ca="1" si="7"/>
        <v>0.56016000258322185</v>
      </c>
      <c r="AH211" s="29">
        <v>0</v>
      </c>
      <c r="AJ211" s="22">
        <v>44756</v>
      </c>
      <c r="AK211" s="26">
        <f t="shared" ca="1" si="8"/>
        <v>0.43709631494391077</v>
      </c>
      <c r="AL211" s="29">
        <v>0</v>
      </c>
      <c r="AN211" s="22">
        <v>44756</v>
      </c>
      <c r="AO211" s="26">
        <f t="shared" ca="1" si="9"/>
        <v>0.633853951021353</v>
      </c>
      <c r="AP211" s="29">
        <v>0</v>
      </c>
      <c r="AR211" s="22">
        <v>44756</v>
      </c>
      <c r="AS211" s="26">
        <f t="shared" ca="1" si="10"/>
        <v>0.20039570502166559</v>
      </c>
      <c r="AT211" s="29">
        <v>0</v>
      </c>
      <c r="AV211" s="22">
        <v>44756</v>
      </c>
      <c r="AW211" s="26">
        <f t="shared" ca="1" si="11"/>
        <v>0.40372133880429661</v>
      </c>
      <c r="AX211" s="29">
        <v>0</v>
      </c>
      <c r="AZ211" s="22">
        <v>44756</v>
      </c>
      <c r="BA211" s="26">
        <f t="shared" ca="1" si="12"/>
        <v>0.66002070832476945</v>
      </c>
      <c r="BB211" s="29">
        <v>0</v>
      </c>
      <c r="BC211"/>
      <c r="BD211" s="25"/>
      <c r="BF211" s="22">
        <v>44756</v>
      </c>
      <c r="BG211" s="26">
        <f t="shared" ca="1" si="13"/>
        <v>0.97638896964416766</v>
      </c>
      <c r="BH211" s="29">
        <v>0</v>
      </c>
      <c r="BJ211" s="22">
        <v>44756</v>
      </c>
      <c r="BK211" s="26">
        <f t="shared" ca="1" si="14"/>
        <v>0.88673677906809467</v>
      </c>
      <c r="BL211" s="29">
        <v>0</v>
      </c>
      <c r="BN211" s="22">
        <v>44756</v>
      </c>
      <c r="BO211" s="26">
        <f t="shared" ca="1" si="15"/>
        <v>0.59682413980754345</v>
      </c>
      <c r="BP211" s="29">
        <v>0</v>
      </c>
      <c r="BR211" s="22">
        <v>44756</v>
      </c>
      <c r="BS211" s="26">
        <f t="shared" ca="1" si="16"/>
        <v>0.65429042997845022</v>
      </c>
      <c r="BT211" s="29">
        <v>0</v>
      </c>
      <c r="BV211" s="22">
        <v>44756</v>
      </c>
      <c r="BW211" s="26">
        <f t="shared" ca="1" si="17"/>
        <v>0.83332550781280967</v>
      </c>
      <c r="BX211" s="29">
        <v>0</v>
      </c>
    </row>
    <row r="212" spans="2:76" ht="12.75" x14ac:dyDescent="0.2">
      <c r="B212" s="22">
        <v>44757</v>
      </c>
      <c r="C212" s="26">
        <f t="shared" ca="1" si="0"/>
        <v>0.82055236049420766</v>
      </c>
      <c r="D212" s="29">
        <v>0</v>
      </c>
      <c r="F212" s="22">
        <v>44757</v>
      </c>
      <c r="G212" s="26">
        <f t="shared" ca="1" si="1"/>
        <v>0.39115992737628258</v>
      </c>
      <c r="H212" s="29">
        <v>0</v>
      </c>
      <c r="J212" s="22">
        <v>44757</v>
      </c>
      <c r="K212" s="26">
        <f t="shared" ca="1" si="2"/>
        <v>0.49048279306964604</v>
      </c>
      <c r="L212" s="29">
        <v>0</v>
      </c>
      <c r="N212" s="22">
        <v>44757</v>
      </c>
      <c r="O212" s="26">
        <f t="shared" ca="1" si="3"/>
        <v>0.65525468322030134</v>
      </c>
      <c r="P212" s="29">
        <v>0</v>
      </c>
      <c r="R212" s="22">
        <v>44757</v>
      </c>
      <c r="S212" s="26">
        <f t="shared" ca="1" si="4"/>
        <v>6.3711377153926163E-2</v>
      </c>
      <c r="T212" s="29">
        <v>0</v>
      </c>
      <c r="V212" s="22">
        <v>44757</v>
      </c>
      <c r="W212" s="26">
        <f t="shared" ca="1" si="5"/>
        <v>0.32167316970147553</v>
      </c>
      <c r="X212" s="29">
        <v>0</v>
      </c>
      <c r="Z212" s="22">
        <v>44757</v>
      </c>
      <c r="AA212" s="26">
        <f t="shared" ca="1" si="6"/>
        <v>0.85222119791818451</v>
      </c>
      <c r="AB212" s="29">
        <v>0</v>
      </c>
      <c r="AC212"/>
      <c r="AD212" s="25"/>
      <c r="AF212" s="22">
        <v>44757</v>
      </c>
      <c r="AG212" s="26">
        <f t="shared" ca="1" si="7"/>
        <v>0.41458217565598443</v>
      </c>
      <c r="AH212" s="29">
        <v>0</v>
      </c>
      <c r="AJ212" s="22">
        <v>44757</v>
      </c>
      <c r="AK212" s="26">
        <f t="shared" ca="1" si="8"/>
        <v>0.21642764041104801</v>
      </c>
      <c r="AL212" s="29">
        <v>0</v>
      </c>
      <c r="AN212" s="22">
        <v>44757</v>
      </c>
      <c r="AO212" s="26">
        <f t="shared" ca="1" si="9"/>
        <v>0.85166142885922791</v>
      </c>
      <c r="AP212" s="29">
        <v>0</v>
      </c>
      <c r="AR212" s="22">
        <v>44757</v>
      </c>
      <c r="AS212" s="26">
        <f t="shared" ca="1" si="10"/>
        <v>0.20042841757061125</v>
      </c>
      <c r="AT212" s="29">
        <v>0</v>
      </c>
      <c r="AV212" s="22">
        <v>44757</v>
      </c>
      <c r="AW212" s="26">
        <f t="shared" ca="1" si="11"/>
        <v>0.85495356300981551</v>
      </c>
      <c r="AX212" s="29">
        <v>0</v>
      </c>
      <c r="AZ212" s="22">
        <v>44757</v>
      </c>
      <c r="BA212" s="26">
        <f t="shared" ca="1" si="12"/>
        <v>0.70003746578111248</v>
      </c>
      <c r="BB212" s="29">
        <v>0</v>
      </c>
      <c r="BC212"/>
      <c r="BD212" s="25"/>
      <c r="BF212" s="22">
        <v>44757</v>
      </c>
      <c r="BG212" s="26">
        <f t="shared" ca="1" si="13"/>
        <v>0.28758976259772251</v>
      </c>
      <c r="BH212" s="29">
        <v>0</v>
      </c>
      <c r="BJ212" s="22">
        <v>44757</v>
      </c>
      <c r="BK212" s="26">
        <f t="shared" ca="1" si="14"/>
        <v>0.24221593340299408</v>
      </c>
      <c r="BL212" s="29">
        <v>0</v>
      </c>
      <c r="BN212" s="22">
        <v>44757</v>
      </c>
      <c r="BO212" s="26">
        <f t="shared" ca="1" si="15"/>
        <v>0.55339106218122591</v>
      </c>
      <c r="BP212" s="29">
        <v>0</v>
      </c>
      <c r="BR212" s="22">
        <v>44757</v>
      </c>
      <c r="BS212" s="26">
        <f t="shared" ca="1" si="16"/>
        <v>0.59176698849046128</v>
      </c>
      <c r="BT212" s="29">
        <v>0</v>
      </c>
      <c r="BV212" s="22">
        <v>44757</v>
      </c>
      <c r="BW212" s="26">
        <f t="shared" ca="1" si="17"/>
        <v>0.4267192244746485</v>
      </c>
      <c r="BX212" s="29">
        <v>0</v>
      </c>
    </row>
    <row r="213" spans="2:76" ht="12.75" x14ac:dyDescent="0.2">
      <c r="B213" s="22">
        <v>44758</v>
      </c>
      <c r="C213" s="26">
        <f t="shared" ca="1" si="0"/>
        <v>0.1619474913668042</v>
      </c>
      <c r="D213" s="29">
        <v>0</v>
      </c>
      <c r="F213" s="22">
        <v>44758</v>
      </c>
      <c r="G213" s="26">
        <f t="shared" ca="1" si="1"/>
        <v>0.54979486863591664</v>
      </c>
      <c r="H213" s="29">
        <v>0</v>
      </c>
      <c r="J213" s="22">
        <v>44758</v>
      </c>
      <c r="K213" s="26">
        <f t="shared" ca="1" si="2"/>
        <v>0.26813581634924855</v>
      </c>
      <c r="L213" s="29">
        <v>0</v>
      </c>
      <c r="N213" s="22">
        <v>44758</v>
      </c>
      <c r="O213" s="26">
        <f t="shared" ca="1" si="3"/>
        <v>0.43478370658008847</v>
      </c>
      <c r="P213" s="29">
        <v>0</v>
      </c>
      <c r="R213" s="22">
        <v>44758</v>
      </c>
      <c r="S213" s="26">
        <f t="shared" ca="1" si="4"/>
        <v>0.96244777073949384</v>
      </c>
      <c r="T213" s="29">
        <v>0</v>
      </c>
      <c r="V213" s="22">
        <v>44758</v>
      </c>
      <c r="W213" s="26">
        <f t="shared" ca="1" si="5"/>
        <v>0.37898240682324813</v>
      </c>
      <c r="X213" s="29">
        <v>0</v>
      </c>
      <c r="Z213" s="22">
        <v>44758</v>
      </c>
      <c r="AA213" s="26">
        <f t="shared" ca="1" si="6"/>
        <v>0.44557075859316064</v>
      </c>
      <c r="AB213" s="29">
        <v>0</v>
      </c>
      <c r="AC213"/>
      <c r="AD213" s="25"/>
      <c r="AF213" s="22">
        <v>44758</v>
      </c>
      <c r="AG213" s="26">
        <f t="shared" ca="1" si="7"/>
        <v>0.37456216386348651</v>
      </c>
      <c r="AH213" s="29">
        <v>0</v>
      </c>
      <c r="AJ213" s="22">
        <v>44758</v>
      </c>
      <c r="AK213" s="26">
        <f t="shared" ca="1" si="8"/>
        <v>5.5116681769274423E-2</v>
      </c>
      <c r="AL213" s="29">
        <v>0</v>
      </c>
      <c r="AN213" s="22">
        <v>44758</v>
      </c>
      <c r="AO213" s="26">
        <f t="shared" ca="1" si="9"/>
        <v>0.48611907605885263</v>
      </c>
      <c r="AP213" s="29">
        <v>0</v>
      </c>
      <c r="AR213" s="22">
        <v>44758</v>
      </c>
      <c r="AS213" s="26">
        <f t="shared" ca="1" si="10"/>
        <v>0.96030779499168484</v>
      </c>
      <c r="AT213" s="29">
        <v>0</v>
      </c>
      <c r="AV213" s="22">
        <v>44758</v>
      </c>
      <c r="AW213" s="26">
        <f t="shared" ca="1" si="11"/>
        <v>0.47734025121511248</v>
      </c>
      <c r="AX213" s="29">
        <v>0</v>
      </c>
      <c r="AZ213" s="22">
        <v>44758</v>
      </c>
      <c r="BA213" s="26">
        <f t="shared" ca="1" si="12"/>
        <v>0.79342546084671317</v>
      </c>
      <c r="BB213" s="29">
        <v>0</v>
      </c>
      <c r="BC213"/>
      <c r="BD213" s="25"/>
      <c r="BF213" s="22">
        <v>44758</v>
      </c>
      <c r="BG213" s="26">
        <f t="shared" ca="1" si="13"/>
        <v>0.84470372934748994</v>
      </c>
      <c r="BH213" s="29">
        <v>0</v>
      </c>
      <c r="BJ213" s="22">
        <v>44758</v>
      </c>
      <c r="BK213" s="26">
        <f t="shared" ca="1" si="14"/>
        <v>6.8031716021557109E-3</v>
      </c>
      <c r="BL213" s="29">
        <v>0</v>
      </c>
      <c r="BN213" s="22">
        <v>44758</v>
      </c>
      <c r="BO213" s="26">
        <f t="shared" ca="1" si="15"/>
        <v>0.22287018691060934</v>
      </c>
      <c r="BP213" s="29">
        <v>0</v>
      </c>
      <c r="BR213" s="22">
        <v>44758</v>
      </c>
      <c r="BS213" s="26">
        <f t="shared" ca="1" si="16"/>
        <v>0.59871565406415039</v>
      </c>
      <c r="BT213" s="29">
        <v>0</v>
      </c>
      <c r="BV213" s="22">
        <v>44758</v>
      </c>
      <c r="BW213" s="26">
        <f t="shared" ca="1" si="17"/>
        <v>0.73130714184139889</v>
      </c>
      <c r="BX213" s="29">
        <v>0</v>
      </c>
    </row>
    <row r="214" spans="2:76" ht="12.75" x14ac:dyDescent="0.2">
      <c r="B214" s="22">
        <v>44759</v>
      </c>
      <c r="C214" s="26">
        <f t="shared" ca="1" si="0"/>
        <v>0.11180745365247846</v>
      </c>
      <c r="D214" s="29">
        <v>0</v>
      </c>
      <c r="F214" s="22">
        <v>44759</v>
      </c>
      <c r="G214" s="26">
        <f t="shared" ca="1" si="1"/>
        <v>0.71765962893954427</v>
      </c>
      <c r="H214" s="29">
        <v>0</v>
      </c>
      <c r="J214" s="22">
        <v>44759</v>
      </c>
      <c r="K214" s="26">
        <f t="shared" ca="1" si="2"/>
        <v>0.49581764981651955</v>
      </c>
      <c r="L214" s="29">
        <v>0</v>
      </c>
      <c r="N214" s="22">
        <v>44759</v>
      </c>
      <c r="O214" s="26">
        <f t="shared" ca="1" si="3"/>
        <v>0.99050773774429701</v>
      </c>
      <c r="P214" s="29">
        <v>0</v>
      </c>
      <c r="R214" s="22">
        <v>44759</v>
      </c>
      <c r="S214" s="26">
        <f t="shared" ca="1" si="4"/>
        <v>0.5791128900381286</v>
      </c>
      <c r="T214" s="29">
        <v>0</v>
      </c>
      <c r="V214" s="22">
        <v>44759</v>
      </c>
      <c r="W214" s="26">
        <f t="shared" ca="1" si="5"/>
        <v>0.51259488452193525</v>
      </c>
      <c r="X214" s="29">
        <v>0</v>
      </c>
      <c r="Z214" s="22">
        <v>44759</v>
      </c>
      <c r="AA214" s="26">
        <f t="shared" ca="1" si="6"/>
        <v>0.65441820083255531</v>
      </c>
      <c r="AB214" s="29">
        <v>0</v>
      </c>
      <c r="AC214"/>
      <c r="AD214" s="25"/>
      <c r="AF214" s="22">
        <v>44759</v>
      </c>
      <c r="AG214" s="26">
        <f t="shared" ca="1" si="7"/>
        <v>0.31487485737538734</v>
      </c>
      <c r="AH214" s="29">
        <v>0</v>
      </c>
      <c r="AJ214" s="22">
        <v>44759</v>
      </c>
      <c r="AK214" s="26">
        <f t="shared" ca="1" si="8"/>
        <v>0.1237397146091832</v>
      </c>
      <c r="AL214" s="29">
        <v>0</v>
      </c>
      <c r="AN214" s="22">
        <v>44759</v>
      </c>
      <c r="AO214" s="26">
        <f t="shared" ca="1" si="9"/>
        <v>0.54652678631179885</v>
      </c>
      <c r="AP214" s="29">
        <v>0</v>
      </c>
      <c r="AR214" s="22">
        <v>44759</v>
      </c>
      <c r="AS214" s="26">
        <f t="shared" ca="1" si="10"/>
        <v>9.9062618410924008E-2</v>
      </c>
      <c r="AT214" s="29">
        <v>0</v>
      </c>
      <c r="AV214" s="22">
        <v>44759</v>
      </c>
      <c r="AW214" s="26">
        <f t="shared" ca="1" si="11"/>
        <v>0.71877203694178993</v>
      </c>
      <c r="AX214" s="29">
        <v>0</v>
      </c>
      <c r="AZ214" s="22">
        <v>44759</v>
      </c>
      <c r="BA214" s="26">
        <f t="shared" ca="1" si="12"/>
        <v>0.85391730549889844</v>
      </c>
      <c r="BB214" s="29">
        <v>0</v>
      </c>
      <c r="BC214"/>
      <c r="BD214" s="25"/>
      <c r="BF214" s="22">
        <v>44759</v>
      </c>
      <c r="BG214" s="26">
        <f t="shared" ca="1" si="13"/>
        <v>0.96440939538706227</v>
      </c>
      <c r="BH214" s="29">
        <v>0</v>
      </c>
      <c r="BJ214" s="22">
        <v>44759</v>
      </c>
      <c r="BK214" s="26">
        <f t="shared" ca="1" si="14"/>
        <v>0.72997056957779771</v>
      </c>
      <c r="BL214" s="29">
        <v>0</v>
      </c>
      <c r="BN214" s="22">
        <v>44759</v>
      </c>
      <c r="BO214" s="26">
        <f t="shared" ca="1" si="15"/>
        <v>0.89491727273923194</v>
      </c>
      <c r="BP214" s="29">
        <v>0</v>
      </c>
      <c r="BR214" s="22">
        <v>44759</v>
      </c>
      <c r="BS214" s="26">
        <f t="shared" ca="1" si="16"/>
        <v>0.64995080928760007</v>
      </c>
      <c r="BT214" s="29">
        <v>0</v>
      </c>
      <c r="BV214" s="22">
        <v>44759</v>
      </c>
      <c r="BW214" s="26">
        <f t="shared" ca="1" si="17"/>
        <v>0.79208369745427454</v>
      </c>
      <c r="BX214" s="29">
        <v>0</v>
      </c>
    </row>
    <row r="215" spans="2:76" ht="12.75" x14ac:dyDescent="0.2">
      <c r="B215" s="22">
        <v>44760</v>
      </c>
      <c r="C215" s="26">
        <f t="shared" ca="1" si="0"/>
        <v>3.8949359527803651E-2</v>
      </c>
      <c r="D215" s="29">
        <v>0</v>
      </c>
      <c r="F215" s="22">
        <v>44760</v>
      </c>
      <c r="G215" s="26">
        <f t="shared" ca="1" si="1"/>
        <v>0.32843098854766062</v>
      </c>
      <c r="H215" s="29">
        <v>0</v>
      </c>
      <c r="J215" s="22">
        <v>44760</v>
      </c>
      <c r="K215" s="26">
        <f t="shared" ca="1" si="2"/>
        <v>0.24819399315734691</v>
      </c>
      <c r="L215" s="29">
        <v>0</v>
      </c>
      <c r="N215" s="22">
        <v>44760</v>
      </c>
      <c r="O215" s="26">
        <f t="shared" ca="1" si="3"/>
        <v>0.50364042527093933</v>
      </c>
      <c r="P215" s="29">
        <v>0</v>
      </c>
      <c r="R215" s="22">
        <v>44760</v>
      </c>
      <c r="S215" s="26">
        <f t="shared" ca="1" si="4"/>
        <v>0.45434377490442146</v>
      </c>
      <c r="T215" s="29">
        <v>0</v>
      </c>
      <c r="V215" s="22">
        <v>44760</v>
      </c>
      <c r="W215" s="26">
        <f t="shared" ca="1" si="5"/>
        <v>0.16918005274593872</v>
      </c>
      <c r="X215" s="29">
        <v>0</v>
      </c>
      <c r="Z215" s="22">
        <v>44760</v>
      </c>
      <c r="AA215" s="26">
        <f t="shared" ca="1" si="6"/>
        <v>3.8627894069728219E-2</v>
      </c>
      <c r="AB215" s="29">
        <v>0</v>
      </c>
      <c r="AC215"/>
      <c r="AD215" s="25"/>
      <c r="AF215" s="22">
        <v>44760</v>
      </c>
      <c r="AG215" s="26">
        <f t="shared" ca="1" si="7"/>
        <v>0.34341050012870988</v>
      </c>
      <c r="AH215" s="29">
        <v>0</v>
      </c>
      <c r="AJ215" s="22">
        <v>44760</v>
      </c>
      <c r="AK215" s="26">
        <f t="shared" ca="1" si="8"/>
        <v>0.94890916225417354</v>
      </c>
      <c r="AL215" s="29">
        <v>0</v>
      </c>
      <c r="AN215" s="22">
        <v>44760</v>
      </c>
      <c r="AO215" s="26">
        <f t="shared" ca="1" si="9"/>
        <v>0.41259977218851596</v>
      </c>
      <c r="AP215" s="29">
        <v>0</v>
      </c>
      <c r="AR215" s="22">
        <v>44760</v>
      </c>
      <c r="AS215" s="26">
        <f t="shared" ca="1" si="10"/>
        <v>0.85310971888454667</v>
      </c>
      <c r="AT215" s="29">
        <v>0</v>
      </c>
      <c r="AV215" s="22">
        <v>44760</v>
      </c>
      <c r="AW215" s="26">
        <f t="shared" ca="1" si="11"/>
        <v>0.91854280347079909</v>
      </c>
      <c r="AX215" s="29">
        <v>0</v>
      </c>
      <c r="AZ215" s="22">
        <v>44760</v>
      </c>
      <c r="BA215" s="26">
        <f t="shared" ca="1" si="12"/>
        <v>0.10739793329303782</v>
      </c>
      <c r="BB215" s="29">
        <v>0</v>
      </c>
      <c r="BC215"/>
      <c r="BD215" s="25"/>
      <c r="BF215" s="22">
        <v>44760</v>
      </c>
      <c r="BG215" s="26">
        <f t="shared" ca="1" si="13"/>
        <v>0.84401907243515384</v>
      </c>
      <c r="BH215" s="29">
        <v>0</v>
      </c>
      <c r="BJ215" s="22">
        <v>44760</v>
      </c>
      <c r="BK215" s="26">
        <f t="shared" ca="1" si="14"/>
        <v>0.23050433630337819</v>
      </c>
      <c r="BL215" s="29">
        <v>0</v>
      </c>
      <c r="BN215" s="22">
        <v>44760</v>
      </c>
      <c r="BO215" s="26">
        <f t="shared" ca="1" si="15"/>
        <v>0.4930779963813241</v>
      </c>
      <c r="BP215" s="29">
        <v>0</v>
      </c>
      <c r="BR215" s="22">
        <v>44760</v>
      </c>
      <c r="BS215" s="26">
        <f t="shared" ca="1" si="16"/>
        <v>3.2651106358184245E-2</v>
      </c>
      <c r="BT215" s="29">
        <v>0</v>
      </c>
      <c r="BV215" s="22">
        <v>44760</v>
      </c>
      <c r="BW215" s="26">
        <f t="shared" ca="1" si="17"/>
        <v>0.90669288869381881</v>
      </c>
      <c r="BX215" s="29">
        <v>0</v>
      </c>
    </row>
    <row r="216" spans="2:76" ht="12.75" x14ac:dyDescent="0.2">
      <c r="B216" s="22">
        <v>44761</v>
      </c>
      <c r="C216" s="26">
        <f t="shared" ca="1" si="0"/>
        <v>0.29969263838562099</v>
      </c>
      <c r="D216" s="29">
        <v>0</v>
      </c>
      <c r="F216" s="22">
        <v>44761</v>
      </c>
      <c r="G216" s="26">
        <f t="shared" ca="1" si="1"/>
        <v>0.63064529470784692</v>
      </c>
      <c r="H216" s="29">
        <v>0</v>
      </c>
      <c r="J216" s="22">
        <v>44761</v>
      </c>
      <c r="K216" s="26">
        <f t="shared" ca="1" si="2"/>
        <v>0.12087765342212675</v>
      </c>
      <c r="L216" s="29">
        <v>0</v>
      </c>
      <c r="N216" s="22">
        <v>44761</v>
      </c>
      <c r="O216" s="26">
        <f t="shared" ca="1" si="3"/>
        <v>0.79923394909508472</v>
      </c>
      <c r="P216" s="29">
        <v>0</v>
      </c>
      <c r="R216" s="22">
        <v>44761</v>
      </c>
      <c r="S216" s="26">
        <f t="shared" ca="1" si="4"/>
        <v>0.88510095337956596</v>
      </c>
      <c r="T216" s="29">
        <v>0</v>
      </c>
      <c r="V216" s="22">
        <v>44761</v>
      </c>
      <c r="W216" s="26">
        <f t="shared" ca="1" si="5"/>
        <v>0.17034216443897798</v>
      </c>
      <c r="X216" s="29">
        <v>0</v>
      </c>
      <c r="Z216" s="22">
        <v>44761</v>
      </c>
      <c r="AA216" s="26">
        <f t="shared" ca="1" si="6"/>
        <v>8.775272770818221E-2</v>
      </c>
      <c r="AB216" s="29">
        <v>0</v>
      </c>
      <c r="AC216"/>
      <c r="AD216" s="25"/>
      <c r="AF216" s="22">
        <v>44761</v>
      </c>
      <c r="AG216" s="26">
        <f t="shared" ca="1" si="7"/>
        <v>0.14590134846570146</v>
      </c>
      <c r="AH216" s="29">
        <v>0</v>
      </c>
      <c r="AJ216" s="22">
        <v>44761</v>
      </c>
      <c r="AK216" s="26">
        <f t="shared" ca="1" si="8"/>
        <v>0.70880333567156806</v>
      </c>
      <c r="AL216" s="29">
        <v>0</v>
      </c>
      <c r="AN216" s="22">
        <v>44761</v>
      </c>
      <c r="AO216" s="26">
        <f t="shared" ca="1" si="9"/>
        <v>0.66859194803380229</v>
      </c>
      <c r="AP216" s="29">
        <v>0</v>
      </c>
      <c r="AR216" s="22">
        <v>44761</v>
      </c>
      <c r="AS216" s="26">
        <f t="shared" ca="1" si="10"/>
        <v>6.9732278874923392E-2</v>
      </c>
      <c r="AT216" s="29">
        <v>0</v>
      </c>
      <c r="AV216" s="22">
        <v>44761</v>
      </c>
      <c r="AW216" s="26">
        <f t="shared" ca="1" si="11"/>
        <v>0.84637220744298614</v>
      </c>
      <c r="AX216" s="29">
        <v>0</v>
      </c>
      <c r="AZ216" s="22">
        <v>44761</v>
      </c>
      <c r="BA216" s="26">
        <f t="shared" ca="1" si="12"/>
        <v>0.46468146136454302</v>
      </c>
      <c r="BB216" s="29">
        <v>0</v>
      </c>
      <c r="BC216"/>
      <c r="BD216" s="25"/>
      <c r="BF216" s="22">
        <v>44761</v>
      </c>
      <c r="BG216" s="26">
        <f t="shared" ca="1" si="13"/>
        <v>0.29278013537866543</v>
      </c>
      <c r="BH216" s="29">
        <v>0</v>
      </c>
      <c r="BJ216" s="22">
        <v>44761</v>
      </c>
      <c r="BK216" s="26">
        <f t="shared" ca="1" si="14"/>
        <v>0.63337671642503535</v>
      </c>
      <c r="BL216" s="29">
        <v>0</v>
      </c>
      <c r="BN216" s="22">
        <v>44761</v>
      </c>
      <c r="BO216" s="26">
        <f t="shared" ca="1" si="15"/>
        <v>0.6784127322583835</v>
      </c>
      <c r="BP216" s="29">
        <v>0</v>
      </c>
      <c r="BR216" s="22">
        <v>44761</v>
      </c>
      <c r="BS216" s="26">
        <f t="shared" ca="1" si="16"/>
        <v>0.93843247149757336</v>
      </c>
      <c r="BT216" s="29">
        <v>0</v>
      </c>
      <c r="BV216" s="22">
        <v>44761</v>
      </c>
      <c r="BW216" s="26">
        <f t="shared" ca="1" si="17"/>
        <v>0.51740829748300499</v>
      </c>
      <c r="BX216" s="29">
        <v>0</v>
      </c>
    </row>
    <row r="217" spans="2:76" ht="12.75" x14ac:dyDescent="0.2">
      <c r="B217" s="22">
        <v>44762</v>
      </c>
      <c r="C217" s="26">
        <f t="shared" ca="1" si="0"/>
        <v>0.28535319991374819</v>
      </c>
      <c r="D217" s="29">
        <v>0</v>
      </c>
      <c r="F217" s="22">
        <v>44762</v>
      </c>
      <c r="G217" s="26">
        <f t="shared" ca="1" si="1"/>
        <v>0.72395759150816585</v>
      </c>
      <c r="H217" s="29">
        <v>0</v>
      </c>
      <c r="J217" s="22">
        <v>44762</v>
      </c>
      <c r="K217" s="26">
        <f t="shared" ca="1" si="2"/>
        <v>0.53557066410901399</v>
      </c>
      <c r="L217" s="29">
        <v>0</v>
      </c>
      <c r="N217" s="22">
        <v>44762</v>
      </c>
      <c r="O217" s="26">
        <f t="shared" ca="1" si="3"/>
        <v>0.93389754432371741</v>
      </c>
      <c r="P217" s="29">
        <v>0</v>
      </c>
      <c r="R217" s="22">
        <v>44762</v>
      </c>
      <c r="S217" s="26">
        <f t="shared" ca="1" si="4"/>
        <v>0.8934459854753577</v>
      </c>
      <c r="T217" s="29">
        <v>0</v>
      </c>
      <c r="V217" s="22">
        <v>44762</v>
      </c>
      <c r="W217" s="26">
        <f t="shared" ca="1" si="5"/>
        <v>0.44204901062323387</v>
      </c>
      <c r="X217" s="29">
        <v>0</v>
      </c>
      <c r="Z217" s="22">
        <v>44762</v>
      </c>
      <c r="AA217" s="26">
        <f t="shared" ca="1" si="6"/>
        <v>0.26833521217077672</v>
      </c>
      <c r="AB217" s="29">
        <v>0</v>
      </c>
      <c r="AC217"/>
      <c r="AD217" s="25"/>
      <c r="AF217" s="22">
        <v>44762</v>
      </c>
      <c r="AG217" s="26">
        <f t="shared" ca="1" si="7"/>
        <v>0.78458691499063049</v>
      </c>
      <c r="AH217" s="29">
        <v>0</v>
      </c>
      <c r="AJ217" s="22">
        <v>44762</v>
      </c>
      <c r="AK217" s="26">
        <f t="shared" ca="1" si="8"/>
        <v>0.60783218523644977</v>
      </c>
      <c r="AL217" s="29">
        <v>0</v>
      </c>
      <c r="AN217" s="22">
        <v>44762</v>
      </c>
      <c r="AO217" s="26">
        <f t="shared" ca="1" si="9"/>
        <v>5.7488430966336268E-2</v>
      </c>
      <c r="AP217" s="29">
        <v>0</v>
      </c>
      <c r="AR217" s="22">
        <v>44762</v>
      </c>
      <c r="AS217" s="26">
        <f t="shared" ca="1" si="10"/>
        <v>0.24394052173406544</v>
      </c>
      <c r="AT217" s="29">
        <v>0</v>
      </c>
      <c r="AV217" s="22">
        <v>44762</v>
      </c>
      <c r="AW217" s="26">
        <f t="shared" ca="1" si="11"/>
        <v>0.34792021574555532</v>
      </c>
      <c r="AX217" s="29">
        <v>0</v>
      </c>
      <c r="AZ217" s="22">
        <v>44762</v>
      </c>
      <c r="BA217" s="26">
        <f t="shared" ca="1" si="12"/>
        <v>0.7527142950870378</v>
      </c>
      <c r="BB217" s="29">
        <v>0</v>
      </c>
      <c r="BC217"/>
      <c r="BD217" s="25"/>
      <c r="BF217" s="22">
        <v>44762</v>
      </c>
      <c r="BG217" s="26">
        <f t="shared" ca="1" si="13"/>
        <v>0.44368740712406474</v>
      </c>
      <c r="BH217" s="29">
        <v>0</v>
      </c>
      <c r="BJ217" s="22">
        <v>44762</v>
      </c>
      <c r="BK217" s="26">
        <f t="shared" ca="1" si="14"/>
        <v>0.85760396820795148</v>
      </c>
      <c r="BL217" s="29">
        <v>0</v>
      </c>
      <c r="BN217" s="22">
        <v>44762</v>
      </c>
      <c r="BO217" s="26">
        <f t="shared" ca="1" si="15"/>
        <v>0.67207540748877115</v>
      </c>
      <c r="BP217" s="29">
        <v>0</v>
      </c>
      <c r="BR217" s="22">
        <v>44762</v>
      </c>
      <c r="BS217" s="26">
        <f t="shared" ca="1" si="16"/>
        <v>0.60337972778947957</v>
      </c>
      <c r="BT217" s="29">
        <v>0</v>
      </c>
      <c r="BV217" s="22">
        <v>44762</v>
      </c>
      <c r="BW217" s="26">
        <f t="shared" ca="1" si="17"/>
        <v>0.64841373420771697</v>
      </c>
      <c r="BX217" s="29">
        <v>0</v>
      </c>
    </row>
    <row r="218" spans="2:76" ht="12.75" x14ac:dyDescent="0.2">
      <c r="B218" s="22">
        <v>44763</v>
      </c>
      <c r="C218" s="26">
        <f t="shared" ca="1" si="0"/>
        <v>0.99148655168465838</v>
      </c>
      <c r="D218" s="29">
        <v>0</v>
      </c>
      <c r="F218" s="22">
        <v>44763</v>
      </c>
      <c r="G218" s="26">
        <f t="shared" ca="1" si="1"/>
        <v>0.53000640032314728</v>
      </c>
      <c r="H218" s="29">
        <v>0</v>
      </c>
      <c r="J218" s="22">
        <v>44763</v>
      </c>
      <c r="K218" s="26">
        <f t="shared" ca="1" si="2"/>
        <v>0.83940289908713217</v>
      </c>
      <c r="L218" s="29">
        <v>0</v>
      </c>
      <c r="N218" s="22">
        <v>44763</v>
      </c>
      <c r="O218" s="26">
        <f t="shared" ca="1" si="3"/>
        <v>0.98159652123400698</v>
      </c>
      <c r="P218" s="29">
        <v>0</v>
      </c>
      <c r="R218" s="22">
        <v>44763</v>
      </c>
      <c r="S218" s="26">
        <f t="shared" ca="1" si="4"/>
        <v>0.82012513585637103</v>
      </c>
      <c r="T218" s="29">
        <v>0</v>
      </c>
      <c r="V218" s="22">
        <v>44763</v>
      </c>
      <c r="W218" s="26">
        <f t="shared" ca="1" si="5"/>
        <v>0.72149260475344101</v>
      </c>
      <c r="X218" s="29">
        <v>0</v>
      </c>
      <c r="Z218" s="22">
        <v>44763</v>
      </c>
      <c r="AA218" s="26">
        <f t="shared" ca="1" si="6"/>
        <v>0.65888792405469199</v>
      </c>
      <c r="AB218" s="29">
        <v>0</v>
      </c>
      <c r="AC218"/>
      <c r="AD218" s="25"/>
      <c r="AF218" s="22">
        <v>44763</v>
      </c>
      <c r="AG218" s="26">
        <f t="shared" ca="1" si="7"/>
        <v>0.64652403564907834</v>
      </c>
      <c r="AH218" s="29">
        <v>0</v>
      </c>
      <c r="AJ218" s="22">
        <v>44763</v>
      </c>
      <c r="AK218" s="26">
        <f t="shared" ca="1" si="8"/>
        <v>0.23494940617778448</v>
      </c>
      <c r="AL218" s="29">
        <v>0</v>
      </c>
      <c r="AN218" s="22">
        <v>44763</v>
      </c>
      <c r="AO218" s="26">
        <f t="shared" ca="1" si="9"/>
        <v>0.99988906054181614</v>
      </c>
      <c r="AP218" s="29">
        <v>0</v>
      </c>
      <c r="AR218" s="22">
        <v>44763</v>
      </c>
      <c r="AS218" s="26">
        <f t="shared" ca="1" si="10"/>
        <v>0.3657157122450293</v>
      </c>
      <c r="AT218" s="29">
        <v>0</v>
      </c>
      <c r="AV218" s="22">
        <v>44763</v>
      </c>
      <c r="AW218" s="26">
        <f t="shared" ca="1" si="11"/>
        <v>0.88380132202215766</v>
      </c>
      <c r="AX218" s="29">
        <v>0</v>
      </c>
      <c r="AZ218" s="22">
        <v>44763</v>
      </c>
      <c r="BA218" s="26">
        <f t="shared" ca="1" si="12"/>
        <v>0.86824043414005747</v>
      </c>
      <c r="BB218" s="29">
        <v>0</v>
      </c>
      <c r="BC218"/>
      <c r="BD218" s="25"/>
      <c r="BF218" s="22">
        <v>44763</v>
      </c>
      <c r="BG218" s="26">
        <f t="shared" ca="1" si="13"/>
        <v>8.8221731168348416E-2</v>
      </c>
      <c r="BH218" s="29">
        <v>0</v>
      </c>
      <c r="BJ218" s="22">
        <v>44763</v>
      </c>
      <c r="BK218" s="26">
        <f t="shared" ca="1" si="14"/>
        <v>0.37507294571193739</v>
      </c>
      <c r="BL218" s="29">
        <v>0</v>
      </c>
      <c r="BN218" s="22">
        <v>44763</v>
      </c>
      <c r="BO218" s="26">
        <f t="shared" ca="1" si="15"/>
        <v>0.95103403310846035</v>
      </c>
      <c r="BP218" s="29">
        <v>0</v>
      </c>
      <c r="BR218" s="22">
        <v>44763</v>
      </c>
      <c r="BS218" s="26">
        <f t="shared" ca="1" si="16"/>
        <v>0.69094541157351475</v>
      </c>
      <c r="BT218" s="29">
        <v>0</v>
      </c>
      <c r="BV218" s="22">
        <v>44763</v>
      </c>
      <c r="BW218" s="26">
        <f t="shared" ca="1" si="17"/>
        <v>0.12490806750828998</v>
      </c>
      <c r="BX218" s="29">
        <v>0</v>
      </c>
    </row>
    <row r="219" spans="2:76" ht="12.75" x14ac:dyDescent="0.2">
      <c r="B219" s="22">
        <v>44764</v>
      </c>
      <c r="C219" s="26">
        <f t="shared" ca="1" si="0"/>
        <v>0.62658870630961172</v>
      </c>
      <c r="D219" s="29">
        <v>0</v>
      </c>
      <c r="F219" s="22">
        <v>44764</v>
      </c>
      <c r="G219" s="26">
        <f t="shared" ca="1" si="1"/>
        <v>0.70404294724241567</v>
      </c>
      <c r="H219" s="29">
        <v>0</v>
      </c>
      <c r="J219" s="22">
        <v>44764</v>
      </c>
      <c r="K219" s="26">
        <f t="shared" ca="1" si="2"/>
        <v>0.59685341350702015</v>
      </c>
      <c r="L219" s="29">
        <v>0</v>
      </c>
      <c r="N219" s="22">
        <v>44764</v>
      </c>
      <c r="O219" s="26">
        <f t="shared" ca="1" si="3"/>
        <v>0.31768206076175287</v>
      </c>
      <c r="P219" s="29">
        <v>0</v>
      </c>
      <c r="R219" s="22">
        <v>44764</v>
      </c>
      <c r="S219" s="26">
        <f t="shared" ca="1" si="4"/>
        <v>6.3959724280559849E-2</v>
      </c>
      <c r="T219" s="29">
        <v>0</v>
      </c>
      <c r="V219" s="22">
        <v>44764</v>
      </c>
      <c r="W219" s="26">
        <f t="shared" ca="1" si="5"/>
        <v>0.75750686207900952</v>
      </c>
      <c r="X219" s="29">
        <v>0</v>
      </c>
      <c r="Z219" s="22">
        <v>44764</v>
      </c>
      <c r="AA219" s="26">
        <f t="shared" ca="1" si="6"/>
        <v>0.29796915505021482</v>
      </c>
      <c r="AB219" s="29">
        <v>0</v>
      </c>
      <c r="AC219"/>
      <c r="AD219" s="25"/>
      <c r="AF219" s="22">
        <v>44764</v>
      </c>
      <c r="AG219" s="26">
        <f t="shared" ca="1" si="7"/>
        <v>0.78839161062160612</v>
      </c>
      <c r="AH219" s="29">
        <v>0</v>
      </c>
      <c r="AJ219" s="22">
        <v>44764</v>
      </c>
      <c r="AK219" s="26">
        <f t="shared" ca="1" si="8"/>
        <v>0.86064323001187071</v>
      </c>
      <c r="AL219" s="29">
        <v>0</v>
      </c>
      <c r="AN219" s="22">
        <v>44764</v>
      </c>
      <c r="AO219" s="26">
        <f t="shared" ca="1" si="9"/>
        <v>0.21771544759743222</v>
      </c>
      <c r="AP219" s="29">
        <v>0</v>
      </c>
      <c r="AR219" s="22">
        <v>44764</v>
      </c>
      <c r="AS219" s="26">
        <f t="shared" ca="1" si="10"/>
        <v>0.49214924100609947</v>
      </c>
      <c r="AT219" s="29">
        <v>0</v>
      </c>
      <c r="AV219" s="22">
        <v>44764</v>
      </c>
      <c r="AW219" s="26">
        <f t="shared" ca="1" si="11"/>
        <v>0.1710879390130674</v>
      </c>
      <c r="AX219" s="29">
        <v>0</v>
      </c>
      <c r="AZ219" s="22">
        <v>44764</v>
      </c>
      <c r="BA219" s="26">
        <f t="shared" ca="1" si="12"/>
        <v>0.46788153994855375</v>
      </c>
      <c r="BB219" s="29">
        <v>0</v>
      </c>
      <c r="BC219"/>
      <c r="BD219" s="25"/>
      <c r="BF219" s="22">
        <v>44764</v>
      </c>
      <c r="BG219" s="26">
        <f t="shared" ca="1" si="13"/>
        <v>0.74124918541017115</v>
      </c>
      <c r="BH219" s="29">
        <v>0</v>
      </c>
      <c r="BJ219" s="22">
        <v>44764</v>
      </c>
      <c r="BK219" s="26">
        <f t="shared" ca="1" si="14"/>
        <v>0.7121767848010786</v>
      </c>
      <c r="BL219" s="29">
        <v>0</v>
      </c>
      <c r="BN219" s="22">
        <v>44764</v>
      </c>
      <c r="BO219" s="26">
        <f t="shared" ca="1" si="15"/>
        <v>0.59317944751954199</v>
      </c>
      <c r="BP219" s="29">
        <v>0</v>
      </c>
      <c r="BR219" s="22">
        <v>44764</v>
      </c>
      <c r="BS219" s="26">
        <f t="shared" ca="1" si="16"/>
        <v>0.57335580870340475</v>
      </c>
      <c r="BT219" s="29">
        <v>0</v>
      </c>
      <c r="BV219" s="22">
        <v>44764</v>
      </c>
      <c r="BW219" s="26">
        <f t="shared" ca="1" si="17"/>
        <v>6.6168705905009673E-2</v>
      </c>
      <c r="BX219" s="29">
        <v>0</v>
      </c>
    </row>
    <row r="220" spans="2:76" ht="12.75" x14ac:dyDescent="0.2">
      <c r="B220" s="22">
        <v>44765</v>
      </c>
      <c r="C220" s="26">
        <f t="shared" ca="1" si="0"/>
        <v>0.90932986845957642</v>
      </c>
      <c r="D220" s="29">
        <v>0</v>
      </c>
      <c r="F220" s="22">
        <v>44765</v>
      </c>
      <c r="G220" s="26">
        <f t="shared" ca="1" si="1"/>
        <v>0.52461699694308539</v>
      </c>
      <c r="H220" s="29">
        <v>0</v>
      </c>
      <c r="J220" s="22">
        <v>44765</v>
      </c>
      <c r="K220" s="26">
        <f t="shared" ca="1" si="2"/>
        <v>0.96266060034909429</v>
      </c>
      <c r="L220" s="29">
        <v>0</v>
      </c>
      <c r="N220" s="22">
        <v>44765</v>
      </c>
      <c r="O220" s="26">
        <f t="shared" ca="1" si="3"/>
        <v>0.20234062923282881</v>
      </c>
      <c r="P220" s="29">
        <v>0</v>
      </c>
      <c r="R220" s="22">
        <v>44765</v>
      </c>
      <c r="S220" s="26">
        <f t="shared" ca="1" si="4"/>
        <v>0.79274552840015544</v>
      </c>
      <c r="T220" s="29">
        <v>0</v>
      </c>
      <c r="V220" s="22">
        <v>44765</v>
      </c>
      <c r="W220" s="26">
        <f t="shared" ca="1" si="5"/>
        <v>0.76147206431142755</v>
      </c>
      <c r="X220" s="29">
        <v>0</v>
      </c>
      <c r="Z220" s="22">
        <v>44765</v>
      </c>
      <c r="AA220" s="26">
        <f t="shared" ca="1" si="6"/>
        <v>0.16342239777436807</v>
      </c>
      <c r="AB220" s="29">
        <v>0</v>
      </c>
      <c r="AC220"/>
      <c r="AD220" s="25"/>
      <c r="AF220" s="22">
        <v>44765</v>
      </c>
      <c r="AG220" s="26">
        <f t="shared" ca="1" si="7"/>
        <v>0.3640828157408379</v>
      </c>
      <c r="AH220" s="29">
        <v>0</v>
      </c>
      <c r="AJ220" s="22">
        <v>44765</v>
      </c>
      <c r="AK220" s="26">
        <f t="shared" ca="1" si="8"/>
        <v>0.41417081927259736</v>
      </c>
      <c r="AL220" s="29">
        <v>0</v>
      </c>
      <c r="AN220" s="22">
        <v>44765</v>
      </c>
      <c r="AO220" s="26">
        <f t="shared" ca="1" si="9"/>
        <v>0.51173670645869096</v>
      </c>
      <c r="AP220" s="29">
        <v>0</v>
      </c>
      <c r="AR220" s="22">
        <v>44765</v>
      </c>
      <c r="AS220" s="26">
        <f t="shared" ca="1" si="10"/>
        <v>0.28851682850861615</v>
      </c>
      <c r="AT220" s="29">
        <v>0</v>
      </c>
      <c r="AV220" s="22">
        <v>44765</v>
      </c>
      <c r="AW220" s="26">
        <f t="shared" ca="1" si="11"/>
        <v>0.33465419646057815</v>
      </c>
      <c r="AX220" s="29">
        <v>0</v>
      </c>
      <c r="AZ220" s="22">
        <v>44765</v>
      </c>
      <c r="BA220" s="26">
        <f t="shared" ca="1" si="12"/>
        <v>0.2246936481085452</v>
      </c>
      <c r="BB220" s="29">
        <v>0</v>
      </c>
      <c r="BC220"/>
      <c r="BD220" s="25"/>
      <c r="BF220" s="22">
        <v>44765</v>
      </c>
      <c r="BG220" s="26">
        <f t="shared" ca="1" si="13"/>
        <v>0.12739615950297001</v>
      </c>
      <c r="BH220" s="29">
        <v>0</v>
      </c>
      <c r="BJ220" s="22">
        <v>44765</v>
      </c>
      <c r="BK220" s="26">
        <f t="shared" ca="1" si="14"/>
        <v>8.9181253036757169E-2</v>
      </c>
      <c r="BL220" s="29">
        <v>0</v>
      </c>
      <c r="BN220" s="22">
        <v>44765</v>
      </c>
      <c r="BO220" s="26">
        <f t="shared" ca="1" si="15"/>
        <v>3.1270380175832724E-2</v>
      </c>
      <c r="BP220" s="29">
        <v>0</v>
      </c>
      <c r="BR220" s="22">
        <v>44765</v>
      </c>
      <c r="BS220" s="26">
        <f t="shared" ca="1" si="16"/>
        <v>0.24109849069336253</v>
      </c>
      <c r="BT220" s="29">
        <v>0</v>
      </c>
      <c r="BV220" s="22">
        <v>44765</v>
      </c>
      <c r="BW220" s="26">
        <f t="shared" ca="1" si="17"/>
        <v>0.98133461957787094</v>
      </c>
      <c r="BX220" s="29">
        <v>0</v>
      </c>
    </row>
    <row r="221" spans="2:76" ht="12.75" x14ac:dyDescent="0.2">
      <c r="B221" s="22">
        <v>44766</v>
      </c>
      <c r="C221" s="26">
        <f t="shared" ca="1" si="0"/>
        <v>0.43768853109238892</v>
      </c>
      <c r="D221" s="29">
        <v>0</v>
      </c>
      <c r="F221" s="22">
        <v>44766</v>
      </c>
      <c r="G221" s="26">
        <f t="shared" ca="1" si="1"/>
        <v>6.1133462009554385E-2</v>
      </c>
      <c r="H221" s="29">
        <v>0</v>
      </c>
      <c r="J221" s="22">
        <v>44766</v>
      </c>
      <c r="K221" s="26">
        <f t="shared" ca="1" si="2"/>
        <v>0.59555575952516682</v>
      </c>
      <c r="L221" s="29">
        <v>0</v>
      </c>
      <c r="N221" s="22">
        <v>44766</v>
      </c>
      <c r="O221" s="26">
        <f t="shared" ca="1" si="3"/>
        <v>8.928517166167016E-2</v>
      </c>
      <c r="P221" s="29">
        <v>0</v>
      </c>
      <c r="R221" s="22">
        <v>44766</v>
      </c>
      <c r="S221" s="26">
        <f t="shared" ca="1" si="4"/>
        <v>2.9239138364785977E-2</v>
      </c>
      <c r="T221" s="29">
        <v>0</v>
      </c>
      <c r="V221" s="22">
        <v>44766</v>
      </c>
      <c r="W221" s="26">
        <f t="shared" ca="1" si="5"/>
        <v>0.11466376202362627</v>
      </c>
      <c r="X221" s="29">
        <v>0</v>
      </c>
      <c r="Z221" s="22">
        <v>44766</v>
      </c>
      <c r="AA221" s="26">
        <f t="shared" ca="1" si="6"/>
        <v>0.13263613844153033</v>
      </c>
      <c r="AB221" s="29">
        <v>0</v>
      </c>
      <c r="AC221"/>
      <c r="AD221" s="25"/>
      <c r="AF221" s="22">
        <v>44766</v>
      </c>
      <c r="AG221" s="26">
        <f t="shared" ca="1" si="7"/>
        <v>0.96251403552404169</v>
      </c>
      <c r="AH221" s="29">
        <v>0</v>
      </c>
      <c r="AJ221" s="22">
        <v>44766</v>
      </c>
      <c r="AK221" s="26">
        <f t="shared" ca="1" si="8"/>
        <v>0.3453825320807502</v>
      </c>
      <c r="AL221" s="29">
        <v>0</v>
      </c>
      <c r="AN221" s="22">
        <v>44766</v>
      </c>
      <c r="AO221" s="26">
        <f t="shared" ca="1" si="9"/>
        <v>0.64964263078881668</v>
      </c>
      <c r="AP221" s="29">
        <v>0</v>
      </c>
      <c r="AR221" s="22">
        <v>44766</v>
      </c>
      <c r="AS221" s="26">
        <f t="shared" ca="1" si="10"/>
        <v>0.20725402714332652</v>
      </c>
      <c r="AT221" s="29">
        <v>0</v>
      </c>
      <c r="AV221" s="22">
        <v>44766</v>
      </c>
      <c r="AW221" s="26">
        <f t="shared" ca="1" si="11"/>
        <v>0.10933773675701497</v>
      </c>
      <c r="AX221" s="29">
        <v>0</v>
      </c>
      <c r="AZ221" s="22">
        <v>44766</v>
      </c>
      <c r="BA221" s="26">
        <f t="shared" ca="1" si="12"/>
        <v>0.64471638213614002</v>
      </c>
      <c r="BB221" s="29">
        <v>0</v>
      </c>
      <c r="BC221"/>
      <c r="BD221" s="25"/>
      <c r="BF221" s="22">
        <v>44766</v>
      </c>
      <c r="BG221" s="26">
        <f t="shared" ca="1" si="13"/>
        <v>0.66135962908521939</v>
      </c>
      <c r="BH221" s="29">
        <v>0</v>
      </c>
      <c r="BJ221" s="22">
        <v>44766</v>
      </c>
      <c r="BK221" s="26">
        <f t="shared" ca="1" si="14"/>
        <v>0.92120289171898195</v>
      </c>
      <c r="BL221" s="29">
        <v>0</v>
      </c>
      <c r="BN221" s="22">
        <v>44766</v>
      </c>
      <c r="BO221" s="26">
        <f t="shared" ca="1" si="15"/>
        <v>0.35290048937177732</v>
      </c>
      <c r="BP221" s="29">
        <v>0</v>
      </c>
      <c r="BR221" s="22">
        <v>44766</v>
      </c>
      <c r="BS221" s="26">
        <f t="shared" ca="1" si="16"/>
        <v>4.938576272367956E-2</v>
      </c>
      <c r="BT221" s="29">
        <v>0</v>
      </c>
      <c r="BV221" s="22">
        <v>44766</v>
      </c>
      <c r="BW221" s="26">
        <f t="shared" ca="1" si="17"/>
        <v>0.30615829489221091</v>
      </c>
      <c r="BX221" s="29">
        <v>0</v>
      </c>
    </row>
    <row r="222" spans="2:76" ht="12.75" x14ac:dyDescent="0.2">
      <c r="B222" s="22">
        <v>44767</v>
      </c>
      <c r="C222" s="26">
        <f t="shared" ca="1" si="0"/>
        <v>0.10520625434173203</v>
      </c>
      <c r="D222" s="29">
        <v>0</v>
      </c>
      <c r="F222" s="22">
        <v>44767</v>
      </c>
      <c r="G222" s="26">
        <f t="shared" ca="1" si="1"/>
        <v>3.0293067840043264E-2</v>
      </c>
      <c r="H222" s="29">
        <v>0</v>
      </c>
      <c r="J222" s="22">
        <v>44767</v>
      </c>
      <c r="K222" s="26">
        <f t="shared" ca="1" si="2"/>
        <v>0.34870090201602066</v>
      </c>
      <c r="L222" s="29">
        <v>0</v>
      </c>
      <c r="N222" s="22">
        <v>44767</v>
      </c>
      <c r="O222" s="26">
        <f t="shared" ca="1" si="3"/>
        <v>0.32651750141057689</v>
      </c>
      <c r="P222" s="29">
        <v>0</v>
      </c>
      <c r="R222" s="22">
        <v>44767</v>
      </c>
      <c r="S222" s="26">
        <f t="shared" ca="1" si="4"/>
        <v>0.5331887852672561</v>
      </c>
      <c r="T222" s="29">
        <v>0</v>
      </c>
      <c r="V222" s="22">
        <v>44767</v>
      </c>
      <c r="W222" s="26">
        <f t="shared" ca="1" si="5"/>
        <v>0.74712806853235825</v>
      </c>
      <c r="X222" s="29">
        <v>0</v>
      </c>
      <c r="Z222" s="22">
        <v>44767</v>
      </c>
      <c r="AA222" s="26">
        <f t="shared" ca="1" si="6"/>
        <v>5.0457635962320113E-2</v>
      </c>
      <c r="AB222" s="29">
        <v>0</v>
      </c>
      <c r="AC222"/>
      <c r="AD222" s="25"/>
      <c r="AF222" s="22">
        <v>44767</v>
      </c>
      <c r="AG222" s="26">
        <f t="shared" ca="1" si="7"/>
        <v>0.90665889726914772</v>
      </c>
      <c r="AH222" s="29">
        <v>0</v>
      </c>
      <c r="AJ222" s="22">
        <v>44767</v>
      </c>
      <c r="AK222" s="26">
        <f t="shared" ca="1" si="8"/>
        <v>0.65371628810438487</v>
      </c>
      <c r="AL222" s="29">
        <v>0</v>
      </c>
      <c r="AN222" s="22">
        <v>44767</v>
      </c>
      <c r="AO222" s="26">
        <f t="shared" ca="1" si="9"/>
        <v>0.26290124467111853</v>
      </c>
      <c r="AP222" s="29">
        <v>0</v>
      </c>
      <c r="AR222" s="22">
        <v>44767</v>
      </c>
      <c r="AS222" s="26">
        <f t="shared" ca="1" si="10"/>
        <v>0.39751218471337768</v>
      </c>
      <c r="AT222" s="29">
        <v>0</v>
      </c>
      <c r="AV222" s="22">
        <v>44767</v>
      </c>
      <c r="AW222" s="26">
        <f t="shared" ca="1" si="11"/>
        <v>0.52250067552763035</v>
      </c>
      <c r="AX222" s="29">
        <v>0</v>
      </c>
      <c r="AZ222" s="22">
        <v>44767</v>
      </c>
      <c r="BA222" s="26">
        <f t="shared" ca="1" si="12"/>
        <v>0.71359395724912844</v>
      </c>
      <c r="BB222" s="29">
        <v>0</v>
      </c>
      <c r="BC222"/>
      <c r="BD222" s="25"/>
      <c r="BF222" s="22">
        <v>44767</v>
      </c>
      <c r="BG222" s="26">
        <f t="shared" ca="1" si="13"/>
        <v>0.367481429427025</v>
      </c>
      <c r="BH222" s="29">
        <v>0</v>
      </c>
      <c r="BJ222" s="22">
        <v>44767</v>
      </c>
      <c r="BK222" s="26">
        <f t="shared" ca="1" si="14"/>
        <v>0.8991480729475726</v>
      </c>
      <c r="BL222" s="29">
        <v>0</v>
      </c>
      <c r="BN222" s="22">
        <v>44767</v>
      </c>
      <c r="BO222" s="26">
        <f t="shared" ca="1" si="15"/>
        <v>0.59455599297408046</v>
      </c>
      <c r="BP222" s="29">
        <v>0</v>
      </c>
      <c r="BR222" s="22">
        <v>44767</v>
      </c>
      <c r="BS222" s="26">
        <f t="shared" ca="1" si="16"/>
        <v>0.78045109371791155</v>
      </c>
      <c r="BT222" s="29">
        <v>0</v>
      </c>
      <c r="BV222" s="22">
        <v>44767</v>
      </c>
      <c r="BW222" s="26">
        <f t="shared" ca="1" si="17"/>
        <v>0.31426105163247398</v>
      </c>
      <c r="BX222" s="29">
        <v>0</v>
      </c>
    </row>
    <row r="223" spans="2:76" ht="12.75" x14ac:dyDescent="0.2">
      <c r="B223" s="22">
        <v>44768</v>
      </c>
      <c r="C223" s="26">
        <f t="shared" ca="1" si="0"/>
        <v>0.38105686244791592</v>
      </c>
      <c r="D223" s="29">
        <v>0</v>
      </c>
      <c r="F223" s="22">
        <v>44768</v>
      </c>
      <c r="G223" s="26">
        <f t="shared" ca="1" si="1"/>
        <v>0.86498793691485631</v>
      </c>
      <c r="H223" s="29">
        <v>0</v>
      </c>
      <c r="J223" s="22">
        <v>44768</v>
      </c>
      <c r="K223" s="26">
        <f t="shared" ca="1" si="2"/>
        <v>0.70937920700082846</v>
      </c>
      <c r="L223" s="29">
        <v>0</v>
      </c>
      <c r="N223" s="22">
        <v>44768</v>
      </c>
      <c r="O223" s="26">
        <f t="shared" ca="1" si="3"/>
        <v>0.63090307678620572</v>
      </c>
      <c r="P223" s="29">
        <v>0</v>
      </c>
      <c r="R223" s="22">
        <v>44768</v>
      </c>
      <c r="S223" s="26">
        <f t="shared" ca="1" si="4"/>
        <v>0.78359258986120317</v>
      </c>
      <c r="T223" s="29">
        <v>0</v>
      </c>
      <c r="V223" s="22">
        <v>44768</v>
      </c>
      <c r="W223" s="26">
        <f t="shared" ca="1" si="5"/>
        <v>0.16759731890841045</v>
      </c>
      <c r="X223" s="29">
        <v>0</v>
      </c>
      <c r="Z223" s="22">
        <v>44768</v>
      </c>
      <c r="AA223" s="26">
        <f t="shared" ca="1" si="6"/>
        <v>0.98039762010461506</v>
      </c>
      <c r="AB223" s="29">
        <v>0</v>
      </c>
      <c r="AC223"/>
      <c r="AD223" s="25"/>
      <c r="AF223" s="22">
        <v>44768</v>
      </c>
      <c r="AG223" s="26">
        <f t="shared" ca="1" si="7"/>
        <v>0.61947112939257731</v>
      </c>
      <c r="AH223" s="29">
        <v>0</v>
      </c>
      <c r="AJ223" s="22">
        <v>44768</v>
      </c>
      <c r="AK223" s="26">
        <f t="shared" ca="1" si="8"/>
        <v>0.91077347786766705</v>
      </c>
      <c r="AL223" s="29">
        <v>0</v>
      </c>
      <c r="AN223" s="22">
        <v>44768</v>
      </c>
      <c r="AO223" s="26">
        <f t="shared" ca="1" si="9"/>
        <v>0.19620813396852876</v>
      </c>
      <c r="AP223" s="29">
        <v>0</v>
      </c>
      <c r="AR223" s="22">
        <v>44768</v>
      </c>
      <c r="AS223" s="26">
        <f t="shared" ca="1" si="10"/>
        <v>0.66547706425236641</v>
      </c>
      <c r="AT223" s="29">
        <v>0</v>
      </c>
      <c r="AV223" s="22">
        <v>44768</v>
      </c>
      <c r="AW223" s="26">
        <f t="shared" ca="1" si="11"/>
        <v>0.96203258503029188</v>
      </c>
      <c r="AX223" s="29">
        <v>0</v>
      </c>
      <c r="AZ223" s="22">
        <v>44768</v>
      </c>
      <c r="BA223" s="26">
        <f t="shared" ca="1" si="12"/>
        <v>0.1681221023773346</v>
      </c>
      <c r="BB223" s="29">
        <v>0</v>
      </c>
      <c r="BC223"/>
      <c r="BD223" s="25"/>
      <c r="BF223" s="22">
        <v>44768</v>
      </c>
      <c r="BG223" s="26">
        <f t="shared" ca="1" si="13"/>
        <v>0.68578796845107393</v>
      </c>
      <c r="BH223" s="29">
        <v>0</v>
      </c>
      <c r="BJ223" s="22">
        <v>44768</v>
      </c>
      <c r="BK223" s="26">
        <f t="shared" ca="1" si="14"/>
        <v>0.10684470507467059</v>
      </c>
      <c r="BL223" s="29">
        <v>0</v>
      </c>
      <c r="BN223" s="22">
        <v>44768</v>
      </c>
      <c r="BO223" s="26">
        <f t="shared" ca="1" si="15"/>
        <v>0.16686254271017165</v>
      </c>
      <c r="BP223" s="29">
        <v>0</v>
      </c>
      <c r="BR223" s="22">
        <v>44768</v>
      </c>
      <c r="BS223" s="26">
        <f t="shared" ca="1" si="16"/>
        <v>0.83081519636790002</v>
      </c>
      <c r="BT223" s="29">
        <v>0</v>
      </c>
      <c r="BV223" s="22">
        <v>44768</v>
      </c>
      <c r="BW223" s="26">
        <f t="shared" ca="1" si="17"/>
        <v>9.719585455897517E-2</v>
      </c>
      <c r="BX223" s="29">
        <v>0</v>
      </c>
    </row>
    <row r="224" spans="2:76" ht="12.75" x14ac:dyDescent="0.2">
      <c r="B224" s="22">
        <v>44769</v>
      </c>
      <c r="C224" s="26">
        <f t="shared" ca="1" si="0"/>
        <v>0.37340344185365815</v>
      </c>
      <c r="D224" s="29">
        <v>0</v>
      </c>
      <c r="F224" s="22">
        <v>44769</v>
      </c>
      <c r="G224" s="26">
        <f t="shared" ca="1" si="1"/>
        <v>0.95631756718504901</v>
      </c>
      <c r="H224" s="29">
        <v>0</v>
      </c>
      <c r="J224" s="22">
        <v>44769</v>
      </c>
      <c r="K224" s="26">
        <f t="shared" ca="1" si="2"/>
        <v>3.2426997304922045E-2</v>
      </c>
      <c r="L224" s="29">
        <v>0</v>
      </c>
      <c r="N224" s="22">
        <v>44769</v>
      </c>
      <c r="O224" s="26">
        <f t="shared" ca="1" si="3"/>
        <v>0.4563358624428393</v>
      </c>
      <c r="P224" s="29">
        <v>0</v>
      </c>
      <c r="R224" s="22">
        <v>44769</v>
      </c>
      <c r="S224" s="26">
        <f t="shared" ca="1" si="4"/>
        <v>0.37079170047962928</v>
      </c>
      <c r="T224" s="29">
        <v>0</v>
      </c>
      <c r="V224" s="22">
        <v>44769</v>
      </c>
      <c r="W224" s="26">
        <f t="shared" ca="1" si="5"/>
        <v>0.23281845022768488</v>
      </c>
      <c r="X224" s="29">
        <v>0</v>
      </c>
      <c r="Z224" s="22">
        <v>44769</v>
      </c>
      <c r="AA224" s="26">
        <f t="shared" ca="1" si="6"/>
        <v>0.40151821427098222</v>
      </c>
      <c r="AB224" s="29">
        <v>0</v>
      </c>
      <c r="AC224"/>
      <c r="AD224" s="25"/>
      <c r="AF224" s="22">
        <v>44769</v>
      </c>
      <c r="AG224" s="26">
        <f t="shared" ca="1" si="7"/>
        <v>0.76833097007636619</v>
      </c>
      <c r="AH224" s="29">
        <v>0</v>
      </c>
      <c r="AJ224" s="22">
        <v>44769</v>
      </c>
      <c r="AK224" s="26">
        <f t="shared" ca="1" si="8"/>
        <v>0.70156712432307922</v>
      </c>
      <c r="AL224" s="29">
        <v>0</v>
      </c>
      <c r="AN224" s="22">
        <v>44769</v>
      </c>
      <c r="AO224" s="26">
        <f t="shared" ca="1" si="9"/>
        <v>0.25368044328106454</v>
      </c>
      <c r="AP224" s="29">
        <v>0</v>
      </c>
      <c r="AR224" s="22">
        <v>44769</v>
      </c>
      <c r="AS224" s="26">
        <f t="shared" ca="1" si="10"/>
        <v>0.10161231164856876</v>
      </c>
      <c r="AT224" s="29">
        <v>0</v>
      </c>
      <c r="AV224" s="22">
        <v>44769</v>
      </c>
      <c r="AW224" s="26">
        <f t="shared" ca="1" si="11"/>
        <v>0.93300639299749177</v>
      </c>
      <c r="AX224" s="29">
        <v>0</v>
      </c>
      <c r="AZ224" s="22">
        <v>44769</v>
      </c>
      <c r="BA224" s="26">
        <f t="shared" ca="1" si="12"/>
        <v>0.14736902844763367</v>
      </c>
      <c r="BB224" s="29">
        <v>0</v>
      </c>
      <c r="BC224"/>
      <c r="BD224" s="25"/>
      <c r="BF224" s="22">
        <v>44769</v>
      </c>
      <c r="BG224" s="26">
        <f t="shared" ca="1" si="13"/>
        <v>0.65870214537329275</v>
      </c>
      <c r="BH224" s="29">
        <v>0</v>
      </c>
      <c r="BJ224" s="22">
        <v>44769</v>
      </c>
      <c r="BK224" s="26">
        <f t="shared" ca="1" si="14"/>
        <v>0.64518056774048882</v>
      </c>
      <c r="BL224" s="29">
        <v>0</v>
      </c>
      <c r="BN224" s="22">
        <v>44769</v>
      </c>
      <c r="BO224" s="26">
        <f t="shared" ca="1" si="15"/>
        <v>0.12362576515056622</v>
      </c>
      <c r="BP224" s="29">
        <v>0</v>
      </c>
      <c r="BR224" s="22">
        <v>44769</v>
      </c>
      <c r="BS224" s="26">
        <f t="shared" ca="1" si="16"/>
        <v>0.5575697423345094</v>
      </c>
      <c r="BT224" s="29">
        <v>0</v>
      </c>
      <c r="BV224" s="22">
        <v>44769</v>
      </c>
      <c r="BW224" s="26">
        <f t="shared" ca="1" si="17"/>
        <v>0.42155316854047575</v>
      </c>
      <c r="BX224" s="29">
        <v>0</v>
      </c>
    </row>
    <row r="225" spans="2:77" ht="12.75" x14ac:dyDescent="0.2">
      <c r="B225" s="22">
        <v>44770</v>
      </c>
      <c r="C225" s="26">
        <f t="shared" ca="1" si="0"/>
        <v>0.77636530021962147</v>
      </c>
      <c r="D225" s="29">
        <v>0</v>
      </c>
      <c r="F225" s="22">
        <v>44770</v>
      </c>
      <c r="G225" s="26">
        <f t="shared" ca="1" si="1"/>
        <v>0.10218593166338241</v>
      </c>
      <c r="H225" s="29">
        <v>0</v>
      </c>
      <c r="J225" s="22">
        <v>44770</v>
      </c>
      <c r="K225" s="26">
        <f t="shared" ca="1" si="2"/>
        <v>0.553502045358642</v>
      </c>
      <c r="L225" s="29">
        <v>0</v>
      </c>
      <c r="N225" s="22">
        <v>44770</v>
      </c>
      <c r="O225" s="26">
        <f t="shared" ca="1" si="3"/>
        <v>0.24728729141646877</v>
      </c>
      <c r="P225" s="29">
        <v>0</v>
      </c>
      <c r="R225" s="22">
        <v>44770</v>
      </c>
      <c r="S225" s="26">
        <f t="shared" ca="1" si="4"/>
        <v>0.44783800958320275</v>
      </c>
      <c r="T225" s="29">
        <v>0</v>
      </c>
      <c r="V225" s="22">
        <v>44770</v>
      </c>
      <c r="W225" s="26">
        <f t="shared" ca="1" si="5"/>
        <v>2.9988975434379617E-2</v>
      </c>
      <c r="X225" s="29">
        <v>0</v>
      </c>
      <c r="Z225" s="22">
        <v>44770</v>
      </c>
      <c r="AA225" s="26">
        <f t="shared" ca="1" si="6"/>
        <v>0.12385445853759414</v>
      </c>
      <c r="AB225" s="29">
        <v>0</v>
      </c>
      <c r="AC225"/>
      <c r="AD225" s="25"/>
      <c r="AF225" s="22">
        <v>44770</v>
      </c>
      <c r="AG225" s="26">
        <f t="shared" ca="1" si="7"/>
        <v>0.55212771503166969</v>
      </c>
      <c r="AH225" s="29">
        <v>0</v>
      </c>
      <c r="AJ225" s="22">
        <v>44770</v>
      </c>
      <c r="AK225" s="26">
        <f t="shared" ca="1" si="8"/>
        <v>0.71387223918589127</v>
      </c>
      <c r="AL225" s="29">
        <v>0</v>
      </c>
      <c r="AN225" s="22">
        <v>44770</v>
      </c>
      <c r="AO225" s="26">
        <f t="shared" ca="1" si="9"/>
        <v>0.75212465679136131</v>
      </c>
      <c r="AP225" s="29">
        <v>0</v>
      </c>
      <c r="AR225" s="22">
        <v>44770</v>
      </c>
      <c r="AS225" s="26">
        <f t="shared" ca="1" si="10"/>
        <v>0.58790956912816883</v>
      </c>
      <c r="AT225" s="29">
        <v>0</v>
      </c>
      <c r="AV225" s="22">
        <v>44770</v>
      </c>
      <c r="AW225" s="26">
        <f t="shared" ca="1" si="11"/>
        <v>0.44671809100341364</v>
      </c>
      <c r="AX225" s="29">
        <v>0</v>
      </c>
      <c r="AZ225" s="22">
        <v>44770</v>
      </c>
      <c r="BA225" s="26">
        <f t="shared" ca="1" si="12"/>
        <v>0.10064901190757269</v>
      </c>
      <c r="BB225" s="29">
        <v>0</v>
      </c>
      <c r="BC225"/>
      <c r="BD225" s="25"/>
      <c r="BF225" s="22">
        <v>44770</v>
      </c>
      <c r="BG225" s="26">
        <f t="shared" ca="1" si="13"/>
        <v>0.99199087777653594</v>
      </c>
      <c r="BH225" s="29">
        <v>0</v>
      </c>
      <c r="BJ225" s="22">
        <v>44770</v>
      </c>
      <c r="BK225" s="26">
        <f t="shared" ca="1" si="14"/>
        <v>0.90502939413593175</v>
      </c>
      <c r="BL225" s="29">
        <v>0</v>
      </c>
      <c r="BN225" s="22">
        <v>44770</v>
      </c>
      <c r="BO225" s="26">
        <f t="shared" ca="1" si="15"/>
        <v>0.91182316511557737</v>
      </c>
      <c r="BP225" s="29">
        <v>0</v>
      </c>
      <c r="BR225" s="22">
        <v>44770</v>
      </c>
      <c r="BS225" s="26">
        <f t="shared" ca="1" si="16"/>
        <v>0.4084768877884879</v>
      </c>
      <c r="BT225" s="29">
        <v>0</v>
      </c>
      <c r="BV225" s="22">
        <v>44770</v>
      </c>
      <c r="BW225" s="26">
        <f t="shared" ca="1" si="17"/>
        <v>0.29979022285922141</v>
      </c>
      <c r="BX225" s="29">
        <v>0</v>
      </c>
    </row>
    <row r="226" spans="2:77" ht="12.75" x14ac:dyDescent="0.2">
      <c r="B226" s="22">
        <v>44771</v>
      </c>
      <c r="C226" s="26">
        <f t="shared" ca="1" si="0"/>
        <v>0.75556929552530039</v>
      </c>
      <c r="D226" s="29">
        <v>0</v>
      </c>
      <c r="F226" s="22">
        <v>44771</v>
      </c>
      <c r="G226" s="26">
        <f t="shared" ca="1" si="1"/>
        <v>0.1235540169245497</v>
      </c>
      <c r="H226" s="29">
        <v>0</v>
      </c>
      <c r="J226" s="22">
        <v>44771</v>
      </c>
      <c r="K226" s="26">
        <f t="shared" ca="1" si="2"/>
        <v>0.55515593633841287</v>
      </c>
      <c r="L226" s="29">
        <v>0</v>
      </c>
      <c r="N226" s="22">
        <v>44771</v>
      </c>
      <c r="O226" s="26">
        <f t="shared" ca="1" si="3"/>
        <v>0.53197175632375582</v>
      </c>
      <c r="P226" s="29">
        <v>0</v>
      </c>
      <c r="R226" s="22">
        <v>44771</v>
      </c>
      <c r="S226" s="26">
        <f t="shared" ca="1" si="4"/>
        <v>0.88154718987995007</v>
      </c>
      <c r="T226" s="29">
        <v>0</v>
      </c>
      <c r="V226" s="22">
        <v>44771</v>
      </c>
      <c r="W226" s="26">
        <f t="shared" ca="1" si="5"/>
        <v>0.96073372211435815</v>
      </c>
      <c r="X226" s="29">
        <v>0</v>
      </c>
      <c r="Z226" s="22">
        <v>44771</v>
      </c>
      <c r="AA226" s="26">
        <f t="shared" ca="1" si="6"/>
        <v>0.11493955553118629</v>
      </c>
      <c r="AB226" s="29">
        <v>0</v>
      </c>
      <c r="AC226"/>
      <c r="AD226" s="25"/>
      <c r="AF226" s="22">
        <v>44771</v>
      </c>
      <c r="AG226" s="26">
        <f t="shared" ca="1" si="7"/>
        <v>0.66547670912060963</v>
      </c>
      <c r="AH226" s="29">
        <v>0</v>
      </c>
      <c r="AJ226" s="22">
        <v>44771</v>
      </c>
      <c r="AK226" s="26">
        <f t="shared" ca="1" si="8"/>
        <v>0.43559693702827351</v>
      </c>
      <c r="AL226" s="29">
        <v>0</v>
      </c>
      <c r="AN226" s="22">
        <v>44771</v>
      </c>
      <c r="AO226" s="26">
        <f t="shared" ca="1" si="9"/>
        <v>9.5939576162505147E-2</v>
      </c>
      <c r="AP226" s="29">
        <v>0</v>
      </c>
      <c r="AR226" s="22">
        <v>44771</v>
      </c>
      <c r="AS226" s="26">
        <f t="shared" ca="1" si="10"/>
        <v>0.87663162781751958</v>
      </c>
      <c r="AT226" s="29">
        <v>0</v>
      </c>
      <c r="AV226" s="22">
        <v>44771</v>
      </c>
      <c r="AW226" s="26">
        <f t="shared" ca="1" si="11"/>
        <v>0.73356472751199286</v>
      </c>
      <c r="AX226" s="29">
        <v>0</v>
      </c>
      <c r="AZ226" s="22">
        <v>44771</v>
      </c>
      <c r="BA226" s="26">
        <f t="shared" ca="1" si="12"/>
        <v>9.4730757192739934E-2</v>
      </c>
      <c r="BB226" s="29">
        <v>0</v>
      </c>
      <c r="BC226"/>
      <c r="BD226" s="25"/>
      <c r="BF226" s="22">
        <v>44771</v>
      </c>
      <c r="BG226" s="26">
        <f t="shared" ca="1" si="13"/>
        <v>0.64499179105689086</v>
      </c>
      <c r="BH226" s="29">
        <v>0</v>
      </c>
      <c r="BJ226" s="22">
        <v>44771</v>
      </c>
      <c r="BK226" s="26">
        <f t="shared" ca="1" si="14"/>
        <v>0.76562796871572636</v>
      </c>
      <c r="BL226" s="29">
        <v>0</v>
      </c>
      <c r="BN226" s="22">
        <v>44771</v>
      </c>
      <c r="BO226" s="26">
        <f t="shared" ca="1" si="15"/>
        <v>0.88666751635510266</v>
      </c>
      <c r="BP226" s="29">
        <v>0</v>
      </c>
      <c r="BR226" s="22">
        <v>44771</v>
      </c>
      <c r="BS226" s="26">
        <f t="shared" ca="1" si="16"/>
        <v>0.6226215100890653</v>
      </c>
      <c r="BT226" s="29">
        <v>0</v>
      </c>
      <c r="BV226" s="22">
        <v>44771</v>
      </c>
      <c r="BW226" s="26">
        <f t="shared" ca="1" si="17"/>
        <v>0.17421598594089649</v>
      </c>
      <c r="BX226" s="29">
        <v>0</v>
      </c>
    </row>
    <row r="227" spans="2:77" ht="12.75" x14ac:dyDescent="0.2">
      <c r="B227" s="22">
        <v>44772</v>
      </c>
      <c r="C227" s="26">
        <f t="shared" ca="1" si="0"/>
        <v>0.26875285710622143</v>
      </c>
      <c r="D227" s="29">
        <v>0</v>
      </c>
      <c r="F227" s="22">
        <v>44772</v>
      </c>
      <c r="G227" s="26">
        <f t="shared" ca="1" si="1"/>
        <v>0.95126213436569629</v>
      </c>
      <c r="H227" s="29">
        <v>0</v>
      </c>
      <c r="J227" s="22">
        <v>44772</v>
      </c>
      <c r="K227" s="26">
        <f t="shared" ca="1" si="2"/>
        <v>0.51330900904601096</v>
      </c>
      <c r="L227" s="29">
        <v>0</v>
      </c>
      <c r="N227" s="22">
        <v>44772</v>
      </c>
      <c r="O227" s="26">
        <f t="shared" ca="1" si="3"/>
        <v>0.7342805038223772</v>
      </c>
      <c r="P227" s="29">
        <v>0</v>
      </c>
      <c r="R227" s="22">
        <v>44772</v>
      </c>
      <c r="S227" s="26">
        <f t="shared" ca="1" si="4"/>
        <v>0.59168066045518908</v>
      </c>
      <c r="T227" s="29">
        <v>0</v>
      </c>
      <c r="V227" s="22">
        <v>44772</v>
      </c>
      <c r="W227" s="26">
        <f t="shared" ca="1" si="5"/>
        <v>0.68868997273225174</v>
      </c>
      <c r="X227" s="29">
        <v>0</v>
      </c>
      <c r="Z227" s="22">
        <v>44772</v>
      </c>
      <c r="AA227" s="26">
        <f t="shared" ca="1" si="6"/>
        <v>0.93981920198411928</v>
      </c>
      <c r="AB227" s="29">
        <v>0</v>
      </c>
      <c r="AC227"/>
      <c r="AD227" s="25"/>
      <c r="AF227" s="22">
        <v>44772</v>
      </c>
      <c r="AG227" s="26">
        <f t="shared" ca="1" si="7"/>
        <v>0.97258818495391042</v>
      </c>
      <c r="AH227" s="29">
        <v>0</v>
      </c>
      <c r="AJ227" s="22">
        <v>44772</v>
      </c>
      <c r="AK227" s="26">
        <f t="shared" ca="1" si="8"/>
        <v>0.18124484032149057</v>
      </c>
      <c r="AL227" s="29">
        <v>0</v>
      </c>
      <c r="AN227" s="22">
        <v>44772</v>
      </c>
      <c r="AO227" s="26">
        <f t="shared" ca="1" si="9"/>
        <v>0.5937594582072182</v>
      </c>
      <c r="AP227" s="29">
        <v>0</v>
      </c>
      <c r="AR227" s="22">
        <v>44772</v>
      </c>
      <c r="AS227" s="26">
        <f t="shared" ca="1" si="10"/>
        <v>0.74248793978479755</v>
      </c>
      <c r="AT227" s="29">
        <v>0</v>
      </c>
      <c r="AV227" s="22">
        <v>44772</v>
      </c>
      <c r="AW227" s="26">
        <f t="shared" ca="1" si="11"/>
        <v>0.69860510863430558</v>
      </c>
      <c r="AX227" s="29">
        <v>0</v>
      </c>
      <c r="AZ227" s="22">
        <v>44772</v>
      </c>
      <c r="BA227" s="26">
        <f t="shared" ca="1" si="12"/>
        <v>0.71896016123267659</v>
      </c>
      <c r="BB227" s="29">
        <v>0</v>
      </c>
      <c r="BC227"/>
      <c r="BD227" s="25"/>
      <c r="BF227" s="22">
        <v>44772</v>
      </c>
      <c r="BG227" s="26">
        <f t="shared" ca="1" si="13"/>
        <v>0.34788786729083332</v>
      </c>
      <c r="BH227" s="29">
        <v>0</v>
      </c>
      <c r="BJ227" s="22">
        <v>44772</v>
      </c>
      <c r="BK227" s="26">
        <f t="shared" ca="1" si="14"/>
        <v>0.36035893549884912</v>
      </c>
      <c r="BL227" s="29">
        <v>0</v>
      </c>
      <c r="BN227" s="22">
        <v>44772</v>
      </c>
      <c r="BO227" s="26">
        <f t="shared" ca="1" si="15"/>
        <v>0.71857944396997142</v>
      </c>
      <c r="BP227" s="29">
        <v>0</v>
      </c>
      <c r="BR227" s="22">
        <v>44772</v>
      </c>
      <c r="BS227" s="26">
        <f t="shared" ca="1" si="16"/>
        <v>0.33173250311687985</v>
      </c>
      <c r="BT227" s="29">
        <v>0</v>
      </c>
      <c r="BV227" s="22">
        <v>44772</v>
      </c>
      <c r="BW227" s="26">
        <f t="shared" ca="1" si="17"/>
        <v>0.66947896141570118</v>
      </c>
      <c r="BX227" s="29">
        <v>0</v>
      </c>
    </row>
    <row r="228" spans="2:77" ht="12.75" x14ac:dyDescent="0.2">
      <c r="B228" s="22">
        <v>44773</v>
      </c>
      <c r="C228" s="26">
        <f t="shared" ca="1" si="0"/>
        <v>0.94141200376160183</v>
      </c>
      <c r="D228" s="29">
        <v>0</v>
      </c>
      <c r="E228">
        <v>425</v>
      </c>
      <c r="F228" s="22">
        <v>44773</v>
      </c>
      <c r="G228" s="26">
        <f t="shared" ca="1" si="1"/>
        <v>6.0280892786194085E-2</v>
      </c>
      <c r="H228" s="29">
        <v>0</v>
      </c>
      <c r="I228">
        <v>1302</v>
      </c>
      <c r="J228" s="22">
        <v>44773</v>
      </c>
      <c r="K228" s="26">
        <f t="shared" ca="1" si="2"/>
        <v>0.35043920617662561</v>
      </c>
      <c r="L228" s="29">
        <v>0</v>
      </c>
      <c r="M228">
        <v>0</v>
      </c>
      <c r="N228" s="22">
        <v>44773</v>
      </c>
      <c r="O228" s="26">
        <f t="shared" ca="1" si="3"/>
        <v>0.42462527839940378</v>
      </c>
      <c r="P228" s="29">
        <v>0</v>
      </c>
      <c r="Q228">
        <v>0</v>
      </c>
      <c r="R228" s="22">
        <v>44773</v>
      </c>
      <c r="S228" s="26">
        <f t="shared" ca="1" si="4"/>
        <v>0.72243548051426965</v>
      </c>
      <c r="T228" s="29">
        <v>0</v>
      </c>
      <c r="U228">
        <v>0</v>
      </c>
      <c r="V228" s="22">
        <v>44773</v>
      </c>
      <c r="W228" s="26">
        <f t="shared" ca="1" si="5"/>
        <v>0.33833585208659733</v>
      </c>
      <c r="X228" s="29">
        <v>0</v>
      </c>
      <c r="Y228">
        <v>0</v>
      </c>
      <c r="Z228" s="22">
        <v>44773</v>
      </c>
      <c r="AA228" s="26">
        <f t="shared" ca="1" si="6"/>
        <v>0.26761846059879135</v>
      </c>
      <c r="AB228" s="29">
        <v>0</v>
      </c>
      <c r="AC228">
        <v>0</v>
      </c>
      <c r="AD228" s="25"/>
      <c r="AF228" s="22">
        <v>44773</v>
      </c>
      <c r="AG228" s="26">
        <f t="shared" ca="1" si="7"/>
        <v>0.15643697316252403</v>
      </c>
      <c r="AH228" s="29">
        <v>0</v>
      </c>
      <c r="AI228">
        <v>0</v>
      </c>
      <c r="AJ228" s="22">
        <v>44773</v>
      </c>
      <c r="AK228" s="26">
        <f t="shared" ca="1" si="8"/>
        <v>8.1338914346450353E-2</v>
      </c>
      <c r="AL228" s="29">
        <v>0</v>
      </c>
      <c r="AM228">
        <v>0</v>
      </c>
      <c r="AN228" s="22">
        <v>44773</v>
      </c>
      <c r="AO228" s="26">
        <f t="shared" ca="1" si="9"/>
        <v>0.69144775874891673</v>
      </c>
      <c r="AP228" s="29">
        <v>0</v>
      </c>
      <c r="AQ228">
        <v>0</v>
      </c>
      <c r="AR228" s="22">
        <v>44773</v>
      </c>
      <c r="AS228" s="26">
        <f t="shared" ca="1" si="10"/>
        <v>0.96138474652374839</v>
      </c>
      <c r="AT228" s="29">
        <v>0</v>
      </c>
      <c r="AU228">
        <v>0</v>
      </c>
      <c r="AV228" s="22">
        <v>44773</v>
      </c>
      <c r="AW228" s="26">
        <f t="shared" ca="1" si="11"/>
        <v>0.13399315306519788</v>
      </c>
      <c r="AX228" s="29">
        <v>0</v>
      </c>
      <c r="AY228">
        <v>0</v>
      </c>
      <c r="AZ228" s="22">
        <v>44773</v>
      </c>
      <c r="BA228" s="26">
        <f t="shared" ca="1" si="12"/>
        <v>0.93789978260814144</v>
      </c>
      <c r="BB228" s="29">
        <v>0</v>
      </c>
      <c r="BC228">
        <v>0</v>
      </c>
      <c r="BD228" s="25"/>
      <c r="BF228" s="22">
        <v>44773</v>
      </c>
      <c r="BG228" s="26">
        <f t="shared" ca="1" si="13"/>
        <v>0.20435054780846518</v>
      </c>
      <c r="BH228" s="29">
        <v>0</v>
      </c>
      <c r="BI228">
        <v>0</v>
      </c>
      <c r="BJ228" s="22">
        <v>44773</v>
      </c>
      <c r="BK228" s="26">
        <f t="shared" ca="1" si="14"/>
        <v>0.80741412362983123</v>
      </c>
      <c r="BL228" s="29">
        <v>0</v>
      </c>
      <c r="BM228">
        <v>0</v>
      </c>
      <c r="BN228" s="22">
        <v>44773</v>
      </c>
      <c r="BO228" s="26">
        <f t="shared" ca="1" si="15"/>
        <v>0.92462019068733081</v>
      </c>
      <c r="BP228" s="29">
        <v>0</v>
      </c>
      <c r="BQ228">
        <v>0</v>
      </c>
      <c r="BR228" s="22">
        <v>44773</v>
      </c>
      <c r="BS228" s="26">
        <f t="shared" ca="1" si="16"/>
        <v>0.60318746725480399</v>
      </c>
      <c r="BT228" s="29">
        <v>0</v>
      </c>
      <c r="BU228">
        <v>0</v>
      </c>
      <c r="BV228" s="22">
        <v>44773</v>
      </c>
      <c r="BW228" s="26">
        <f t="shared" ca="1" si="17"/>
        <v>0.56961344961437699</v>
      </c>
      <c r="BX228" s="29">
        <v>0</v>
      </c>
      <c r="BY228">
        <v>0</v>
      </c>
    </row>
    <row r="229" spans="2:77" ht="12.75" x14ac:dyDescent="0.2">
      <c r="B229" s="22">
        <v>44774</v>
      </c>
      <c r="C229" s="26">
        <f t="shared" ca="1" si="0"/>
        <v>1.7748337641395606E-3</v>
      </c>
      <c r="D229" s="29">
        <v>0</v>
      </c>
      <c r="F229" s="22">
        <v>44774</v>
      </c>
      <c r="G229" s="26">
        <f t="shared" ca="1" si="1"/>
        <v>0.45214100240915955</v>
      </c>
      <c r="H229" s="29">
        <v>0</v>
      </c>
      <c r="J229" s="22">
        <v>44774</v>
      </c>
      <c r="K229" s="26">
        <f t="shared" ca="1" si="2"/>
        <v>0.78742501003104848</v>
      </c>
      <c r="L229" s="29">
        <v>0</v>
      </c>
      <c r="N229" s="22">
        <v>44774</v>
      </c>
      <c r="O229" s="26">
        <f t="shared" ca="1" si="3"/>
        <v>0.13619073179156749</v>
      </c>
      <c r="P229" s="29">
        <v>0</v>
      </c>
      <c r="R229" s="22">
        <v>44774</v>
      </c>
      <c r="S229" s="26">
        <f t="shared" ca="1" si="4"/>
        <v>0.74913591513737876</v>
      </c>
      <c r="T229" s="29">
        <v>0</v>
      </c>
      <c r="V229" s="22">
        <v>44774</v>
      </c>
      <c r="W229" s="26">
        <f t="shared" ca="1" si="5"/>
        <v>0.20582121509814233</v>
      </c>
      <c r="X229" s="29">
        <v>0</v>
      </c>
      <c r="Z229" s="22">
        <v>44774</v>
      </c>
      <c r="AA229" s="26">
        <f t="shared" ca="1" si="6"/>
        <v>0.8205023073347969</v>
      </c>
      <c r="AB229" s="29">
        <v>0</v>
      </c>
      <c r="AC229"/>
      <c r="AD229" s="25"/>
      <c r="AF229" s="22">
        <v>44774</v>
      </c>
      <c r="AG229" s="26">
        <f t="shared" ca="1" si="7"/>
        <v>0.32866704858754425</v>
      </c>
      <c r="AH229" s="29">
        <v>0</v>
      </c>
      <c r="AJ229" s="22">
        <v>44774</v>
      </c>
      <c r="AK229" s="26">
        <f t="shared" ca="1" si="8"/>
        <v>0.56077701293434667</v>
      </c>
      <c r="AL229" s="29">
        <v>0</v>
      </c>
      <c r="AN229" s="22">
        <v>44774</v>
      </c>
      <c r="AO229" s="26">
        <f t="shared" ca="1" si="9"/>
        <v>2.6472319211939266E-2</v>
      </c>
      <c r="AP229" s="29">
        <v>0</v>
      </c>
      <c r="AR229" s="22">
        <v>44774</v>
      </c>
      <c r="AS229" s="26">
        <f t="shared" ca="1" si="10"/>
        <v>0.91371827327167177</v>
      </c>
      <c r="AT229" s="29">
        <v>0</v>
      </c>
      <c r="AV229" s="22">
        <v>44774</v>
      </c>
      <c r="AW229" s="26">
        <f t="shared" ca="1" si="11"/>
        <v>0.53599380339799385</v>
      </c>
      <c r="AX229" s="29">
        <v>0</v>
      </c>
      <c r="AZ229" s="22">
        <v>44774</v>
      </c>
      <c r="BA229" s="26">
        <f t="shared" ca="1" si="12"/>
        <v>0.86396000296200182</v>
      </c>
      <c r="BB229" s="29">
        <v>0</v>
      </c>
      <c r="BC229"/>
      <c r="BD229" s="25"/>
      <c r="BF229" s="22">
        <v>44774</v>
      </c>
      <c r="BG229" s="26">
        <f t="shared" ca="1" si="13"/>
        <v>0.82925327218862988</v>
      </c>
      <c r="BH229" s="29">
        <v>0</v>
      </c>
      <c r="BJ229" s="22">
        <v>44774</v>
      </c>
      <c r="BK229" s="26">
        <f t="shared" ca="1" si="14"/>
        <v>0.35656602871694076</v>
      </c>
      <c r="BL229" s="29">
        <v>0</v>
      </c>
      <c r="BN229" s="22">
        <v>44774</v>
      </c>
      <c r="BO229" s="26">
        <f t="shared" ca="1" si="15"/>
        <v>0.17537948503395151</v>
      </c>
      <c r="BP229" s="29">
        <v>0</v>
      </c>
      <c r="BR229" s="22">
        <v>44774</v>
      </c>
      <c r="BS229" s="26">
        <f t="shared" ca="1" si="16"/>
        <v>0.68202416711758485</v>
      </c>
      <c r="BT229" s="29">
        <v>0</v>
      </c>
      <c r="BV229" s="22">
        <v>44774</v>
      </c>
      <c r="BW229" s="26">
        <f t="shared" ca="1" si="17"/>
        <v>0.87272439911280242</v>
      </c>
      <c r="BX229" s="29">
        <v>0</v>
      </c>
    </row>
    <row r="230" spans="2:77" ht="12.75" x14ac:dyDescent="0.2">
      <c r="B230" s="22">
        <v>44775</v>
      </c>
      <c r="C230" s="26">
        <f t="shared" ca="1" si="0"/>
        <v>0.60930812424566139</v>
      </c>
      <c r="D230" s="29">
        <v>0</v>
      </c>
      <c r="F230" s="22">
        <v>44775</v>
      </c>
      <c r="G230" s="26">
        <f t="shared" ca="1" si="1"/>
        <v>0.47684229350012663</v>
      </c>
      <c r="H230" s="29">
        <v>0</v>
      </c>
      <c r="J230" s="22">
        <v>44775</v>
      </c>
      <c r="K230" s="26">
        <f t="shared" ca="1" si="2"/>
        <v>0.513275586874962</v>
      </c>
      <c r="L230" s="29">
        <v>0</v>
      </c>
      <c r="N230" s="22">
        <v>44775</v>
      </c>
      <c r="O230" s="26">
        <f t="shared" ca="1" si="3"/>
        <v>0.98308800725594747</v>
      </c>
      <c r="P230" s="29">
        <v>0</v>
      </c>
      <c r="R230" s="22">
        <v>44775</v>
      </c>
      <c r="S230" s="26">
        <f t="shared" ca="1" si="4"/>
        <v>0.37647690321989935</v>
      </c>
      <c r="T230" s="29">
        <v>0</v>
      </c>
      <c r="V230" s="22">
        <v>44775</v>
      </c>
      <c r="W230" s="26">
        <f t="shared" ca="1" si="5"/>
        <v>0.3091035134991974</v>
      </c>
      <c r="X230" s="29">
        <v>0</v>
      </c>
      <c r="Z230" s="22">
        <v>44775</v>
      </c>
      <c r="AA230" s="26">
        <f t="shared" ca="1" si="6"/>
        <v>0.49556293878156177</v>
      </c>
      <c r="AB230" s="29">
        <v>0</v>
      </c>
      <c r="AC230"/>
      <c r="AD230" s="25"/>
      <c r="AF230" s="22">
        <v>44775</v>
      </c>
      <c r="AG230" s="26">
        <f t="shared" ca="1" si="7"/>
        <v>0.99156100075978348</v>
      </c>
      <c r="AH230" s="29">
        <v>0</v>
      </c>
      <c r="AJ230" s="22">
        <v>44775</v>
      </c>
      <c r="AK230" s="26">
        <f t="shared" ca="1" si="8"/>
        <v>0.17020735375126106</v>
      </c>
      <c r="AL230" s="29">
        <v>0</v>
      </c>
      <c r="AN230" s="22">
        <v>44775</v>
      </c>
      <c r="AO230" s="26">
        <f t="shared" ca="1" si="9"/>
        <v>0.65967980294440176</v>
      </c>
      <c r="AP230" s="29">
        <v>0</v>
      </c>
      <c r="AR230" s="22">
        <v>44775</v>
      </c>
      <c r="AS230" s="26">
        <f t="shared" ca="1" si="10"/>
        <v>0.66326932002296568</v>
      </c>
      <c r="AT230" s="29">
        <v>0</v>
      </c>
      <c r="AV230" s="22">
        <v>44775</v>
      </c>
      <c r="AW230" s="26">
        <f t="shared" ca="1" si="11"/>
        <v>0.84118866585589913</v>
      </c>
      <c r="AX230" s="29">
        <v>0</v>
      </c>
      <c r="AZ230" s="22">
        <v>44775</v>
      </c>
      <c r="BA230" s="26">
        <f t="shared" ca="1" si="12"/>
        <v>0.68924336788441143</v>
      </c>
      <c r="BB230" s="29">
        <v>0</v>
      </c>
      <c r="BC230"/>
      <c r="BD230" s="25"/>
      <c r="BF230" s="22">
        <v>44775</v>
      </c>
      <c r="BG230" s="26">
        <f t="shared" ca="1" si="13"/>
        <v>0.99849390268939842</v>
      </c>
      <c r="BH230" s="29">
        <v>0</v>
      </c>
      <c r="BJ230" s="22">
        <v>44775</v>
      </c>
      <c r="BK230" s="26">
        <f t="shared" ca="1" si="14"/>
        <v>0.22664371277150253</v>
      </c>
      <c r="BL230" s="29">
        <v>0</v>
      </c>
      <c r="BN230" s="22">
        <v>44775</v>
      </c>
      <c r="BO230" s="26">
        <f t="shared" ca="1" si="15"/>
        <v>0.34156114745684441</v>
      </c>
      <c r="BP230" s="29">
        <v>0</v>
      </c>
      <c r="BR230" s="22">
        <v>44775</v>
      </c>
      <c r="BS230" s="26">
        <f t="shared" ca="1" si="16"/>
        <v>0.83269432422252621</v>
      </c>
      <c r="BT230" s="29">
        <v>0</v>
      </c>
      <c r="BV230" s="22">
        <v>44775</v>
      </c>
      <c r="BW230" s="26">
        <f t="shared" ca="1" si="17"/>
        <v>0.50656388803557117</v>
      </c>
      <c r="BX230" s="29">
        <v>0</v>
      </c>
    </row>
    <row r="231" spans="2:77" ht="12.75" x14ac:dyDescent="0.2">
      <c r="B231" s="22">
        <v>44776</v>
      </c>
      <c r="C231" s="26">
        <f t="shared" ca="1" si="0"/>
        <v>0.1337960876925689</v>
      </c>
      <c r="D231" s="29">
        <v>0</v>
      </c>
      <c r="F231" s="22">
        <v>44776</v>
      </c>
      <c r="G231" s="26">
        <f t="shared" ca="1" si="1"/>
        <v>0.34594714214147693</v>
      </c>
      <c r="H231" s="29">
        <v>0</v>
      </c>
      <c r="J231" s="22">
        <v>44776</v>
      </c>
      <c r="K231" s="26">
        <f t="shared" ca="1" si="2"/>
        <v>0.59622745295704038</v>
      </c>
      <c r="L231" s="29">
        <v>0</v>
      </c>
      <c r="N231" s="22">
        <v>44776</v>
      </c>
      <c r="O231" s="26">
        <f t="shared" ca="1" si="3"/>
        <v>0.68445077226700313</v>
      </c>
      <c r="P231" s="29">
        <v>0</v>
      </c>
      <c r="R231" s="22">
        <v>44776</v>
      </c>
      <c r="S231" s="26">
        <f t="shared" ca="1" si="4"/>
        <v>0.56861861614540699</v>
      </c>
      <c r="T231" s="29">
        <v>0</v>
      </c>
      <c r="V231" s="22">
        <v>44776</v>
      </c>
      <c r="W231" s="26">
        <f t="shared" ca="1" si="5"/>
        <v>0.71165829814426063</v>
      </c>
      <c r="X231" s="29">
        <v>0</v>
      </c>
      <c r="Z231" s="22">
        <v>44776</v>
      </c>
      <c r="AA231" s="26">
        <f t="shared" ca="1" si="6"/>
        <v>0.63922399322861356</v>
      </c>
      <c r="AB231" s="29">
        <v>0</v>
      </c>
      <c r="AC231"/>
      <c r="AD231" s="25"/>
      <c r="AF231" s="22">
        <v>44776</v>
      </c>
      <c r="AG231" s="26">
        <f t="shared" ca="1" si="7"/>
        <v>0.42959856719002187</v>
      </c>
      <c r="AH231" s="29">
        <v>0</v>
      </c>
      <c r="AJ231" s="22">
        <v>44776</v>
      </c>
      <c r="AK231" s="26">
        <f t="shared" ca="1" si="8"/>
        <v>0.36049782271482589</v>
      </c>
      <c r="AL231" s="29">
        <v>0</v>
      </c>
      <c r="AN231" s="22">
        <v>44776</v>
      </c>
      <c r="AO231" s="26">
        <f t="shared" ca="1" si="9"/>
        <v>0.45514746238957293</v>
      </c>
      <c r="AP231" s="29">
        <v>0</v>
      </c>
      <c r="AR231" s="22">
        <v>44776</v>
      </c>
      <c r="AS231" s="26">
        <f t="shared" ca="1" si="10"/>
        <v>0.20738294240540678</v>
      </c>
      <c r="AT231" s="29">
        <v>0</v>
      </c>
      <c r="AV231" s="22">
        <v>44776</v>
      </c>
      <c r="AW231" s="26">
        <f t="shared" ca="1" si="11"/>
        <v>0.6539379876190462</v>
      </c>
      <c r="AX231" s="29">
        <v>0</v>
      </c>
      <c r="AZ231" s="22">
        <v>44776</v>
      </c>
      <c r="BA231" s="26">
        <f t="shared" ca="1" si="12"/>
        <v>0.74321364913798593</v>
      </c>
      <c r="BB231" s="29">
        <v>0</v>
      </c>
      <c r="BC231"/>
      <c r="BD231" s="25"/>
      <c r="BF231" s="22">
        <v>44776</v>
      </c>
      <c r="BG231" s="26">
        <f t="shared" ca="1" si="13"/>
        <v>0.98738683463401034</v>
      </c>
      <c r="BH231" s="29">
        <v>0</v>
      </c>
      <c r="BJ231" s="22">
        <v>44776</v>
      </c>
      <c r="BK231" s="26">
        <f t="shared" ca="1" si="14"/>
        <v>0.92657754401715564</v>
      </c>
      <c r="BL231" s="29">
        <v>0</v>
      </c>
      <c r="BN231" s="22">
        <v>44776</v>
      </c>
      <c r="BO231" s="26">
        <f t="shared" ca="1" si="15"/>
        <v>0.16348515450282908</v>
      </c>
      <c r="BP231" s="29">
        <v>0</v>
      </c>
      <c r="BR231" s="22">
        <v>44776</v>
      </c>
      <c r="BS231" s="26">
        <f t="shared" ca="1" si="16"/>
        <v>0.97530491433602473</v>
      </c>
      <c r="BT231" s="29">
        <v>0</v>
      </c>
      <c r="BV231" s="22">
        <v>44776</v>
      </c>
      <c r="BW231" s="26">
        <f t="shared" ca="1" si="17"/>
        <v>0.99754243844938473</v>
      </c>
      <c r="BX231" s="29">
        <v>0</v>
      </c>
    </row>
    <row r="232" spans="2:77" ht="12.75" x14ac:dyDescent="0.2">
      <c r="B232" s="22">
        <v>44777</v>
      </c>
      <c r="C232" s="26">
        <f t="shared" ca="1" si="0"/>
        <v>0.39483666984893429</v>
      </c>
      <c r="D232" s="29">
        <v>0</v>
      </c>
      <c r="F232" s="22">
        <v>44777</v>
      </c>
      <c r="G232" s="26">
        <f t="shared" ca="1" si="1"/>
        <v>0.23491606149016619</v>
      </c>
      <c r="H232" s="29">
        <v>0</v>
      </c>
      <c r="J232" s="22">
        <v>44777</v>
      </c>
      <c r="K232" s="26">
        <f t="shared" ca="1" si="2"/>
        <v>0.31364325139173488</v>
      </c>
      <c r="L232" s="29">
        <v>0</v>
      </c>
      <c r="N232" s="22">
        <v>44777</v>
      </c>
      <c r="O232" s="26">
        <f t="shared" ca="1" si="3"/>
        <v>0.81593742847302864</v>
      </c>
      <c r="P232" s="29">
        <v>0</v>
      </c>
      <c r="R232" s="22">
        <v>44777</v>
      </c>
      <c r="S232" s="26">
        <f t="shared" ca="1" si="4"/>
        <v>0.51797583207451436</v>
      </c>
      <c r="T232" s="29">
        <v>0</v>
      </c>
      <c r="V232" s="22">
        <v>44777</v>
      </c>
      <c r="W232" s="26">
        <f t="shared" ca="1" si="5"/>
        <v>0.30827210626590151</v>
      </c>
      <c r="X232" s="29">
        <v>0</v>
      </c>
      <c r="Z232" s="22">
        <v>44777</v>
      </c>
      <c r="AA232" s="26">
        <f t="shared" ca="1" si="6"/>
        <v>0.65343286813192691</v>
      </c>
      <c r="AB232" s="29">
        <v>0</v>
      </c>
      <c r="AC232"/>
      <c r="AD232" s="25"/>
      <c r="AF232" s="22">
        <v>44777</v>
      </c>
      <c r="AG232" s="26">
        <f t="shared" ca="1" si="7"/>
        <v>0.47297797443594469</v>
      </c>
      <c r="AH232" s="29">
        <v>0</v>
      </c>
      <c r="AJ232" s="22">
        <v>44777</v>
      </c>
      <c r="AK232" s="26">
        <f t="shared" ca="1" si="8"/>
        <v>0.83126215513900292</v>
      </c>
      <c r="AL232" s="29">
        <v>0</v>
      </c>
      <c r="AN232" s="22">
        <v>44777</v>
      </c>
      <c r="AO232" s="26">
        <f t="shared" ca="1" si="9"/>
        <v>0.66515337918089401</v>
      </c>
      <c r="AP232" s="29">
        <v>0</v>
      </c>
      <c r="AR232" s="22">
        <v>44777</v>
      </c>
      <c r="AS232" s="26">
        <f t="shared" ca="1" si="10"/>
        <v>0.92101314648466837</v>
      </c>
      <c r="AT232" s="29">
        <v>0</v>
      </c>
      <c r="AV232" s="22">
        <v>44777</v>
      </c>
      <c r="AW232" s="26">
        <f t="shared" ca="1" si="11"/>
        <v>0.28991699595751041</v>
      </c>
      <c r="AX232" s="29">
        <v>0</v>
      </c>
      <c r="AZ232" s="22">
        <v>44777</v>
      </c>
      <c r="BA232" s="26">
        <f t="shared" ca="1" si="12"/>
        <v>0.79018250909947418</v>
      </c>
      <c r="BB232" s="29">
        <v>0</v>
      </c>
      <c r="BC232"/>
      <c r="BD232" s="25"/>
      <c r="BF232" s="22">
        <v>44777</v>
      </c>
      <c r="BG232" s="26">
        <f t="shared" ca="1" si="13"/>
        <v>0.10734645038575774</v>
      </c>
      <c r="BH232" s="29">
        <v>0</v>
      </c>
      <c r="BJ232" s="22">
        <v>44777</v>
      </c>
      <c r="BK232" s="26">
        <f t="shared" ca="1" si="14"/>
        <v>0.98754632829205979</v>
      </c>
      <c r="BL232" s="29">
        <v>0</v>
      </c>
      <c r="BN232" s="22">
        <v>44777</v>
      </c>
      <c r="BO232" s="26">
        <f t="shared" ca="1" si="15"/>
        <v>0.85153784721071724</v>
      </c>
      <c r="BP232" s="29">
        <v>0</v>
      </c>
      <c r="BR232" s="22">
        <v>44777</v>
      </c>
      <c r="BS232" s="26">
        <f t="shared" ca="1" si="16"/>
        <v>0.21608977559135989</v>
      </c>
      <c r="BT232" s="29">
        <v>0</v>
      </c>
      <c r="BV232" s="22">
        <v>44777</v>
      </c>
      <c r="BW232" s="26">
        <f t="shared" ca="1" si="17"/>
        <v>0.26047677718912288</v>
      </c>
      <c r="BX232" s="29">
        <v>0</v>
      </c>
    </row>
    <row r="233" spans="2:77" ht="12.75" x14ac:dyDescent="0.2">
      <c r="B233" s="22">
        <v>44778</v>
      </c>
      <c r="C233" s="26">
        <f t="shared" ca="1" si="0"/>
        <v>2.4364813780973105E-2</v>
      </c>
      <c r="D233" s="29">
        <v>0</v>
      </c>
      <c r="F233" s="22">
        <v>44778</v>
      </c>
      <c r="G233" s="26">
        <f t="shared" ca="1" si="1"/>
        <v>2.9742785892640566E-2</v>
      </c>
      <c r="H233" s="29">
        <v>0</v>
      </c>
      <c r="J233" s="22">
        <v>44778</v>
      </c>
      <c r="K233" s="26">
        <f t="shared" ca="1" si="2"/>
        <v>0.11052510685997019</v>
      </c>
      <c r="L233" s="29">
        <v>0</v>
      </c>
      <c r="N233" s="22">
        <v>44778</v>
      </c>
      <c r="O233" s="26">
        <f t="shared" ca="1" si="3"/>
        <v>0.1332725551713746</v>
      </c>
      <c r="P233" s="29">
        <v>0</v>
      </c>
      <c r="R233" s="22">
        <v>44778</v>
      </c>
      <c r="S233" s="26">
        <f t="shared" ca="1" si="4"/>
        <v>9.1012187606788086E-2</v>
      </c>
      <c r="T233" s="29">
        <v>0</v>
      </c>
      <c r="V233" s="22">
        <v>44778</v>
      </c>
      <c r="W233" s="26">
        <f t="shared" ca="1" si="5"/>
        <v>0.54288895740058429</v>
      </c>
      <c r="X233" s="29">
        <v>0</v>
      </c>
      <c r="Z233" s="22">
        <v>44778</v>
      </c>
      <c r="AA233" s="26">
        <f t="shared" ca="1" si="6"/>
        <v>0.7618340156226171</v>
      </c>
      <c r="AB233" s="29">
        <v>0</v>
      </c>
      <c r="AC233"/>
      <c r="AD233" s="25"/>
      <c r="AF233" s="22">
        <v>44778</v>
      </c>
      <c r="AG233" s="26">
        <f t="shared" ca="1" si="7"/>
        <v>0.70288857753291556</v>
      </c>
      <c r="AH233" s="29">
        <v>0</v>
      </c>
      <c r="AJ233" s="22">
        <v>44778</v>
      </c>
      <c r="AK233" s="26">
        <f t="shared" ca="1" si="8"/>
        <v>7.2971168725388003E-2</v>
      </c>
      <c r="AL233" s="29">
        <v>0</v>
      </c>
      <c r="AN233" s="22">
        <v>44778</v>
      </c>
      <c r="AO233" s="26">
        <f t="shared" ca="1" si="9"/>
        <v>0.82290807498284635</v>
      </c>
      <c r="AP233" s="29">
        <v>0</v>
      </c>
      <c r="AR233" s="22">
        <v>44778</v>
      </c>
      <c r="AS233" s="26">
        <f t="shared" ca="1" si="10"/>
        <v>0.45203357952149215</v>
      </c>
      <c r="AT233" s="29">
        <v>0</v>
      </c>
      <c r="AV233" s="22">
        <v>44778</v>
      </c>
      <c r="AW233" s="26">
        <f t="shared" ca="1" si="11"/>
        <v>0.69895041398759317</v>
      </c>
      <c r="AX233" s="29">
        <v>0</v>
      </c>
      <c r="AZ233" s="22">
        <v>44778</v>
      </c>
      <c r="BA233" s="26">
        <f t="shared" ca="1" si="12"/>
        <v>0.51928916411262305</v>
      </c>
      <c r="BB233" s="29">
        <v>0</v>
      </c>
      <c r="BC233"/>
      <c r="BD233" s="25"/>
      <c r="BF233" s="22">
        <v>44778</v>
      </c>
      <c r="BG233" s="26">
        <f t="shared" ca="1" si="13"/>
        <v>0.22027305245521434</v>
      </c>
      <c r="BH233" s="29">
        <v>0</v>
      </c>
      <c r="BJ233" s="22">
        <v>44778</v>
      </c>
      <c r="BK233" s="26">
        <f t="shared" ca="1" si="14"/>
        <v>0.2950699187777871</v>
      </c>
      <c r="BL233" s="29">
        <v>0</v>
      </c>
      <c r="BN233" s="22">
        <v>44778</v>
      </c>
      <c r="BO233" s="26">
        <f t="shared" ca="1" si="15"/>
        <v>0.2809287937134789</v>
      </c>
      <c r="BP233" s="29">
        <v>0</v>
      </c>
      <c r="BR233" s="22">
        <v>44778</v>
      </c>
      <c r="BS233" s="26">
        <f t="shared" ca="1" si="16"/>
        <v>0.86999703799638883</v>
      </c>
      <c r="BT233" s="29">
        <v>0</v>
      </c>
      <c r="BV233" s="22">
        <v>44778</v>
      </c>
      <c r="BW233" s="26">
        <f t="shared" ca="1" si="17"/>
        <v>0.90485570996385523</v>
      </c>
      <c r="BX233" s="29">
        <v>0</v>
      </c>
    </row>
    <row r="234" spans="2:77" ht="12.75" x14ac:dyDescent="0.2">
      <c r="B234" s="22">
        <v>44779</v>
      </c>
      <c r="C234" s="26">
        <f t="shared" ca="1" si="0"/>
        <v>0.97923151529465902</v>
      </c>
      <c r="D234" s="29">
        <v>0</v>
      </c>
      <c r="F234" s="22">
        <v>44779</v>
      </c>
      <c r="G234" s="26">
        <f t="shared" ca="1" si="1"/>
        <v>0.36644768427349272</v>
      </c>
      <c r="H234" s="29">
        <v>0</v>
      </c>
      <c r="J234" s="22">
        <v>44779</v>
      </c>
      <c r="K234" s="26">
        <f t="shared" ca="1" si="2"/>
        <v>0.29339914983168258</v>
      </c>
      <c r="L234" s="29">
        <v>0</v>
      </c>
      <c r="N234" s="22">
        <v>44779</v>
      </c>
      <c r="O234" s="26">
        <f t="shared" ca="1" si="3"/>
        <v>0.95169502836889908</v>
      </c>
      <c r="P234" s="29">
        <v>0</v>
      </c>
      <c r="R234" s="22">
        <v>44779</v>
      </c>
      <c r="S234" s="26">
        <f t="shared" ca="1" si="4"/>
        <v>0.67083206819423447</v>
      </c>
      <c r="T234" s="29">
        <v>0</v>
      </c>
      <c r="V234" s="22">
        <v>44779</v>
      </c>
      <c r="W234" s="26">
        <f t="shared" ca="1" si="5"/>
        <v>0.68085948621639092</v>
      </c>
      <c r="X234" s="29">
        <v>0</v>
      </c>
      <c r="Z234" s="22">
        <v>44779</v>
      </c>
      <c r="AA234" s="26">
        <f t="shared" ca="1" si="6"/>
        <v>0.44490409392319286</v>
      </c>
      <c r="AB234" s="29">
        <v>0</v>
      </c>
      <c r="AC234"/>
      <c r="AD234" s="25"/>
      <c r="AF234" s="22">
        <v>44779</v>
      </c>
      <c r="AG234" s="26">
        <f t="shared" ca="1" si="7"/>
        <v>0.25116953261500208</v>
      </c>
      <c r="AH234" s="29">
        <v>0</v>
      </c>
      <c r="AJ234" s="22">
        <v>44779</v>
      </c>
      <c r="AK234" s="26">
        <f t="shared" ca="1" si="8"/>
        <v>0.79728783428798322</v>
      </c>
      <c r="AL234" s="29">
        <v>0</v>
      </c>
      <c r="AN234" s="22">
        <v>44779</v>
      </c>
      <c r="AO234" s="26">
        <f t="shared" ca="1" si="9"/>
        <v>0.70622097848709331</v>
      </c>
      <c r="AP234" s="29">
        <v>0</v>
      </c>
      <c r="AR234" s="22">
        <v>44779</v>
      </c>
      <c r="AS234" s="26">
        <f t="shared" ca="1" si="10"/>
        <v>0.71410638834495632</v>
      </c>
      <c r="AT234" s="29">
        <v>0</v>
      </c>
      <c r="AV234" s="22">
        <v>44779</v>
      </c>
      <c r="AW234" s="26">
        <f t="shared" ca="1" si="11"/>
        <v>0.27628192488116565</v>
      </c>
      <c r="AX234" s="29">
        <v>0</v>
      </c>
      <c r="AZ234" s="22">
        <v>44779</v>
      </c>
      <c r="BA234" s="26">
        <f t="shared" ca="1" si="12"/>
        <v>0.29988200323055081</v>
      </c>
      <c r="BB234" s="29">
        <v>0</v>
      </c>
      <c r="BC234"/>
      <c r="BD234" s="25"/>
      <c r="BF234" s="22">
        <v>44779</v>
      </c>
      <c r="BG234" s="26">
        <f t="shared" ca="1" si="13"/>
        <v>1.0540691000740954E-2</v>
      </c>
      <c r="BH234" s="29">
        <v>0</v>
      </c>
      <c r="BJ234" s="22">
        <v>44779</v>
      </c>
      <c r="BK234" s="26">
        <f t="shared" ca="1" si="14"/>
        <v>0.9106813985513007</v>
      </c>
      <c r="BL234" s="29">
        <v>0</v>
      </c>
      <c r="BN234" s="22">
        <v>44779</v>
      </c>
      <c r="BO234" s="26">
        <f t="shared" ca="1" si="15"/>
        <v>4.2956102689808984E-2</v>
      </c>
      <c r="BP234" s="29">
        <v>0</v>
      </c>
      <c r="BR234" s="22">
        <v>44779</v>
      </c>
      <c r="BS234" s="26">
        <f t="shared" ca="1" si="16"/>
        <v>0.32399488970965629</v>
      </c>
      <c r="BT234" s="29">
        <v>0</v>
      </c>
      <c r="BV234" s="22">
        <v>44779</v>
      </c>
      <c r="BW234" s="26">
        <f t="shared" ca="1" si="17"/>
        <v>0.73538430451959735</v>
      </c>
      <c r="BX234" s="29">
        <v>0</v>
      </c>
    </row>
    <row r="235" spans="2:77" ht="12.75" x14ac:dyDescent="0.2">
      <c r="B235" s="22">
        <v>44780</v>
      </c>
      <c r="C235" s="26">
        <f t="shared" ca="1" si="0"/>
        <v>0.67871177720603248</v>
      </c>
      <c r="D235" s="29">
        <v>0</v>
      </c>
      <c r="F235" s="22">
        <v>44780</v>
      </c>
      <c r="G235" s="26">
        <f t="shared" ca="1" si="1"/>
        <v>0.32964708312444679</v>
      </c>
      <c r="H235" s="29">
        <v>0</v>
      </c>
      <c r="J235" s="22">
        <v>44780</v>
      </c>
      <c r="K235" s="26">
        <f t="shared" ca="1" si="2"/>
        <v>9.9666617962957615E-2</v>
      </c>
      <c r="L235" s="29">
        <v>0</v>
      </c>
      <c r="N235" s="22">
        <v>44780</v>
      </c>
      <c r="O235" s="26">
        <f t="shared" ca="1" si="3"/>
        <v>0.4155222723684755</v>
      </c>
      <c r="P235" s="29">
        <v>0</v>
      </c>
      <c r="R235" s="22">
        <v>44780</v>
      </c>
      <c r="S235" s="26">
        <f t="shared" ca="1" si="4"/>
        <v>0.3839704233223612</v>
      </c>
      <c r="T235" s="29">
        <v>0</v>
      </c>
      <c r="V235" s="22">
        <v>44780</v>
      </c>
      <c r="W235" s="26">
        <f t="shared" ca="1" si="5"/>
        <v>0.72610201138686326</v>
      </c>
      <c r="X235" s="29">
        <v>0</v>
      </c>
      <c r="Z235" s="22">
        <v>44780</v>
      </c>
      <c r="AA235" s="26">
        <f t="shared" ca="1" si="6"/>
        <v>0.40363231692099455</v>
      </c>
      <c r="AB235" s="29">
        <v>0</v>
      </c>
      <c r="AC235"/>
      <c r="AD235" s="25"/>
      <c r="AF235" s="22">
        <v>44780</v>
      </c>
      <c r="AG235" s="26">
        <f t="shared" ca="1" si="7"/>
        <v>0.17526078179423343</v>
      </c>
      <c r="AH235" s="29">
        <v>0</v>
      </c>
      <c r="AJ235" s="22">
        <v>44780</v>
      </c>
      <c r="AK235" s="26">
        <f t="shared" ca="1" si="8"/>
        <v>0.4700179799313805</v>
      </c>
      <c r="AL235" s="29">
        <v>0</v>
      </c>
      <c r="AN235" s="22">
        <v>44780</v>
      </c>
      <c r="AO235" s="26">
        <f t="shared" ca="1" si="9"/>
        <v>0.44022843427677671</v>
      </c>
      <c r="AP235" s="29">
        <v>0</v>
      </c>
      <c r="AR235" s="22">
        <v>44780</v>
      </c>
      <c r="AS235" s="26">
        <f t="shared" ca="1" si="10"/>
        <v>0.24010305350121608</v>
      </c>
      <c r="AT235" s="29">
        <v>0</v>
      </c>
      <c r="AV235" s="22">
        <v>44780</v>
      </c>
      <c r="AW235" s="26">
        <f t="shared" ca="1" si="11"/>
        <v>0.35598506998189838</v>
      </c>
      <c r="AX235" s="29">
        <v>0</v>
      </c>
      <c r="AZ235" s="22">
        <v>44780</v>
      </c>
      <c r="BA235" s="26">
        <f t="shared" ca="1" si="12"/>
        <v>2.6408752107769495E-2</v>
      </c>
      <c r="BB235" s="29">
        <v>0</v>
      </c>
      <c r="BC235"/>
      <c r="BD235" s="25"/>
      <c r="BF235" s="22">
        <v>44780</v>
      </c>
      <c r="BG235" s="26">
        <f t="shared" ca="1" si="13"/>
        <v>0.27068949844607515</v>
      </c>
      <c r="BH235" s="29">
        <v>0</v>
      </c>
      <c r="BJ235" s="22">
        <v>44780</v>
      </c>
      <c r="BK235" s="26">
        <f t="shared" ca="1" si="14"/>
        <v>0.12004114956706158</v>
      </c>
      <c r="BL235" s="29">
        <v>0</v>
      </c>
      <c r="BN235" s="22">
        <v>44780</v>
      </c>
      <c r="BO235" s="26">
        <f t="shared" ca="1" si="15"/>
        <v>0.82181514511930998</v>
      </c>
      <c r="BP235" s="29">
        <v>0</v>
      </c>
      <c r="BR235" s="22">
        <v>44780</v>
      </c>
      <c r="BS235" s="26">
        <f t="shared" ca="1" si="16"/>
        <v>3.0995952959762429E-2</v>
      </c>
      <c r="BT235" s="29">
        <v>0</v>
      </c>
      <c r="BV235" s="22">
        <v>44780</v>
      </c>
      <c r="BW235" s="26">
        <f t="shared" ca="1" si="17"/>
        <v>0.4710279463298167</v>
      </c>
      <c r="BX235" s="29">
        <v>0</v>
      </c>
    </row>
    <row r="236" spans="2:77" ht="12.75" x14ac:dyDescent="0.2">
      <c r="B236" s="22">
        <v>44781</v>
      </c>
      <c r="C236" s="26">
        <f t="shared" ca="1" si="0"/>
        <v>0.12143583322413343</v>
      </c>
      <c r="D236" s="29">
        <v>0</v>
      </c>
      <c r="F236" s="22">
        <v>44781</v>
      </c>
      <c r="G236" s="26">
        <f t="shared" ca="1" si="1"/>
        <v>0.9195060555437472</v>
      </c>
      <c r="H236" s="29">
        <v>0</v>
      </c>
      <c r="J236" s="22">
        <v>44781</v>
      </c>
      <c r="K236" s="26">
        <f t="shared" ca="1" si="2"/>
        <v>0.64362467471428719</v>
      </c>
      <c r="L236" s="29">
        <v>0</v>
      </c>
      <c r="N236" s="22">
        <v>44781</v>
      </c>
      <c r="O236" s="26">
        <f t="shared" ca="1" si="3"/>
        <v>0.64527345593267216</v>
      </c>
      <c r="P236" s="29">
        <v>0</v>
      </c>
      <c r="R236" s="22">
        <v>44781</v>
      </c>
      <c r="S236" s="26">
        <f t="shared" ca="1" si="4"/>
        <v>0.51740979092592254</v>
      </c>
      <c r="T236" s="29">
        <v>0</v>
      </c>
      <c r="V236" s="22">
        <v>44781</v>
      </c>
      <c r="W236" s="26">
        <f t="shared" ca="1" si="5"/>
        <v>0.25028176911580513</v>
      </c>
      <c r="X236" s="29">
        <v>0</v>
      </c>
      <c r="Z236" s="22">
        <v>44781</v>
      </c>
      <c r="AA236" s="26">
        <f t="shared" ca="1" si="6"/>
        <v>0.81566401630485752</v>
      </c>
      <c r="AB236" s="29">
        <v>0</v>
      </c>
      <c r="AC236"/>
      <c r="AD236" s="25"/>
      <c r="AF236" s="22">
        <v>44781</v>
      </c>
      <c r="AG236" s="26">
        <f t="shared" ca="1" si="7"/>
        <v>0.33405462135402753</v>
      </c>
      <c r="AH236" s="29">
        <v>0</v>
      </c>
      <c r="AJ236" s="22">
        <v>44781</v>
      </c>
      <c r="AK236" s="26">
        <f t="shared" ca="1" si="8"/>
        <v>0.80446230285333109</v>
      </c>
      <c r="AL236" s="29">
        <v>0</v>
      </c>
      <c r="AN236" s="22">
        <v>44781</v>
      </c>
      <c r="AO236" s="26">
        <f t="shared" ca="1" si="9"/>
        <v>0.80989183944322762</v>
      </c>
      <c r="AP236" s="29">
        <v>0</v>
      </c>
      <c r="AR236" s="22">
        <v>44781</v>
      </c>
      <c r="AS236" s="26">
        <f t="shared" ca="1" si="10"/>
        <v>0.75816137130018213</v>
      </c>
      <c r="AT236" s="29">
        <v>0</v>
      </c>
      <c r="AV236" s="22">
        <v>44781</v>
      </c>
      <c r="AW236" s="26">
        <f t="shared" ca="1" si="11"/>
        <v>0.61131190126410595</v>
      </c>
      <c r="AX236" s="29">
        <v>0</v>
      </c>
      <c r="AZ236" s="22">
        <v>44781</v>
      </c>
      <c r="BA236" s="26">
        <f t="shared" ca="1" si="12"/>
        <v>0.45800925086709166</v>
      </c>
      <c r="BB236" s="29">
        <v>0</v>
      </c>
      <c r="BC236"/>
      <c r="BD236" s="25"/>
      <c r="BF236" s="22">
        <v>44781</v>
      </c>
      <c r="BG236" s="26">
        <f t="shared" ca="1" si="13"/>
        <v>0.79721203673533569</v>
      </c>
      <c r="BH236" s="29">
        <v>0</v>
      </c>
      <c r="BJ236" s="22">
        <v>44781</v>
      </c>
      <c r="BK236" s="26">
        <f t="shared" ca="1" si="14"/>
        <v>0.76938927653626632</v>
      </c>
      <c r="BL236" s="29">
        <v>0</v>
      </c>
      <c r="BN236" s="22">
        <v>44781</v>
      </c>
      <c r="BO236" s="26">
        <f t="shared" ca="1" si="15"/>
        <v>0.36311109808435871</v>
      </c>
      <c r="BP236" s="29">
        <v>0</v>
      </c>
      <c r="BR236" s="22">
        <v>44781</v>
      </c>
      <c r="BS236" s="26">
        <f t="shared" ca="1" si="16"/>
        <v>0.14593823391022409</v>
      </c>
      <c r="BT236" s="29">
        <v>0</v>
      </c>
      <c r="BV236" s="22">
        <v>44781</v>
      </c>
      <c r="BW236" s="26">
        <f t="shared" ca="1" si="17"/>
        <v>0.67715386114104092</v>
      </c>
      <c r="BX236" s="29">
        <v>0</v>
      </c>
    </row>
    <row r="237" spans="2:77" ht="12.75" x14ac:dyDescent="0.2">
      <c r="B237" s="22">
        <v>44782</v>
      </c>
      <c r="C237" s="26">
        <f t="shared" ca="1" si="0"/>
        <v>0.52447690946768943</v>
      </c>
      <c r="D237" s="29">
        <v>0</v>
      </c>
      <c r="F237" s="22">
        <v>44782</v>
      </c>
      <c r="G237" s="26">
        <f t="shared" ca="1" si="1"/>
        <v>0.10718636572872942</v>
      </c>
      <c r="H237" s="29">
        <v>0</v>
      </c>
      <c r="J237" s="22">
        <v>44782</v>
      </c>
      <c r="K237" s="26">
        <f t="shared" ca="1" si="2"/>
        <v>0.71723933300173115</v>
      </c>
      <c r="L237" s="29">
        <v>0</v>
      </c>
      <c r="N237" s="22">
        <v>44782</v>
      </c>
      <c r="O237" s="26">
        <f t="shared" ca="1" si="3"/>
        <v>0.47023458177334521</v>
      </c>
      <c r="P237" s="29">
        <v>0</v>
      </c>
      <c r="R237" s="22">
        <v>44782</v>
      </c>
      <c r="S237" s="26">
        <f t="shared" ca="1" si="4"/>
        <v>0.31304002788024021</v>
      </c>
      <c r="T237" s="29">
        <v>0</v>
      </c>
      <c r="V237" s="22">
        <v>44782</v>
      </c>
      <c r="W237" s="26">
        <f t="shared" ca="1" si="5"/>
        <v>0.13259121722154144</v>
      </c>
      <c r="X237" s="29">
        <v>0</v>
      </c>
      <c r="Z237" s="22">
        <v>44782</v>
      </c>
      <c r="AA237" s="26">
        <f t="shared" ca="1" si="6"/>
        <v>0.24786606555987234</v>
      </c>
      <c r="AB237" s="29">
        <v>0</v>
      </c>
      <c r="AC237"/>
      <c r="AD237" s="25"/>
      <c r="AF237" s="22">
        <v>44782</v>
      </c>
      <c r="AG237" s="26">
        <f t="shared" ca="1" si="7"/>
        <v>0.18472152365136973</v>
      </c>
      <c r="AH237" s="29">
        <v>0</v>
      </c>
      <c r="AJ237" s="22">
        <v>44782</v>
      </c>
      <c r="AK237" s="26">
        <f t="shared" ca="1" si="8"/>
        <v>0.57646400461142344</v>
      </c>
      <c r="AL237" s="29">
        <v>0</v>
      </c>
      <c r="AN237" s="22">
        <v>44782</v>
      </c>
      <c r="AO237" s="26">
        <f t="shared" ca="1" si="9"/>
        <v>0.53498023937039252</v>
      </c>
      <c r="AP237" s="29">
        <v>0</v>
      </c>
      <c r="AR237" s="22">
        <v>44782</v>
      </c>
      <c r="AS237" s="26">
        <f t="shared" ca="1" si="10"/>
        <v>0.42647254521172651</v>
      </c>
      <c r="AT237" s="29">
        <v>0</v>
      </c>
      <c r="AV237" s="22">
        <v>44782</v>
      </c>
      <c r="AW237" s="26">
        <f t="shared" ca="1" si="11"/>
        <v>0.29847269467108573</v>
      </c>
      <c r="AX237" s="29">
        <v>0</v>
      </c>
      <c r="AZ237" s="22">
        <v>44782</v>
      </c>
      <c r="BA237" s="26">
        <f t="shared" ca="1" si="12"/>
        <v>0.67158690731926118</v>
      </c>
      <c r="BB237" s="29">
        <v>0</v>
      </c>
      <c r="BC237"/>
      <c r="BD237" s="25"/>
      <c r="BF237" s="22">
        <v>44782</v>
      </c>
      <c r="BG237" s="26">
        <f t="shared" ca="1" si="13"/>
        <v>0.92971087271868091</v>
      </c>
      <c r="BH237" s="29">
        <v>0</v>
      </c>
      <c r="BJ237" s="22">
        <v>44782</v>
      </c>
      <c r="BK237" s="26">
        <f t="shared" ca="1" si="14"/>
        <v>0.29906269655104711</v>
      </c>
      <c r="BL237" s="29">
        <v>0</v>
      </c>
      <c r="BN237" s="22">
        <v>44782</v>
      </c>
      <c r="BO237" s="26">
        <f t="shared" ca="1" si="15"/>
        <v>0.15266100632842783</v>
      </c>
      <c r="BP237" s="29">
        <v>0</v>
      </c>
      <c r="BR237" s="22">
        <v>44782</v>
      </c>
      <c r="BS237" s="26">
        <f t="shared" ca="1" si="16"/>
        <v>0.62909732056442669</v>
      </c>
      <c r="BT237" s="29">
        <v>0</v>
      </c>
      <c r="BV237" s="22">
        <v>44782</v>
      </c>
      <c r="BW237" s="26">
        <f t="shared" ca="1" si="17"/>
        <v>0.78623631028431828</v>
      </c>
      <c r="BX237" s="29">
        <v>0</v>
      </c>
    </row>
    <row r="238" spans="2:77" ht="12.75" x14ac:dyDescent="0.2">
      <c r="B238" s="22">
        <v>44783</v>
      </c>
      <c r="C238" s="26">
        <f t="shared" ca="1" si="0"/>
        <v>0.43762763325789888</v>
      </c>
      <c r="D238" s="29">
        <v>0</v>
      </c>
      <c r="F238" s="22">
        <v>44783</v>
      </c>
      <c r="G238" s="26">
        <f t="shared" ca="1" si="1"/>
        <v>0.86750627894851307</v>
      </c>
      <c r="H238" s="29">
        <v>0</v>
      </c>
      <c r="J238" s="22">
        <v>44783</v>
      </c>
      <c r="K238" s="26">
        <f t="shared" ca="1" si="2"/>
        <v>0.76484833392560003</v>
      </c>
      <c r="L238" s="29">
        <v>0</v>
      </c>
      <c r="N238" s="22">
        <v>44783</v>
      </c>
      <c r="O238" s="26">
        <f t="shared" ca="1" si="3"/>
        <v>0.2892047815951323</v>
      </c>
      <c r="P238" s="29">
        <v>0</v>
      </c>
      <c r="R238" s="22">
        <v>44783</v>
      </c>
      <c r="S238" s="26">
        <f t="shared" ca="1" si="4"/>
        <v>0.61553002270316193</v>
      </c>
      <c r="T238" s="29">
        <v>0</v>
      </c>
      <c r="V238" s="22">
        <v>44783</v>
      </c>
      <c r="W238" s="26">
        <f t="shared" ca="1" si="5"/>
        <v>0.7988012466175457</v>
      </c>
      <c r="X238" s="29">
        <v>0</v>
      </c>
      <c r="Z238" s="22">
        <v>44783</v>
      </c>
      <c r="AA238" s="26">
        <f t="shared" ca="1" si="6"/>
        <v>0.1821262035757556</v>
      </c>
      <c r="AB238" s="29">
        <v>0</v>
      </c>
      <c r="AC238"/>
      <c r="AD238" s="25"/>
      <c r="AF238" s="22">
        <v>44783</v>
      </c>
      <c r="AG238" s="26">
        <f t="shared" ca="1" si="7"/>
        <v>0.35826764715781112</v>
      </c>
      <c r="AH238" s="29">
        <v>0</v>
      </c>
      <c r="AJ238" s="22">
        <v>44783</v>
      </c>
      <c r="AK238" s="26">
        <f t="shared" ca="1" si="8"/>
        <v>0.60420486921129735</v>
      </c>
      <c r="AL238" s="29">
        <v>0</v>
      </c>
      <c r="AN238" s="22">
        <v>44783</v>
      </c>
      <c r="AO238" s="26">
        <f t="shared" ca="1" si="9"/>
        <v>0.42515762230022625</v>
      </c>
      <c r="AP238" s="29">
        <v>0</v>
      </c>
      <c r="AR238" s="22">
        <v>44783</v>
      </c>
      <c r="AS238" s="26">
        <f t="shared" ca="1" si="10"/>
        <v>0.69845147824760356</v>
      </c>
      <c r="AT238" s="29">
        <v>0</v>
      </c>
      <c r="AV238" s="22">
        <v>44783</v>
      </c>
      <c r="AW238" s="26">
        <f t="shared" ca="1" si="11"/>
        <v>0.15123233079084286</v>
      </c>
      <c r="AX238" s="29">
        <v>0</v>
      </c>
      <c r="AZ238" s="22">
        <v>44783</v>
      </c>
      <c r="BA238" s="26">
        <f t="shared" ca="1" si="12"/>
        <v>0.56948558175855957</v>
      </c>
      <c r="BB238" s="29">
        <v>0</v>
      </c>
      <c r="BC238"/>
      <c r="BD238" s="25"/>
      <c r="BF238" s="22">
        <v>44783</v>
      </c>
      <c r="BG238" s="26">
        <f t="shared" ca="1" si="13"/>
        <v>0.75565021701338797</v>
      </c>
      <c r="BH238" s="29">
        <v>0</v>
      </c>
      <c r="BJ238" s="22">
        <v>44783</v>
      </c>
      <c r="BK238" s="26">
        <f t="shared" ca="1" si="14"/>
        <v>0.31785962388231859</v>
      </c>
      <c r="BL238" s="29">
        <v>0</v>
      </c>
      <c r="BN238" s="22">
        <v>44783</v>
      </c>
      <c r="BO238" s="26">
        <f t="shared" ca="1" si="15"/>
        <v>0.14890416882344737</v>
      </c>
      <c r="BP238" s="29">
        <v>0</v>
      </c>
      <c r="BR238" s="22">
        <v>44783</v>
      </c>
      <c r="BS238" s="26">
        <f t="shared" ca="1" si="16"/>
        <v>0.99691426025522345</v>
      </c>
      <c r="BT238" s="29">
        <v>0</v>
      </c>
      <c r="BV238" s="22">
        <v>44783</v>
      </c>
      <c r="BW238" s="26">
        <f t="shared" ca="1" si="17"/>
        <v>0.89993108944278932</v>
      </c>
      <c r="BX238" s="29">
        <v>0</v>
      </c>
    </row>
    <row r="239" spans="2:77" ht="12.75" x14ac:dyDescent="0.2">
      <c r="B239" s="22">
        <v>44784</v>
      </c>
      <c r="C239" s="26">
        <f t="shared" ca="1" si="0"/>
        <v>0.665763501911244</v>
      </c>
      <c r="D239" s="29">
        <v>0</v>
      </c>
      <c r="F239" s="22">
        <v>44784</v>
      </c>
      <c r="G239" s="26">
        <f t="shared" ca="1" si="1"/>
        <v>0.37691399121169356</v>
      </c>
      <c r="H239" s="29">
        <v>0</v>
      </c>
      <c r="J239" s="22">
        <v>44784</v>
      </c>
      <c r="K239" s="26">
        <f t="shared" ca="1" si="2"/>
        <v>0.22607344809986796</v>
      </c>
      <c r="L239" s="29">
        <v>0</v>
      </c>
      <c r="N239" s="22">
        <v>44784</v>
      </c>
      <c r="O239" s="26">
        <f t="shared" ca="1" si="3"/>
        <v>0.74360581223076894</v>
      </c>
      <c r="P239" s="29">
        <v>0</v>
      </c>
      <c r="R239" s="22">
        <v>44784</v>
      </c>
      <c r="S239" s="26">
        <f t="shared" ca="1" si="4"/>
        <v>0.35906970151878781</v>
      </c>
      <c r="T239" s="29">
        <v>0</v>
      </c>
      <c r="V239" s="22">
        <v>44784</v>
      </c>
      <c r="W239" s="26">
        <f t="shared" ca="1" si="5"/>
        <v>0.61091039245734424</v>
      </c>
      <c r="X239" s="29">
        <v>0</v>
      </c>
      <c r="Z239" s="22">
        <v>44784</v>
      </c>
      <c r="AA239" s="26">
        <f t="shared" ca="1" si="6"/>
        <v>0.76687192875694254</v>
      </c>
      <c r="AB239" s="29">
        <v>0</v>
      </c>
      <c r="AC239"/>
      <c r="AD239" s="25"/>
      <c r="AF239" s="22">
        <v>44784</v>
      </c>
      <c r="AG239" s="26">
        <f t="shared" ca="1" si="7"/>
        <v>0.91969703361891875</v>
      </c>
      <c r="AH239" s="29">
        <v>0</v>
      </c>
      <c r="AJ239" s="22">
        <v>44784</v>
      </c>
      <c r="AK239" s="26">
        <f t="shared" ca="1" si="8"/>
        <v>0.68026914166496877</v>
      </c>
      <c r="AL239" s="29">
        <v>0</v>
      </c>
      <c r="AN239" s="22">
        <v>44784</v>
      </c>
      <c r="AO239" s="26">
        <f t="shared" ca="1" si="9"/>
        <v>0.6648077684346122</v>
      </c>
      <c r="AP239" s="29">
        <v>0</v>
      </c>
      <c r="AR239" s="22">
        <v>44784</v>
      </c>
      <c r="AS239" s="26">
        <f t="shared" ca="1" si="10"/>
        <v>0.74358868038480552</v>
      </c>
      <c r="AT239" s="29">
        <v>0</v>
      </c>
      <c r="AV239" s="22">
        <v>44784</v>
      </c>
      <c r="AW239" s="26">
        <f t="shared" ca="1" si="11"/>
        <v>0.47667420211258549</v>
      </c>
      <c r="AX239" s="29">
        <v>0</v>
      </c>
      <c r="AZ239" s="22">
        <v>44784</v>
      </c>
      <c r="BA239" s="26">
        <f t="shared" ca="1" si="12"/>
        <v>0.54053796606220816</v>
      </c>
      <c r="BB239" s="29">
        <v>0</v>
      </c>
      <c r="BC239"/>
      <c r="BD239" s="25"/>
      <c r="BF239" s="22">
        <v>44784</v>
      </c>
      <c r="BG239" s="26">
        <f t="shared" ca="1" si="13"/>
        <v>0.2287476422257636</v>
      </c>
      <c r="BH239" s="29">
        <v>0</v>
      </c>
      <c r="BJ239" s="22">
        <v>44784</v>
      </c>
      <c r="BK239" s="26">
        <f t="shared" ca="1" si="14"/>
        <v>0.7753425806565073</v>
      </c>
      <c r="BL239" s="29">
        <v>0</v>
      </c>
      <c r="BN239" s="22">
        <v>44784</v>
      </c>
      <c r="BO239" s="26">
        <f t="shared" ca="1" si="15"/>
        <v>0.67794664313209319</v>
      </c>
      <c r="BP239" s="29">
        <v>0</v>
      </c>
      <c r="BR239" s="22">
        <v>44784</v>
      </c>
      <c r="BS239" s="26">
        <f t="shared" ca="1" si="16"/>
        <v>0.39739224090428626</v>
      </c>
      <c r="BT239" s="29">
        <v>0</v>
      </c>
      <c r="BV239" s="22">
        <v>44784</v>
      </c>
      <c r="BW239" s="26">
        <f t="shared" ca="1" si="17"/>
        <v>0.44965894324981137</v>
      </c>
      <c r="BX239" s="29">
        <v>0</v>
      </c>
    </row>
    <row r="240" spans="2:77" ht="12.75" x14ac:dyDescent="0.2">
      <c r="B240" s="22">
        <v>44785</v>
      </c>
      <c r="C240" s="26">
        <f t="shared" ca="1" si="0"/>
        <v>0.14365044529395565</v>
      </c>
      <c r="D240" s="29">
        <v>0</v>
      </c>
      <c r="F240" s="22">
        <v>44785</v>
      </c>
      <c r="G240" s="26">
        <f t="shared" ca="1" si="1"/>
        <v>0.77863746619231333</v>
      </c>
      <c r="H240" s="29">
        <v>0</v>
      </c>
      <c r="J240" s="22">
        <v>44785</v>
      </c>
      <c r="K240" s="26">
        <f t="shared" ca="1" si="2"/>
        <v>0.55817737033297277</v>
      </c>
      <c r="L240" s="29">
        <v>0</v>
      </c>
      <c r="N240" s="22">
        <v>44785</v>
      </c>
      <c r="O240" s="26">
        <f t="shared" ca="1" si="3"/>
        <v>0.54657891812182668</v>
      </c>
      <c r="P240" s="29">
        <v>0</v>
      </c>
      <c r="R240" s="22">
        <v>44785</v>
      </c>
      <c r="S240" s="26">
        <f t="shared" ca="1" si="4"/>
        <v>0.35358391815551671</v>
      </c>
      <c r="T240" s="29">
        <v>0</v>
      </c>
      <c r="V240" s="22">
        <v>44785</v>
      </c>
      <c r="W240" s="26">
        <f t="shared" ca="1" si="5"/>
        <v>0.3838630296126756</v>
      </c>
      <c r="X240" s="29">
        <v>0</v>
      </c>
      <c r="Z240" s="22">
        <v>44785</v>
      </c>
      <c r="AA240" s="26">
        <f t="shared" ca="1" si="6"/>
        <v>0.75047161331990675</v>
      </c>
      <c r="AB240" s="29">
        <v>0</v>
      </c>
      <c r="AC240"/>
      <c r="AD240" s="25"/>
      <c r="AF240" s="22">
        <v>44785</v>
      </c>
      <c r="AG240" s="26">
        <f t="shared" ca="1" si="7"/>
        <v>0.8170502508196108</v>
      </c>
      <c r="AH240" s="29">
        <v>0</v>
      </c>
      <c r="AJ240" s="22">
        <v>44785</v>
      </c>
      <c r="AK240" s="26">
        <f t="shared" ca="1" si="8"/>
        <v>0.99197236720341797</v>
      </c>
      <c r="AL240" s="29">
        <v>0</v>
      </c>
      <c r="AN240" s="22">
        <v>44785</v>
      </c>
      <c r="AO240" s="26">
        <f t="shared" ca="1" si="9"/>
        <v>0.948531773105183</v>
      </c>
      <c r="AP240" s="29">
        <v>0</v>
      </c>
      <c r="AR240" s="22">
        <v>44785</v>
      </c>
      <c r="AS240" s="26">
        <f t="shared" ca="1" si="10"/>
        <v>0.76923065067433871</v>
      </c>
      <c r="AT240" s="29">
        <v>0</v>
      </c>
      <c r="AV240" s="22">
        <v>44785</v>
      </c>
      <c r="AW240" s="26">
        <f t="shared" ca="1" si="11"/>
        <v>0.10491073623540847</v>
      </c>
      <c r="AX240" s="29">
        <v>0</v>
      </c>
      <c r="AZ240" s="22">
        <v>44785</v>
      </c>
      <c r="BA240" s="26">
        <f t="shared" ca="1" si="12"/>
        <v>0.85222675290461525</v>
      </c>
      <c r="BB240" s="29">
        <v>0</v>
      </c>
      <c r="BC240"/>
      <c r="BD240" s="25"/>
      <c r="BF240" s="22">
        <v>44785</v>
      </c>
      <c r="BG240" s="26">
        <f t="shared" ca="1" si="13"/>
        <v>0.41302012848252401</v>
      </c>
      <c r="BH240" s="29">
        <v>0</v>
      </c>
      <c r="BJ240" s="22">
        <v>44785</v>
      </c>
      <c r="BK240" s="26">
        <f t="shared" ca="1" si="14"/>
        <v>0.86914221670002945</v>
      </c>
      <c r="BL240" s="29">
        <v>0</v>
      </c>
      <c r="BN240" s="22">
        <v>44785</v>
      </c>
      <c r="BO240" s="26">
        <f t="shared" ca="1" si="15"/>
        <v>0.29758816836973712</v>
      </c>
      <c r="BP240" s="29">
        <v>0</v>
      </c>
      <c r="BR240" s="22">
        <v>44785</v>
      </c>
      <c r="BS240" s="26">
        <f t="shared" ca="1" si="16"/>
        <v>0.11766071785752585</v>
      </c>
      <c r="BT240" s="29">
        <v>0</v>
      </c>
      <c r="BV240" s="22">
        <v>44785</v>
      </c>
      <c r="BW240" s="26">
        <f t="shared" ca="1" si="17"/>
        <v>0.13704519247889124</v>
      </c>
      <c r="BX240" s="29">
        <v>0</v>
      </c>
    </row>
    <row r="241" spans="2:76" ht="12.75" x14ac:dyDescent="0.2">
      <c r="B241" s="22">
        <v>44786</v>
      </c>
      <c r="C241" s="26">
        <f t="shared" ca="1" si="0"/>
        <v>0.48261235475999109</v>
      </c>
      <c r="D241" s="29">
        <v>0</v>
      </c>
      <c r="F241" s="22">
        <v>44786</v>
      </c>
      <c r="G241" s="26">
        <f t="shared" ca="1" si="1"/>
        <v>0.78335948377936382</v>
      </c>
      <c r="H241" s="29">
        <v>0</v>
      </c>
      <c r="J241" s="22">
        <v>44786</v>
      </c>
      <c r="K241" s="26">
        <f t="shared" ca="1" si="2"/>
        <v>0.19837887678419264</v>
      </c>
      <c r="L241" s="29">
        <v>0</v>
      </c>
      <c r="N241" s="22">
        <v>44786</v>
      </c>
      <c r="O241" s="26">
        <f t="shared" ca="1" si="3"/>
        <v>0.87564820158913337</v>
      </c>
      <c r="P241" s="29">
        <v>0</v>
      </c>
      <c r="R241" s="22">
        <v>44786</v>
      </c>
      <c r="S241" s="26">
        <f t="shared" ca="1" si="4"/>
        <v>8.9257471243909037E-2</v>
      </c>
      <c r="T241" s="29">
        <v>0</v>
      </c>
      <c r="V241" s="22">
        <v>44786</v>
      </c>
      <c r="W241" s="26">
        <f t="shared" ca="1" si="5"/>
        <v>0.13386082627985707</v>
      </c>
      <c r="X241" s="29">
        <v>0</v>
      </c>
      <c r="Z241" s="22">
        <v>44786</v>
      </c>
      <c r="AA241" s="26">
        <f t="shared" ca="1" si="6"/>
        <v>0.66186886452851712</v>
      </c>
      <c r="AB241" s="29">
        <v>0</v>
      </c>
      <c r="AC241"/>
      <c r="AD241" s="25"/>
      <c r="AF241" s="22">
        <v>44786</v>
      </c>
      <c r="AG241" s="26">
        <f t="shared" ca="1" si="7"/>
        <v>0.88250794709193559</v>
      </c>
      <c r="AH241" s="29">
        <v>0</v>
      </c>
      <c r="AJ241" s="22">
        <v>44786</v>
      </c>
      <c r="AK241" s="26">
        <f t="shared" ca="1" si="8"/>
        <v>0.89034081899405793</v>
      </c>
      <c r="AL241" s="29">
        <v>0</v>
      </c>
      <c r="AN241" s="22">
        <v>44786</v>
      </c>
      <c r="AO241" s="26">
        <f t="shared" ca="1" si="9"/>
        <v>0.44706778644822454</v>
      </c>
      <c r="AP241" s="29">
        <v>0</v>
      </c>
      <c r="AR241" s="22">
        <v>44786</v>
      </c>
      <c r="AS241" s="26">
        <f t="shared" ca="1" si="10"/>
        <v>0.19535248519897574</v>
      </c>
      <c r="AT241" s="29">
        <v>0</v>
      </c>
      <c r="AV241" s="22">
        <v>44786</v>
      </c>
      <c r="AW241" s="26">
        <f t="shared" ca="1" si="11"/>
        <v>0.57871064785970494</v>
      </c>
      <c r="AX241" s="29">
        <v>0</v>
      </c>
      <c r="AZ241" s="22">
        <v>44786</v>
      </c>
      <c r="BA241" s="26">
        <f t="shared" ca="1" si="12"/>
        <v>0.82975135265603039</v>
      </c>
      <c r="BB241" s="29">
        <v>0</v>
      </c>
      <c r="BC241"/>
      <c r="BD241" s="25"/>
      <c r="BF241" s="22">
        <v>44786</v>
      </c>
      <c r="BG241" s="26">
        <f t="shared" ca="1" si="13"/>
        <v>0.10223333373550647</v>
      </c>
      <c r="BH241" s="29">
        <v>0</v>
      </c>
      <c r="BJ241" s="22">
        <v>44786</v>
      </c>
      <c r="BK241" s="26">
        <f t="shared" ca="1" si="14"/>
        <v>0.15296521081810444</v>
      </c>
      <c r="BL241" s="29">
        <v>0</v>
      </c>
      <c r="BN241" s="22">
        <v>44786</v>
      </c>
      <c r="BO241" s="26">
        <f t="shared" ca="1" si="15"/>
        <v>0.92537218244983821</v>
      </c>
      <c r="BP241" s="29">
        <v>0</v>
      </c>
      <c r="BR241" s="22">
        <v>44786</v>
      </c>
      <c r="BS241" s="26">
        <f t="shared" ca="1" si="16"/>
        <v>2.9948479972586539E-2</v>
      </c>
      <c r="BT241" s="29">
        <v>0</v>
      </c>
      <c r="BV241" s="22">
        <v>44786</v>
      </c>
      <c r="BW241" s="26">
        <f t="shared" ca="1" si="17"/>
        <v>0.99219938192476886</v>
      </c>
      <c r="BX241" s="29">
        <v>0</v>
      </c>
    </row>
    <row r="242" spans="2:76" ht="12.75" x14ac:dyDescent="0.2">
      <c r="B242" s="22">
        <v>44787</v>
      </c>
      <c r="C242" s="26">
        <f t="shared" ca="1" si="0"/>
        <v>0.51104890111300028</v>
      </c>
      <c r="D242" s="29">
        <v>0</v>
      </c>
      <c r="F242" s="22">
        <v>44787</v>
      </c>
      <c r="G242" s="26">
        <f t="shared" ca="1" si="1"/>
        <v>0.65258585773183031</v>
      </c>
      <c r="H242" s="29">
        <v>0</v>
      </c>
      <c r="J242" s="22">
        <v>44787</v>
      </c>
      <c r="K242" s="26">
        <f t="shared" ca="1" si="2"/>
        <v>0.33003060821701147</v>
      </c>
      <c r="L242" s="29">
        <v>0</v>
      </c>
      <c r="N242" s="22">
        <v>44787</v>
      </c>
      <c r="O242" s="26">
        <f t="shared" ca="1" si="3"/>
        <v>0.82339245898788216</v>
      </c>
      <c r="P242" s="29">
        <v>0</v>
      </c>
      <c r="R242" s="22">
        <v>44787</v>
      </c>
      <c r="S242" s="26">
        <f t="shared" ca="1" si="4"/>
        <v>0.70651346718942243</v>
      </c>
      <c r="T242" s="29">
        <v>0</v>
      </c>
      <c r="V242" s="22">
        <v>44787</v>
      </c>
      <c r="W242" s="26">
        <f t="shared" ca="1" si="5"/>
        <v>0.33194611167899646</v>
      </c>
      <c r="X242" s="29">
        <v>0</v>
      </c>
      <c r="Z242" s="22">
        <v>44787</v>
      </c>
      <c r="AA242" s="26">
        <f t="shared" ca="1" si="6"/>
        <v>0.98400527198379706</v>
      </c>
      <c r="AB242" s="29">
        <v>0</v>
      </c>
      <c r="AC242"/>
      <c r="AD242" s="25"/>
      <c r="AF242" s="22">
        <v>44787</v>
      </c>
      <c r="AG242" s="26">
        <f t="shared" ca="1" si="7"/>
        <v>0.3801272148686633</v>
      </c>
      <c r="AH242" s="29">
        <v>0</v>
      </c>
      <c r="AJ242" s="22">
        <v>44787</v>
      </c>
      <c r="AK242" s="26">
        <f t="shared" ca="1" si="8"/>
        <v>0.48203880738600213</v>
      </c>
      <c r="AL242" s="29">
        <v>0</v>
      </c>
      <c r="AN242" s="22">
        <v>44787</v>
      </c>
      <c r="AO242" s="26">
        <f t="shared" ca="1" si="9"/>
        <v>0.20199216574584444</v>
      </c>
      <c r="AP242" s="29">
        <v>0</v>
      </c>
      <c r="AR242" s="22">
        <v>44787</v>
      </c>
      <c r="AS242" s="26">
        <f t="shared" ca="1" si="10"/>
        <v>0.59656355956421803</v>
      </c>
      <c r="AT242" s="29">
        <v>0</v>
      </c>
      <c r="AV242" s="22">
        <v>44787</v>
      </c>
      <c r="AW242" s="26">
        <f t="shared" ca="1" si="11"/>
        <v>0.40172519175959487</v>
      </c>
      <c r="AX242" s="29">
        <v>0</v>
      </c>
      <c r="AZ242" s="22">
        <v>44787</v>
      </c>
      <c r="BA242" s="26">
        <f t="shared" ca="1" si="12"/>
        <v>0.2058489938311665</v>
      </c>
      <c r="BB242" s="29">
        <v>0</v>
      </c>
      <c r="BC242"/>
      <c r="BD242" s="25"/>
      <c r="BF242" s="22">
        <v>44787</v>
      </c>
      <c r="BG242" s="26">
        <f t="shared" ca="1" si="13"/>
        <v>0.91924666979950409</v>
      </c>
      <c r="BH242" s="29">
        <v>0</v>
      </c>
      <c r="BJ242" s="22">
        <v>44787</v>
      </c>
      <c r="BK242" s="26">
        <f t="shared" ca="1" si="14"/>
        <v>0.66504775654946646</v>
      </c>
      <c r="BL242" s="29">
        <v>0</v>
      </c>
      <c r="BN242" s="22">
        <v>44787</v>
      </c>
      <c r="BO242" s="26">
        <f t="shared" ca="1" si="15"/>
        <v>2.6127796978844375E-2</v>
      </c>
      <c r="BP242" s="29">
        <v>0</v>
      </c>
      <c r="BR242" s="22">
        <v>44787</v>
      </c>
      <c r="BS242" s="26">
        <f t="shared" ca="1" si="16"/>
        <v>0.97131495382525401</v>
      </c>
      <c r="BT242" s="29">
        <v>0</v>
      </c>
      <c r="BV242" s="22">
        <v>44787</v>
      </c>
      <c r="BW242" s="26">
        <f t="shared" ca="1" si="17"/>
        <v>0.16703505124841533</v>
      </c>
      <c r="BX242" s="29">
        <v>0</v>
      </c>
    </row>
    <row r="243" spans="2:76" ht="12.75" x14ac:dyDescent="0.2">
      <c r="B243" s="22">
        <v>44788</v>
      </c>
      <c r="C243" s="26">
        <f t="shared" ca="1" si="0"/>
        <v>0.38287845145750365</v>
      </c>
      <c r="D243" s="29">
        <v>0</v>
      </c>
      <c r="F243" s="22">
        <v>44788</v>
      </c>
      <c r="G243" s="26">
        <f t="shared" ca="1" si="1"/>
        <v>0.58577511530475668</v>
      </c>
      <c r="H243" s="29">
        <v>0</v>
      </c>
      <c r="J243" s="22">
        <v>44788</v>
      </c>
      <c r="K243" s="26">
        <f t="shared" ca="1" si="2"/>
        <v>0.64147089451436223</v>
      </c>
      <c r="L243" s="29">
        <v>0</v>
      </c>
      <c r="N243" s="22">
        <v>44788</v>
      </c>
      <c r="O243" s="26">
        <f t="shared" ca="1" si="3"/>
        <v>0.88248250116272631</v>
      </c>
      <c r="P243" s="29">
        <v>0</v>
      </c>
      <c r="R243" s="22">
        <v>44788</v>
      </c>
      <c r="S243" s="26">
        <f t="shared" ca="1" si="4"/>
        <v>0.98381098054115856</v>
      </c>
      <c r="T243" s="29">
        <v>0</v>
      </c>
      <c r="V243" s="22">
        <v>44788</v>
      </c>
      <c r="W243" s="26">
        <f t="shared" ca="1" si="5"/>
        <v>0.21031219475450913</v>
      </c>
      <c r="X243" s="29">
        <v>0</v>
      </c>
      <c r="Z243" s="22">
        <v>44788</v>
      </c>
      <c r="AA243" s="26">
        <f t="shared" ca="1" si="6"/>
        <v>4.2722323929119121E-2</v>
      </c>
      <c r="AB243" s="29">
        <v>0</v>
      </c>
      <c r="AC243"/>
      <c r="AD243" s="25"/>
      <c r="AF243" s="22">
        <v>44788</v>
      </c>
      <c r="AG243" s="26">
        <f t="shared" ca="1" si="7"/>
        <v>0.14126010673573663</v>
      </c>
      <c r="AH243" s="29">
        <v>0</v>
      </c>
      <c r="AJ243" s="22">
        <v>44788</v>
      </c>
      <c r="AK243" s="26">
        <f t="shared" ca="1" si="8"/>
        <v>0.3548856967376709</v>
      </c>
      <c r="AL243" s="29">
        <v>0</v>
      </c>
      <c r="AN243" s="22">
        <v>44788</v>
      </c>
      <c r="AO243" s="26">
        <f t="shared" ca="1" si="9"/>
        <v>7.6091943602872525E-2</v>
      </c>
      <c r="AP243" s="29">
        <v>0</v>
      </c>
      <c r="AR243" s="22">
        <v>44788</v>
      </c>
      <c r="AS243" s="26">
        <f t="shared" ca="1" si="10"/>
        <v>0.38873474595328006</v>
      </c>
      <c r="AT243" s="29">
        <v>0</v>
      </c>
      <c r="AV243" s="22">
        <v>44788</v>
      </c>
      <c r="AW243" s="26">
        <f t="shared" ca="1" si="11"/>
        <v>0.50441563609697748</v>
      </c>
      <c r="AX243" s="29">
        <v>0</v>
      </c>
      <c r="AZ243" s="22">
        <v>44788</v>
      </c>
      <c r="BA243" s="26">
        <f t="shared" ca="1" si="12"/>
        <v>0.82638340811716426</v>
      </c>
      <c r="BB243" s="29">
        <v>0</v>
      </c>
      <c r="BC243"/>
      <c r="BD243" s="25"/>
      <c r="BF243" s="22">
        <v>44788</v>
      </c>
      <c r="BG243" s="26">
        <f t="shared" ca="1" si="13"/>
        <v>0.67595344131028079</v>
      </c>
      <c r="BH243" s="29">
        <v>0</v>
      </c>
      <c r="BJ243" s="22">
        <v>44788</v>
      </c>
      <c r="BK243" s="26">
        <f t="shared" ca="1" si="14"/>
        <v>0.38222443931142125</v>
      </c>
      <c r="BL243" s="29">
        <v>0</v>
      </c>
      <c r="BN243" s="22">
        <v>44788</v>
      </c>
      <c r="BO243" s="26">
        <f t="shared" ca="1" si="15"/>
        <v>0.44763959762791994</v>
      </c>
      <c r="BP243" s="29">
        <v>0</v>
      </c>
      <c r="BR243" s="22">
        <v>44788</v>
      </c>
      <c r="BS243" s="26">
        <f t="shared" ca="1" si="16"/>
        <v>0.28003911583693808</v>
      </c>
      <c r="BT243" s="29">
        <v>0</v>
      </c>
      <c r="BV243" s="22">
        <v>44788</v>
      </c>
      <c r="BW243" s="26">
        <f t="shared" ca="1" si="17"/>
        <v>0.45453113028744929</v>
      </c>
      <c r="BX243" s="29">
        <v>0</v>
      </c>
    </row>
    <row r="244" spans="2:76" ht="12.75" x14ac:dyDescent="0.2">
      <c r="B244" s="22">
        <v>44789</v>
      </c>
      <c r="C244" s="26">
        <f t="shared" ca="1" si="0"/>
        <v>0.61318482598207225</v>
      </c>
      <c r="D244" s="29">
        <v>0</v>
      </c>
      <c r="F244" s="22">
        <v>44789</v>
      </c>
      <c r="G244" s="26">
        <f t="shared" ca="1" si="1"/>
        <v>0.84627460462841697</v>
      </c>
      <c r="H244" s="29">
        <v>0</v>
      </c>
      <c r="J244" s="22">
        <v>44789</v>
      </c>
      <c r="K244" s="26">
        <f t="shared" ca="1" si="2"/>
        <v>0.97672689331364548</v>
      </c>
      <c r="L244" s="29">
        <v>0</v>
      </c>
      <c r="N244" s="22">
        <v>44789</v>
      </c>
      <c r="O244" s="26">
        <f t="shared" ca="1" si="3"/>
        <v>0.28956704905255259</v>
      </c>
      <c r="P244" s="29">
        <v>0</v>
      </c>
      <c r="R244" s="22">
        <v>44789</v>
      </c>
      <c r="S244" s="26">
        <f t="shared" ca="1" si="4"/>
        <v>0.35740443883123119</v>
      </c>
      <c r="T244" s="29">
        <v>0</v>
      </c>
      <c r="V244" s="22">
        <v>44789</v>
      </c>
      <c r="W244" s="26">
        <f t="shared" ca="1" si="5"/>
        <v>1.940261850518199E-2</v>
      </c>
      <c r="X244" s="29">
        <v>0</v>
      </c>
      <c r="Z244" s="22">
        <v>44789</v>
      </c>
      <c r="AA244" s="26">
        <f t="shared" ca="1" si="6"/>
        <v>0.29824101785128909</v>
      </c>
      <c r="AB244" s="29">
        <v>0</v>
      </c>
      <c r="AC244"/>
      <c r="AD244" s="25"/>
      <c r="AF244" s="22">
        <v>44789</v>
      </c>
      <c r="AG244" s="26">
        <f t="shared" ca="1" si="7"/>
        <v>0.51039043672788098</v>
      </c>
      <c r="AH244" s="29">
        <v>0</v>
      </c>
      <c r="AJ244" s="22">
        <v>44789</v>
      </c>
      <c r="AK244" s="26">
        <f t="shared" ca="1" si="8"/>
        <v>0.11995194219262417</v>
      </c>
      <c r="AL244" s="29">
        <v>0</v>
      </c>
      <c r="AN244" s="22">
        <v>44789</v>
      </c>
      <c r="AO244" s="26">
        <f t="shared" ca="1" si="9"/>
        <v>0.75573699065615652</v>
      </c>
      <c r="AP244" s="29">
        <v>0</v>
      </c>
      <c r="AR244" s="22">
        <v>44789</v>
      </c>
      <c r="AS244" s="26">
        <f t="shared" ca="1" si="10"/>
        <v>0.55994694662974465</v>
      </c>
      <c r="AT244" s="29">
        <v>0</v>
      </c>
      <c r="AV244" s="22">
        <v>44789</v>
      </c>
      <c r="AW244" s="26">
        <f t="shared" ca="1" si="11"/>
        <v>0.61067205164386873</v>
      </c>
      <c r="AX244" s="29">
        <v>0</v>
      </c>
      <c r="AZ244" s="22">
        <v>44789</v>
      </c>
      <c r="BA244" s="26">
        <f t="shared" ca="1" si="12"/>
        <v>0.97732660377320424</v>
      </c>
      <c r="BB244" s="29">
        <v>0</v>
      </c>
      <c r="BC244"/>
      <c r="BD244" s="25"/>
      <c r="BF244" s="22">
        <v>44789</v>
      </c>
      <c r="BG244" s="26">
        <f t="shared" ca="1" si="13"/>
        <v>0.17004852399457471</v>
      </c>
      <c r="BH244" s="29">
        <v>0</v>
      </c>
      <c r="BJ244" s="22">
        <v>44789</v>
      </c>
      <c r="BK244" s="26">
        <f t="shared" ca="1" si="14"/>
        <v>0.23465543792299093</v>
      </c>
      <c r="BL244" s="29">
        <v>0</v>
      </c>
      <c r="BN244" s="22">
        <v>44789</v>
      </c>
      <c r="BO244" s="26">
        <f t="shared" ca="1" si="15"/>
        <v>0.48450301597179712</v>
      </c>
      <c r="BP244" s="29">
        <v>0</v>
      </c>
      <c r="BR244" s="22">
        <v>44789</v>
      </c>
      <c r="BS244" s="26">
        <f t="shared" ca="1" si="16"/>
        <v>0.42414916187344465</v>
      </c>
      <c r="BT244" s="29">
        <v>0</v>
      </c>
      <c r="BV244" s="22">
        <v>44789</v>
      </c>
      <c r="BW244" s="26">
        <f t="shared" ca="1" si="17"/>
        <v>0.20841674514178488</v>
      </c>
      <c r="BX244" s="29">
        <v>0</v>
      </c>
    </row>
    <row r="245" spans="2:76" ht="12.75" x14ac:dyDescent="0.2">
      <c r="B245" s="22">
        <v>44790</v>
      </c>
      <c r="C245" s="26">
        <f t="shared" ca="1" si="0"/>
        <v>0.45890633443119699</v>
      </c>
      <c r="D245" s="29">
        <v>0</v>
      </c>
      <c r="F245" s="22">
        <v>44790</v>
      </c>
      <c r="G245" s="26">
        <f t="shared" ca="1" si="1"/>
        <v>0.65326298811934425</v>
      </c>
      <c r="H245" s="29">
        <v>0</v>
      </c>
      <c r="J245" s="22">
        <v>44790</v>
      </c>
      <c r="K245" s="26">
        <f t="shared" ca="1" si="2"/>
        <v>0.30172833160450874</v>
      </c>
      <c r="L245" s="29">
        <v>0</v>
      </c>
      <c r="N245" s="22">
        <v>44790</v>
      </c>
      <c r="O245" s="26">
        <f t="shared" ca="1" si="3"/>
        <v>0.86878369650921194</v>
      </c>
      <c r="P245" s="29">
        <v>0</v>
      </c>
      <c r="R245" s="22">
        <v>44790</v>
      </c>
      <c r="S245" s="26">
        <f t="shared" ca="1" si="4"/>
        <v>0.70683817955266237</v>
      </c>
      <c r="T245" s="29">
        <v>0</v>
      </c>
      <c r="V245" s="22">
        <v>44790</v>
      </c>
      <c r="W245" s="26">
        <f t="shared" ca="1" si="5"/>
        <v>0.93079063122195305</v>
      </c>
      <c r="X245" s="29">
        <v>0</v>
      </c>
      <c r="Z245" s="22">
        <v>44790</v>
      </c>
      <c r="AA245" s="26">
        <f t="shared" ca="1" si="6"/>
        <v>0.89477801472840213</v>
      </c>
      <c r="AB245" s="29">
        <v>0</v>
      </c>
      <c r="AC245"/>
      <c r="AD245" s="25"/>
      <c r="AF245" s="22">
        <v>44790</v>
      </c>
      <c r="AG245" s="26">
        <f t="shared" ca="1" si="7"/>
        <v>0.5290266879004375</v>
      </c>
      <c r="AH245" s="29">
        <v>0</v>
      </c>
      <c r="AJ245" s="22">
        <v>44790</v>
      </c>
      <c r="AK245" s="26">
        <f t="shared" ca="1" si="8"/>
        <v>2.7116896624238218E-2</v>
      </c>
      <c r="AL245" s="29">
        <v>0</v>
      </c>
      <c r="AN245" s="22">
        <v>44790</v>
      </c>
      <c r="AO245" s="26">
        <f t="shared" ca="1" si="9"/>
        <v>0.52608836106292889</v>
      </c>
      <c r="AP245" s="29">
        <v>0</v>
      </c>
      <c r="AR245" s="22">
        <v>44790</v>
      </c>
      <c r="AS245" s="26">
        <f t="shared" ca="1" si="10"/>
        <v>0.13848335107725485</v>
      </c>
      <c r="AT245" s="29">
        <v>0</v>
      </c>
      <c r="AV245" s="22">
        <v>44790</v>
      </c>
      <c r="AW245" s="26">
        <f t="shared" ca="1" si="11"/>
        <v>0.58336524794978539</v>
      </c>
      <c r="AX245" s="29">
        <v>0</v>
      </c>
      <c r="AZ245" s="22">
        <v>44790</v>
      </c>
      <c r="BA245" s="26">
        <f t="shared" ca="1" si="12"/>
        <v>0.40697111692562815</v>
      </c>
      <c r="BB245" s="29">
        <v>0</v>
      </c>
      <c r="BC245"/>
      <c r="BD245" s="25"/>
      <c r="BF245" s="22">
        <v>44790</v>
      </c>
      <c r="BG245" s="26">
        <f t="shared" ca="1" si="13"/>
        <v>0.9241678190805297</v>
      </c>
      <c r="BH245" s="29">
        <v>0</v>
      </c>
      <c r="BJ245" s="22">
        <v>44790</v>
      </c>
      <c r="BK245" s="26">
        <f t="shared" ca="1" si="14"/>
        <v>0.88621676149789419</v>
      </c>
      <c r="BL245" s="29">
        <v>0</v>
      </c>
      <c r="BN245" s="22">
        <v>44790</v>
      </c>
      <c r="BO245" s="26">
        <f t="shared" ca="1" si="15"/>
        <v>0.67823636576501478</v>
      </c>
      <c r="BP245" s="29">
        <v>0</v>
      </c>
      <c r="BR245" s="22">
        <v>44790</v>
      </c>
      <c r="BS245" s="26">
        <f t="shared" ca="1" si="16"/>
        <v>0.46118591237218753</v>
      </c>
      <c r="BT245" s="29">
        <v>0</v>
      </c>
      <c r="BV245" s="22">
        <v>44790</v>
      </c>
      <c r="BW245" s="26">
        <f t="shared" ca="1" si="17"/>
        <v>0.75149300289610732</v>
      </c>
      <c r="BX245" s="29">
        <v>0</v>
      </c>
    </row>
    <row r="246" spans="2:76" ht="12.75" x14ac:dyDescent="0.2">
      <c r="B246" s="22">
        <v>44791</v>
      </c>
      <c r="C246" s="26">
        <f t="shared" ca="1" si="0"/>
        <v>0.95008355049196003</v>
      </c>
      <c r="D246" s="29">
        <v>0</v>
      </c>
      <c r="F246" s="22">
        <v>44791</v>
      </c>
      <c r="G246" s="26">
        <f t="shared" ca="1" si="1"/>
        <v>0.56248008638464853</v>
      </c>
      <c r="H246" s="29">
        <v>0</v>
      </c>
      <c r="J246" s="22">
        <v>44791</v>
      </c>
      <c r="K246" s="26">
        <f t="shared" ca="1" si="2"/>
        <v>0.6184501084492493</v>
      </c>
      <c r="L246" s="29">
        <v>0</v>
      </c>
      <c r="N246" s="22">
        <v>44791</v>
      </c>
      <c r="O246" s="26">
        <f t="shared" ca="1" si="3"/>
        <v>0.35324849960069005</v>
      </c>
      <c r="P246" s="29">
        <v>0</v>
      </c>
      <c r="R246" s="22">
        <v>44791</v>
      </c>
      <c r="S246" s="26">
        <f t="shared" ca="1" si="4"/>
        <v>2.7535163675107555E-4</v>
      </c>
      <c r="T246" s="29">
        <v>0</v>
      </c>
      <c r="V246" s="22">
        <v>44791</v>
      </c>
      <c r="W246" s="26">
        <f t="shared" ca="1" si="5"/>
        <v>0.5473818993990931</v>
      </c>
      <c r="X246" s="29">
        <v>0</v>
      </c>
      <c r="Z246" s="22">
        <v>44791</v>
      </c>
      <c r="AA246" s="26">
        <f t="shared" ca="1" si="6"/>
        <v>0.77147477163381528</v>
      </c>
      <c r="AB246" s="29">
        <v>0</v>
      </c>
      <c r="AC246"/>
      <c r="AD246" s="25"/>
      <c r="AF246" s="22">
        <v>44791</v>
      </c>
      <c r="AG246" s="26">
        <f t="shared" ca="1" si="7"/>
        <v>7.3015865219646869E-2</v>
      </c>
      <c r="AH246" s="29">
        <v>0</v>
      </c>
      <c r="AJ246" s="22">
        <v>44791</v>
      </c>
      <c r="AK246" s="26">
        <f t="shared" ca="1" si="8"/>
        <v>0.7558141361685089</v>
      </c>
      <c r="AL246" s="29">
        <v>0</v>
      </c>
      <c r="AN246" s="22">
        <v>44791</v>
      </c>
      <c r="AO246" s="26">
        <f t="shared" ca="1" si="9"/>
        <v>0.91420341545419193</v>
      </c>
      <c r="AP246" s="29">
        <v>0</v>
      </c>
      <c r="AR246" s="22">
        <v>44791</v>
      </c>
      <c r="AS246" s="26">
        <f t="shared" ca="1" si="10"/>
        <v>0.91116370949350134</v>
      </c>
      <c r="AT246" s="29">
        <v>0</v>
      </c>
      <c r="AV246" s="22">
        <v>44791</v>
      </c>
      <c r="AW246" s="26">
        <f t="shared" ca="1" si="11"/>
        <v>0.42054727779167433</v>
      </c>
      <c r="AX246" s="29">
        <v>0</v>
      </c>
      <c r="AZ246" s="22">
        <v>44791</v>
      </c>
      <c r="BA246" s="26">
        <f t="shared" ca="1" si="12"/>
        <v>5.1054818230873544E-2</v>
      </c>
      <c r="BB246" s="29">
        <v>0</v>
      </c>
      <c r="BC246"/>
      <c r="BD246" s="25"/>
      <c r="BF246" s="22">
        <v>44791</v>
      </c>
      <c r="BG246" s="26">
        <f t="shared" ca="1" si="13"/>
        <v>0.7255442196392744</v>
      </c>
      <c r="BH246" s="29">
        <v>0</v>
      </c>
      <c r="BJ246" s="22">
        <v>44791</v>
      </c>
      <c r="BK246" s="26">
        <f t="shared" ca="1" si="14"/>
        <v>0.18653996713836662</v>
      </c>
      <c r="BL246" s="29">
        <v>0</v>
      </c>
      <c r="BN246" s="22">
        <v>44791</v>
      </c>
      <c r="BO246" s="26">
        <f t="shared" ca="1" si="15"/>
        <v>0.25423612138920215</v>
      </c>
      <c r="BP246" s="29">
        <v>0</v>
      </c>
      <c r="BR246" s="22">
        <v>44791</v>
      </c>
      <c r="BS246" s="26">
        <f t="shared" ca="1" si="16"/>
        <v>0.31832439704686388</v>
      </c>
      <c r="BT246" s="29">
        <v>0</v>
      </c>
      <c r="BV246" s="22">
        <v>44791</v>
      </c>
      <c r="BW246" s="26">
        <f t="shared" ca="1" si="17"/>
        <v>0.20886595633667981</v>
      </c>
      <c r="BX246" s="29">
        <v>0</v>
      </c>
    </row>
    <row r="247" spans="2:76" ht="12.75" x14ac:dyDescent="0.2">
      <c r="B247" s="22">
        <v>44792</v>
      </c>
      <c r="C247" s="26">
        <f t="shared" ca="1" si="0"/>
        <v>0.62924708613919111</v>
      </c>
      <c r="D247" s="29">
        <v>0</v>
      </c>
      <c r="F247" s="22">
        <v>44792</v>
      </c>
      <c r="G247" s="26">
        <f t="shared" ca="1" si="1"/>
        <v>7.7591363759329623E-2</v>
      </c>
      <c r="H247" s="29">
        <v>0</v>
      </c>
      <c r="J247" s="22">
        <v>44792</v>
      </c>
      <c r="K247" s="26">
        <f t="shared" ca="1" si="2"/>
        <v>0.25536912935723122</v>
      </c>
      <c r="L247" s="29">
        <v>0</v>
      </c>
      <c r="N247" s="22">
        <v>44792</v>
      </c>
      <c r="O247" s="26">
        <f t="shared" ca="1" si="3"/>
        <v>0.96652828009005232</v>
      </c>
      <c r="P247" s="29">
        <v>0</v>
      </c>
      <c r="R247" s="22">
        <v>44792</v>
      </c>
      <c r="S247" s="26">
        <f t="shared" ca="1" si="4"/>
        <v>0.34220014397156129</v>
      </c>
      <c r="T247" s="29">
        <v>0</v>
      </c>
      <c r="V247" s="22">
        <v>44792</v>
      </c>
      <c r="W247" s="26">
        <f t="shared" ca="1" si="5"/>
        <v>0.82192492687618501</v>
      </c>
      <c r="X247" s="29">
        <v>0</v>
      </c>
      <c r="Z247" s="22">
        <v>44792</v>
      </c>
      <c r="AA247" s="26">
        <f t="shared" ca="1" si="6"/>
        <v>0.47356762571557443</v>
      </c>
      <c r="AB247" s="29">
        <v>0</v>
      </c>
      <c r="AC247"/>
      <c r="AD247" s="25"/>
      <c r="AF247" s="22">
        <v>44792</v>
      </c>
      <c r="AG247" s="26">
        <f t="shared" ca="1" si="7"/>
        <v>0.15077424129993156</v>
      </c>
      <c r="AH247" s="29">
        <v>0</v>
      </c>
      <c r="AJ247" s="22">
        <v>44792</v>
      </c>
      <c r="AK247" s="26">
        <f t="shared" ca="1" si="8"/>
        <v>7.8382434883045637E-2</v>
      </c>
      <c r="AL247" s="29">
        <v>0</v>
      </c>
      <c r="AN247" s="22">
        <v>44792</v>
      </c>
      <c r="AO247" s="26">
        <f t="shared" ca="1" si="9"/>
        <v>0.42647485301983834</v>
      </c>
      <c r="AP247" s="29">
        <v>0</v>
      </c>
      <c r="AR247" s="22">
        <v>44792</v>
      </c>
      <c r="AS247" s="26">
        <f t="shared" ca="1" si="10"/>
        <v>0.81949631122654321</v>
      </c>
      <c r="AT247" s="29">
        <v>0</v>
      </c>
      <c r="AV247" s="22">
        <v>44792</v>
      </c>
      <c r="AW247" s="26">
        <f t="shared" ca="1" si="11"/>
        <v>0.26080951077960501</v>
      </c>
      <c r="AX247" s="29">
        <v>0</v>
      </c>
      <c r="AZ247" s="22">
        <v>44792</v>
      </c>
      <c r="BA247" s="26">
        <f t="shared" ca="1" si="12"/>
        <v>0.70526566903034626</v>
      </c>
      <c r="BB247" s="29">
        <v>0</v>
      </c>
      <c r="BC247"/>
      <c r="BD247" s="25"/>
      <c r="BF247" s="22">
        <v>44792</v>
      </c>
      <c r="BG247" s="26">
        <f t="shared" ca="1" si="13"/>
        <v>0.78958936839773786</v>
      </c>
      <c r="BH247" s="29">
        <v>0</v>
      </c>
      <c r="BJ247" s="22">
        <v>44792</v>
      </c>
      <c r="BK247" s="26">
        <f t="shared" ca="1" si="14"/>
        <v>0.45625941602671582</v>
      </c>
      <c r="BL247" s="29">
        <v>0</v>
      </c>
      <c r="BN247" s="22">
        <v>44792</v>
      </c>
      <c r="BO247" s="26">
        <f t="shared" ca="1" si="15"/>
        <v>0.39071539579609971</v>
      </c>
      <c r="BP247" s="29">
        <v>0</v>
      </c>
      <c r="BR247" s="22">
        <v>44792</v>
      </c>
      <c r="BS247" s="26">
        <f t="shared" ca="1" si="16"/>
        <v>0.45270566009340529</v>
      </c>
      <c r="BT247" s="29">
        <v>0</v>
      </c>
      <c r="BV247" s="22">
        <v>44792</v>
      </c>
      <c r="BW247" s="26">
        <f t="shared" ca="1" si="17"/>
        <v>0.7564347919839115</v>
      </c>
      <c r="BX247" s="29">
        <v>0</v>
      </c>
    </row>
    <row r="248" spans="2:76" ht="12.75" x14ac:dyDescent="0.2">
      <c r="B248" s="22">
        <v>44793</v>
      </c>
      <c r="C248" s="26">
        <f t="shared" ca="1" si="0"/>
        <v>0.32138182036690754</v>
      </c>
      <c r="D248" s="29">
        <v>0</v>
      </c>
      <c r="F248" s="22">
        <v>44793</v>
      </c>
      <c r="G248" s="26">
        <f t="shared" ca="1" si="1"/>
        <v>0.18208834854161893</v>
      </c>
      <c r="H248" s="29">
        <v>0</v>
      </c>
      <c r="J248" s="22">
        <v>44793</v>
      </c>
      <c r="K248" s="26">
        <f t="shared" ca="1" si="2"/>
        <v>0.24616785938130226</v>
      </c>
      <c r="L248" s="29">
        <v>0</v>
      </c>
      <c r="N248" s="22">
        <v>44793</v>
      </c>
      <c r="O248" s="26">
        <f t="shared" ca="1" si="3"/>
        <v>0.87785673377460693</v>
      </c>
      <c r="P248" s="29">
        <v>0</v>
      </c>
      <c r="R248" s="22">
        <v>44793</v>
      </c>
      <c r="S248" s="26">
        <f t="shared" ca="1" si="4"/>
        <v>0.63327213727085685</v>
      </c>
      <c r="T248" s="29">
        <v>0</v>
      </c>
      <c r="V248" s="22">
        <v>44793</v>
      </c>
      <c r="W248" s="26">
        <f t="shared" ca="1" si="5"/>
        <v>0.79498225248464949</v>
      </c>
      <c r="X248" s="29">
        <v>0</v>
      </c>
      <c r="Z248" s="22">
        <v>44793</v>
      </c>
      <c r="AA248" s="26">
        <f t="shared" ca="1" si="6"/>
        <v>0.39511763468768757</v>
      </c>
      <c r="AB248" s="29">
        <v>0</v>
      </c>
      <c r="AC248"/>
      <c r="AD248" s="25"/>
      <c r="AF248" s="22">
        <v>44793</v>
      </c>
      <c r="AG248" s="26">
        <f t="shared" ca="1" si="7"/>
        <v>4.2348615777395571E-3</v>
      </c>
      <c r="AH248" s="29">
        <v>0</v>
      </c>
      <c r="AJ248" s="22">
        <v>44793</v>
      </c>
      <c r="AK248" s="26">
        <f t="shared" ca="1" si="8"/>
        <v>0.16427259044977971</v>
      </c>
      <c r="AL248" s="29">
        <v>0</v>
      </c>
      <c r="AN248" s="22">
        <v>44793</v>
      </c>
      <c r="AO248" s="26">
        <f t="shared" ca="1" si="9"/>
        <v>0.35789805211408532</v>
      </c>
      <c r="AP248" s="29">
        <v>0</v>
      </c>
      <c r="AR248" s="22">
        <v>44793</v>
      </c>
      <c r="AS248" s="26">
        <f t="shared" ca="1" si="10"/>
        <v>0.63747448266570328</v>
      </c>
      <c r="AT248" s="29">
        <v>0</v>
      </c>
      <c r="AV248" s="22">
        <v>44793</v>
      </c>
      <c r="AW248" s="26">
        <f t="shared" ca="1" si="11"/>
        <v>0.70961737131580904</v>
      </c>
      <c r="AX248" s="29">
        <v>0</v>
      </c>
      <c r="AZ248" s="22">
        <v>44793</v>
      </c>
      <c r="BA248" s="26">
        <f t="shared" ca="1" si="12"/>
        <v>0.55073852137777679</v>
      </c>
      <c r="BB248" s="29">
        <v>0</v>
      </c>
      <c r="BC248"/>
      <c r="BD248" s="25"/>
      <c r="BF248" s="22">
        <v>44793</v>
      </c>
      <c r="BG248" s="26">
        <f t="shared" ca="1" si="13"/>
        <v>0.27835088828890109</v>
      </c>
      <c r="BH248" s="29">
        <v>0</v>
      </c>
      <c r="BJ248" s="22">
        <v>44793</v>
      </c>
      <c r="BK248" s="26">
        <f t="shared" ca="1" si="14"/>
        <v>0.99586476107579902</v>
      </c>
      <c r="BL248" s="29">
        <v>0</v>
      </c>
      <c r="BN248" s="22">
        <v>44793</v>
      </c>
      <c r="BO248" s="26">
        <f t="shared" ca="1" si="15"/>
        <v>0.77457479497910686</v>
      </c>
      <c r="BP248" s="29">
        <v>0</v>
      </c>
      <c r="BR248" s="22">
        <v>44793</v>
      </c>
      <c r="BS248" s="26">
        <f t="shared" ca="1" si="16"/>
        <v>0.61673150612455363</v>
      </c>
      <c r="BT248" s="29">
        <v>0</v>
      </c>
      <c r="BV248" s="22">
        <v>44793</v>
      </c>
      <c r="BW248" s="26">
        <f t="shared" ca="1" si="17"/>
        <v>1.2432789144781742E-3</v>
      </c>
      <c r="BX248" s="29">
        <v>0</v>
      </c>
    </row>
    <row r="249" spans="2:76" ht="12.75" x14ac:dyDescent="0.2">
      <c r="B249" s="22">
        <v>44794</v>
      </c>
      <c r="C249" s="26">
        <f t="shared" ca="1" si="0"/>
        <v>0.56429146870081581</v>
      </c>
      <c r="D249" s="29">
        <v>0</v>
      </c>
      <c r="F249" s="22">
        <v>44794</v>
      </c>
      <c r="G249" s="26">
        <f t="shared" ca="1" si="1"/>
        <v>0.43530660074133365</v>
      </c>
      <c r="H249" s="29">
        <v>0</v>
      </c>
      <c r="J249" s="22">
        <v>44794</v>
      </c>
      <c r="K249" s="26">
        <f t="shared" ca="1" si="2"/>
        <v>0.27964369491227092</v>
      </c>
      <c r="L249" s="29">
        <v>0</v>
      </c>
      <c r="N249" s="22">
        <v>44794</v>
      </c>
      <c r="O249" s="26">
        <f t="shared" ca="1" si="3"/>
        <v>0.35777091141580042</v>
      </c>
      <c r="P249" s="29">
        <v>0</v>
      </c>
      <c r="R249" s="22">
        <v>44794</v>
      </c>
      <c r="S249" s="26">
        <f t="shared" ca="1" si="4"/>
        <v>0.4835638201272906</v>
      </c>
      <c r="T249" s="29">
        <v>0</v>
      </c>
      <c r="V249" s="22">
        <v>44794</v>
      </c>
      <c r="W249" s="26">
        <f t="shared" ca="1" si="5"/>
        <v>0.11897699555230823</v>
      </c>
      <c r="X249" s="29">
        <v>0</v>
      </c>
      <c r="Z249" s="22">
        <v>44794</v>
      </c>
      <c r="AA249" s="26">
        <f t="shared" ca="1" si="6"/>
        <v>0.24892326004598397</v>
      </c>
      <c r="AB249" s="29">
        <v>0</v>
      </c>
      <c r="AC249"/>
      <c r="AD249" s="25"/>
      <c r="AF249" s="22">
        <v>44794</v>
      </c>
      <c r="AG249" s="26">
        <f t="shared" ca="1" si="7"/>
        <v>0.20842261561676734</v>
      </c>
      <c r="AH249" s="29">
        <v>0</v>
      </c>
      <c r="AJ249" s="22">
        <v>44794</v>
      </c>
      <c r="AK249" s="26">
        <f t="shared" ca="1" si="8"/>
        <v>0.35681836914137133</v>
      </c>
      <c r="AL249" s="29">
        <v>0</v>
      </c>
      <c r="AN249" s="22">
        <v>44794</v>
      </c>
      <c r="AO249" s="26">
        <f t="shared" ca="1" si="9"/>
        <v>0.22035406099490518</v>
      </c>
      <c r="AP249" s="29">
        <v>0</v>
      </c>
      <c r="AR249" s="22">
        <v>44794</v>
      </c>
      <c r="AS249" s="26">
        <f t="shared" ca="1" si="10"/>
        <v>0.7654188297133574</v>
      </c>
      <c r="AT249" s="29">
        <v>0</v>
      </c>
      <c r="AV249" s="22">
        <v>44794</v>
      </c>
      <c r="AW249" s="26">
        <f t="shared" ca="1" si="11"/>
        <v>0.26556219914711077</v>
      </c>
      <c r="AX249" s="29">
        <v>0</v>
      </c>
      <c r="AZ249" s="22">
        <v>44794</v>
      </c>
      <c r="BA249" s="26">
        <f t="shared" ca="1" si="12"/>
        <v>0.86871604661368018</v>
      </c>
      <c r="BB249" s="29">
        <v>0</v>
      </c>
      <c r="BC249"/>
      <c r="BD249" s="25"/>
      <c r="BF249" s="22">
        <v>44794</v>
      </c>
      <c r="BG249" s="26">
        <f t="shared" ca="1" si="13"/>
        <v>0.76695732604335831</v>
      </c>
      <c r="BH249" s="29">
        <v>0</v>
      </c>
      <c r="BJ249" s="22">
        <v>44794</v>
      </c>
      <c r="BK249" s="26">
        <f t="shared" ca="1" si="14"/>
        <v>0.95228857623937757</v>
      </c>
      <c r="BL249" s="29">
        <v>0</v>
      </c>
      <c r="BN249" s="22">
        <v>44794</v>
      </c>
      <c r="BO249" s="26">
        <f t="shared" ca="1" si="15"/>
        <v>0.19967500017908102</v>
      </c>
      <c r="BP249" s="29">
        <v>0</v>
      </c>
      <c r="BR249" s="22">
        <v>44794</v>
      </c>
      <c r="BS249" s="26">
        <f t="shared" ca="1" si="16"/>
        <v>0.15728358256570829</v>
      </c>
      <c r="BT249" s="29">
        <v>0</v>
      </c>
      <c r="BV249" s="22">
        <v>44794</v>
      </c>
      <c r="BW249" s="26">
        <f t="shared" ca="1" si="17"/>
        <v>0.69736129798658186</v>
      </c>
      <c r="BX249" s="29">
        <v>0</v>
      </c>
    </row>
    <row r="250" spans="2:76" ht="12.75" x14ac:dyDescent="0.2">
      <c r="B250" s="22">
        <v>44795</v>
      </c>
      <c r="C250" s="26">
        <f t="shared" ca="1" si="0"/>
        <v>0.87390535923686874</v>
      </c>
      <c r="D250" s="29">
        <v>0</v>
      </c>
      <c r="F250" s="22">
        <v>44795</v>
      </c>
      <c r="G250" s="26">
        <f t="shared" ca="1" si="1"/>
        <v>0.41825796724867237</v>
      </c>
      <c r="H250" s="29">
        <v>0</v>
      </c>
      <c r="J250" s="22">
        <v>44795</v>
      </c>
      <c r="K250" s="26">
        <f t="shared" ca="1" si="2"/>
        <v>0.89045380849225098</v>
      </c>
      <c r="L250" s="29">
        <v>0</v>
      </c>
      <c r="N250" s="22">
        <v>44795</v>
      </c>
      <c r="O250" s="26">
        <f t="shared" ca="1" si="3"/>
        <v>0.73051170857981851</v>
      </c>
      <c r="P250" s="29">
        <v>0</v>
      </c>
      <c r="R250" s="22">
        <v>44795</v>
      </c>
      <c r="S250" s="26">
        <f t="shared" ca="1" si="4"/>
        <v>0.58227856747013618</v>
      </c>
      <c r="T250" s="29">
        <v>0</v>
      </c>
      <c r="V250" s="22">
        <v>44795</v>
      </c>
      <c r="W250" s="26">
        <f t="shared" ca="1" si="5"/>
        <v>0.8670287382628008</v>
      </c>
      <c r="X250" s="29">
        <v>0</v>
      </c>
      <c r="Z250" s="22">
        <v>44795</v>
      </c>
      <c r="AA250" s="26">
        <f t="shared" ca="1" si="6"/>
        <v>0.40227889734083622</v>
      </c>
      <c r="AB250" s="29">
        <v>0</v>
      </c>
      <c r="AC250"/>
      <c r="AD250" s="25"/>
      <c r="AF250" s="22">
        <v>44795</v>
      </c>
      <c r="AG250" s="26">
        <f t="shared" ca="1" si="7"/>
        <v>0.4135488190797052</v>
      </c>
      <c r="AH250" s="29">
        <v>0</v>
      </c>
      <c r="AJ250" s="22">
        <v>44795</v>
      </c>
      <c r="AK250" s="26">
        <f t="shared" ca="1" si="8"/>
        <v>0.44397931247206746</v>
      </c>
      <c r="AL250" s="29">
        <v>0</v>
      </c>
      <c r="AN250" s="22">
        <v>44795</v>
      </c>
      <c r="AO250" s="26">
        <f t="shared" ca="1" si="9"/>
        <v>0.32992569980796604</v>
      </c>
      <c r="AP250" s="29">
        <v>0</v>
      </c>
      <c r="AR250" s="22">
        <v>44795</v>
      </c>
      <c r="AS250" s="26">
        <f t="shared" ca="1" si="10"/>
        <v>0.73864844718472888</v>
      </c>
      <c r="AT250" s="29">
        <v>0</v>
      </c>
      <c r="AV250" s="22">
        <v>44795</v>
      </c>
      <c r="AW250" s="26">
        <f t="shared" ca="1" si="11"/>
        <v>0.53909504949495168</v>
      </c>
      <c r="AX250" s="29">
        <v>0</v>
      </c>
      <c r="AZ250" s="22">
        <v>44795</v>
      </c>
      <c r="BA250" s="26">
        <f t="shared" ca="1" si="12"/>
        <v>0.93278871531180718</v>
      </c>
      <c r="BB250" s="29">
        <v>0</v>
      </c>
      <c r="BC250"/>
      <c r="BD250" s="25"/>
      <c r="BF250" s="22">
        <v>44795</v>
      </c>
      <c r="BG250" s="26">
        <f t="shared" ca="1" si="13"/>
        <v>0.16487701771591956</v>
      </c>
      <c r="BH250" s="29">
        <v>0</v>
      </c>
      <c r="BJ250" s="22">
        <v>44795</v>
      </c>
      <c r="BK250" s="26">
        <f t="shared" ca="1" si="14"/>
        <v>0.52562695940671766</v>
      </c>
      <c r="BL250" s="29">
        <v>0</v>
      </c>
      <c r="BN250" s="22">
        <v>44795</v>
      </c>
      <c r="BO250" s="26">
        <f t="shared" ca="1" si="15"/>
        <v>5.678610025044728E-2</v>
      </c>
      <c r="BP250" s="29">
        <v>0</v>
      </c>
      <c r="BR250" s="22">
        <v>44795</v>
      </c>
      <c r="BS250" s="26">
        <f t="shared" ca="1" si="16"/>
        <v>0.89332001438371667</v>
      </c>
      <c r="BT250" s="29">
        <v>0</v>
      </c>
      <c r="BV250" s="22">
        <v>44795</v>
      </c>
      <c r="BW250" s="26">
        <f t="shared" ca="1" si="17"/>
        <v>0.23480551507487968</v>
      </c>
      <c r="BX250" s="29">
        <v>0</v>
      </c>
    </row>
    <row r="251" spans="2:76" ht="12.75" x14ac:dyDescent="0.2">
      <c r="B251" s="22">
        <v>44796</v>
      </c>
      <c r="C251" s="26">
        <f t="shared" ca="1" si="0"/>
        <v>0.31573660681063731</v>
      </c>
      <c r="D251" s="29">
        <v>0</v>
      </c>
      <c r="F251" s="22">
        <v>44796</v>
      </c>
      <c r="G251" s="26">
        <f t="shared" ca="1" si="1"/>
        <v>0.32183756468496671</v>
      </c>
      <c r="H251" s="29">
        <v>0</v>
      </c>
      <c r="J251" s="22">
        <v>44796</v>
      </c>
      <c r="K251" s="26">
        <f t="shared" ca="1" si="2"/>
        <v>0.13664566053272409</v>
      </c>
      <c r="L251" s="29">
        <v>0</v>
      </c>
      <c r="N251" s="22">
        <v>44796</v>
      </c>
      <c r="O251" s="26">
        <f t="shared" ca="1" si="3"/>
        <v>2.4463394612860068E-2</v>
      </c>
      <c r="P251" s="29">
        <v>0</v>
      </c>
      <c r="R251" s="22">
        <v>44796</v>
      </c>
      <c r="S251" s="26">
        <f t="shared" ca="1" si="4"/>
        <v>1.1659318310422329E-2</v>
      </c>
      <c r="T251" s="29">
        <v>0</v>
      </c>
      <c r="V251" s="22">
        <v>44796</v>
      </c>
      <c r="W251" s="26">
        <f t="shared" ca="1" si="5"/>
        <v>0.38588522109177836</v>
      </c>
      <c r="X251" s="29">
        <v>0</v>
      </c>
      <c r="Z251" s="22">
        <v>44796</v>
      </c>
      <c r="AA251" s="26">
        <f t="shared" ca="1" si="6"/>
        <v>0.61907252870721829</v>
      </c>
      <c r="AB251" s="29">
        <v>0</v>
      </c>
      <c r="AC251"/>
      <c r="AD251" s="25"/>
      <c r="AF251" s="22">
        <v>44796</v>
      </c>
      <c r="AG251" s="26">
        <f t="shared" ca="1" si="7"/>
        <v>1.4396345863297078E-2</v>
      </c>
      <c r="AH251" s="29">
        <v>0</v>
      </c>
      <c r="AJ251" s="22">
        <v>44796</v>
      </c>
      <c r="AK251" s="26">
        <f t="shared" ca="1" si="8"/>
        <v>0.61792094699882494</v>
      </c>
      <c r="AL251" s="29">
        <v>0</v>
      </c>
      <c r="AN251" s="22">
        <v>44796</v>
      </c>
      <c r="AO251" s="26">
        <f t="shared" ca="1" si="9"/>
        <v>0.14983290534270832</v>
      </c>
      <c r="AP251" s="29">
        <v>0</v>
      </c>
      <c r="AR251" s="22">
        <v>44796</v>
      </c>
      <c r="AS251" s="26">
        <f t="shared" ca="1" si="10"/>
        <v>0.16218554923239203</v>
      </c>
      <c r="AT251" s="29">
        <v>0</v>
      </c>
      <c r="AV251" s="22">
        <v>44796</v>
      </c>
      <c r="AW251" s="26">
        <f t="shared" ca="1" si="11"/>
        <v>0.85717113728437921</v>
      </c>
      <c r="AX251" s="29">
        <v>0</v>
      </c>
      <c r="AZ251" s="22">
        <v>44796</v>
      </c>
      <c r="BA251" s="26">
        <f t="shared" ca="1" si="12"/>
        <v>0.64176191099154689</v>
      </c>
      <c r="BB251" s="29">
        <v>0</v>
      </c>
      <c r="BC251"/>
      <c r="BD251" s="25"/>
      <c r="BF251" s="22">
        <v>44796</v>
      </c>
      <c r="BG251" s="26">
        <f t="shared" ca="1" si="13"/>
        <v>4.2099398492774553E-2</v>
      </c>
      <c r="BH251" s="29">
        <v>0</v>
      </c>
      <c r="BJ251" s="22">
        <v>44796</v>
      </c>
      <c r="BK251" s="26">
        <f t="shared" ca="1" si="14"/>
        <v>0.61088942038530325</v>
      </c>
      <c r="BL251" s="29">
        <v>0</v>
      </c>
      <c r="BN251" s="22">
        <v>44796</v>
      </c>
      <c r="BO251" s="26">
        <f t="shared" ca="1" si="15"/>
        <v>0.405521730074346</v>
      </c>
      <c r="BP251" s="29">
        <v>0</v>
      </c>
      <c r="BR251" s="22">
        <v>44796</v>
      </c>
      <c r="BS251" s="26">
        <f t="shared" ca="1" si="16"/>
        <v>0.62598896565032047</v>
      </c>
      <c r="BT251" s="29">
        <v>0</v>
      </c>
      <c r="BV251" s="22">
        <v>44796</v>
      </c>
      <c r="BW251" s="26">
        <f t="shared" ca="1" si="17"/>
        <v>0.32478990926001694</v>
      </c>
      <c r="BX251" s="29">
        <v>0</v>
      </c>
    </row>
    <row r="252" spans="2:76" ht="12.75" x14ac:dyDescent="0.2">
      <c r="B252" s="22">
        <v>44797</v>
      </c>
      <c r="C252" s="26">
        <f t="shared" ca="1" si="0"/>
        <v>0.65479806707264188</v>
      </c>
      <c r="D252" s="29">
        <v>0</v>
      </c>
      <c r="F252" s="22">
        <v>44797</v>
      </c>
      <c r="G252" s="26">
        <f t="shared" ca="1" si="1"/>
        <v>0.32823535983673646</v>
      </c>
      <c r="H252" s="29">
        <v>0</v>
      </c>
      <c r="J252" s="22">
        <v>44797</v>
      </c>
      <c r="K252" s="26">
        <f t="shared" ca="1" si="2"/>
        <v>0.3989417861610316</v>
      </c>
      <c r="L252" s="29">
        <v>0</v>
      </c>
      <c r="N252" s="22">
        <v>44797</v>
      </c>
      <c r="O252" s="26">
        <f t="shared" ca="1" si="3"/>
        <v>0.58805592129884254</v>
      </c>
      <c r="P252" s="29">
        <v>0</v>
      </c>
      <c r="R252" s="22">
        <v>44797</v>
      </c>
      <c r="S252" s="26">
        <f t="shared" ca="1" si="4"/>
        <v>0.69065513366322728</v>
      </c>
      <c r="T252" s="29">
        <v>0</v>
      </c>
      <c r="V252" s="22">
        <v>44797</v>
      </c>
      <c r="W252" s="26">
        <f t="shared" ca="1" si="5"/>
        <v>0.31216556921291094</v>
      </c>
      <c r="X252" s="29">
        <v>0</v>
      </c>
      <c r="Z252" s="22">
        <v>44797</v>
      </c>
      <c r="AA252" s="26">
        <f t="shared" ca="1" si="6"/>
        <v>0.44192895504111618</v>
      </c>
      <c r="AB252" s="29">
        <v>0</v>
      </c>
      <c r="AC252"/>
      <c r="AD252" s="25"/>
      <c r="AF252" s="22">
        <v>44797</v>
      </c>
      <c r="AG252" s="26">
        <f t="shared" ca="1" si="7"/>
        <v>0.35250811179773256</v>
      </c>
      <c r="AH252" s="29">
        <v>0</v>
      </c>
      <c r="AJ252" s="22">
        <v>44797</v>
      </c>
      <c r="AK252" s="26">
        <f t="shared" ca="1" si="8"/>
        <v>0.46934419044335784</v>
      </c>
      <c r="AL252" s="29">
        <v>0</v>
      </c>
      <c r="AN252" s="22">
        <v>44797</v>
      </c>
      <c r="AO252" s="26">
        <f t="shared" ca="1" si="9"/>
        <v>0.41429087286995547</v>
      </c>
      <c r="AP252" s="29">
        <v>0</v>
      </c>
      <c r="AR252" s="22">
        <v>44797</v>
      </c>
      <c r="AS252" s="26">
        <f t="shared" ca="1" si="10"/>
        <v>0.48688373167433074</v>
      </c>
      <c r="AT252" s="29">
        <v>0</v>
      </c>
      <c r="AV252" s="22">
        <v>44797</v>
      </c>
      <c r="AW252" s="26">
        <f t="shared" ca="1" si="11"/>
        <v>0.42267448451098555</v>
      </c>
      <c r="AX252" s="29">
        <v>0</v>
      </c>
      <c r="AZ252" s="22">
        <v>44797</v>
      </c>
      <c r="BA252" s="26">
        <f t="shared" ca="1" si="12"/>
        <v>0.22370951543105011</v>
      </c>
      <c r="BB252" s="29">
        <v>0</v>
      </c>
      <c r="BC252"/>
      <c r="BD252" s="25"/>
      <c r="BF252" s="22">
        <v>44797</v>
      </c>
      <c r="BG252" s="26">
        <f t="shared" ca="1" si="13"/>
        <v>6.06179210764346E-2</v>
      </c>
      <c r="BH252" s="29">
        <v>0</v>
      </c>
      <c r="BJ252" s="22">
        <v>44797</v>
      </c>
      <c r="BK252" s="26">
        <f t="shared" ca="1" si="14"/>
        <v>0.83146647393798712</v>
      </c>
      <c r="BL252" s="29">
        <v>0</v>
      </c>
      <c r="BN252" s="22">
        <v>44797</v>
      </c>
      <c r="BO252" s="26">
        <f t="shared" ca="1" si="15"/>
        <v>0.1684335899031868</v>
      </c>
      <c r="BP252" s="29">
        <v>0</v>
      </c>
      <c r="BR252" s="22">
        <v>44797</v>
      </c>
      <c r="BS252" s="26">
        <f t="shared" ca="1" si="16"/>
        <v>0.49765301484927016</v>
      </c>
      <c r="BT252" s="29">
        <v>0</v>
      </c>
      <c r="BV252" s="22">
        <v>44797</v>
      </c>
      <c r="BW252" s="26">
        <f t="shared" ca="1" si="17"/>
        <v>8.1295826890932732E-2</v>
      </c>
      <c r="BX252" s="29">
        <v>0</v>
      </c>
    </row>
    <row r="253" spans="2:76" ht="12.75" x14ac:dyDescent="0.2">
      <c r="B253" s="22">
        <v>44798</v>
      </c>
      <c r="C253" s="26">
        <f t="shared" ca="1" si="0"/>
        <v>0.3488074115668951</v>
      </c>
      <c r="D253" s="29">
        <v>0</v>
      </c>
      <c r="F253" s="22">
        <v>44798</v>
      </c>
      <c r="G253" s="26">
        <f t="shared" ca="1" si="1"/>
        <v>4.3455437052107526E-2</v>
      </c>
      <c r="H253" s="29">
        <v>0</v>
      </c>
      <c r="J253" s="22">
        <v>44798</v>
      </c>
      <c r="K253" s="26">
        <f t="shared" ca="1" si="2"/>
        <v>0.43799331624521887</v>
      </c>
      <c r="L253" s="29">
        <v>0</v>
      </c>
      <c r="N253" s="22">
        <v>44798</v>
      </c>
      <c r="O253" s="26">
        <f t="shared" ca="1" si="3"/>
        <v>0.13697114367785845</v>
      </c>
      <c r="P253" s="29">
        <v>0</v>
      </c>
      <c r="R253" s="22">
        <v>44798</v>
      </c>
      <c r="S253" s="26">
        <f t="shared" ca="1" si="4"/>
        <v>0.93639971424080082</v>
      </c>
      <c r="T253" s="29">
        <v>0</v>
      </c>
      <c r="V253" s="22">
        <v>44798</v>
      </c>
      <c r="W253" s="26">
        <f t="shared" ca="1" si="5"/>
        <v>0.48153369849036576</v>
      </c>
      <c r="X253" s="29">
        <v>0</v>
      </c>
      <c r="Z253" s="22">
        <v>44798</v>
      </c>
      <c r="AA253" s="26">
        <f t="shared" ca="1" si="6"/>
        <v>0.66896193635926193</v>
      </c>
      <c r="AB253" s="29">
        <v>0</v>
      </c>
      <c r="AC253"/>
      <c r="AD253" s="25"/>
      <c r="AF253" s="22">
        <v>44798</v>
      </c>
      <c r="AG253" s="26">
        <f t="shared" ca="1" si="7"/>
        <v>0.20035730655009509</v>
      </c>
      <c r="AH253" s="29">
        <v>0</v>
      </c>
      <c r="AJ253" s="22">
        <v>44798</v>
      </c>
      <c r="AK253" s="26">
        <f t="shared" ca="1" si="8"/>
        <v>6.1471610761408613E-2</v>
      </c>
      <c r="AL253" s="29">
        <v>0</v>
      </c>
      <c r="AN253" s="22">
        <v>44798</v>
      </c>
      <c r="AO253" s="26">
        <f t="shared" ca="1" si="9"/>
        <v>0.97695225078856696</v>
      </c>
      <c r="AP253" s="29">
        <v>0</v>
      </c>
      <c r="AR253" s="22">
        <v>44798</v>
      </c>
      <c r="AS253" s="26">
        <f t="shared" ca="1" si="10"/>
        <v>0.8908258800348523</v>
      </c>
      <c r="AT253" s="29">
        <v>0</v>
      </c>
      <c r="AV253" s="22">
        <v>44798</v>
      </c>
      <c r="AW253" s="26">
        <f t="shared" ca="1" si="11"/>
        <v>4.5916879811966349E-2</v>
      </c>
      <c r="AX253" s="29">
        <v>0</v>
      </c>
      <c r="AZ253" s="22">
        <v>44798</v>
      </c>
      <c r="BA253" s="26">
        <f t="shared" ca="1" si="12"/>
        <v>0.8974550156364518</v>
      </c>
      <c r="BB253" s="29">
        <v>0</v>
      </c>
      <c r="BC253"/>
      <c r="BD253" s="25"/>
      <c r="BF253" s="22">
        <v>44798</v>
      </c>
      <c r="BG253" s="26">
        <f t="shared" ca="1" si="13"/>
        <v>0.74487023364970817</v>
      </c>
      <c r="BH253" s="29">
        <v>0</v>
      </c>
      <c r="BJ253" s="22">
        <v>44798</v>
      </c>
      <c r="BK253" s="26">
        <f t="shared" ca="1" si="14"/>
        <v>0.50985620142898513</v>
      </c>
      <c r="BL253" s="29">
        <v>0</v>
      </c>
      <c r="BN253" s="22">
        <v>44798</v>
      </c>
      <c r="BO253" s="26">
        <f t="shared" ca="1" si="15"/>
        <v>0.9313629603234892</v>
      </c>
      <c r="BP253" s="29">
        <v>0</v>
      </c>
      <c r="BR253" s="22">
        <v>44798</v>
      </c>
      <c r="BS253" s="26">
        <f t="shared" ca="1" si="16"/>
        <v>0.88410049381863698</v>
      </c>
      <c r="BT253" s="29">
        <v>0</v>
      </c>
      <c r="BV253" s="22">
        <v>44798</v>
      </c>
      <c r="BW253" s="26">
        <f t="shared" ca="1" si="17"/>
        <v>0.44127253002432154</v>
      </c>
      <c r="BX253" s="29">
        <v>0</v>
      </c>
    </row>
    <row r="254" spans="2:76" ht="12.75" x14ac:dyDescent="0.2">
      <c r="B254" s="22">
        <v>44799</v>
      </c>
      <c r="C254" s="26">
        <f t="shared" ca="1" si="0"/>
        <v>0.88735701528858013</v>
      </c>
      <c r="D254" s="29">
        <v>0</v>
      </c>
      <c r="F254" s="22">
        <v>44799</v>
      </c>
      <c r="G254" s="26">
        <f t="shared" ca="1" si="1"/>
        <v>0.95477085209860491</v>
      </c>
      <c r="H254" s="29">
        <v>0</v>
      </c>
      <c r="J254" s="22">
        <v>44799</v>
      </c>
      <c r="K254" s="26">
        <f t="shared" ca="1" si="2"/>
        <v>0.7973864363773524</v>
      </c>
      <c r="L254" s="29">
        <v>0</v>
      </c>
      <c r="N254" s="22">
        <v>44799</v>
      </c>
      <c r="O254" s="26">
        <f t="shared" ca="1" si="3"/>
        <v>0.84297235023923822</v>
      </c>
      <c r="P254" s="29">
        <v>0</v>
      </c>
      <c r="R254" s="22">
        <v>44799</v>
      </c>
      <c r="S254" s="26">
        <f t="shared" ca="1" si="4"/>
        <v>0.11925758864109726</v>
      </c>
      <c r="T254" s="29">
        <v>0</v>
      </c>
      <c r="V254" s="22">
        <v>44799</v>
      </c>
      <c r="W254" s="26">
        <f t="shared" ca="1" si="5"/>
        <v>0.85692828668770205</v>
      </c>
      <c r="X254" s="29">
        <v>0</v>
      </c>
      <c r="Z254" s="22">
        <v>44799</v>
      </c>
      <c r="AA254" s="26">
        <f t="shared" ca="1" si="6"/>
        <v>0.26461766771237372</v>
      </c>
      <c r="AB254" s="29">
        <v>0</v>
      </c>
      <c r="AC254"/>
      <c r="AD254" s="25"/>
      <c r="AF254" s="22">
        <v>44799</v>
      </c>
      <c r="AG254" s="26">
        <f t="shared" ca="1" si="7"/>
        <v>0.24123414121274023</v>
      </c>
      <c r="AH254" s="29">
        <v>0</v>
      </c>
      <c r="AJ254" s="22">
        <v>44799</v>
      </c>
      <c r="AK254" s="26">
        <f t="shared" ca="1" si="8"/>
        <v>0.64974654688948696</v>
      </c>
      <c r="AL254" s="29">
        <v>0</v>
      </c>
      <c r="AN254" s="22">
        <v>44799</v>
      </c>
      <c r="AO254" s="26">
        <f t="shared" ca="1" si="9"/>
        <v>0.81923252396377122</v>
      </c>
      <c r="AP254" s="29">
        <v>0</v>
      </c>
      <c r="AR254" s="22">
        <v>44799</v>
      </c>
      <c r="AS254" s="26">
        <f t="shared" ca="1" si="10"/>
        <v>0.63012711065739546</v>
      </c>
      <c r="AT254" s="29">
        <v>0</v>
      </c>
      <c r="AV254" s="22">
        <v>44799</v>
      </c>
      <c r="AW254" s="26">
        <f t="shared" ca="1" si="11"/>
        <v>0.54731642916484535</v>
      </c>
      <c r="AX254" s="29">
        <v>0</v>
      </c>
      <c r="AZ254" s="22">
        <v>44799</v>
      </c>
      <c r="BA254" s="26">
        <f t="shared" ca="1" si="12"/>
        <v>6.8238732377114975E-3</v>
      </c>
      <c r="BB254" s="29">
        <v>0</v>
      </c>
      <c r="BC254"/>
      <c r="BD254" s="25"/>
      <c r="BF254" s="22">
        <v>44799</v>
      </c>
      <c r="BG254" s="26">
        <f t="shared" ca="1" si="13"/>
        <v>0.55939484897467906</v>
      </c>
      <c r="BH254" s="29">
        <v>0</v>
      </c>
      <c r="BJ254" s="22">
        <v>44799</v>
      </c>
      <c r="BK254" s="26">
        <f t="shared" ca="1" si="14"/>
        <v>0.56988878295388745</v>
      </c>
      <c r="BL254" s="29">
        <v>0</v>
      </c>
      <c r="BN254" s="22">
        <v>44799</v>
      </c>
      <c r="BO254" s="26">
        <f t="shared" ca="1" si="15"/>
        <v>0.7885287015235739</v>
      </c>
      <c r="BP254" s="29">
        <v>0</v>
      </c>
      <c r="BR254" s="22">
        <v>44799</v>
      </c>
      <c r="BS254" s="26">
        <f t="shared" ca="1" si="16"/>
        <v>0.89687575563976818</v>
      </c>
      <c r="BT254" s="29">
        <v>0</v>
      </c>
      <c r="BV254" s="22">
        <v>44799</v>
      </c>
      <c r="BW254" s="26">
        <f t="shared" ca="1" si="17"/>
        <v>0.54327127846509304</v>
      </c>
      <c r="BX254" s="29">
        <v>0</v>
      </c>
    </row>
    <row r="255" spans="2:76" ht="12.75" x14ac:dyDescent="0.2">
      <c r="B255" s="22">
        <v>44800</v>
      </c>
      <c r="C255" s="26">
        <f t="shared" ca="1" si="0"/>
        <v>0.64848375449619178</v>
      </c>
      <c r="D255" s="29">
        <v>0</v>
      </c>
      <c r="F255" s="22">
        <v>44800</v>
      </c>
      <c r="G255" s="26">
        <f t="shared" ca="1" si="1"/>
        <v>0.40532511008044236</v>
      </c>
      <c r="H255" s="29">
        <v>0</v>
      </c>
      <c r="J255" s="22">
        <v>44800</v>
      </c>
      <c r="K255" s="26">
        <f t="shared" ca="1" si="2"/>
        <v>0.63104973693595956</v>
      </c>
      <c r="L255" s="29">
        <v>0</v>
      </c>
      <c r="N255" s="22">
        <v>44800</v>
      </c>
      <c r="O255" s="26">
        <f t="shared" ca="1" si="3"/>
        <v>0.1038908689291862</v>
      </c>
      <c r="P255" s="29">
        <v>0</v>
      </c>
      <c r="R255" s="22">
        <v>44800</v>
      </c>
      <c r="S255" s="26">
        <f t="shared" ca="1" si="4"/>
        <v>0.91004183451873288</v>
      </c>
      <c r="T255" s="29">
        <v>0</v>
      </c>
      <c r="V255" s="22">
        <v>44800</v>
      </c>
      <c r="W255" s="26">
        <f t="shared" ca="1" si="5"/>
        <v>0.11294271532538791</v>
      </c>
      <c r="X255" s="29">
        <v>0</v>
      </c>
      <c r="Z255" s="22">
        <v>44800</v>
      </c>
      <c r="AA255" s="26">
        <f t="shared" ca="1" si="6"/>
        <v>0.30316472474793921</v>
      </c>
      <c r="AB255" s="29">
        <v>0</v>
      </c>
      <c r="AC255"/>
      <c r="AD255" s="25"/>
      <c r="AF255" s="22">
        <v>44800</v>
      </c>
      <c r="AG255" s="26">
        <f t="shared" ca="1" si="7"/>
        <v>0.19344846641095481</v>
      </c>
      <c r="AH255" s="29">
        <v>0</v>
      </c>
      <c r="AJ255" s="22">
        <v>44800</v>
      </c>
      <c r="AK255" s="26">
        <f t="shared" ca="1" si="8"/>
        <v>0.5130805415516122</v>
      </c>
      <c r="AL255" s="29">
        <v>0</v>
      </c>
      <c r="AN255" s="22">
        <v>44800</v>
      </c>
      <c r="AO255" s="26">
        <f t="shared" ca="1" si="9"/>
        <v>0.28773852952081214</v>
      </c>
      <c r="AP255" s="29">
        <v>0</v>
      </c>
      <c r="AR255" s="22">
        <v>44800</v>
      </c>
      <c r="AS255" s="26">
        <f t="shared" ca="1" si="10"/>
        <v>0.66504137912204964</v>
      </c>
      <c r="AT255" s="29">
        <v>0</v>
      </c>
      <c r="AV255" s="22">
        <v>44800</v>
      </c>
      <c r="AW255" s="26">
        <f t="shared" ca="1" si="11"/>
        <v>0.68751871526454356</v>
      </c>
      <c r="AX255" s="29">
        <v>0</v>
      </c>
      <c r="AZ255" s="22">
        <v>44800</v>
      </c>
      <c r="BA255" s="26">
        <f t="shared" ca="1" si="12"/>
        <v>0.73543343719853738</v>
      </c>
      <c r="BB255" s="29">
        <v>0</v>
      </c>
      <c r="BC255"/>
      <c r="BD255" s="25"/>
      <c r="BF255" s="22">
        <v>44800</v>
      </c>
      <c r="BG255" s="26">
        <f t="shared" ca="1" si="13"/>
        <v>0.1212783789107843</v>
      </c>
      <c r="BH255" s="29">
        <v>0</v>
      </c>
      <c r="BJ255" s="22">
        <v>44800</v>
      </c>
      <c r="BK255" s="26">
        <f t="shared" ca="1" si="14"/>
        <v>0.18646119440587361</v>
      </c>
      <c r="BL255" s="29">
        <v>0</v>
      </c>
      <c r="BN255" s="22">
        <v>44800</v>
      </c>
      <c r="BO255" s="26">
        <f t="shared" ca="1" si="15"/>
        <v>0.70363873633015572</v>
      </c>
      <c r="BP255" s="29">
        <v>0</v>
      </c>
      <c r="BR255" s="22">
        <v>44800</v>
      </c>
      <c r="BS255" s="26">
        <f t="shared" ca="1" si="16"/>
        <v>0.17544283172096409</v>
      </c>
      <c r="BT255" s="29">
        <v>0</v>
      </c>
      <c r="BV255" s="22">
        <v>44800</v>
      </c>
      <c r="BW255" s="26">
        <f t="shared" ca="1" si="17"/>
        <v>0.3504924231913793</v>
      </c>
      <c r="BX255" s="29">
        <v>0</v>
      </c>
    </row>
    <row r="256" spans="2:76" ht="12.75" x14ac:dyDescent="0.2">
      <c r="B256" s="22">
        <v>44801</v>
      </c>
      <c r="C256" s="26">
        <f t="shared" ca="1" si="0"/>
        <v>0.60440757118684896</v>
      </c>
      <c r="D256" s="29">
        <v>0</v>
      </c>
      <c r="F256" s="22">
        <v>44801</v>
      </c>
      <c r="G256" s="26">
        <f t="shared" ca="1" si="1"/>
        <v>0.75309460677056139</v>
      </c>
      <c r="H256" s="29">
        <v>0</v>
      </c>
      <c r="J256" s="22">
        <v>44801</v>
      </c>
      <c r="K256" s="26">
        <f t="shared" ca="1" si="2"/>
        <v>0.40335291270315299</v>
      </c>
      <c r="L256" s="29">
        <v>0</v>
      </c>
      <c r="N256" s="22">
        <v>44801</v>
      </c>
      <c r="O256" s="26">
        <f t="shared" ca="1" si="3"/>
        <v>0.69280408566550034</v>
      </c>
      <c r="P256" s="29">
        <v>0</v>
      </c>
      <c r="R256" s="22">
        <v>44801</v>
      </c>
      <c r="S256" s="26">
        <f t="shared" ca="1" si="4"/>
        <v>3.4294758899824695E-2</v>
      </c>
      <c r="T256" s="29">
        <v>0</v>
      </c>
      <c r="V256" s="22">
        <v>44801</v>
      </c>
      <c r="W256" s="26">
        <f t="shared" ca="1" si="5"/>
        <v>0.26635263261033981</v>
      </c>
      <c r="X256" s="29">
        <v>0</v>
      </c>
      <c r="Z256" s="22">
        <v>44801</v>
      </c>
      <c r="AA256" s="26">
        <f t="shared" ca="1" si="6"/>
        <v>0.30210250896718804</v>
      </c>
      <c r="AB256" s="29">
        <v>0</v>
      </c>
      <c r="AC256"/>
      <c r="AD256" s="25"/>
      <c r="AF256" s="22">
        <v>44801</v>
      </c>
      <c r="AG256" s="26">
        <f t="shared" ca="1" si="7"/>
        <v>1.6157090668737273E-2</v>
      </c>
      <c r="AH256" s="29">
        <v>0</v>
      </c>
      <c r="AJ256" s="22">
        <v>44801</v>
      </c>
      <c r="AK256" s="26">
        <f t="shared" ca="1" si="8"/>
        <v>0.96643030871383206</v>
      </c>
      <c r="AL256" s="29">
        <v>0</v>
      </c>
      <c r="AN256" s="22">
        <v>44801</v>
      </c>
      <c r="AO256" s="26">
        <f t="shared" ca="1" si="9"/>
        <v>3.3367771834834858E-2</v>
      </c>
      <c r="AP256" s="29">
        <v>0</v>
      </c>
      <c r="AR256" s="22">
        <v>44801</v>
      </c>
      <c r="AS256" s="26">
        <f t="shared" ca="1" si="10"/>
        <v>0.3905233821892361</v>
      </c>
      <c r="AT256" s="29">
        <v>0</v>
      </c>
      <c r="AV256" s="22">
        <v>44801</v>
      </c>
      <c r="AW256" s="26">
        <f t="shared" ca="1" si="11"/>
        <v>0.38847897064061687</v>
      </c>
      <c r="AX256" s="29">
        <v>0</v>
      </c>
      <c r="AZ256" s="22">
        <v>44801</v>
      </c>
      <c r="BA256" s="26">
        <f t="shared" ca="1" si="12"/>
        <v>0.83026400507020826</v>
      </c>
      <c r="BB256" s="29">
        <v>0</v>
      </c>
      <c r="BC256"/>
      <c r="BD256" s="25"/>
      <c r="BF256" s="22">
        <v>44801</v>
      </c>
      <c r="BG256" s="26">
        <f t="shared" ca="1" si="13"/>
        <v>0.11322760854474045</v>
      </c>
      <c r="BH256" s="29">
        <v>0</v>
      </c>
      <c r="BJ256" s="22">
        <v>44801</v>
      </c>
      <c r="BK256" s="26">
        <f t="shared" ca="1" si="14"/>
        <v>0.13857741955402214</v>
      </c>
      <c r="BL256" s="29">
        <v>0</v>
      </c>
      <c r="BN256" s="22">
        <v>44801</v>
      </c>
      <c r="BO256" s="26">
        <f t="shared" ca="1" si="15"/>
        <v>0.99880513295626061</v>
      </c>
      <c r="BP256" s="29">
        <v>0</v>
      </c>
      <c r="BR256" s="22">
        <v>44801</v>
      </c>
      <c r="BS256" s="26">
        <f t="shared" ca="1" si="16"/>
        <v>0.14205832773960858</v>
      </c>
      <c r="BT256" s="29">
        <v>0</v>
      </c>
      <c r="BV256" s="22">
        <v>44801</v>
      </c>
      <c r="BW256" s="26">
        <f t="shared" ca="1" si="17"/>
        <v>0.73322318020350696</v>
      </c>
      <c r="BX256" s="29">
        <v>0</v>
      </c>
    </row>
    <row r="257" spans="2:77" ht="12.75" x14ac:dyDescent="0.2">
      <c r="B257" s="22">
        <v>44802</v>
      </c>
      <c r="C257" s="26">
        <f t="shared" ca="1" si="0"/>
        <v>9.4706371833910286E-2</v>
      </c>
      <c r="D257" s="29">
        <v>0</v>
      </c>
      <c r="F257" s="22">
        <v>44802</v>
      </c>
      <c r="G257" s="26">
        <f t="shared" ca="1" si="1"/>
        <v>0.7107866974410324</v>
      </c>
      <c r="H257" s="29">
        <v>0</v>
      </c>
      <c r="J257" s="22">
        <v>44802</v>
      </c>
      <c r="K257" s="26">
        <f t="shared" ca="1" si="2"/>
        <v>7.6355093125173301E-2</v>
      </c>
      <c r="L257" s="29">
        <v>0</v>
      </c>
      <c r="N257" s="22">
        <v>44802</v>
      </c>
      <c r="O257" s="26">
        <f t="shared" ca="1" si="3"/>
        <v>0.68984952407332967</v>
      </c>
      <c r="P257" s="29">
        <v>0</v>
      </c>
      <c r="R257" s="22">
        <v>44802</v>
      </c>
      <c r="S257" s="26">
        <f t="shared" ca="1" si="4"/>
        <v>9.0003402256907838E-2</v>
      </c>
      <c r="T257" s="29">
        <v>0</v>
      </c>
      <c r="V257" s="22">
        <v>44802</v>
      </c>
      <c r="W257" s="26">
        <f t="shared" ca="1" si="5"/>
        <v>6.2195136235183579E-3</v>
      </c>
      <c r="X257" s="29">
        <v>0</v>
      </c>
      <c r="Z257" s="22">
        <v>44802</v>
      </c>
      <c r="AA257" s="26">
        <f t="shared" ca="1" si="6"/>
        <v>0.60759564310482628</v>
      </c>
      <c r="AB257" s="29">
        <v>0</v>
      </c>
      <c r="AC257"/>
      <c r="AD257" s="25"/>
      <c r="AF257" s="22">
        <v>44802</v>
      </c>
      <c r="AG257" s="26">
        <f t="shared" ca="1" si="7"/>
        <v>0.54168861126278067</v>
      </c>
      <c r="AH257" s="29">
        <v>0</v>
      </c>
      <c r="AJ257" s="22">
        <v>44802</v>
      </c>
      <c r="AK257" s="26">
        <f t="shared" ca="1" si="8"/>
        <v>0.99802318172549576</v>
      </c>
      <c r="AL257" s="29">
        <v>0</v>
      </c>
      <c r="AN257" s="22">
        <v>44802</v>
      </c>
      <c r="AO257" s="26">
        <f t="shared" ca="1" si="9"/>
        <v>0.60666911264832279</v>
      </c>
      <c r="AP257" s="29">
        <v>0</v>
      </c>
      <c r="AR257" s="22">
        <v>44802</v>
      </c>
      <c r="AS257" s="26">
        <f t="shared" ca="1" si="10"/>
        <v>0.53056319520907325</v>
      </c>
      <c r="AT257" s="29">
        <v>0</v>
      </c>
      <c r="AV257" s="22">
        <v>44802</v>
      </c>
      <c r="AW257" s="26">
        <f t="shared" ca="1" si="11"/>
        <v>0.20936030868714339</v>
      </c>
      <c r="AX257" s="29">
        <v>0</v>
      </c>
      <c r="AZ257" s="22">
        <v>44802</v>
      </c>
      <c r="BA257" s="26">
        <f t="shared" ca="1" si="12"/>
        <v>0.40482329231577097</v>
      </c>
      <c r="BB257" s="29">
        <v>0</v>
      </c>
      <c r="BC257"/>
      <c r="BD257" s="25"/>
      <c r="BF257" s="22">
        <v>44802</v>
      </c>
      <c r="BG257" s="26">
        <f t="shared" ca="1" si="13"/>
        <v>0.28725951522311355</v>
      </c>
      <c r="BH257" s="29">
        <v>0</v>
      </c>
      <c r="BJ257" s="22">
        <v>44802</v>
      </c>
      <c r="BK257" s="26">
        <f t="shared" ca="1" si="14"/>
        <v>0.8170378028649723</v>
      </c>
      <c r="BL257" s="29">
        <v>0</v>
      </c>
      <c r="BN257" s="22">
        <v>44802</v>
      </c>
      <c r="BO257" s="26">
        <f t="shared" ca="1" si="15"/>
        <v>0.98884706403557909</v>
      </c>
      <c r="BP257" s="29">
        <v>0</v>
      </c>
      <c r="BR257" s="22">
        <v>44802</v>
      </c>
      <c r="BS257" s="26">
        <f t="shared" ca="1" si="16"/>
        <v>0.67195430421275038</v>
      </c>
      <c r="BT257" s="29">
        <v>0</v>
      </c>
      <c r="BV257" s="22">
        <v>44802</v>
      </c>
      <c r="BW257" s="26">
        <f t="shared" ca="1" si="17"/>
        <v>0.47636645788417553</v>
      </c>
      <c r="BX257" s="29">
        <v>0</v>
      </c>
    </row>
    <row r="258" spans="2:77" ht="12.75" x14ac:dyDescent="0.2">
      <c r="B258" s="22">
        <v>44803</v>
      </c>
      <c r="C258" s="26">
        <f t="shared" ca="1" si="0"/>
        <v>0.54045118246015478</v>
      </c>
      <c r="D258" s="29">
        <v>0</v>
      </c>
      <c r="F258" s="22">
        <v>44803</v>
      </c>
      <c r="G258" s="26">
        <f t="shared" ca="1" si="1"/>
        <v>0.4153811779354899</v>
      </c>
      <c r="H258" s="29">
        <v>0</v>
      </c>
      <c r="J258" s="22">
        <v>44803</v>
      </c>
      <c r="K258" s="26">
        <f t="shared" ca="1" si="2"/>
        <v>3.6418307469696209E-2</v>
      </c>
      <c r="L258" s="29">
        <v>0</v>
      </c>
      <c r="N258" s="22">
        <v>44803</v>
      </c>
      <c r="O258" s="26">
        <f t="shared" ca="1" si="3"/>
        <v>0.37898801008302052</v>
      </c>
      <c r="P258" s="29">
        <v>0</v>
      </c>
      <c r="R258" s="22">
        <v>44803</v>
      </c>
      <c r="S258" s="26">
        <f t="shared" ca="1" si="4"/>
        <v>0.99952920526465694</v>
      </c>
      <c r="T258" s="29">
        <v>0</v>
      </c>
      <c r="V258" s="22">
        <v>44803</v>
      </c>
      <c r="W258" s="26">
        <f t="shared" ca="1" si="5"/>
        <v>1.8151682520807899E-2</v>
      </c>
      <c r="X258" s="29">
        <v>0</v>
      </c>
      <c r="Z258" s="22">
        <v>44803</v>
      </c>
      <c r="AA258" s="26">
        <f t="shared" ca="1" si="6"/>
        <v>0.22735107013320155</v>
      </c>
      <c r="AB258" s="29">
        <v>0</v>
      </c>
      <c r="AC258"/>
      <c r="AD258" s="25"/>
      <c r="AF258" s="22">
        <v>44803</v>
      </c>
      <c r="AG258" s="26">
        <f t="shared" ca="1" si="7"/>
        <v>0.55521464777500062</v>
      </c>
      <c r="AH258" s="29">
        <v>0</v>
      </c>
      <c r="AJ258" s="22">
        <v>44803</v>
      </c>
      <c r="AK258" s="26">
        <f t="shared" ca="1" si="8"/>
        <v>0.90052972397151632</v>
      </c>
      <c r="AL258" s="29">
        <v>0</v>
      </c>
      <c r="AN258" s="22">
        <v>44803</v>
      </c>
      <c r="AO258" s="26">
        <f t="shared" ca="1" si="9"/>
        <v>0.55263267085602852</v>
      </c>
      <c r="AP258" s="29">
        <v>0</v>
      </c>
      <c r="AR258" s="22">
        <v>44803</v>
      </c>
      <c r="AS258" s="26">
        <f t="shared" ca="1" si="10"/>
        <v>0.7606852821324851</v>
      </c>
      <c r="AT258" s="29">
        <v>0</v>
      </c>
      <c r="AV258" s="22">
        <v>44803</v>
      </c>
      <c r="AW258" s="26">
        <f t="shared" ca="1" si="11"/>
        <v>0.82368286870291918</v>
      </c>
      <c r="AX258" s="29">
        <v>0</v>
      </c>
      <c r="AZ258" s="22">
        <v>44803</v>
      </c>
      <c r="BA258" s="26">
        <f t="shared" ca="1" si="12"/>
        <v>0.78905686694817678</v>
      </c>
      <c r="BB258" s="29">
        <v>0</v>
      </c>
      <c r="BC258"/>
      <c r="BD258" s="25"/>
      <c r="BF258" s="22">
        <v>44803</v>
      </c>
      <c r="BG258" s="26">
        <f t="shared" ca="1" si="13"/>
        <v>0.68132983006557102</v>
      </c>
      <c r="BH258" s="29">
        <v>0</v>
      </c>
      <c r="BJ258" s="22">
        <v>44803</v>
      </c>
      <c r="BK258" s="26">
        <f t="shared" ca="1" si="14"/>
        <v>0.17463806306860907</v>
      </c>
      <c r="BL258" s="29">
        <v>0</v>
      </c>
      <c r="BN258" s="22">
        <v>44803</v>
      </c>
      <c r="BO258" s="26">
        <f t="shared" ca="1" si="15"/>
        <v>0.29552789432430948</v>
      </c>
      <c r="BP258" s="29">
        <v>0</v>
      </c>
      <c r="BR258" s="22">
        <v>44803</v>
      </c>
      <c r="BS258" s="26">
        <f t="shared" ca="1" si="16"/>
        <v>0.4578030724286134</v>
      </c>
      <c r="BT258" s="29">
        <v>0</v>
      </c>
      <c r="BV258" s="22">
        <v>44803</v>
      </c>
      <c r="BW258" s="26">
        <f t="shared" ca="1" si="17"/>
        <v>0.68826912022410358</v>
      </c>
      <c r="BX258" s="29">
        <v>0</v>
      </c>
    </row>
    <row r="259" spans="2:77" ht="12.75" x14ac:dyDescent="0.2">
      <c r="B259" s="22">
        <v>44804</v>
      </c>
      <c r="C259" s="26">
        <f t="shared" ca="1" si="0"/>
        <v>0.14641824797557457</v>
      </c>
      <c r="D259" s="29">
        <v>0</v>
      </c>
      <c r="E259">
        <v>0</v>
      </c>
      <c r="F259" s="22">
        <v>44804</v>
      </c>
      <c r="G259" s="26">
        <f t="shared" ca="1" si="1"/>
        <v>0.38507307675015501</v>
      </c>
      <c r="H259" s="29">
        <v>0</v>
      </c>
      <c r="I259">
        <v>0</v>
      </c>
      <c r="J259" s="22">
        <v>44804</v>
      </c>
      <c r="K259" s="26">
        <f t="shared" ca="1" si="2"/>
        <v>0.92236162605675254</v>
      </c>
      <c r="L259" s="29">
        <v>0</v>
      </c>
      <c r="M259">
        <v>0</v>
      </c>
      <c r="N259" s="22">
        <v>44804</v>
      </c>
      <c r="O259" s="26">
        <f t="shared" ca="1" si="3"/>
        <v>1.315345438669735E-2</v>
      </c>
      <c r="P259" s="29">
        <v>0</v>
      </c>
      <c r="Q259">
        <v>0</v>
      </c>
      <c r="R259" s="22">
        <v>44804</v>
      </c>
      <c r="S259" s="26">
        <f t="shared" ca="1" si="4"/>
        <v>6.0924526713083127E-2</v>
      </c>
      <c r="T259" s="29">
        <v>0</v>
      </c>
      <c r="U259">
        <v>0</v>
      </c>
      <c r="V259" s="22">
        <v>44804</v>
      </c>
      <c r="W259" s="26">
        <f t="shared" ca="1" si="5"/>
        <v>0.11133616654970424</v>
      </c>
      <c r="X259" s="29">
        <v>0</v>
      </c>
      <c r="Y259">
        <v>0</v>
      </c>
      <c r="Z259" s="22">
        <v>44804</v>
      </c>
      <c r="AA259" s="26">
        <f t="shared" ca="1" si="6"/>
        <v>0.76852568472724414</v>
      </c>
      <c r="AB259" s="29">
        <v>0</v>
      </c>
      <c r="AC259">
        <v>0</v>
      </c>
      <c r="AD259" s="25"/>
      <c r="AF259" s="22">
        <v>44804</v>
      </c>
      <c r="AG259" s="26">
        <f t="shared" ca="1" si="7"/>
        <v>0.48215187542978055</v>
      </c>
      <c r="AH259" s="29">
        <v>0</v>
      </c>
      <c r="AI259">
        <v>0</v>
      </c>
      <c r="AJ259" s="22">
        <v>44804</v>
      </c>
      <c r="AK259" s="26">
        <f t="shared" ca="1" si="8"/>
        <v>0.69731906670765631</v>
      </c>
      <c r="AL259" s="29">
        <v>0</v>
      </c>
      <c r="AM259">
        <v>0</v>
      </c>
      <c r="AN259" s="22">
        <v>44804</v>
      </c>
      <c r="AO259" s="26">
        <f t="shared" ca="1" si="9"/>
        <v>0.36165559186980023</v>
      </c>
      <c r="AP259" s="29">
        <v>0</v>
      </c>
      <c r="AQ259">
        <v>0</v>
      </c>
      <c r="AR259" s="22">
        <v>44804</v>
      </c>
      <c r="AS259" s="26">
        <f t="shared" ca="1" si="10"/>
        <v>0.92091794732578192</v>
      </c>
      <c r="AT259" s="29">
        <v>0</v>
      </c>
      <c r="AU259">
        <v>0</v>
      </c>
      <c r="AV259" s="22">
        <v>44804</v>
      </c>
      <c r="AW259" s="26">
        <f t="shared" ca="1" si="11"/>
        <v>0.42277817578515597</v>
      </c>
      <c r="AX259" s="29">
        <v>0</v>
      </c>
      <c r="AY259">
        <v>0</v>
      </c>
      <c r="AZ259" s="22">
        <v>44804</v>
      </c>
      <c r="BA259" s="26">
        <f t="shared" ca="1" si="12"/>
        <v>0.44608826404879487</v>
      </c>
      <c r="BB259" s="29">
        <v>0</v>
      </c>
      <c r="BC259">
        <v>0</v>
      </c>
      <c r="BD259" s="25"/>
      <c r="BF259" s="22">
        <v>44804</v>
      </c>
      <c r="BG259" s="26">
        <f t="shared" ca="1" si="13"/>
        <v>0.10429955217259212</v>
      </c>
      <c r="BH259" s="29">
        <v>0</v>
      </c>
      <c r="BI259">
        <v>0</v>
      </c>
      <c r="BJ259" s="22">
        <v>44804</v>
      </c>
      <c r="BK259" s="26">
        <f t="shared" ca="1" si="14"/>
        <v>0.88911955035935419</v>
      </c>
      <c r="BL259" s="29">
        <v>0</v>
      </c>
      <c r="BM259">
        <v>0</v>
      </c>
      <c r="BN259" s="22">
        <v>44804</v>
      </c>
      <c r="BO259" s="26">
        <f t="shared" ca="1" si="15"/>
        <v>0.87883183571504431</v>
      </c>
      <c r="BP259" s="29">
        <v>0</v>
      </c>
      <c r="BQ259">
        <v>0</v>
      </c>
      <c r="BR259" s="22">
        <v>44804</v>
      </c>
      <c r="BS259" s="26">
        <f t="shared" ca="1" si="16"/>
        <v>0.24981524378748377</v>
      </c>
      <c r="BT259" s="29">
        <v>0</v>
      </c>
      <c r="BU259">
        <v>0</v>
      </c>
      <c r="BV259" s="22">
        <v>44804</v>
      </c>
      <c r="BW259" s="26">
        <f t="shared" ca="1" si="17"/>
        <v>3.0139091959485054E-2</v>
      </c>
      <c r="BX259" s="29">
        <v>0</v>
      </c>
      <c r="BY259">
        <v>0</v>
      </c>
    </row>
    <row r="260" spans="2:77" ht="12.75" x14ac:dyDescent="0.2">
      <c r="B260" s="22">
        <v>44805</v>
      </c>
      <c r="C260" s="26">
        <f t="shared" ca="1" si="0"/>
        <v>5.536553495815244E-2</v>
      </c>
      <c r="D260" s="29">
        <v>0</v>
      </c>
      <c r="F260" s="22">
        <v>44805</v>
      </c>
      <c r="G260" s="26">
        <f t="shared" ca="1" si="1"/>
        <v>0.72465859225053053</v>
      </c>
      <c r="H260" s="29">
        <v>0</v>
      </c>
      <c r="J260" s="22">
        <v>44805</v>
      </c>
      <c r="K260" s="26">
        <f t="shared" ca="1" si="2"/>
        <v>0.49190726124382045</v>
      </c>
      <c r="L260" s="29">
        <v>0</v>
      </c>
      <c r="N260" s="22">
        <v>44805</v>
      </c>
      <c r="O260" s="26">
        <f t="shared" ca="1" si="3"/>
        <v>0.53986775090162031</v>
      </c>
      <c r="P260" s="29">
        <v>0</v>
      </c>
      <c r="R260" s="22">
        <v>44805</v>
      </c>
      <c r="S260" s="26">
        <f t="shared" ca="1" si="4"/>
        <v>0.461363851875769</v>
      </c>
      <c r="T260" s="29">
        <v>0</v>
      </c>
      <c r="V260" s="22">
        <v>44805</v>
      </c>
      <c r="W260" s="26">
        <f t="shared" ca="1" si="5"/>
        <v>6.4836128205369548E-2</v>
      </c>
      <c r="X260" s="29">
        <v>0</v>
      </c>
      <c r="Z260" s="22">
        <v>44805</v>
      </c>
      <c r="AA260" s="26">
        <f t="shared" ca="1" si="6"/>
        <v>0.41484905393077909</v>
      </c>
      <c r="AB260" s="29">
        <v>0</v>
      </c>
      <c r="AC260"/>
      <c r="AD260" s="25"/>
      <c r="AF260" s="22">
        <v>44805</v>
      </c>
      <c r="AG260" s="26">
        <f t="shared" ca="1" si="7"/>
        <v>0.65143638966442685</v>
      </c>
      <c r="AH260" s="29">
        <v>0</v>
      </c>
      <c r="AJ260" s="22">
        <v>44805</v>
      </c>
      <c r="AK260" s="26">
        <f t="shared" ca="1" si="8"/>
        <v>0.77150411820027354</v>
      </c>
      <c r="AL260" s="29">
        <v>0</v>
      </c>
      <c r="AN260" s="22">
        <v>44805</v>
      </c>
      <c r="AO260" s="26">
        <f t="shared" ca="1" si="9"/>
        <v>0.99638019222658747</v>
      </c>
      <c r="AP260" s="29">
        <v>0</v>
      </c>
      <c r="AR260" s="22">
        <v>44805</v>
      </c>
      <c r="AS260" s="26">
        <f t="shared" ca="1" si="10"/>
        <v>0.16890704983873617</v>
      </c>
      <c r="AT260" s="29">
        <v>0</v>
      </c>
      <c r="AV260" s="22">
        <v>44805</v>
      </c>
      <c r="AW260" s="26">
        <f t="shared" ca="1" si="11"/>
        <v>0.99670095384367408</v>
      </c>
      <c r="AX260" s="29">
        <v>0</v>
      </c>
      <c r="AZ260" s="22">
        <v>44805</v>
      </c>
      <c r="BA260" s="26">
        <f t="shared" ca="1" si="12"/>
        <v>0.52641928810368244</v>
      </c>
      <c r="BB260" s="29">
        <v>0</v>
      </c>
      <c r="BC260"/>
      <c r="BD260" s="25"/>
      <c r="BF260" s="22">
        <v>44805</v>
      </c>
      <c r="BG260" s="26">
        <f t="shared" ca="1" si="13"/>
        <v>0.49555776310630739</v>
      </c>
      <c r="BH260" s="29">
        <v>0</v>
      </c>
      <c r="BJ260" s="22">
        <v>44805</v>
      </c>
      <c r="BK260" s="26">
        <f t="shared" ca="1" si="14"/>
        <v>0.48534572599771741</v>
      </c>
      <c r="BL260" s="29">
        <v>0</v>
      </c>
      <c r="BN260" s="22">
        <v>44805</v>
      </c>
      <c r="BO260" s="26">
        <f t="shared" ca="1" si="15"/>
        <v>0.97522746693922768</v>
      </c>
      <c r="BP260" s="29">
        <v>0</v>
      </c>
      <c r="BR260" s="22">
        <v>44805</v>
      </c>
      <c r="BS260" s="26">
        <f t="shared" ca="1" si="16"/>
        <v>0.86683081863473144</v>
      </c>
      <c r="BT260" s="29">
        <v>0</v>
      </c>
      <c r="BV260" s="22">
        <v>44805</v>
      </c>
      <c r="BW260" s="26">
        <f t="shared" ca="1" si="17"/>
        <v>0.81625444009930748</v>
      </c>
      <c r="BX260" s="29">
        <v>0</v>
      </c>
    </row>
    <row r="261" spans="2:77" ht="12.75" x14ac:dyDescent="0.2">
      <c r="B261" s="22">
        <v>44806</v>
      </c>
      <c r="C261" s="26">
        <f t="shared" ca="1" si="0"/>
        <v>0.97106913688646357</v>
      </c>
      <c r="D261" s="29">
        <f t="shared" ref="D261:D273" ca="1" si="26">ROUNDUP(_xlfn.NORM.INV(C261,C$10,C$12),0)</f>
        <v>113</v>
      </c>
      <c r="F261" s="22">
        <v>44806</v>
      </c>
      <c r="G261" s="26">
        <f t="shared" ca="1" si="1"/>
        <v>0.81755855843237424</v>
      </c>
      <c r="H261" s="29">
        <f t="shared" ref="H261:H323" ca="1" si="27">ROUNDUP(_xlfn.NORM.INV(G261,G$10,G$12),0)</f>
        <v>229</v>
      </c>
      <c r="J261" s="22">
        <v>44806</v>
      </c>
      <c r="K261" s="26">
        <f t="shared" ca="1" si="2"/>
        <v>0.64225028829964581</v>
      </c>
      <c r="L261" s="29">
        <f t="shared" ref="L261:L323" ca="1" si="28">ROUNDUP(_xlfn.NORM.INV(K261,K$10,K$12),0)</f>
        <v>154</v>
      </c>
      <c r="N261" s="22">
        <v>44806</v>
      </c>
      <c r="O261" s="26">
        <f t="shared" ca="1" si="3"/>
        <v>0.3060031304769959</v>
      </c>
      <c r="P261" s="29">
        <f t="shared" ref="P261:P323" ca="1" si="29">ROUNDUP(_xlfn.NORM.INV(O261,O$10,O$12),0)</f>
        <v>222</v>
      </c>
      <c r="R261" s="22">
        <v>44806</v>
      </c>
      <c r="S261" s="26">
        <f t="shared" ca="1" si="4"/>
        <v>0.80703853918736335</v>
      </c>
      <c r="T261" s="29">
        <f t="shared" ref="T261:T323" ca="1" si="30">ROUNDUP(_xlfn.NORM.INV(S261,S$10,S$12),0)</f>
        <v>147</v>
      </c>
      <c r="V261" s="22">
        <v>44806</v>
      </c>
      <c r="W261" s="26">
        <f t="shared" ca="1" si="5"/>
        <v>0.61209291174927216</v>
      </c>
      <c r="X261" s="29">
        <v>0</v>
      </c>
      <c r="Z261" s="22">
        <v>44806</v>
      </c>
      <c r="AA261" s="26">
        <f t="shared" ca="1" si="6"/>
        <v>0.28853522811683707</v>
      </c>
      <c r="AB261" s="29">
        <v>0</v>
      </c>
      <c r="AC261"/>
      <c r="AD261" s="25"/>
      <c r="AF261" s="22">
        <v>44806</v>
      </c>
      <c r="AG261" s="26">
        <f t="shared" ca="1" si="7"/>
        <v>0.82115540965645162</v>
      </c>
      <c r="AH261" s="29">
        <v>0</v>
      </c>
      <c r="AJ261" s="22">
        <v>44806</v>
      </c>
      <c r="AK261" s="26">
        <f t="shared" ca="1" si="8"/>
        <v>0.70084159138411661</v>
      </c>
      <c r="AL261" s="29">
        <v>0</v>
      </c>
      <c r="AN261" s="22">
        <v>44806</v>
      </c>
      <c r="AO261" s="26">
        <f t="shared" ca="1" si="9"/>
        <v>0.70740920659673479</v>
      </c>
      <c r="AP261" s="29">
        <v>0</v>
      </c>
      <c r="AR261" s="22">
        <v>44806</v>
      </c>
      <c r="AS261" s="26">
        <f t="shared" ca="1" si="10"/>
        <v>0.27163256293697224</v>
      </c>
      <c r="AT261" s="29">
        <v>0</v>
      </c>
      <c r="AV261" s="22">
        <v>44806</v>
      </c>
      <c r="AW261" s="26">
        <f t="shared" ca="1" si="11"/>
        <v>0.96281635516087505</v>
      </c>
      <c r="AX261" s="29">
        <v>0</v>
      </c>
      <c r="AZ261" s="22">
        <v>44806</v>
      </c>
      <c r="BA261" s="26">
        <f t="shared" ca="1" si="12"/>
        <v>0.50008582825281434</v>
      </c>
      <c r="BB261" s="29">
        <v>0</v>
      </c>
      <c r="BC261"/>
      <c r="BD261" s="25"/>
      <c r="BF261" s="22">
        <v>44806</v>
      </c>
      <c r="BG261" s="26">
        <f t="shared" ca="1" si="13"/>
        <v>0.72101220447285985</v>
      </c>
      <c r="BH261" s="29">
        <v>0</v>
      </c>
      <c r="BJ261" s="22">
        <v>44806</v>
      </c>
      <c r="BK261" s="26">
        <f t="shared" ca="1" si="14"/>
        <v>0.10478028658877514</v>
      </c>
      <c r="BL261" s="29">
        <v>0</v>
      </c>
      <c r="BN261" s="22">
        <v>44806</v>
      </c>
      <c r="BO261" s="26">
        <f t="shared" ca="1" si="15"/>
        <v>0.62897450976646774</v>
      </c>
      <c r="BP261" s="29">
        <v>0</v>
      </c>
      <c r="BR261" s="22">
        <v>44806</v>
      </c>
      <c r="BS261" s="26">
        <f t="shared" ca="1" si="16"/>
        <v>0.93360379937925786</v>
      </c>
      <c r="BT261" s="29">
        <v>0</v>
      </c>
      <c r="BV261" s="22">
        <v>44806</v>
      </c>
      <c r="BW261" s="26">
        <f t="shared" ca="1" si="17"/>
        <v>0.74838986208859737</v>
      </c>
      <c r="BX261" s="29">
        <v>0</v>
      </c>
    </row>
    <row r="262" spans="2:77" ht="12.75" x14ac:dyDescent="0.2">
      <c r="B262" s="22">
        <v>44807</v>
      </c>
      <c r="C262" s="26">
        <f t="shared" ca="1" si="0"/>
        <v>0.54719348125443601</v>
      </c>
      <c r="D262" s="29">
        <f t="shared" ca="1" si="26"/>
        <v>78</v>
      </c>
      <c r="F262" s="22">
        <v>44807</v>
      </c>
      <c r="G262" s="26">
        <f t="shared" ca="1" si="1"/>
        <v>0.30169405727468324</v>
      </c>
      <c r="H262" s="29">
        <f t="shared" ca="1" si="27"/>
        <v>208</v>
      </c>
      <c r="J262" s="22">
        <v>44807</v>
      </c>
      <c r="K262" s="26">
        <f t="shared" ca="1" si="2"/>
        <v>0.77144756766378009</v>
      </c>
      <c r="L262" s="29">
        <f t="shared" ca="1" si="28"/>
        <v>158</v>
      </c>
      <c r="N262" s="22">
        <v>44807</v>
      </c>
      <c r="O262" s="26">
        <f t="shared" ca="1" si="3"/>
        <v>0.71361179545898434</v>
      </c>
      <c r="P262" s="29">
        <f t="shared" ca="1" si="29"/>
        <v>238</v>
      </c>
      <c r="R262" s="22">
        <v>44807</v>
      </c>
      <c r="S262" s="26">
        <f t="shared" ca="1" si="4"/>
        <v>0.69898056330887759</v>
      </c>
      <c r="T262" s="29">
        <f t="shared" ca="1" si="30"/>
        <v>144</v>
      </c>
      <c r="V262" s="22">
        <v>44807</v>
      </c>
      <c r="W262" s="26">
        <f t="shared" ca="1" si="5"/>
        <v>0.1520113784353051</v>
      </c>
      <c r="X262" s="29">
        <v>0</v>
      </c>
      <c r="Z262" s="22">
        <v>44807</v>
      </c>
      <c r="AA262" s="26">
        <f t="shared" ca="1" si="6"/>
        <v>0.65781129285396867</v>
      </c>
      <c r="AB262" s="29">
        <v>0</v>
      </c>
      <c r="AC262"/>
      <c r="AD262" s="25"/>
      <c r="AF262" s="22">
        <v>44807</v>
      </c>
      <c r="AG262" s="26">
        <f t="shared" ca="1" si="7"/>
        <v>0.81776948773608238</v>
      </c>
      <c r="AH262" s="29">
        <v>0</v>
      </c>
      <c r="AJ262" s="22">
        <v>44807</v>
      </c>
      <c r="AK262" s="26">
        <f t="shared" ca="1" si="8"/>
        <v>0.88996336963983724</v>
      </c>
      <c r="AL262" s="29">
        <v>0</v>
      </c>
      <c r="AN262" s="22">
        <v>44807</v>
      </c>
      <c r="AO262" s="26">
        <f t="shared" ca="1" si="9"/>
        <v>0.44132078127869578</v>
      </c>
      <c r="AP262" s="29">
        <v>0</v>
      </c>
      <c r="AR262" s="22">
        <v>44807</v>
      </c>
      <c r="AS262" s="26">
        <f t="shared" ca="1" si="10"/>
        <v>0.43495604923682707</v>
      </c>
      <c r="AT262" s="29">
        <v>0</v>
      </c>
      <c r="AV262" s="22">
        <v>44807</v>
      </c>
      <c r="AW262" s="26">
        <f t="shared" ca="1" si="11"/>
        <v>0.83498322124188218</v>
      </c>
      <c r="AX262" s="29">
        <v>0</v>
      </c>
      <c r="AZ262" s="22">
        <v>44807</v>
      </c>
      <c r="BA262" s="26">
        <f t="shared" ca="1" si="12"/>
        <v>0.17359232419408377</v>
      </c>
      <c r="BB262" s="29">
        <v>0</v>
      </c>
      <c r="BC262"/>
      <c r="BD262" s="25"/>
      <c r="BF262" s="22">
        <v>44807</v>
      </c>
      <c r="BG262" s="26">
        <f t="shared" ca="1" si="13"/>
        <v>0.35686750279300572</v>
      </c>
      <c r="BH262" s="29">
        <v>0</v>
      </c>
      <c r="BJ262" s="22">
        <v>44807</v>
      </c>
      <c r="BK262" s="26">
        <f t="shared" ca="1" si="14"/>
        <v>0.11970626674372964</v>
      </c>
      <c r="BL262" s="29">
        <v>0</v>
      </c>
      <c r="BN262" s="22">
        <v>44807</v>
      </c>
      <c r="BO262" s="26">
        <f t="shared" ca="1" si="15"/>
        <v>0.7678617982927437</v>
      </c>
      <c r="BP262" s="29">
        <v>0</v>
      </c>
      <c r="BR262" s="22">
        <v>44807</v>
      </c>
      <c r="BS262" s="26">
        <f t="shared" ca="1" si="16"/>
        <v>0.18193998481259954</v>
      </c>
      <c r="BT262" s="29">
        <v>0</v>
      </c>
      <c r="BV262" s="22">
        <v>44807</v>
      </c>
      <c r="BW262" s="26">
        <f t="shared" ca="1" si="17"/>
        <v>5.7188021734924099E-3</v>
      </c>
      <c r="BX262" s="29">
        <v>0</v>
      </c>
    </row>
    <row r="263" spans="2:77" ht="12.75" x14ac:dyDescent="0.2">
      <c r="B263" s="22">
        <v>44808</v>
      </c>
      <c r="C263" s="26">
        <f t="shared" ca="1" si="0"/>
        <v>0.3428494371116968</v>
      </c>
      <c r="D263" s="29">
        <f t="shared" ca="1" si="26"/>
        <v>67</v>
      </c>
      <c r="F263" s="22">
        <v>44808</v>
      </c>
      <c r="G263" s="26">
        <f t="shared" ca="1" si="1"/>
        <v>0.35515506673699848</v>
      </c>
      <c r="H263" s="29">
        <f t="shared" ca="1" si="27"/>
        <v>211</v>
      </c>
      <c r="J263" s="22">
        <v>44808</v>
      </c>
      <c r="K263" s="26">
        <f t="shared" ca="1" si="2"/>
        <v>0.43179429268318359</v>
      </c>
      <c r="L263" s="29">
        <f t="shared" ca="1" si="28"/>
        <v>149</v>
      </c>
      <c r="N263" s="22">
        <v>44808</v>
      </c>
      <c r="O263" s="26">
        <f t="shared" ca="1" si="3"/>
        <v>0.6691407008114908</v>
      </c>
      <c r="P263" s="29">
        <f t="shared" ca="1" si="29"/>
        <v>237</v>
      </c>
      <c r="R263" s="22">
        <v>44808</v>
      </c>
      <c r="S263" s="26">
        <f t="shared" ca="1" si="4"/>
        <v>0.4048329320666546</v>
      </c>
      <c r="T263" s="29">
        <f t="shared" ca="1" si="30"/>
        <v>137</v>
      </c>
      <c r="V263" s="22">
        <v>44808</v>
      </c>
      <c r="W263" s="26">
        <f t="shared" ca="1" si="5"/>
        <v>0.67013222666796091</v>
      </c>
      <c r="X263" s="29">
        <v>0</v>
      </c>
      <c r="Z263" s="22">
        <v>44808</v>
      </c>
      <c r="AA263" s="26">
        <f t="shared" ca="1" si="6"/>
        <v>1.4975758224847202E-2</v>
      </c>
      <c r="AB263" s="29">
        <v>0</v>
      </c>
      <c r="AC263"/>
      <c r="AD263" s="25"/>
      <c r="AF263" s="22">
        <v>44808</v>
      </c>
      <c r="AG263" s="26">
        <f t="shared" ca="1" si="7"/>
        <v>0.12379926488851023</v>
      </c>
      <c r="AH263" s="29">
        <v>0</v>
      </c>
      <c r="AJ263" s="22">
        <v>44808</v>
      </c>
      <c r="AK263" s="26">
        <f t="shared" ca="1" si="8"/>
        <v>0.54961389191353405</v>
      </c>
      <c r="AL263" s="29">
        <v>0</v>
      </c>
      <c r="AN263" s="22">
        <v>44808</v>
      </c>
      <c r="AO263" s="26">
        <f t="shared" ca="1" si="9"/>
        <v>8.8635410024021866E-2</v>
      </c>
      <c r="AP263" s="29">
        <v>0</v>
      </c>
      <c r="AR263" s="22">
        <v>44808</v>
      </c>
      <c r="AS263" s="26">
        <f t="shared" ca="1" si="10"/>
        <v>0.7041633970667297</v>
      </c>
      <c r="AT263" s="29">
        <v>0</v>
      </c>
      <c r="AV263" s="22">
        <v>44808</v>
      </c>
      <c r="AW263" s="26">
        <f t="shared" ca="1" si="11"/>
        <v>0.98890754304672557</v>
      </c>
      <c r="AX263" s="29">
        <v>0</v>
      </c>
      <c r="AZ263" s="22">
        <v>44808</v>
      </c>
      <c r="BA263" s="26">
        <f t="shared" ca="1" si="12"/>
        <v>0.10931651764309724</v>
      </c>
      <c r="BB263" s="29">
        <v>0</v>
      </c>
      <c r="BC263"/>
      <c r="BD263" s="25"/>
      <c r="BF263" s="22">
        <v>44808</v>
      </c>
      <c r="BG263" s="26">
        <f t="shared" ca="1" si="13"/>
        <v>0.32155692279887449</v>
      </c>
      <c r="BH263" s="29">
        <v>0</v>
      </c>
      <c r="BJ263" s="22">
        <v>44808</v>
      </c>
      <c r="BK263" s="26">
        <f t="shared" ca="1" si="14"/>
        <v>0.63445652054235202</v>
      </c>
      <c r="BL263" s="29">
        <v>0</v>
      </c>
      <c r="BN263" s="22">
        <v>44808</v>
      </c>
      <c r="BO263" s="26">
        <f t="shared" ca="1" si="15"/>
        <v>0.73744652334041461</v>
      </c>
      <c r="BP263" s="29">
        <v>0</v>
      </c>
      <c r="BR263" s="22">
        <v>44808</v>
      </c>
      <c r="BS263" s="26">
        <f t="shared" ca="1" si="16"/>
        <v>0.21043623305366088</v>
      </c>
      <c r="BT263" s="29">
        <v>0</v>
      </c>
      <c r="BV263" s="22">
        <v>44808</v>
      </c>
      <c r="BW263" s="26">
        <f t="shared" ca="1" si="17"/>
        <v>4.5964032790389853E-2</v>
      </c>
      <c r="BX263" s="29">
        <v>0</v>
      </c>
    </row>
    <row r="264" spans="2:77" ht="12.75" x14ac:dyDescent="0.2">
      <c r="B264" s="22">
        <v>44809</v>
      </c>
      <c r="C264" s="26">
        <f t="shared" ca="1" si="0"/>
        <v>0.32037938433126567</v>
      </c>
      <c r="D264" s="29">
        <f t="shared" ca="1" si="26"/>
        <v>66</v>
      </c>
      <c r="F264" s="22">
        <v>44809</v>
      </c>
      <c r="G264" s="26">
        <f t="shared" ca="1" si="1"/>
        <v>8.4733165210211681E-2</v>
      </c>
      <c r="H264" s="29">
        <f t="shared" ca="1" si="27"/>
        <v>196</v>
      </c>
      <c r="J264" s="22">
        <v>44809</v>
      </c>
      <c r="K264" s="26">
        <f t="shared" ca="1" si="2"/>
        <v>0.82425357769814767</v>
      </c>
      <c r="L264" s="29">
        <f t="shared" ca="1" si="28"/>
        <v>160</v>
      </c>
      <c r="N264" s="22">
        <v>44809</v>
      </c>
      <c r="O264" s="26">
        <f t="shared" ca="1" si="3"/>
        <v>0.48124905898466119</v>
      </c>
      <c r="P264" s="29">
        <f t="shared" ca="1" si="29"/>
        <v>229</v>
      </c>
      <c r="R264" s="22">
        <v>44809</v>
      </c>
      <c r="S264" s="26">
        <f t="shared" ca="1" si="4"/>
        <v>0.53083978127588838</v>
      </c>
      <c r="T264" s="29">
        <f t="shared" ca="1" si="30"/>
        <v>140</v>
      </c>
      <c r="V264" s="22">
        <v>44809</v>
      </c>
      <c r="W264" s="26">
        <f t="shared" ca="1" si="5"/>
        <v>0.375931802297507</v>
      </c>
      <c r="X264" s="29">
        <v>0</v>
      </c>
      <c r="Z264" s="22">
        <v>44809</v>
      </c>
      <c r="AA264" s="26">
        <f t="shared" ca="1" si="6"/>
        <v>4.9466385159404158E-2</v>
      </c>
      <c r="AB264" s="29">
        <v>0</v>
      </c>
      <c r="AC264"/>
      <c r="AD264" s="25"/>
      <c r="AF264" s="22">
        <v>44809</v>
      </c>
      <c r="AG264" s="26">
        <f t="shared" ca="1" si="7"/>
        <v>0.78467377952081063</v>
      </c>
      <c r="AH264" s="29">
        <v>0</v>
      </c>
      <c r="AJ264" s="22">
        <v>44809</v>
      </c>
      <c r="AK264" s="26">
        <f t="shared" ca="1" si="8"/>
        <v>0.26542754106437905</v>
      </c>
      <c r="AL264" s="29">
        <v>0</v>
      </c>
      <c r="AN264" s="22">
        <v>44809</v>
      </c>
      <c r="AO264" s="26">
        <f t="shared" ca="1" si="9"/>
        <v>0.60840452340225115</v>
      </c>
      <c r="AP264" s="29">
        <v>0</v>
      </c>
      <c r="AR264" s="22">
        <v>44809</v>
      </c>
      <c r="AS264" s="26">
        <f t="shared" ca="1" si="10"/>
        <v>0.49595085304063435</v>
      </c>
      <c r="AT264" s="29">
        <v>0</v>
      </c>
      <c r="AV264" s="22">
        <v>44809</v>
      </c>
      <c r="AW264" s="26">
        <f t="shared" ca="1" si="11"/>
        <v>0.95542117531918502</v>
      </c>
      <c r="AX264" s="29">
        <v>0</v>
      </c>
      <c r="AZ264" s="22">
        <v>44809</v>
      </c>
      <c r="BA264" s="26">
        <f t="shared" ca="1" si="12"/>
        <v>0.13568099790308263</v>
      </c>
      <c r="BB264" s="29">
        <v>0</v>
      </c>
      <c r="BC264"/>
      <c r="BD264" s="25"/>
      <c r="BF264" s="22">
        <v>44809</v>
      </c>
      <c r="BG264" s="26">
        <f t="shared" ca="1" si="13"/>
        <v>0.52728452100559231</v>
      </c>
      <c r="BH264" s="29">
        <v>0</v>
      </c>
      <c r="BJ264" s="22">
        <v>44809</v>
      </c>
      <c r="BK264" s="26">
        <f t="shared" ca="1" si="14"/>
        <v>0.11011957202069322</v>
      </c>
      <c r="BL264" s="29">
        <v>0</v>
      </c>
      <c r="BN264" s="22">
        <v>44809</v>
      </c>
      <c r="BO264" s="26">
        <f t="shared" ca="1" si="15"/>
        <v>0.24451525936044849</v>
      </c>
      <c r="BP264" s="29">
        <v>0</v>
      </c>
      <c r="BR264" s="22">
        <v>44809</v>
      </c>
      <c r="BS264" s="26">
        <f t="shared" ca="1" si="16"/>
        <v>0.2935254583758129</v>
      </c>
      <c r="BT264" s="29">
        <v>0</v>
      </c>
      <c r="BV264" s="22">
        <v>44809</v>
      </c>
      <c r="BW264" s="26">
        <f t="shared" ca="1" si="17"/>
        <v>1.3888468286726408E-2</v>
      </c>
      <c r="BX264" s="29">
        <v>0</v>
      </c>
    </row>
    <row r="265" spans="2:77" ht="12.75" x14ac:dyDescent="0.2">
      <c r="B265" s="22">
        <v>44810</v>
      </c>
      <c r="C265" s="26">
        <f t="shared" ca="1" si="0"/>
        <v>0.51607214819390879</v>
      </c>
      <c r="D265" s="29">
        <f t="shared" ca="1" si="26"/>
        <v>76</v>
      </c>
      <c r="F265" s="22">
        <v>44810</v>
      </c>
      <c r="G265" s="26">
        <f t="shared" ca="1" si="1"/>
        <v>0.69686500734318679</v>
      </c>
      <c r="H265" s="29">
        <f t="shared" ca="1" si="27"/>
        <v>223</v>
      </c>
      <c r="J265" s="22">
        <v>44810</v>
      </c>
      <c r="K265" s="26">
        <f t="shared" ca="1" si="2"/>
        <v>0.61510464140568932</v>
      </c>
      <c r="L265" s="29">
        <f t="shared" ca="1" si="28"/>
        <v>153</v>
      </c>
      <c r="N265" s="22">
        <v>44810</v>
      </c>
      <c r="O265" s="26">
        <f t="shared" ca="1" si="3"/>
        <v>0.10826304316501389</v>
      </c>
      <c r="P265" s="29">
        <f t="shared" ca="1" si="29"/>
        <v>211</v>
      </c>
      <c r="R265" s="22">
        <v>44810</v>
      </c>
      <c r="S265" s="26">
        <f t="shared" ca="1" si="4"/>
        <v>0.71507221836465396</v>
      </c>
      <c r="T265" s="29">
        <f t="shared" ca="1" si="30"/>
        <v>145</v>
      </c>
      <c r="V265" s="22">
        <v>44810</v>
      </c>
      <c r="W265" s="26">
        <f t="shared" ca="1" si="5"/>
        <v>0.85916200154513178</v>
      </c>
      <c r="X265" s="29">
        <v>0</v>
      </c>
      <c r="Z265" s="22">
        <v>44810</v>
      </c>
      <c r="AA265" s="26">
        <f t="shared" ca="1" si="6"/>
        <v>0.53245337495263634</v>
      </c>
      <c r="AB265" s="29">
        <v>0</v>
      </c>
      <c r="AC265"/>
      <c r="AD265" s="25"/>
      <c r="AF265" s="22">
        <v>44810</v>
      </c>
      <c r="AG265" s="26">
        <f t="shared" ca="1" si="7"/>
        <v>0.86855559125884529</v>
      </c>
      <c r="AH265" s="29">
        <v>0</v>
      </c>
      <c r="AJ265" s="22">
        <v>44810</v>
      </c>
      <c r="AK265" s="26">
        <f t="shared" ca="1" si="8"/>
        <v>0.46562473648510305</v>
      </c>
      <c r="AL265" s="29">
        <v>0</v>
      </c>
      <c r="AN265" s="22">
        <v>44810</v>
      </c>
      <c r="AO265" s="26">
        <f t="shared" ca="1" si="9"/>
        <v>0.13807205218173801</v>
      </c>
      <c r="AP265" s="29">
        <v>0</v>
      </c>
      <c r="AR265" s="22">
        <v>44810</v>
      </c>
      <c r="AS265" s="26">
        <f t="shared" ca="1" si="10"/>
        <v>0.55106253358581858</v>
      </c>
      <c r="AT265" s="29">
        <v>0</v>
      </c>
      <c r="AV265" s="22">
        <v>44810</v>
      </c>
      <c r="AW265" s="26">
        <f t="shared" ca="1" si="11"/>
        <v>0.61401356099580429</v>
      </c>
      <c r="AX265" s="29">
        <v>0</v>
      </c>
      <c r="AZ265" s="22">
        <v>44810</v>
      </c>
      <c r="BA265" s="26">
        <f t="shared" ca="1" si="12"/>
        <v>0.66653459648896651</v>
      </c>
      <c r="BB265" s="29">
        <v>0</v>
      </c>
      <c r="BC265"/>
      <c r="BD265" s="25"/>
      <c r="BF265" s="22">
        <v>44810</v>
      </c>
      <c r="BG265" s="26">
        <f t="shared" ca="1" si="13"/>
        <v>0.53832823576312949</v>
      </c>
      <c r="BH265" s="29">
        <v>0</v>
      </c>
      <c r="BJ265" s="22">
        <v>44810</v>
      </c>
      <c r="BK265" s="26">
        <f t="shared" ca="1" si="14"/>
        <v>0.67328962437022855</v>
      </c>
      <c r="BL265" s="29">
        <v>0</v>
      </c>
      <c r="BN265" s="22">
        <v>44810</v>
      </c>
      <c r="BO265" s="26">
        <f t="shared" ca="1" si="15"/>
        <v>0.61365672981053998</v>
      </c>
      <c r="BP265" s="29">
        <v>0</v>
      </c>
      <c r="BR265" s="22">
        <v>44810</v>
      </c>
      <c r="BS265" s="26">
        <f t="shared" ca="1" si="16"/>
        <v>0.50423691925542224</v>
      </c>
      <c r="BT265" s="29">
        <v>0</v>
      </c>
      <c r="BV265" s="22">
        <v>44810</v>
      </c>
      <c r="BW265" s="26">
        <f t="shared" ca="1" si="17"/>
        <v>0.26815664373010761</v>
      </c>
      <c r="BX265" s="29">
        <v>0</v>
      </c>
    </row>
    <row r="266" spans="2:77" ht="12.75" x14ac:dyDescent="0.2">
      <c r="B266" s="22">
        <v>44811</v>
      </c>
      <c r="C266" s="26">
        <f t="shared" ca="1" si="0"/>
        <v>9.6749585595740206E-2</v>
      </c>
      <c r="D266" s="29">
        <f t="shared" ca="1" si="26"/>
        <v>49</v>
      </c>
      <c r="F266" s="22">
        <v>44811</v>
      </c>
      <c r="G266" s="26">
        <f t="shared" ca="1" si="1"/>
        <v>0.89413779013988059</v>
      </c>
      <c r="H266" s="29">
        <f t="shared" ca="1" si="27"/>
        <v>234</v>
      </c>
      <c r="J266" s="22">
        <v>44811</v>
      </c>
      <c r="K266" s="26">
        <f t="shared" ca="1" si="2"/>
        <v>0.54716682316635368</v>
      </c>
      <c r="L266" s="29">
        <f t="shared" ca="1" si="28"/>
        <v>152</v>
      </c>
      <c r="N266" s="22">
        <v>44811</v>
      </c>
      <c r="O266" s="26">
        <f t="shared" ca="1" si="3"/>
        <v>0.66588529207177927</v>
      </c>
      <c r="P266" s="29">
        <f t="shared" ca="1" si="29"/>
        <v>236</v>
      </c>
      <c r="R266" s="22">
        <v>44811</v>
      </c>
      <c r="S266" s="26">
        <f t="shared" ca="1" si="4"/>
        <v>0.66288458109549364</v>
      </c>
      <c r="T266" s="29">
        <f t="shared" ca="1" si="30"/>
        <v>143</v>
      </c>
      <c r="V266" s="22">
        <v>44811</v>
      </c>
      <c r="W266" s="26">
        <f t="shared" ca="1" si="5"/>
        <v>0.56998745497962122</v>
      </c>
      <c r="X266" s="29">
        <v>0</v>
      </c>
      <c r="Z266" s="22">
        <v>44811</v>
      </c>
      <c r="AA266" s="26">
        <f t="shared" ca="1" si="6"/>
        <v>4.0939835635117494E-2</v>
      </c>
      <c r="AB266" s="29">
        <v>0</v>
      </c>
      <c r="AC266"/>
      <c r="AD266" s="25"/>
      <c r="AF266" s="22">
        <v>44811</v>
      </c>
      <c r="AG266" s="26">
        <f t="shared" ca="1" si="7"/>
        <v>0.38278297812202744</v>
      </c>
      <c r="AH266" s="29">
        <v>0</v>
      </c>
      <c r="AJ266" s="22">
        <v>44811</v>
      </c>
      <c r="AK266" s="26">
        <f t="shared" ca="1" si="8"/>
        <v>0.64608176830779818</v>
      </c>
      <c r="AL266" s="29">
        <v>0</v>
      </c>
      <c r="AN266" s="22">
        <v>44811</v>
      </c>
      <c r="AO266" s="26">
        <f t="shared" ca="1" si="9"/>
        <v>0.13877196867080366</v>
      </c>
      <c r="AP266" s="29">
        <v>0</v>
      </c>
      <c r="AR266" s="22">
        <v>44811</v>
      </c>
      <c r="AS266" s="26">
        <f t="shared" ca="1" si="10"/>
        <v>0.91856017755143327</v>
      </c>
      <c r="AT266" s="29">
        <v>0</v>
      </c>
      <c r="AV266" s="22">
        <v>44811</v>
      </c>
      <c r="AW266" s="26">
        <f t="shared" ca="1" si="11"/>
        <v>0.65800497225253707</v>
      </c>
      <c r="AX266" s="29">
        <v>0</v>
      </c>
      <c r="AZ266" s="22">
        <v>44811</v>
      </c>
      <c r="BA266" s="26">
        <f t="shared" ca="1" si="12"/>
        <v>0.21494528508990629</v>
      </c>
      <c r="BB266" s="29">
        <v>0</v>
      </c>
      <c r="BC266"/>
      <c r="BD266" s="25"/>
      <c r="BF266" s="22">
        <v>44811</v>
      </c>
      <c r="BG266" s="26">
        <f t="shared" ca="1" si="13"/>
        <v>0.64927781504252813</v>
      </c>
      <c r="BH266" s="29">
        <v>0</v>
      </c>
      <c r="BJ266" s="22">
        <v>44811</v>
      </c>
      <c r="BK266" s="26">
        <f t="shared" ca="1" si="14"/>
        <v>0.32893575846143064</v>
      </c>
      <c r="BL266" s="29">
        <v>0</v>
      </c>
      <c r="BN266" s="22">
        <v>44811</v>
      </c>
      <c r="BO266" s="26">
        <f t="shared" ca="1" si="15"/>
        <v>0.82171524591116907</v>
      </c>
      <c r="BP266" s="29">
        <v>0</v>
      </c>
      <c r="BR266" s="22">
        <v>44811</v>
      </c>
      <c r="BS266" s="26">
        <f t="shared" ca="1" si="16"/>
        <v>0.30816238831749954</v>
      </c>
      <c r="BT266" s="29">
        <v>0</v>
      </c>
      <c r="BV266" s="22">
        <v>44811</v>
      </c>
      <c r="BW266" s="26">
        <f t="shared" ca="1" si="17"/>
        <v>0.42497140901771147</v>
      </c>
      <c r="BX266" s="29">
        <v>0</v>
      </c>
    </row>
    <row r="267" spans="2:77" ht="12.75" x14ac:dyDescent="0.2">
      <c r="B267" s="22">
        <v>44812</v>
      </c>
      <c r="C267" s="26">
        <f t="shared" ca="1" si="0"/>
        <v>0.10043720541141121</v>
      </c>
      <c r="D267" s="29">
        <f t="shared" ca="1" si="26"/>
        <v>50</v>
      </c>
      <c r="F267" s="22">
        <v>44812</v>
      </c>
      <c r="G267" s="26">
        <f t="shared" ca="1" si="1"/>
        <v>0.46505070998156484</v>
      </c>
      <c r="H267" s="29">
        <f t="shared" ca="1" si="27"/>
        <v>215</v>
      </c>
      <c r="J267" s="22">
        <v>44812</v>
      </c>
      <c r="K267" s="26">
        <f t="shared" ca="1" si="2"/>
        <v>0.787353086601704</v>
      </c>
      <c r="L267" s="29">
        <f t="shared" ca="1" si="28"/>
        <v>158</v>
      </c>
      <c r="N267" s="22">
        <v>44812</v>
      </c>
      <c r="O267" s="26">
        <f t="shared" ca="1" si="3"/>
        <v>0.26851097992930673</v>
      </c>
      <c r="P267" s="29">
        <f t="shared" ca="1" si="29"/>
        <v>220</v>
      </c>
      <c r="R267" s="22">
        <v>44812</v>
      </c>
      <c r="S267" s="26">
        <f t="shared" ca="1" si="4"/>
        <v>0.84398543802424753</v>
      </c>
      <c r="T267" s="29">
        <f t="shared" ca="1" si="30"/>
        <v>149</v>
      </c>
      <c r="V267" s="22">
        <v>44812</v>
      </c>
      <c r="W267" s="26">
        <f t="shared" ca="1" si="5"/>
        <v>6.7385896254995803E-2</v>
      </c>
      <c r="X267" s="29">
        <v>0</v>
      </c>
      <c r="Z267" s="22">
        <v>44812</v>
      </c>
      <c r="AA267" s="26">
        <f t="shared" ca="1" si="6"/>
        <v>0.64936432508081376</v>
      </c>
      <c r="AB267" s="29">
        <v>0</v>
      </c>
      <c r="AC267"/>
      <c r="AD267" s="25"/>
      <c r="AF267" s="22">
        <v>44812</v>
      </c>
      <c r="AG267" s="26">
        <f t="shared" ca="1" si="7"/>
        <v>0.83498093716744082</v>
      </c>
      <c r="AH267" s="29">
        <v>0</v>
      </c>
      <c r="AJ267" s="22">
        <v>44812</v>
      </c>
      <c r="AK267" s="26">
        <f t="shared" ca="1" si="8"/>
        <v>0.70179071134276916</v>
      </c>
      <c r="AL267" s="29">
        <v>0</v>
      </c>
      <c r="AN267" s="22">
        <v>44812</v>
      </c>
      <c r="AO267" s="26">
        <f t="shared" ca="1" si="9"/>
        <v>0.99974887122978506</v>
      </c>
      <c r="AP267" s="29">
        <v>0</v>
      </c>
      <c r="AR267" s="22">
        <v>44812</v>
      </c>
      <c r="AS267" s="26">
        <f t="shared" ca="1" si="10"/>
        <v>0.52762176781990511</v>
      </c>
      <c r="AT267" s="29">
        <v>0</v>
      </c>
      <c r="AV267" s="22">
        <v>44812</v>
      </c>
      <c r="AW267" s="26">
        <f t="shared" ca="1" si="11"/>
        <v>0.90832351026608316</v>
      </c>
      <c r="AX267" s="29">
        <v>0</v>
      </c>
      <c r="AZ267" s="22">
        <v>44812</v>
      </c>
      <c r="BA267" s="26">
        <f t="shared" ca="1" si="12"/>
        <v>5.5977798832602899E-2</v>
      </c>
      <c r="BB267" s="29">
        <v>0</v>
      </c>
      <c r="BC267"/>
      <c r="BD267" s="25"/>
      <c r="BF267" s="22">
        <v>44812</v>
      </c>
      <c r="BG267" s="26">
        <f t="shared" ca="1" si="13"/>
        <v>0.38036629442744641</v>
      </c>
      <c r="BH267" s="29">
        <v>0</v>
      </c>
      <c r="BJ267" s="22">
        <v>44812</v>
      </c>
      <c r="BK267" s="26">
        <f t="shared" ca="1" si="14"/>
        <v>0.11174550272981043</v>
      </c>
      <c r="BL267" s="29">
        <v>0</v>
      </c>
      <c r="BN267" s="22">
        <v>44812</v>
      </c>
      <c r="BO267" s="26">
        <f t="shared" ca="1" si="15"/>
        <v>3.8471499121411679E-2</v>
      </c>
      <c r="BP267" s="29">
        <v>0</v>
      </c>
      <c r="BR267" s="22">
        <v>44812</v>
      </c>
      <c r="BS267" s="26">
        <f t="shared" ca="1" si="16"/>
        <v>0.99122139008627419</v>
      </c>
      <c r="BT267" s="29">
        <v>0</v>
      </c>
      <c r="BV267" s="22">
        <v>44812</v>
      </c>
      <c r="BW267" s="26">
        <f t="shared" ca="1" si="17"/>
        <v>0.58749856832039637</v>
      </c>
      <c r="BX267" s="29">
        <v>0</v>
      </c>
    </row>
    <row r="268" spans="2:77" ht="12.75" x14ac:dyDescent="0.2">
      <c r="B268" s="22">
        <v>44813</v>
      </c>
      <c r="C268" s="26">
        <f t="shared" ca="1" si="0"/>
        <v>9.3193202553875532E-2</v>
      </c>
      <c r="D268" s="29">
        <f t="shared" ca="1" si="26"/>
        <v>49</v>
      </c>
      <c r="F268" s="22">
        <v>44813</v>
      </c>
      <c r="G268" s="26">
        <f t="shared" ca="1" si="1"/>
        <v>0.38056546966608107</v>
      </c>
      <c r="H268" s="29">
        <f t="shared" ca="1" si="27"/>
        <v>212</v>
      </c>
      <c r="J268" s="22">
        <v>44813</v>
      </c>
      <c r="K268" s="26">
        <f t="shared" ca="1" si="2"/>
        <v>0.66354053423446335</v>
      </c>
      <c r="L268" s="29">
        <f t="shared" ca="1" si="28"/>
        <v>155</v>
      </c>
      <c r="N268" s="22">
        <v>44813</v>
      </c>
      <c r="O268" s="26">
        <f t="shared" ca="1" si="3"/>
        <v>0.18210806400235424</v>
      </c>
      <c r="P268" s="29">
        <f t="shared" ca="1" si="29"/>
        <v>216</v>
      </c>
      <c r="R268" s="22">
        <v>44813</v>
      </c>
      <c r="S268" s="26">
        <f t="shared" ca="1" si="4"/>
        <v>0.75623078311897052</v>
      </c>
      <c r="T268" s="29">
        <f t="shared" ca="1" si="30"/>
        <v>146</v>
      </c>
      <c r="V268" s="22">
        <v>44813</v>
      </c>
      <c r="W268" s="26">
        <f t="shared" ca="1" si="5"/>
        <v>0.97928260598198891</v>
      </c>
      <c r="X268" s="29">
        <v>0</v>
      </c>
      <c r="Z268" s="22">
        <v>44813</v>
      </c>
      <c r="AA268" s="26">
        <f t="shared" ca="1" si="6"/>
        <v>0.32457086199651886</v>
      </c>
      <c r="AB268" s="29">
        <v>0</v>
      </c>
      <c r="AC268"/>
      <c r="AD268" s="25"/>
      <c r="AF268" s="22">
        <v>44813</v>
      </c>
      <c r="AG268" s="26">
        <f t="shared" ca="1" si="7"/>
        <v>0.82320492735145123</v>
      </c>
      <c r="AH268" s="29">
        <v>0</v>
      </c>
      <c r="AJ268" s="22">
        <v>44813</v>
      </c>
      <c r="AK268" s="26">
        <f t="shared" ca="1" si="8"/>
        <v>0.29347988146082815</v>
      </c>
      <c r="AL268" s="29">
        <v>0</v>
      </c>
      <c r="AN268" s="22">
        <v>44813</v>
      </c>
      <c r="AO268" s="26">
        <f t="shared" ca="1" si="9"/>
        <v>0.95570721622935373</v>
      </c>
      <c r="AP268" s="29">
        <v>0</v>
      </c>
      <c r="AR268" s="22">
        <v>44813</v>
      </c>
      <c r="AS268" s="26">
        <f t="shared" ca="1" si="10"/>
        <v>0.13825438351089581</v>
      </c>
      <c r="AT268" s="29">
        <v>0</v>
      </c>
      <c r="AV268" s="22">
        <v>44813</v>
      </c>
      <c r="AW268" s="26">
        <f t="shared" ca="1" si="11"/>
        <v>0.87121675824907585</v>
      </c>
      <c r="AX268" s="29">
        <v>0</v>
      </c>
      <c r="AZ268" s="22">
        <v>44813</v>
      </c>
      <c r="BA268" s="26">
        <f t="shared" ca="1" si="12"/>
        <v>0.12489144536409336</v>
      </c>
      <c r="BB268" s="29">
        <v>0</v>
      </c>
      <c r="BC268"/>
      <c r="BD268" s="25"/>
      <c r="BF268" s="22">
        <v>44813</v>
      </c>
      <c r="BG268" s="26">
        <f t="shared" ca="1" si="13"/>
        <v>0.93225332509014003</v>
      </c>
      <c r="BH268" s="29">
        <v>0</v>
      </c>
      <c r="BJ268" s="22">
        <v>44813</v>
      </c>
      <c r="BK268" s="26">
        <f t="shared" ca="1" si="14"/>
        <v>0.5579978141555495</v>
      </c>
      <c r="BL268" s="29">
        <v>0</v>
      </c>
      <c r="BN268" s="22">
        <v>44813</v>
      </c>
      <c r="BO268" s="26">
        <f t="shared" ca="1" si="15"/>
        <v>0.16623137107779407</v>
      </c>
      <c r="BP268" s="29">
        <v>0</v>
      </c>
      <c r="BR268" s="22">
        <v>44813</v>
      </c>
      <c r="BS268" s="26">
        <f t="shared" ca="1" si="16"/>
        <v>0.12646187090815342</v>
      </c>
      <c r="BT268" s="29">
        <v>0</v>
      </c>
      <c r="BV268" s="22">
        <v>44813</v>
      </c>
      <c r="BW268" s="26">
        <f t="shared" ca="1" si="17"/>
        <v>0.44735214960207947</v>
      </c>
      <c r="BX268" s="29">
        <v>0</v>
      </c>
    </row>
    <row r="269" spans="2:77" ht="12.75" x14ac:dyDescent="0.2">
      <c r="B269" s="22">
        <v>44814</v>
      </c>
      <c r="C269" s="26">
        <f t="shared" ca="1" si="0"/>
        <v>0.16818198682677765</v>
      </c>
      <c r="D269" s="29">
        <f t="shared" ca="1" si="26"/>
        <v>56</v>
      </c>
      <c r="F269" s="22">
        <v>44814</v>
      </c>
      <c r="G269" s="26">
        <f t="shared" ca="1" si="1"/>
        <v>0.54911641950041656</v>
      </c>
      <c r="H269" s="29">
        <f t="shared" ca="1" si="27"/>
        <v>218</v>
      </c>
      <c r="J269" s="22">
        <v>44814</v>
      </c>
      <c r="K269" s="26">
        <f t="shared" ca="1" si="2"/>
        <v>0.13750599751522852</v>
      </c>
      <c r="L269" s="29">
        <f t="shared" ca="1" si="28"/>
        <v>140</v>
      </c>
      <c r="N269" s="22">
        <v>44814</v>
      </c>
      <c r="O269" s="26">
        <f t="shared" ca="1" si="3"/>
        <v>9.9453112973422408E-2</v>
      </c>
      <c r="P269" s="29">
        <f t="shared" ca="1" si="29"/>
        <v>210</v>
      </c>
      <c r="R269" s="22">
        <v>44814</v>
      </c>
      <c r="S269" s="26">
        <f t="shared" ca="1" si="4"/>
        <v>9.6852004825532689E-2</v>
      </c>
      <c r="T269" s="29">
        <f t="shared" ca="1" si="30"/>
        <v>127</v>
      </c>
      <c r="V269" s="22">
        <v>44814</v>
      </c>
      <c r="W269" s="26">
        <f t="shared" ca="1" si="5"/>
        <v>0.8449050152720774</v>
      </c>
      <c r="X269" s="29">
        <v>0</v>
      </c>
      <c r="Z269" s="22">
        <v>44814</v>
      </c>
      <c r="AA269" s="26">
        <f t="shared" ca="1" si="6"/>
        <v>0.86745346949091318</v>
      </c>
      <c r="AB269" s="29">
        <v>0</v>
      </c>
      <c r="AC269"/>
      <c r="AD269" s="25"/>
      <c r="AF269" s="22">
        <v>44814</v>
      </c>
      <c r="AG269" s="26">
        <f t="shared" ca="1" si="7"/>
        <v>0.99553930237984711</v>
      </c>
      <c r="AH269" s="29">
        <v>0</v>
      </c>
      <c r="AJ269" s="22">
        <v>44814</v>
      </c>
      <c r="AK269" s="26">
        <f t="shared" ca="1" si="8"/>
        <v>0.78755170634769867</v>
      </c>
      <c r="AL269" s="29">
        <v>0</v>
      </c>
      <c r="AN269" s="22">
        <v>44814</v>
      </c>
      <c r="AO269" s="26">
        <f t="shared" ca="1" si="9"/>
        <v>0.96313475470191834</v>
      </c>
      <c r="AP269" s="29">
        <v>0</v>
      </c>
      <c r="AR269" s="22">
        <v>44814</v>
      </c>
      <c r="AS269" s="26">
        <f t="shared" ca="1" si="10"/>
        <v>0.54272984719909101</v>
      </c>
      <c r="AT269" s="29">
        <v>0</v>
      </c>
      <c r="AV269" s="22">
        <v>44814</v>
      </c>
      <c r="AW269" s="26">
        <f t="shared" ca="1" si="11"/>
        <v>0.83301401343436687</v>
      </c>
      <c r="AX269" s="29">
        <v>0</v>
      </c>
      <c r="AZ269" s="22">
        <v>44814</v>
      </c>
      <c r="BA269" s="26">
        <f t="shared" ca="1" si="12"/>
        <v>0.8630312292383937</v>
      </c>
      <c r="BB269" s="29">
        <v>0</v>
      </c>
      <c r="BC269"/>
      <c r="BD269" s="25"/>
      <c r="BF269" s="22">
        <v>44814</v>
      </c>
      <c r="BG269" s="26">
        <f t="shared" ca="1" si="13"/>
        <v>3.6733269027725002E-2</v>
      </c>
      <c r="BH269" s="29">
        <v>0</v>
      </c>
      <c r="BJ269" s="22">
        <v>44814</v>
      </c>
      <c r="BK269" s="26">
        <f t="shared" ca="1" si="14"/>
        <v>0.80874649524868014</v>
      </c>
      <c r="BL269" s="29">
        <v>0</v>
      </c>
      <c r="BN269" s="22">
        <v>44814</v>
      </c>
      <c r="BO269" s="26">
        <f t="shared" ca="1" si="15"/>
        <v>0.79806622530522475</v>
      </c>
      <c r="BP269" s="29">
        <v>0</v>
      </c>
      <c r="BR269" s="22">
        <v>44814</v>
      </c>
      <c r="BS269" s="26">
        <f t="shared" ca="1" si="16"/>
        <v>0.4926038697733478</v>
      </c>
      <c r="BT269" s="29">
        <v>0</v>
      </c>
      <c r="BV269" s="22">
        <v>44814</v>
      </c>
      <c r="BW269" s="26">
        <f t="shared" ca="1" si="17"/>
        <v>0.80217522997696078</v>
      </c>
      <c r="BX269" s="29">
        <v>0</v>
      </c>
    </row>
    <row r="270" spans="2:77" ht="12.75" x14ac:dyDescent="0.2">
      <c r="B270" s="22">
        <v>44815</v>
      </c>
      <c r="C270" s="26">
        <f t="shared" ca="1" si="0"/>
        <v>0.57064325798589544</v>
      </c>
      <c r="D270" s="29">
        <f t="shared" ca="1" si="26"/>
        <v>79</v>
      </c>
      <c r="F270" s="22">
        <v>44815</v>
      </c>
      <c r="G270" s="26">
        <f t="shared" ca="1" si="1"/>
        <v>0.3175381106691979</v>
      </c>
      <c r="H270" s="29">
        <f t="shared" ca="1" si="27"/>
        <v>209</v>
      </c>
      <c r="J270" s="22">
        <v>44815</v>
      </c>
      <c r="K270" s="26">
        <f t="shared" ca="1" si="2"/>
        <v>0.24790205354942907</v>
      </c>
      <c r="L270" s="29">
        <f t="shared" ca="1" si="28"/>
        <v>144</v>
      </c>
      <c r="N270" s="22">
        <v>44815</v>
      </c>
      <c r="O270" s="26">
        <f t="shared" ca="1" si="3"/>
        <v>0.34140966172398746</v>
      </c>
      <c r="P270" s="29">
        <f t="shared" ca="1" si="29"/>
        <v>224</v>
      </c>
      <c r="R270" s="22">
        <v>44815</v>
      </c>
      <c r="S270" s="26">
        <f t="shared" ca="1" si="4"/>
        <v>0.7643222335192158</v>
      </c>
      <c r="T270" s="29">
        <f t="shared" ca="1" si="30"/>
        <v>146</v>
      </c>
      <c r="V270" s="22">
        <v>44815</v>
      </c>
      <c r="W270" s="26">
        <f t="shared" ca="1" si="5"/>
        <v>0.51312446668745437</v>
      </c>
      <c r="X270" s="29">
        <v>0</v>
      </c>
      <c r="Z270" s="22">
        <v>44815</v>
      </c>
      <c r="AA270" s="26">
        <f t="shared" ca="1" si="6"/>
        <v>0.28161133360444401</v>
      </c>
      <c r="AB270" s="29">
        <v>0</v>
      </c>
      <c r="AC270"/>
      <c r="AD270" s="25"/>
      <c r="AF270" s="22">
        <v>44815</v>
      </c>
      <c r="AG270" s="26">
        <f t="shared" ca="1" si="7"/>
        <v>0.59313875752520751</v>
      </c>
      <c r="AH270" s="29">
        <v>0</v>
      </c>
      <c r="AJ270" s="22">
        <v>44815</v>
      </c>
      <c r="AK270" s="26">
        <f t="shared" ca="1" si="8"/>
        <v>0.18789388551555741</v>
      </c>
      <c r="AL270" s="29">
        <v>0</v>
      </c>
      <c r="AN270" s="22">
        <v>44815</v>
      </c>
      <c r="AO270" s="26">
        <f t="shared" ca="1" si="9"/>
        <v>6.7791780973753157E-2</v>
      </c>
      <c r="AP270" s="29">
        <v>0</v>
      </c>
      <c r="AR270" s="22">
        <v>44815</v>
      </c>
      <c r="AS270" s="26">
        <f t="shared" ca="1" si="10"/>
        <v>0.27009819511468813</v>
      </c>
      <c r="AT270" s="29">
        <v>0</v>
      </c>
      <c r="AV270" s="22">
        <v>44815</v>
      </c>
      <c r="AW270" s="26">
        <f t="shared" ca="1" si="11"/>
        <v>0.70938737815590214</v>
      </c>
      <c r="AX270" s="29">
        <v>0</v>
      </c>
      <c r="AZ270" s="22">
        <v>44815</v>
      </c>
      <c r="BA270" s="26">
        <f t="shared" ca="1" si="12"/>
        <v>0.67611163946545172</v>
      </c>
      <c r="BB270" s="29">
        <v>0</v>
      </c>
      <c r="BC270"/>
      <c r="BD270" s="25"/>
      <c r="BF270" s="22">
        <v>44815</v>
      </c>
      <c r="BG270" s="26">
        <f t="shared" ca="1" si="13"/>
        <v>0.51440152928587612</v>
      </c>
      <c r="BH270" s="29">
        <v>0</v>
      </c>
      <c r="BJ270" s="22">
        <v>44815</v>
      </c>
      <c r="BK270" s="26">
        <f t="shared" ca="1" si="14"/>
        <v>0.68129084090059377</v>
      </c>
      <c r="BL270" s="29">
        <v>0</v>
      </c>
      <c r="BN270" s="22">
        <v>44815</v>
      </c>
      <c r="BO270" s="26">
        <f t="shared" ca="1" si="15"/>
        <v>0.26008781197507691</v>
      </c>
      <c r="BP270" s="29">
        <v>0</v>
      </c>
      <c r="BR270" s="22">
        <v>44815</v>
      </c>
      <c r="BS270" s="26">
        <f t="shared" ca="1" si="16"/>
        <v>0.5781505185352781</v>
      </c>
      <c r="BT270" s="29">
        <v>0</v>
      </c>
      <c r="BV270" s="22">
        <v>44815</v>
      </c>
      <c r="BW270" s="26">
        <f t="shared" ca="1" si="17"/>
        <v>0.53517502270279815</v>
      </c>
      <c r="BX270" s="29">
        <v>0</v>
      </c>
    </row>
    <row r="271" spans="2:77" ht="12.75" x14ac:dyDescent="0.2">
      <c r="B271" s="22">
        <v>44816</v>
      </c>
      <c r="C271" s="26">
        <f t="shared" ca="1" si="0"/>
        <v>0.15788408302986479</v>
      </c>
      <c r="D271" s="29">
        <f t="shared" ca="1" si="26"/>
        <v>55</v>
      </c>
      <c r="F271" s="22">
        <v>44816</v>
      </c>
      <c r="G271" s="26">
        <f t="shared" ca="1" si="1"/>
        <v>0.6118574354318117</v>
      </c>
      <c r="H271" s="29">
        <f t="shared" ca="1" si="27"/>
        <v>220</v>
      </c>
      <c r="J271" s="22">
        <v>44816</v>
      </c>
      <c r="K271" s="26">
        <f t="shared" ca="1" si="2"/>
        <v>6.1915935468173755E-2</v>
      </c>
      <c r="L271" s="29">
        <f t="shared" ca="1" si="28"/>
        <v>135</v>
      </c>
      <c r="N271" s="22">
        <v>44816</v>
      </c>
      <c r="O271" s="26">
        <f t="shared" ca="1" si="3"/>
        <v>0.19854018278640073</v>
      </c>
      <c r="P271" s="29">
        <f t="shared" ca="1" si="29"/>
        <v>217</v>
      </c>
      <c r="R271" s="22">
        <v>44816</v>
      </c>
      <c r="S271" s="26">
        <f t="shared" ca="1" si="4"/>
        <v>0.62079371565385078</v>
      </c>
      <c r="T271" s="29">
        <f t="shared" ca="1" si="30"/>
        <v>142</v>
      </c>
      <c r="V271" s="22">
        <v>44816</v>
      </c>
      <c r="W271" s="26">
        <f t="shared" ca="1" si="5"/>
        <v>0.20060679622080591</v>
      </c>
      <c r="X271" s="29">
        <v>0</v>
      </c>
      <c r="Z271" s="22">
        <v>44816</v>
      </c>
      <c r="AA271" s="26">
        <f t="shared" ca="1" si="6"/>
        <v>0.42472390020752704</v>
      </c>
      <c r="AB271" s="29">
        <v>0</v>
      </c>
      <c r="AC271"/>
      <c r="AD271" s="25"/>
      <c r="AF271" s="22">
        <v>44816</v>
      </c>
      <c r="AG271" s="26">
        <f t="shared" ca="1" si="7"/>
        <v>0.26991982379490753</v>
      </c>
      <c r="AH271" s="29">
        <v>0</v>
      </c>
      <c r="AJ271" s="22">
        <v>44816</v>
      </c>
      <c r="AK271" s="26">
        <f t="shared" ca="1" si="8"/>
        <v>0.53900290044825494</v>
      </c>
      <c r="AL271" s="29">
        <v>0</v>
      </c>
      <c r="AN271" s="22">
        <v>44816</v>
      </c>
      <c r="AO271" s="26">
        <f t="shared" ca="1" si="9"/>
        <v>0.85776260380385894</v>
      </c>
      <c r="AP271" s="29">
        <v>0</v>
      </c>
      <c r="AR271" s="22">
        <v>44816</v>
      </c>
      <c r="AS271" s="26">
        <f t="shared" ca="1" si="10"/>
        <v>0.90729840426048447</v>
      </c>
      <c r="AT271" s="29">
        <v>0</v>
      </c>
      <c r="AV271" s="22">
        <v>44816</v>
      </c>
      <c r="AW271" s="26">
        <f t="shared" ca="1" si="11"/>
        <v>0.20031628648287236</v>
      </c>
      <c r="AX271" s="29">
        <v>0</v>
      </c>
      <c r="AZ271" s="22">
        <v>44816</v>
      </c>
      <c r="BA271" s="26">
        <f t="shared" ca="1" si="12"/>
        <v>0.50294560665874033</v>
      </c>
      <c r="BB271" s="29">
        <v>0</v>
      </c>
      <c r="BC271"/>
      <c r="BD271" s="25"/>
      <c r="BF271" s="22">
        <v>44816</v>
      </c>
      <c r="BG271" s="26">
        <f t="shared" ca="1" si="13"/>
        <v>6.9793066680375548E-2</v>
      </c>
      <c r="BH271" s="29">
        <v>0</v>
      </c>
      <c r="BJ271" s="22">
        <v>44816</v>
      </c>
      <c r="BK271" s="26">
        <f t="shared" ca="1" si="14"/>
        <v>0.1312056701469887</v>
      </c>
      <c r="BL271" s="29">
        <v>0</v>
      </c>
      <c r="BN271" s="22">
        <v>44816</v>
      </c>
      <c r="BO271" s="26">
        <f t="shared" ca="1" si="15"/>
        <v>0.75847981485633198</v>
      </c>
      <c r="BP271" s="29">
        <v>0</v>
      </c>
      <c r="BR271" s="22">
        <v>44816</v>
      </c>
      <c r="BS271" s="26">
        <f t="shared" ca="1" si="16"/>
        <v>0.43868520332875516</v>
      </c>
      <c r="BT271" s="29">
        <v>0</v>
      </c>
      <c r="BV271" s="22">
        <v>44816</v>
      </c>
      <c r="BW271" s="26">
        <f t="shared" ca="1" si="17"/>
        <v>5.6135573425567853E-2</v>
      </c>
      <c r="BX271" s="29">
        <v>0</v>
      </c>
    </row>
    <row r="272" spans="2:77" ht="12.75" x14ac:dyDescent="0.2">
      <c r="B272" s="22">
        <v>44817</v>
      </c>
      <c r="C272" s="26">
        <f t="shared" ca="1" si="0"/>
        <v>0.22811218247473386</v>
      </c>
      <c r="D272" s="29">
        <f t="shared" ca="1" si="26"/>
        <v>61</v>
      </c>
      <c r="F272" s="22">
        <v>44817</v>
      </c>
      <c r="G272" s="26">
        <f t="shared" ref="G272:G526" ca="1" si="31">RAND()</f>
        <v>0.37746168132479885</v>
      </c>
      <c r="H272" s="29">
        <f t="shared" ca="1" si="27"/>
        <v>211</v>
      </c>
      <c r="J272" s="22">
        <v>44817</v>
      </c>
      <c r="K272" s="26">
        <f t="shared" ref="K272:K526" ca="1" si="32">RAND()</f>
        <v>0.64864051673880041</v>
      </c>
      <c r="L272" s="29">
        <f t="shared" ca="1" si="28"/>
        <v>154</v>
      </c>
      <c r="N272" s="22">
        <v>44817</v>
      </c>
      <c r="O272" s="26">
        <f t="shared" ref="O272:O526" ca="1" si="33">RAND()</f>
        <v>0.31950877129316413</v>
      </c>
      <c r="P272" s="29">
        <f t="shared" ca="1" si="29"/>
        <v>223</v>
      </c>
      <c r="R272" s="22">
        <v>44817</v>
      </c>
      <c r="S272" s="26">
        <f t="shared" ref="S272:S526" ca="1" si="34">RAND()</f>
        <v>0.91891658124315967</v>
      </c>
      <c r="T272" s="29">
        <f t="shared" ca="1" si="30"/>
        <v>152</v>
      </c>
      <c r="V272" s="22">
        <v>44817</v>
      </c>
      <c r="W272" s="26">
        <f t="shared" ref="W272:W526" ca="1" si="35">RAND()</f>
        <v>0.57778739301452053</v>
      </c>
      <c r="X272" s="29">
        <v>0</v>
      </c>
      <c r="Z272" s="22">
        <v>44817</v>
      </c>
      <c r="AA272" s="26">
        <f t="shared" ref="AA272:AA526" ca="1" si="36">RAND()</f>
        <v>0.90537132335188497</v>
      </c>
      <c r="AB272" s="29">
        <v>0</v>
      </c>
      <c r="AC272"/>
      <c r="AD272" s="25"/>
      <c r="AF272" s="22">
        <v>44817</v>
      </c>
      <c r="AG272" s="26">
        <f t="shared" ref="AG272:AG526" ca="1" si="37">RAND()</f>
        <v>0.1583073790492181</v>
      </c>
      <c r="AH272" s="29">
        <v>0</v>
      </c>
      <c r="AJ272" s="22">
        <v>44817</v>
      </c>
      <c r="AK272" s="26">
        <f t="shared" ref="AK272:AK526" ca="1" si="38">RAND()</f>
        <v>0.61414361360887815</v>
      </c>
      <c r="AL272" s="29">
        <v>0</v>
      </c>
      <c r="AN272" s="22">
        <v>44817</v>
      </c>
      <c r="AO272" s="26">
        <f t="shared" ref="AO272:AO526" ca="1" si="39">RAND()</f>
        <v>0.82655265936595623</v>
      </c>
      <c r="AP272" s="29">
        <v>0</v>
      </c>
      <c r="AR272" s="22">
        <v>44817</v>
      </c>
      <c r="AS272" s="26">
        <f t="shared" ref="AS272:AS526" ca="1" si="40">RAND()</f>
        <v>0.71745896993369562</v>
      </c>
      <c r="AT272" s="29">
        <v>0</v>
      </c>
      <c r="AV272" s="22">
        <v>44817</v>
      </c>
      <c r="AW272" s="26">
        <f t="shared" ref="AW272:AW526" ca="1" si="41">RAND()</f>
        <v>0.87905242293905006</v>
      </c>
      <c r="AX272" s="29">
        <v>0</v>
      </c>
      <c r="AZ272" s="22">
        <v>44817</v>
      </c>
      <c r="BA272" s="26">
        <f t="shared" ref="BA272:BA526" ca="1" si="42">RAND()</f>
        <v>0.43191756158219807</v>
      </c>
      <c r="BB272" s="29">
        <v>0</v>
      </c>
      <c r="BC272"/>
      <c r="BD272" s="25"/>
      <c r="BF272" s="22">
        <v>44817</v>
      </c>
      <c r="BG272" s="26">
        <f t="shared" ref="BG272:BG526" ca="1" si="43">RAND()</f>
        <v>0.39226646537412857</v>
      </c>
      <c r="BH272" s="29">
        <v>0</v>
      </c>
      <c r="BJ272" s="22">
        <v>44817</v>
      </c>
      <c r="BK272" s="26">
        <f t="shared" ref="BK272:BK526" ca="1" si="44">RAND()</f>
        <v>5.4432200153563426E-2</v>
      </c>
      <c r="BL272" s="29">
        <v>0</v>
      </c>
      <c r="BN272" s="22">
        <v>44817</v>
      </c>
      <c r="BO272" s="26">
        <f t="shared" ref="BO272:BO526" ca="1" si="45">RAND()</f>
        <v>0.95084416463026067</v>
      </c>
      <c r="BP272" s="29">
        <v>0</v>
      </c>
      <c r="BR272" s="22">
        <v>44817</v>
      </c>
      <c r="BS272" s="26">
        <f t="shared" ref="BS272:BS526" ca="1" si="46">RAND()</f>
        <v>0.1448308187212427</v>
      </c>
      <c r="BT272" s="29">
        <v>0</v>
      </c>
      <c r="BV272" s="22">
        <v>44817</v>
      </c>
      <c r="BW272" s="26">
        <f t="shared" ref="BW272:BW526" ca="1" si="47">RAND()</f>
        <v>0.32337498416871735</v>
      </c>
      <c r="BX272" s="29">
        <v>0</v>
      </c>
    </row>
    <row r="273" spans="2:76" ht="12.75" x14ac:dyDescent="0.2">
      <c r="B273" s="22">
        <v>44818</v>
      </c>
      <c r="C273" s="26">
        <f t="shared" ca="1" si="0"/>
        <v>0.83349730855927817</v>
      </c>
      <c r="D273" s="29">
        <f t="shared" ca="1" si="26"/>
        <v>95</v>
      </c>
      <c r="F273" s="22">
        <v>44818</v>
      </c>
      <c r="G273" s="26">
        <f t="shared" ca="1" si="31"/>
        <v>9.4918113799286608E-2</v>
      </c>
      <c r="H273" s="29">
        <f t="shared" ca="1" si="27"/>
        <v>197</v>
      </c>
      <c r="J273" s="22">
        <v>44818</v>
      </c>
      <c r="K273" s="26">
        <f t="shared" ca="1" si="32"/>
        <v>0.17390985125257818</v>
      </c>
      <c r="L273" s="29">
        <f t="shared" ca="1" si="28"/>
        <v>141</v>
      </c>
      <c r="N273" s="22">
        <v>44818</v>
      </c>
      <c r="O273" s="26">
        <f t="shared" ca="1" si="33"/>
        <v>0.6841085619876035</v>
      </c>
      <c r="P273" s="29">
        <f t="shared" ca="1" si="29"/>
        <v>237</v>
      </c>
      <c r="R273" s="22">
        <v>44818</v>
      </c>
      <c r="S273" s="26">
        <f t="shared" ca="1" si="34"/>
        <v>0.84969644356963825</v>
      </c>
      <c r="T273" s="29">
        <f t="shared" ca="1" si="30"/>
        <v>149</v>
      </c>
      <c r="V273" s="22">
        <v>44818</v>
      </c>
      <c r="W273" s="26">
        <f t="shared" ca="1" si="35"/>
        <v>0.74035464028799214</v>
      </c>
      <c r="X273" s="29">
        <v>0</v>
      </c>
      <c r="Z273" s="22">
        <v>44818</v>
      </c>
      <c r="AA273" s="26">
        <f t="shared" ca="1" si="36"/>
        <v>0.29730077808295963</v>
      </c>
      <c r="AB273" s="29">
        <v>0</v>
      </c>
      <c r="AC273"/>
      <c r="AD273" s="25"/>
      <c r="AF273" s="22">
        <v>44818</v>
      </c>
      <c r="AG273" s="26">
        <f t="shared" ca="1" si="37"/>
        <v>0.136493265851659</v>
      </c>
      <c r="AH273" s="29">
        <v>0</v>
      </c>
      <c r="AJ273" s="22">
        <v>44818</v>
      </c>
      <c r="AK273" s="26">
        <f t="shared" ca="1" si="38"/>
        <v>0.40812684205917527</v>
      </c>
      <c r="AL273" s="29">
        <v>0</v>
      </c>
      <c r="AN273" s="22">
        <v>44818</v>
      </c>
      <c r="AO273" s="26">
        <f t="shared" ca="1" si="39"/>
        <v>0.76269754911418253</v>
      </c>
      <c r="AP273" s="29">
        <v>0</v>
      </c>
      <c r="AR273" s="22">
        <v>44818</v>
      </c>
      <c r="AS273" s="26">
        <f t="shared" ca="1" si="40"/>
        <v>0.27765562599979843</v>
      </c>
      <c r="AT273" s="29">
        <v>0</v>
      </c>
      <c r="AV273" s="22">
        <v>44818</v>
      </c>
      <c r="AW273" s="26">
        <f t="shared" ca="1" si="41"/>
        <v>4.392625413842699E-2</v>
      </c>
      <c r="AX273" s="29">
        <v>0</v>
      </c>
      <c r="AZ273" s="22">
        <v>44818</v>
      </c>
      <c r="BA273" s="26">
        <f t="shared" ca="1" si="42"/>
        <v>0.10014551958935936</v>
      </c>
      <c r="BB273" s="29">
        <v>0</v>
      </c>
      <c r="BC273"/>
      <c r="BD273" s="25"/>
      <c r="BF273" s="22">
        <v>44818</v>
      </c>
      <c r="BG273" s="26">
        <f t="shared" ca="1" si="43"/>
        <v>0.79513304723842659</v>
      </c>
      <c r="BH273" s="29">
        <v>0</v>
      </c>
      <c r="BJ273" s="22">
        <v>44818</v>
      </c>
      <c r="BK273" s="26">
        <f t="shared" ca="1" si="44"/>
        <v>0.79777006498209546</v>
      </c>
      <c r="BL273" s="29">
        <v>0</v>
      </c>
      <c r="BN273" s="22">
        <v>44818</v>
      </c>
      <c r="BO273" s="26">
        <f t="shared" ca="1" si="45"/>
        <v>0.90829076909062434</v>
      </c>
      <c r="BP273" s="29">
        <v>0</v>
      </c>
      <c r="BR273" s="22">
        <v>44818</v>
      </c>
      <c r="BS273" s="26">
        <f t="shared" ca="1" si="46"/>
        <v>0.54629231200206407</v>
      </c>
      <c r="BT273" s="29">
        <v>0</v>
      </c>
      <c r="BV273" s="22">
        <v>44818</v>
      </c>
      <c r="BW273" s="26">
        <f t="shared" ca="1" si="47"/>
        <v>0.15394658643963144</v>
      </c>
      <c r="BX273" s="29">
        <v>0</v>
      </c>
    </row>
    <row r="274" spans="2:76" ht="12.75" x14ac:dyDescent="0.2">
      <c r="B274" s="22">
        <v>44819</v>
      </c>
      <c r="C274" s="26">
        <f t="shared" ca="1" si="0"/>
        <v>0.29648805149866764</v>
      </c>
      <c r="D274" s="29">
        <f t="shared" ref="D274:D337" ca="1" si="48">ROUNDUP(_xlfn.NORM.INV(C274,C$10,C$12),0)</f>
        <v>65</v>
      </c>
      <c r="F274" s="22">
        <v>44819</v>
      </c>
      <c r="G274" s="26">
        <f t="shared" ca="1" si="31"/>
        <v>0.58639529354069508</v>
      </c>
      <c r="H274" s="29">
        <f t="shared" ca="1" si="27"/>
        <v>219</v>
      </c>
      <c r="J274" s="22">
        <v>44819</v>
      </c>
      <c r="K274" s="26">
        <f t="shared" ca="1" si="32"/>
        <v>0.47033246097835679</v>
      </c>
      <c r="L274" s="29">
        <f t="shared" ca="1" si="28"/>
        <v>150</v>
      </c>
      <c r="N274" s="22">
        <v>44819</v>
      </c>
      <c r="O274" s="26">
        <f t="shared" ca="1" si="33"/>
        <v>0.77979670645778232</v>
      </c>
      <c r="P274" s="29">
        <f t="shared" ca="1" si="29"/>
        <v>242</v>
      </c>
      <c r="R274" s="22">
        <v>44819</v>
      </c>
      <c r="S274" s="26">
        <f t="shared" ca="1" si="34"/>
        <v>0.93591203681108259</v>
      </c>
      <c r="T274" s="29">
        <f t="shared" ca="1" si="30"/>
        <v>153</v>
      </c>
      <c r="V274" s="22">
        <v>44819</v>
      </c>
      <c r="W274" s="26">
        <f t="shared" ca="1" si="35"/>
        <v>0.3089176100115385</v>
      </c>
      <c r="X274" s="29">
        <v>0</v>
      </c>
      <c r="Z274" s="22">
        <v>44819</v>
      </c>
      <c r="AA274" s="26">
        <f t="shared" ca="1" si="36"/>
        <v>0.85039181571953948</v>
      </c>
      <c r="AB274" s="29">
        <v>0</v>
      </c>
      <c r="AC274"/>
      <c r="AD274" s="25"/>
      <c r="AF274" s="22">
        <v>44819</v>
      </c>
      <c r="AG274" s="26">
        <f t="shared" ca="1" si="37"/>
        <v>0.12378382076028793</v>
      </c>
      <c r="AH274" s="29">
        <v>0</v>
      </c>
      <c r="AJ274" s="22">
        <v>44819</v>
      </c>
      <c r="AK274" s="26">
        <f t="shared" ca="1" si="38"/>
        <v>0.48723062955727403</v>
      </c>
      <c r="AL274" s="29">
        <v>0</v>
      </c>
      <c r="AN274" s="22">
        <v>44819</v>
      </c>
      <c r="AO274" s="26">
        <f t="shared" ca="1" si="39"/>
        <v>0.81962043833365827</v>
      </c>
      <c r="AP274" s="29">
        <v>0</v>
      </c>
      <c r="AR274" s="22">
        <v>44819</v>
      </c>
      <c r="AS274" s="26">
        <f t="shared" ca="1" si="40"/>
        <v>0.57920150510446455</v>
      </c>
      <c r="AT274" s="29">
        <v>0</v>
      </c>
      <c r="AV274" s="22">
        <v>44819</v>
      </c>
      <c r="AW274" s="26">
        <f t="shared" ca="1" si="41"/>
        <v>0.96168107905063049</v>
      </c>
      <c r="AX274" s="29">
        <v>0</v>
      </c>
      <c r="AZ274" s="22">
        <v>44819</v>
      </c>
      <c r="BA274" s="26">
        <f t="shared" ca="1" si="42"/>
        <v>0.27855027934789611</v>
      </c>
      <c r="BB274" s="29">
        <v>0</v>
      </c>
      <c r="BC274"/>
      <c r="BD274" s="25"/>
      <c r="BF274" s="22">
        <v>44819</v>
      </c>
      <c r="BG274" s="26">
        <f t="shared" ca="1" si="43"/>
        <v>0.18241616607756039</v>
      </c>
      <c r="BH274" s="29">
        <v>0</v>
      </c>
      <c r="BJ274" s="22">
        <v>44819</v>
      </c>
      <c r="BK274" s="26">
        <f t="shared" ca="1" si="44"/>
        <v>0.14521898467244099</v>
      </c>
      <c r="BL274" s="29">
        <v>0</v>
      </c>
      <c r="BN274" s="22">
        <v>44819</v>
      </c>
      <c r="BO274" s="26">
        <f t="shared" ca="1" si="45"/>
        <v>0.15503813533012034</v>
      </c>
      <c r="BP274" s="29">
        <v>0</v>
      </c>
      <c r="BR274" s="22">
        <v>44819</v>
      </c>
      <c r="BS274" s="26">
        <f t="shared" ca="1" si="46"/>
        <v>0.70951062264832165</v>
      </c>
      <c r="BT274" s="29">
        <v>0</v>
      </c>
      <c r="BV274" s="22">
        <v>44819</v>
      </c>
      <c r="BW274" s="26">
        <f t="shared" ca="1" si="47"/>
        <v>0.30514659542096512</v>
      </c>
      <c r="BX274" s="29">
        <v>0</v>
      </c>
    </row>
    <row r="275" spans="2:76" ht="12.75" x14ac:dyDescent="0.2">
      <c r="B275" s="22">
        <v>44820</v>
      </c>
      <c r="C275" s="26">
        <f t="shared" ca="1" si="0"/>
        <v>0.48683280045776167</v>
      </c>
      <c r="D275" s="29">
        <f t="shared" ca="1" si="48"/>
        <v>75</v>
      </c>
      <c r="F275" s="22">
        <v>44820</v>
      </c>
      <c r="G275" s="26">
        <f t="shared" ca="1" si="31"/>
        <v>0.58628189210810355</v>
      </c>
      <c r="H275" s="29">
        <f t="shared" ca="1" si="27"/>
        <v>219</v>
      </c>
      <c r="J275" s="22">
        <v>44820</v>
      </c>
      <c r="K275" s="26">
        <f t="shared" ca="1" si="32"/>
        <v>0.73932820620724882</v>
      </c>
      <c r="L275" s="29">
        <f t="shared" ca="1" si="28"/>
        <v>157</v>
      </c>
      <c r="N275" s="22">
        <v>44820</v>
      </c>
      <c r="O275" s="26">
        <f t="shared" ca="1" si="33"/>
        <v>0.9544498661180828</v>
      </c>
      <c r="P275" s="29">
        <f t="shared" ca="1" si="29"/>
        <v>256</v>
      </c>
      <c r="R275" s="22">
        <v>44820</v>
      </c>
      <c r="S275" s="26">
        <f t="shared" ca="1" si="34"/>
        <v>0.58740928677328186</v>
      </c>
      <c r="T275" s="29">
        <f t="shared" ca="1" si="30"/>
        <v>141</v>
      </c>
      <c r="V275" s="22">
        <v>44820</v>
      </c>
      <c r="W275" s="26">
        <f t="shared" ca="1" si="35"/>
        <v>0.60819900193768994</v>
      </c>
      <c r="X275" s="29">
        <v>0</v>
      </c>
      <c r="Z275" s="22">
        <v>44820</v>
      </c>
      <c r="AA275" s="26">
        <f t="shared" ca="1" si="36"/>
        <v>0.2182362383672295</v>
      </c>
      <c r="AB275" s="29">
        <v>0</v>
      </c>
      <c r="AC275"/>
      <c r="AD275" s="25"/>
      <c r="AF275" s="22">
        <v>44820</v>
      </c>
      <c r="AG275" s="26">
        <f t="shared" ca="1" si="37"/>
        <v>0.68906658549816124</v>
      </c>
      <c r="AH275" s="29">
        <v>0</v>
      </c>
      <c r="AJ275" s="22">
        <v>44820</v>
      </c>
      <c r="AK275" s="26">
        <f t="shared" ca="1" si="38"/>
        <v>0.21869932861915709</v>
      </c>
      <c r="AL275" s="29">
        <v>0</v>
      </c>
      <c r="AN275" s="22">
        <v>44820</v>
      </c>
      <c r="AO275" s="26">
        <f t="shared" ca="1" si="39"/>
        <v>0.55940502284461502</v>
      </c>
      <c r="AP275" s="29">
        <v>0</v>
      </c>
      <c r="AR275" s="22">
        <v>44820</v>
      </c>
      <c r="AS275" s="26">
        <f t="shared" ca="1" si="40"/>
        <v>0.400617103326113</v>
      </c>
      <c r="AT275" s="29">
        <v>0</v>
      </c>
      <c r="AV275" s="22">
        <v>44820</v>
      </c>
      <c r="AW275" s="26">
        <f t="shared" ca="1" si="41"/>
        <v>0.79101364183142719</v>
      </c>
      <c r="AX275" s="29">
        <v>0</v>
      </c>
      <c r="AZ275" s="22">
        <v>44820</v>
      </c>
      <c r="BA275" s="26">
        <f t="shared" ca="1" si="42"/>
        <v>0.40555537968647115</v>
      </c>
      <c r="BB275" s="29">
        <v>0</v>
      </c>
      <c r="BC275"/>
      <c r="BD275" s="25"/>
      <c r="BF275" s="22">
        <v>44820</v>
      </c>
      <c r="BG275" s="26">
        <f t="shared" ca="1" si="43"/>
        <v>0.978680633018711</v>
      </c>
      <c r="BH275" s="29">
        <v>0</v>
      </c>
      <c r="BJ275" s="22">
        <v>44820</v>
      </c>
      <c r="BK275" s="26">
        <f t="shared" ca="1" si="44"/>
        <v>0.51932535839841731</v>
      </c>
      <c r="BL275" s="29">
        <v>0</v>
      </c>
      <c r="BN275" s="22">
        <v>44820</v>
      </c>
      <c r="BO275" s="26">
        <f t="shared" ca="1" si="45"/>
        <v>0.91940081982098487</v>
      </c>
      <c r="BP275" s="29">
        <v>0</v>
      </c>
      <c r="BR275" s="22">
        <v>44820</v>
      </c>
      <c r="BS275" s="26">
        <f t="shared" ca="1" si="46"/>
        <v>0.56760980089007917</v>
      </c>
      <c r="BT275" s="29">
        <v>0</v>
      </c>
      <c r="BV275" s="22">
        <v>44820</v>
      </c>
      <c r="BW275" s="26">
        <f t="shared" ca="1" si="47"/>
        <v>0.87520872182532994</v>
      </c>
      <c r="BX275" s="29">
        <v>0</v>
      </c>
    </row>
    <row r="276" spans="2:76" ht="12.75" x14ac:dyDescent="0.2">
      <c r="B276" s="22">
        <v>44821</v>
      </c>
      <c r="C276" s="26">
        <f t="shared" ca="1" si="0"/>
        <v>0.10974980647778121</v>
      </c>
      <c r="D276" s="29">
        <f t="shared" ca="1" si="48"/>
        <v>51</v>
      </c>
      <c r="F276" s="22">
        <v>44821</v>
      </c>
      <c r="G276" s="26">
        <f t="shared" ca="1" si="31"/>
        <v>0.93259652747883204</v>
      </c>
      <c r="H276" s="29">
        <f t="shared" ca="1" si="27"/>
        <v>237</v>
      </c>
      <c r="J276" s="22">
        <v>44821</v>
      </c>
      <c r="K276" s="26">
        <f t="shared" ca="1" si="32"/>
        <v>1.3726143925366641E-3</v>
      </c>
      <c r="L276" s="29">
        <f t="shared" ca="1" si="28"/>
        <v>121</v>
      </c>
      <c r="N276" s="22">
        <v>44821</v>
      </c>
      <c r="O276" s="26">
        <f t="shared" ca="1" si="33"/>
        <v>0.20966556569879569</v>
      </c>
      <c r="P276" s="29">
        <f t="shared" ca="1" si="29"/>
        <v>218</v>
      </c>
      <c r="R276" s="22">
        <v>44821</v>
      </c>
      <c r="S276" s="26">
        <f t="shared" ca="1" si="34"/>
        <v>0.6495434752246434</v>
      </c>
      <c r="T276" s="29">
        <f t="shared" ca="1" si="30"/>
        <v>143</v>
      </c>
      <c r="V276" s="22">
        <v>44821</v>
      </c>
      <c r="W276" s="26">
        <f t="shared" ca="1" si="35"/>
        <v>0.32213973422477615</v>
      </c>
      <c r="X276" s="29">
        <v>0</v>
      </c>
      <c r="Z276" s="22">
        <v>44821</v>
      </c>
      <c r="AA276" s="26">
        <f t="shared" ca="1" si="36"/>
        <v>0.74926098962900778</v>
      </c>
      <c r="AB276" s="29">
        <v>0</v>
      </c>
      <c r="AC276"/>
      <c r="AD276" s="25"/>
      <c r="AF276" s="22">
        <v>44821</v>
      </c>
      <c r="AG276" s="26">
        <f t="shared" ca="1" si="37"/>
        <v>0.88734736171417217</v>
      </c>
      <c r="AH276" s="29">
        <v>0</v>
      </c>
      <c r="AJ276" s="22">
        <v>44821</v>
      </c>
      <c r="AK276" s="26">
        <f t="shared" ca="1" si="38"/>
        <v>0.64368427626517988</v>
      </c>
      <c r="AL276" s="29">
        <v>0</v>
      </c>
      <c r="AN276" s="22">
        <v>44821</v>
      </c>
      <c r="AO276" s="26">
        <f t="shared" ca="1" si="39"/>
        <v>0.29272425291352422</v>
      </c>
      <c r="AP276" s="29">
        <v>0</v>
      </c>
      <c r="AR276" s="22">
        <v>44821</v>
      </c>
      <c r="AS276" s="26">
        <f t="shared" ca="1" si="40"/>
        <v>0.26138045959320577</v>
      </c>
      <c r="AT276" s="29">
        <v>0</v>
      </c>
      <c r="AV276" s="22">
        <v>44821</v>
      </c>
      <c r="AW276" s="26">
        <f t="shared" ca="1" si="41"/>
        <v>0.60092199941207247</v>
      </c>
      <c r="AX276" s="29">
        <v>0</v>
      </c>
      <c r="AZ276" s="22">
        <v>44821</v>
      </c>
      <c r="BA276" s="26">
        <f t="shared" ca="1" si="42"/>
        <v>0.62146500518547731</v>
      </c>
      <c r="BB276" s="29">
        <v>0</v>
      </c>
      <c r="BC276"/>
      <c r="BD276" s="25"/>
      <c r="BF276" s="22">
        <v>44821</v>
      </c>
      <c r="BG276" s="26">
        <f t="shared" ca="1" si="43"/>
        <v>0.36786626185530336</v>
      </c>
      <c r="BH276" s="29">
        <v>0</v>
      </c>
      <c r="BJ276" s="22">
        <v>44821</v>
      </c>
      <c r="BK276" s="26">
        <f t="shared" ca="1" si="44"/>
        <v>0.17878693560480297</v>
      </c>
      <c r="BL276" s="29">
        <v>0</v>
      </c>
      <c r="BN276" s="22">
        <v>44821</v>
      </c>
      <c r="BO276" s="26">
        <f t="shared" ca="1" si="45"/>
        <v>3.8800430090515592E-2</v>
      </c>
      <c r="BP276" s="29">
        <v>0</v>
      </c>
      <c r="BR276" s="22">
        <v>44821</v>
      </c>
      <c r="BS276" s="26">
        <f t="shared" ca="1" si="46"/>
        <v>0.6884205224198916</v>
      </c>
      <c r="BT276" s="29">
        <v>0</v>
      </c>
      <c r="BV276" s="22">
        <v>44821</v>
      </c>
      <c r="BW276" s="26">
        <f t="shared" ca="1" si="47"/>
        <v>0.10319871013787252</v>
      </c>
      <c r="BX276" s="29">
        <v>0</v>
      </c>
    </row>
    <row r="277" spans="2:76" ht="12.75" x14ac:dyDescent="0.2">
      <c r="B277" s="22">
        <v>44822</v>
      </c>
      <c r="C277" s="26">
        <f t="shared" ca="1" si="0"/>
        <v>0.28840871962950698</v>
      </c>
      <c r="D277" s="29">
        <f t="shared" ca="1" si="48"/>
        <v>64</v>
      </c>
      <c r="F277" s="22">
        <v>44822</v>
      </c>
      <c r="G277" s="26">
        <f t="shared" ca="1" si="31"/>
        <v>0.68004559555941757</v>
      </c>
      <c r="H277" s="29">
        <f t="shared" ca="1" si="27"/>
        <v>223</v>
      </c>
      <c r="J277" s="22">
        <v>44822</v>
      </c>
      <c r="K277" s="26">
        <f t="shared" ca="1" si="32"/>
        <v>0.96833964503645797</v>
      </c>
      <c r="L277" s="29">
        <f t="shared" ca="1" si="28"/>
        <v>169</v>
      </c>
      <c r="N277" s="22">
        <v>44822</v>
      </c>
      <c r="O277" s="26">
        <f t="shared" ca="1" si="33"/>
        <v>0.75897866461412489</v>
      </c>
      <c r="P277" s="29">
        <f t="shared" ca="1" si="29"/>
        <v>241</v>
      </c>
      <c r="R277" s="22">
        <v>44822</v>
      </c>
      <c r="S277" s="26">
        <f t="shared" ca="1" si="34"/>
        <v>0.85321715155956424</v>
      </c>
      <c r="T277" s="29">
        <f t="shared" ca="1" si="30"/>
        <v>149</v>
      </c>
      <c r="V277" s="22">
        <v>44822</v>
      </c>
      <c r="W277" s="26">
        <f t="shared" ca="1" si="35"/>
        <v>5.0677742839228213E-2</v>
      </c>
      <c r="X277" s="29">
        <v>0</v>
      </c>
      <c r="Z277" s="22">
        <v>44822</v>
      </c>
      <c r="AA277" s="26">
        <f t="shared" ca="1" si="36"/>
        <v>0.70264233390013797</v>
      </c>
      <c r="AB277" s="29">
        <v>0</v>
      </c>
      <c r="AC277"/>
      <c r="AD277" s="25"/>
      <c r="AF277" s="22">
        <v>44822</v>
      </c>
      <c r="AG277" s="26">
        <f t="shared" ca="1" si="37"/>
        <v>0.74698821413426653</v>
      </c>
      <c r="AH277" s="29">
        <v>0</v>
      </c>
      <c r="AJ277" s="22">
        <v>44822</v>
      </c>
      <c r="AK277" s="26">
        <f t="shared" ca="1" si="38"/>
        <v>0.43802004262921712</v>
      </c>
      <c r="AL277" s="29">
        <v>0</v>
      </c>
      <c r="AN277" s="22">
        <v>44822</v>
      </c>
      <c r="AO277" s="26">
        <f t="shared" ca="1" si="39"/>
        <v>1.816900523837317E-3</v>
      </c>
      <c r="AP277" s="29">
        <v>0</v>
      </c>
      <c r="AR277" s="22">
        <v>44822</v>
      </c>
      <c r="AS277" s="26">
        <f t="shared" ca="1" si="40"/>
        <v>0.39132646072832811</v>
      </c>
      <c r="AT277" s="29">
        <v>0</v>
      </c>
      <c r="AV277" s="22">
        <v>44822</v>
      </c>
      <c r="AW277" s="26">
        <f t="shared" ca="1" si="41"/>
        <v>0.55267811890665364</v>
      </c>
      <c r="AX277" s="29">
        <v>0</v>
      </c>
      <c r="AZ277" s="22">
        <v>44822</v>
      </c>
      <c r="BA277" s="26">
        <f t="shared" ca="1" si="42"/>
        <v>7.0027090306051587E-2</v>
      </c>
      <c r="BB277" s="29">
        <v>0</v>
      </c>
      <c r="BC277"/>
      <c r="BD277" s="25"/>
      <c r="BF277" s="22">
        <v>44822</v>
      </c>
      <c r="BG277" s="26">
        <f t="shared" ca="1" si="43"/>
        <v>0.83255369395268519</v>
      </c>
      <c r="BH277" s="29">
        <v>0</v>
      </c>
      <c r="BJ277" s="22">
        <v>44822</v>
      </c>
      <c r="BK277" s="26">
        <f t="shared" ca="1" si="44"/>
        <v>0.27973968065786703</v>
      </c>
      <c r="BL277" s="29">
        <v>0</v>
      </c>
      <c r="BN277" s="22">
        <v>44822</v>
      </c>
      <c r="BO277" s="26">
        <f t="shared" ca="1" si="45"/>
        <v>0.57055776983875128</v>
      </c>
      <c r="BP277" s="29">
        <v>0</v>
      </c>
      <c r="BR277" s="22">
        <v>44822</v>
      </c>
      <c r="BS277" s="26">
        <f t="shared" ca="1" si="46"/>
        <v>0.26921523575550899</v>
      </c>
      <c r="BT277" s="29">
        <v>0</v>
      </c>
      <c r="BV277" s="22">
        <v>44822</v>
      </c>
      <c r="BW277" s="26">
        <f t="shared" ca="1" si="47"/>
        <v>0.44693163516856838</v>
      </c>
      <c r="BX277" s="29">
        <v>0</v>
      </c>
    </row>
    <row r="278" spans="2:76" ht="12.75" x14ac:dyDescent="0.2">
      <c r="B278" s="22">
        <v>44823</v>
      </c>
      <c r="C278" s="26">
        <f t="shared" ca="1" si="0"/>
        <v>0.28655344286403306</v>
      </c>
      <c r="D278" s="29">
        <f t="shared" ca="1" si="48"/>
        <v>64</v>
      </c>
      <c r="F278" s="22">
        <v>44823</v>
      </c>
      <c r="G278" s="26">
        <f t="shared" ca="1" si="31"/>
        <v>0.64824824260613922</v>
      </c>
      <c r="H278" s="29">
        <f t="shared" ca="1" si="27"/>
        <v>221</v>
      </c>
      <c r="J278" s="22">
        <v>44823</v>
      </c>
      <c r="K278" s="26">
        <f t="shared" ca="1" si="32"/>
        <v>0.65278046692999292</v>
      </c>
      <c r="L278" s="29">
        <f t="shared" ca="1" si="28"/>
        <v>154</v>
      </c>
      <c r="N278" s="22">
        <v>44823</v>
      </c>
      <c r="O278" s="26">
        <f t="shared" ca="1" si="33"/>
        <v>0.77929787260288119</v>
      </c>
      <c r="P278" s="29">
        <f t="shared" ca="1" si="29"/>
        <v>242</v>
      </c>
      <c r="R278" s="22">
        <v>44823</v>
      </c>
      <c r="S278" s="26">
        <f t="shared" ca="1" si="34"/>
        <v>3.0978752177279745E-2</v>
      </c>
      <c r="T278" s="29">
        <f t="shared" ca="1" si="30"/>
        <v>122</v>
      </c>
      <c r="V278" s="22">
        <v>44823</v>
      </c>
      <c r="W278" s="26">
        <f t="shared" ca="1" si="35"/>
        <v>0.28581910518170717</v>
      </c>
      <c r="X278" s="29">
        <v>0</v>
      </c>
      <c r="Z278" s="22">
        <v>44823</v>
      </c>
      <c r="AA278" s="26">
        <f t="shared" ca="1" si="36"/>
        <v>0.86895838046271245</v>
      </c>
      <c r="AB278" s="29">
        <v>0</v>
      </c>
      <c r="AC278"/>
      <c r="AD278" s="25"/>
      <c r="AF278" s="22">
        <v>44823</v>
      </c>
      <c r="AG278" s="26">
        <f t="shared" ca="1" si="37"/>
        <v>0.66579314772934894</v>
      </c>
      <c r="AH278" s="29">
        <v>0</v>
      </c>
      <c r="AJ278" s="22">
        <v>44823</v>
      </c>
      <c r="AK278" s="26">
        <f t="shared" ca="1" si="38"/>
        <v>0.66804909728800055</v>
      </c>
      <c r="AL278" s="29">
        <v>0</v>
      </c>
      <c r="AN278" s="22">
        <v>44823</v>
      </c>
      <c r="AO278" s="26">
        <f t="shared" ca="1" si="39"/>
        <v>0.23279145413648383</v>
      </c>
      <c r="AP278" s="29">
        <v>0</v>
      </c>
      <c r="AR278" s="22">
        <v>44823</v>
      </c>
      <c r="AS278" s="26">
        <f t="shared" ca="1" si="40"/>
        <v>0.62624682586582947</v>
      </c>
      <c r="AT278" s="29">
        <v>0</v>
      </c>
      <c r="AV278" s="22">
        <v>44823</v>
      </c>
      <c r="AW278" s="26">
        <f t="shared" ca="1" si="41"/>
        <v>0.10568802125586174</v>
      </c>
      <c r="AX278" s="29">
        <v>0</v>
      </c>
      <c r="AZ278" s="22">
        <v>44823</v>
      </c>
      <c r="BA278" s="26">
        <f t="shared" ca="1" si="42"/>
        <v>0.1548190915037827</v>
      </c>
      <c r="BB278" s="29">
        <v>0</v>
      </c>
      <c r="BC278"/>
      <c r="BD278" s="25"/>
      <c r="BF278" s="22">
        <v>44823</v>
      </c>
      <c r="BG278" s="26">
        <f t="shared" ca="1" si="43"/>
        <v>8.3339162649235687E-2</v>
      </c>
      <c r="BH278" s="29">
        <v>0</v>
      </c>
      <c r="BJ278" s="22">
        <v>44823</v>
      </c>
      <c r="BK278" s="26">
        <f t="shared" ca="1" si="44"/>
        <v>0.19334449196164816</v>
      </c>
      <c r="BL278" s="29">
        <v>0</v>
      </c>
      <c r="BN278" s="22">
        <v>44823</v>
      </c>
      <c r="BO278" s="26">
        <f t="shared" ca="1" si="45"/>
        <v>0.83290942630005227</v>
      </c>
      <c r="BP278" s="29">
        <v>0</v>
      </c>
      <c r="BR278" s="22">
        <v>44823</v>
      </c>
      <c r="BS278" s="26">
        <f t="shared" ca="1" si="46"/>
        <v>0.2101263692072417</v>
      </c>
      <c r="BT278" s="29">
        <v>0</v>
      </c>
      <c r="BV278" s="22">
        <v>44823</v>
      </c>
      <c r="BW278" s="26">
        <f t="shared" ca="1" si="47"/>
        <v>0.4096365549811366</v>
      </c>
      <c r="BX278" s="29">
        <v>0</v>
      </c>
    </row>
    <row r="279" spans="2:76" ht="12.75" x14ac:dyDescent="0.2">
      <c r="B279" s="22">
        <v>44824</v>
      </c>
      <c r="C279" s="26">
        <f t="shared" ca="1" si="0"/>
        <v>0.50988129184527664</v>
      </c>
      <c r="D279" s="29">
        <f t="shared" ca="1" si="48"/>
        <v>76</v>
      </c>
      <c r="F279" s="22">
        <v>44824</v>
      </c>
      <c r="G279" s="26">
        <f t="shared" ca="1" si="31"/>
        <v>0.74014492539483279</v>
      </c>
      <c r="H279" s="29">
        <f t="shared" ca="1" si="27"/>
        <v>225</v>
      </c>
      <c r="J279" s="22">
        <v>44824</v>
      </c>
      <c r="K279" s="26">
        <f t="shared" ca="1" si="32"/>
        <v>0.22191703911613092</v>
      </c>
      <c r="L279" s="29">
        <f t="shared" ca="1" si="28"/>
        <v>143</v>
      </c>
      <c r="N279" s="22">
        <v>44824</v>
      </c>
      <c r="O279" s="26">
        <f t="shared" ca="1" si="33"/>
        <v>0.633769489687387</v>
      </c>
      <c r="P279" s="29">
        <f t="shared" ca="1" si="29"/>
        <v>235</v>
      </c>
      <c r="R279" s="22">
        <v>44824</v>
      </c>
      <c r="S279" s="26">
        <f t="shared" ca="1" si="34"/>
        <v>0.82882937703976389</v>
      </c>
      <c r="T279" s="29">
        <f t="shared" ca="1" si="30"/>
        <v>148</v>
      </c>
      <c r="V279" s="22">
        <v>44824</v>
      </c>
      <c r="W279" s="26">
        <f t="shared" ca="1" si="35"/>
        <v>0.52624670691618736</v>
      </c>
      <c r="X279" s="29">
        <v>0</v>
      </c>
      <c r="Z279" s="22">
        <v>44824</v>
      </c>
      <c r="AA279" s="26">
        <f t="shared" ca="1" si="36"/>
        <v>0.17211362481790982</v>
      </c>
      <c r="AB279" s="29">
        <v>0</v>
      </c>
      <c r="AC279"/>
      <c r="AD279" s="25"/>
      <c r="AF279" s="22">
        <v>44824</v>
      </c>
      <c r="AG279" s="26">
        <f t="shared" ca="1" si="37"/>
        <v>0.69987617138587876</v>
      </c>
      <c r="AH279" s="29">
        <v>0</v>
      </c>
      <c r="AJ279" s="22">
        <v>44824</v>
      </c>
      <c r="AK279" s="26">
        <f t="shared" ca="1" si="38"/>
        <v>4.5389302165267598E-2</v>
      </c>
      <c r="AL279" s="29">
        <v>0</v>
      </c>
      <c r="AN279" s="22">
        <v>44824</v>
      </c>
      <c r="AO279" s="26">
        <f t="shared" ca="1" si="39"/>
        <v>0.17119952575590824</v>
      </c>
      <c r="AP279" s="29">
        <v>0</v>
      </c>
      <c r="AR279" s="22">
        <v>44824</v>
      </c>
      <c r="AS279" s="26">
        <f t="shared" ca="1" si="40"/>
        <v>0.76939039727324565</v>
      </c>
      <c r="AT279" s="29">
        <v>0</v>
      </c>
      <c r="AV279" s="22">
        <v>44824</v>
      </c>
      <c r="AW279" s="26">
        <f t="shared" ca="1" si="41"/>
        <v>7.1501431535443971E-2</v>
      </c>
      <c r="AX279" s="29">
        <v>0</v>
      </c>
      <c r="AZ279" s="22">
        <v>44824</v>
      </c>
      <c r="BA279" s="26">
        <f t="shared" ca="1" si="42"/>
        <v>0.74385810509941919</v>
      </c>
      <c r="BB279" s="29">
        <v>0</v>
      </c>
      <c r="BC279"/>
      <c r="BD279" s="25"/>
      <c r="BF279" s="22">
        <v>44824</v>
      </c>
      <c r="BG279" s="26">
        <f t="shared" ca="1" si="43"/>
        <v>4.5448102705201165E-2</v>
      </c>
      <c r="BH279" s="29">
        <v>0</v>
      </c>
      <c r="BJ279" s="22">
        <v>44824</v>
      </c>
      <c r="BK279" s="26">
        <f t="shared" ca="1" si="44"/>
        <v>0.59457573807801212</v>
      </c>
      <c r="BL279" s="29">
        <v>0</v>
      </c>
      <c r="BN279" s="22">
        <v>44824</v>
      </c>
      <c r="BO279" s="26">
        <f t="shared" ca="1" si="45"/>
        <v>0.33077595148657457</v>
      </c>
      <c r="BP279" s="29">
        <v>0</v>
      </c>
      <c r="BR279" s="22">
        <v>44824</v>
      </c>
      <c r="BS279" s="26">
        <f t="shared" ca="1" si="46"/>
        <v>0.31409755710637655</v>
      </c>
      <c r="BT279" s="29">
        <v>0</v>
      </c>
      <c r="BV279" s="22">
        <v>44824</v>
      </c>
      <c r="BW279" s="26">
        <f t="shared" ca="1" si="47"/>
        <v>0.16830303124008894</v>
      </c>
      <c r="BX279" s="29">
        <v>0</v>
      </c>
    </row>
    <row r="280" spans="2:76" ht="12.75" x14ac:dyDescent="0.2">
      <c r="B280" s="22">
        <v>44825</v>
      </c>
      <c r="C280" s="26">
        <f t="shared" ca="1" si="0"/>
        <v>0.29465816552514212</v>
      </c>
      <c r="D280" s="29">
        <f t="shared" ca="1" si="48"/>
        <v>65</v>
      </c>
      <c r="F280" s="22">
        <v>44825</v>
      </c>
      <c r="G280" s="26">
        <f t="shared" ca="1" si="31"/>
        <v>0.95309196075645219</v>
      </c>
      <c r="H280" s="29">
        <f t="shared" ca="1" si="27"/>
        <v>240</v>
      </c>
      <c r="J280" s="22">
        <v>44825</v>
      </c>
      <c r="K280" s="26">
        <f t="shared" ca="1" si="32"/>
        <v>0.78891377409129182</v>
      </c>
      <c r="L280" s="29">
        <f t="shared" ca="1" si="28"/>
        <v>159</v>
      </c>
      <c r="N280" s="22">
        <v>44825</v>
      </c>
      <c r="O280" s="26">
        <f t="shared" ca="1" si="33"/>
        <v>3.2057091598928888E-2</v>
      </c>
      <c r="P280" s="29">
        <f t="shared" ca="1" si="29"/>
        <v>202</v>
      </c>
      <c r="R280" s="22">
        <v>44825</v>
      </c>
      <c r="S280" s="26">
        <f t="shared" ca="1" si="34"/>
        <v>0.74093310629897813</v>
      </c>
      <c r="T280" s="29">
        <f t="shared" ca="1" si="30"/>
        <v>145</v>
      </c>
      <c r="V280" s="22">
        <v>44825</v>
      </c>
      <c r="W280" s="26">
        <f t="shared" ca="1" si="35"/>
        <v>0.76873699313551735</v>
      </c>
      <c r="X280" s="29">
        <v>0</v>
      </c>
      <c r="Z280" s="22">
        <v>44825</v>
      </c>
      <c r="AA280" s="26">
        <f t="shared" ca="1" si="36"/>
        <v>0.21768615363195665</v>
      </c>
      <c r="AB280" s="29">
        <v>0</v>
      </c>
      <c r="AC280"/>
      <c r="AD280" s="25"/>
      <c r="AF280" s="22">
        <v>44825</v>
      </c>
      <c r="AG280" s="26">
        <f t="shared" ca="1" si="37"/>
        <v>0.98268289545635179</v>
      </c>
      <c r="AH280" s="29">
        <v>0</v>
      </c>
      <c r="AJ280" s="22">
        <v>44825</v>
      </c>
      <c r="AK280" s="26">
        <f t="shared" ca="1" si="38"/>
        <v>0.40545887139079384</v>
      </c>
      <c r="AL280" s="29">
        <v>0</v>
      </c>
      <c r="AN280" s="22">
        <v>44825</v>
      </c>
      <c r="AO280" s="26">
        <f t="shared" ca="1" si="39"/>
        <v>0.12086322657578774</v>
      </c>
      <c r="AP280" s="29">
        <v>0</v>
      </c>
      <c r="AR280" s="22">
        <v>44825</v>
      </c>
      <c r="AS280" s="26">
        <f t="shared" ca="1" si="40"/>
        <v>0.39780928975165442</v>
      </c>
      <c r="AT280" s="29">
        <v>0</v>
      </c>
      <c r="AV280" s="22">
        <v>44825</v>
      </c>
      <c r="AW280" s="26">
        <f t="shared" ca="1" si="41"/>
        <v>0.15133067368592623</v>
      </c>
      <c r="AX280" s="29">
        <v>0</v>
      </c>
      <c r="AZ280" s="22">
        <v>44825</v>
      </c>
      <c r="BA280" s="26">
        <f t="shared" ca="1" si="42"/>
        <v>0.69514817993884037</v>
      </c>
      <c r="BB280" s="29">
        <v>0</v>
      </c>
      <c r="BC280"/>
      <c r="BD280" s="25"/>
      <c r="BF280" s="22">
        <v>44825</v>
      </c>
      <c r="BG280" s="26">
        <f t="shared" ca="1" si="43"/>
        <v>0.94649967355159326</v>
      </c>
      <c r="BH280" s="29">
        <v>0</v>
      </c>
      <c r="BJ280" s="22">
        <v>44825</v>
      </c>
      <c r="BK280" s="26">
        <f t="shared" ca="1" si="44"/>
        <v>0.74426605496475851</v>
      </c>
      <c r="BL280" s="29">
        <v>0</v>
      </c>
      <c r="BN280" s="22">
        <v>44825</v>
      </c>
      <c r="BO280" s="26">
        <f t="shared" ca="1" si="45"/>
        <v>0.83504571087915369</v>
      </c>
      <c r="BP280" s="29">
        <v>0</v>
      </c>
      <c r="BR280" s="22">
        <v>44825</v>
      </c>
      <c r="BS280" s="26">
        <f t="shared" ca="1" si="46"/>
        <v>0.22801600026975877</v>
      </c>
      <c r="BT280" s="29">
        <v>0</v>
      </c>
      <c r="BV280" s="22">
        <v>44825</v>
      </c>
      <c r="BW280" s="26">
        <f t="shared" ca="1" si="47"/>
        <v>0.8435966269627011</v>
      </c>
      <c r="BX280" s="29">
        <v>0</v>
      </c>
    </row>
    <row r="281" spans="2:76" ht="12.75" x14ac:dyDescent="0.2">
      <c r="B281" s="22">
        <v>44826</v>
      </c>
      <c r="C281" s="26">
        <f t="shared" ca="1" si="0"/>
        <v>0.3795090583694205</v>
      </c>
      <c r="D281" s="29">
        <f t="shared" ca="1" si="48"/>
        <v>69</v>
      </c>
      <c r="F281" s="22">
        <v>44826</v>
      </c>
      <c r="G281" s="26">
        <f t="shared" ca="1" si="31"/>
        <v>0.10153378580720152</v>
      </c>
      <c r="H281" s="29">
        <f t="shared" ca="1" si="27"/>
        <v>198</v>
      </c>
      <c r="J281" s="22">
        <v>44826</v>
      </c>
      <c r="K281" s="26">
        <f t="shared" ca="1" si="32"/>
        <v>0.27303401420549844</v>
      </c>
      <c r="L281" s="29">
        <f t="shared" ca="1" si="28"/>
        <v>144</v>
      </c>
      <c r="N281" s="22">
        <v>44826</v>
      </c>
      <c r="O281" s="26">
        <f t="shared" ca="1" si="33"/>
        <v>0.30899606419075154</v>
      </c>
      <c r="P281" s="29">
        <f t="shared" ca="1" si="29"/>
        <v>222</v>
      </c>
      <c r="R281" s="22">
        <v>44826</v>
      </c>
      <c r="S281" s="26">
        <f t="shared" ca="1" si="34"/>
        <v>0.8891264735026102</v>
      </c>
      <c r="T281" s="29">
        <f t="shared" ca="1" si="30"/>
        <v>151</v>
      </c>
      <c r="V281" s="22">
        <v>44826</v>
      </c>
      <c r="W281" s="26">
        <f t="shared" ca="1" si="35"/>
        <v>0.35042242551118519</v>
      </c>
      <c r="X281" s="29">
        <v>0</v>
      </c>
      <c r="Z281" s="22">
        <v>44826</v>
      </c>
      <c r="AA281" s="26">
        <f t="shared" ca="1" si="36"/>
        <v>8.6727515380364495E-2</v>
      </c>
      <c r="AB281" s="29">
        <v>0</v>
      </c>
      <c r="AC281"/>
      <c r="AD281" s="25"/>
      <c r="AF281" s="22">
        <v>44826</v>
      </c>
      <c r="AG281" s="26">
        <f t="shared" ca="1" si="37"/>
        <v>0.44021095006036781</v>
      </c>
      <c r="AH281" s="29">
        <v>0</v>
      </c>
      <c r="AJ281" s="22">
        <v>44826</v>
      </c>
      <c r="AK281" s="26">
        <f t="shared" ca="1" si="38"/>
        <v>0.28234707663153769</v>
      </c>
      <c r="AL281" s="29">
        <v>0</v>
      </c>
      <c r="AN281" s="22">
        <v>44826</v>
      </c>
      <c r="AO281" s="26">
        <f t="shared" ca="1" si="39"/>
        <v>6.568091966234535E-2</v>
      </c>
      <c r="AP281" s="29">
        <v>0</v>
      </c>
      <c r="AR281" s="22">
        <v>44826</v>
      </c>
      <c r="AS281" s="26">
        <f t="shared" ca="1" si="40"/>
        <v>6.9582845929442305E-3</v>
      </c>
      <c r="AT281" s="29">
        <v>0</v>
      </c>
      <c r="AV281" s="22">
        <v>44826</v>
      </c>
      <c r="AW281" s="26">
        <f t="shared" ca="1" si="41"/>
        <v>0.63436866344587395</v>
      </c>
      <c r="AX281" s="29">
        <v>0</v>
      </c>
      <c r="AZ281" s="22">
        <v>44826</v>
      </c>
      <c r="BA281" s="26">
        <f t="shared" ca="1" si="42"/>
        <v>9.5183947096451282E-2</v>
      </c>
      <c r="BB281" s="29">
        <v>0</v>
      </c>
      <c r="BC281"/>
      <c r="BD281" s="25"/>
      <c r="BF281" s="22">
        <v>44826</v>
      </c>
      <c r="BG281" s="26">
        <f t="shared" ca="1" si="43"/>
        <v>0.27468731871368446</v>
      </c>
      <c r="BH281" s="29">
        <v>0</v>
      </c>
      <c r="BJ281" s="22">
        <v>44826</v>
      </c>
      <c r="BK281" s="26">
        <f t="shared" ca="1" si="44"/>
        <v>0.65976740193433681</v>
      </c>
      <c r="BL281" s="29">
        <v>0</v>
      </c>
      <c r="BN281" s="22">
        <v>44826</v>
      </c>
      <c r="BO281" s="26">
        <f t="shared" ca="1" si="45"/>
        <v>0.14151680258599542</v>
      </c>
      <c r="BP281" s="29">
        <v>0</v>
      </c>
      <c r="BR281" s="22">
        <v>44826</v>
      </c>
      <c r="BS281" s="26">
        <f t="shared" ca="1" si="46"/>
        <v>4.5326598633988913E-2</v>
      </c>
      <c r="BT281" s="29">
        <v>0</v>
      </c>
      <c r="BV281" s="22">
        <v>44826</v>
      </c>
      <c r="BW281" s="26">
        <f t="shared" ca="1" si="47"/>
        <v>0.50822486447071047</v>
      </c>
      <c r="BX281" s="29">
        <v>0</v>
      </c>
    </row>
    <row r="282" spans="2:76" ht="12.75" x14ac:dyDescent="0.2">
      <c r="B282" s="22">
        <v>44827</v>
      </c>
      <c r="C282" s="26">
        <f t="shared" ca="1" si="0"/>
        <v>0.60784510471895548</v>
      </c>
      <c r="D282" s="29">
        <f t="shared" ca="1" si="48"/>
        <v>81</v>
      </c>
      <c r="F282" s="22">
        <v>44827</v>
      </c>
      <c r="G282" s="26">
        <f t="shared" ca="1" si="31"/>
        <v>0.30490513739997194</v>
      </c>
      <c r="H282" s="29">
        <f t="shared" ca="1" si="27"/>
        <v>209</v>
      </c>
      <c r="J282" s="22">
        <v>44827</v>
      </c>
      <c r="K282" s="26">
        <f t="shared" ca="1" si="32"/>
        <v>0.32549572795693982</v>
      </c>
      <c r="L282" s="29">
        <f t="shared" ca="1" si="28"/>
        <v>146</v>
      </c>
      <c r="N282" s="22">
        <v>44827</v>
      </c>
      <c r="O282" s="26">
        <f t="shared" ca="1" si="33"/>
        <v>0.36559509741722296</v>
      </c>
      <c r="P282" s="29">
        <f t="shared" ca="1" si="29"/>
        <v>225</v>
      </c>
      <c r="R282" s="22">
        <v>44827</v>
      </c>
      <c r="S282" s="26">
        <f t="shared" ca="1" si="34"/>
        <v>0.50181257593251027</v>
      </c>
      <c r="T282" s="29">
        <f t="shared" ca="1" si="30"/>
        <v>139</v>
      </c>
      <c r="V282" s="22">
        <v>44827</v>
      </c>
      <c r="W282" s="26">
        <f t="shared" ca="1" si="35"/>
        <v>0.56561722219631927</v>
      </c>
      <c r="X282" s="29">
        <v>0</v>
      </c>
      <c r="Z282" s="22">
        <v>44827</v>
      </c>
      <c r="AA282" s="26">
        <f t="shared" ca="1" si="36"/>
        <v>0.19008822553649174</v>
      </c>
      <c r="AB282" s="29">
        <v>0</v>
      </c>
      <c r="AC282"/>
      <c r="AD282" s="25"/>
      <c r="AF282" s="22">
        <v>44827</v>
      </c>
      <c r="AG282" s="26">
        <f t="shared" ca="1" si="37"/>
        <v>0.18690606122555742</v>
      </c>
      <c r="AH282" s="29">
        <v>0</v>
      </c>
      <c r="AJ282" s="22">
        <v>44827</v>
      </c>
      <c r="AK282" s="26">
        <f t="shared" ca="1" si="38"/>
        <v>0.73002487919180037</v>
      </c>
      <c r="AL282" s="29">
        <v>0</v>
      </c>
      <c r="AN282" s="22">
        <v>44827</v>
      </c>
      <c r="AO282" s="26">
        <f t="shared" ca="1" si="39"/>
        <v>0.67429651847664351</v>
      </c>
      <c r="AP282" s="29">
        <v>0</v>
      </c>
      <c r="AR282" s="22">
        <v>44827</v>
      </c>
      <c r="AS282" s="26">
        <f t="shared" ca="1" si="40"/>
        <v>0.97886768372630306</v>
      </c>
      <c r="AT282" s="29">
        <v>0</v>
      </c>
      <c r="AV282" s="22">
        <v>44827</v>
      </c>
      <c r="AW282" s="26">
        <f t="shared" ca="1" si="41"/>
        <v>0.68571351664866953</v>
      </c>
      <c r="AX282" s="29">
        <v>0</v>
      </c>
      <c r="AZ282" s="22">
        <v>44827</v>
      </c>
      <c r="BA282" s="26">
        <f t="shared" ca="1" si="42"/>
        <v>0.50397673816675725</v>
      </c>
      <c r="BB282" s="29">
        <v>0</v>
      </c>
      <c r="BC282"/>
      <c r="BD282" s="25"/>
      <c r="BF282" s="22">
        <v>44827</v>
      </c>
      <c r="BG282" s="26">
        <f t="shared" ca="1" si="43"/>
        <v>0.86944093316508553</v>
      </c>
      <c r="BH282" s="29">
        <v>0</v>
      </c>
      <c r="BJ282" s="22">
        <v>44827</v>
      </c>
      <c r="BK282" s="26">
        <f t="shared" ca="1" si="44"/>
        <v>0.36819021947707398</v>
      </c>
      <c r="BL282" s="29">
        <v>0</v>
      </c>
      <c r="BN282" s="22">
        <v>44827</v>
      </c>
      <c r="BO282" s="26">
        <f t="shared" ca="1" si="45"/>
        <v>0.66090217116245276</v>
      </c>
      <c r="BP282" s="29">
        <v>0</v>
      </c>
      <c r="BR282" s="22">
        <v>44827</v>
      </c>
      <c r="BS282" s="26">
        <f t="shared" ca="1" si="46"/>
        <v>0.36734974302000345</v>
      </c>
      <c r="BT282" s="29">
        <v>0</v>
      </c>
      <c r="BV282" s="22">
        <v>44827</v>
      </c>
      <c r="BW282" s="26">
        <f t="shared" ca="1" si="47"/>
        <v>0.12918013380763849</v>
      </c>
      <c r="BX282" s="29">
        <v>0</v>
      </c>
    </row>
    <row r="283" spans="2:76" ht="12.75" x14ac:dyDescent="0.2">
      <c r="B283" s="22">
        <v>44828</v>
      </c>
      <c r="C283" s="26">
        <f t="shared" ca="1" si="0"/>
        <v>0.56280281761122442</v>
      </c>
      <c r="D283" s="29">
        <f t="shared" ca="1" si="48"/>
        <v>79</v>
      </c>
      <c r="F283" s="22">
        <v>44828</v>
      </c>
      <c r="G283" s="26">
        <f t="shared" ca="1" si="31"/>
        <v>0.18835093716387008</v>
      </c>
      <c r="H283" s="29">
        <f t="shared" ca="1" si="27"/>
        <v>203</v>
      </c>
      <c r="J283" s="22">
        <v>44828</v>
      </c>
      <c r="K283" s="26">
        <f t="shared" ca="1" si="32"/>
        <v>0.55658400383682893</v>
      </c>
      <c r="L283" s="29">
        <f t="shared" ca="1" si="28"/>
        <v>152</v>
      </c>
      <c r="N283" s="22">
        <v>44828</v>
      </c>
      <c r="O283" s="26">
        <f t="shared" ca="1" si="33"/>
        <v>0.65785639309699206</v>
      </c>
      <c r="P283" s="29">
        <f t="shared" ca="1" si="29"/>
        <v>236</v>
      </c>
      <c r="R283" s="22">
        <v>44828</v>
      </c>
      <c r="S283" s="26">
        <f t="shared" ca="1" si="34"/>
        <v>0.86024990709916394</v>
      </c>
      <c r="T283" s="29">
        <f t="shared" ca="1" si="30"/>
        <v>149</v>
      </c>
      <c r="V283" s="22">
        <v>44828</v>
      </c>
      <c r="W283" s="26">
        <f t="shared" ca="1" si="35"/>
        <v>0.17790243226721614</v>
      </c>
      <c r="X283" s="29">
        <v>0</v>
      </c>
      <c r="Z283" s="22">
        <v>44828</v>
      </c>
      <c r="AA283" s="26">
        <f t="shared" ca="1" si="36"/>
        <v>0.1702562432489878</v>
      </c>
      <c r="AB283" s="29">
        <v>0</v>
      </c>
      <c r="AC283"/>
      <c r="AD283" s="25"/>
      <c r="AF283" s="22">
        <v>44828</v>
      </c>
      <c r="AG283" s="26">
        <f t="shared" ca="1" si="37"/>
        <v>9.571288463998151E-2</v>
      </c>
      <c r="AH283" s="29">
        <v>0</v>
      </c>
      <c r="AJ283" s="22">
        <v>44828</v>
      </c>
      <c r="AK283" s="26">
        <f t="shared" ca="1" si="38"/>
        <v>0.66160888658889316</v>
      </c>
      <c r="AL283" s="29">
        <v>0</v>
      </c>
      <c r="AN283" s="22">
        <v>44828</v>
      </c>
      <c r="AO283" s="26">
        <f t="shared" ca="1" si="39"/>
        <v>0.14861225571832382</v>
      </c>
      <c r="AP283" s="29">
        <v>0</v>
      </c>
      <c r="AR283" s="22">
        <v>44828</v>
      </c>
      <c r="AS283" s="26">
        <f t="shared" ca="1" si="40"/>
        <v>0.91941387070980962</v>
      </c>
      <c r="AT283" s="29">
        <v>0</v>
      </c>
      <c r="AV283" s="22">
        <v>44828</v>
      </c>
      <c r="AW283" s="26">
        <f t="shared" ca="1" si="41"/>
        <v>0.85822796750432195</v>
      </c>
      <c r="AX283" s="29">
        <v>0</v>
      </c>
      <c r="AZ283" s="22">
        <v>44828</v>
      </c>
      <c r="BA283" s="26">
        <f t="shared" ca="1" si="42"/>
        <v>0.27077142402689047</v>
      </c>
      <c r="BB283" s="29">
        <v>0</v>
      </c>
      <c r="BC283"/>
      <c r="BD283" s="25"/>
      <c r="BF283" s="22">
        <v>44828</v>
      </c>
      <c r="BG283" s="26">
        <f t="shared" ca="1" si="43"/>
        <v>0.58526480187181751</v>
      </c>
      <c r="BH283" s="29">
        <v>0</v>
      </c>
      <c r="BJ283" s="22">
        <v>44828</v>
      </c>
      <c r="BK283" s="26">
        <f t="shared" ca="1" si="44"/>
        <v>0.9220172450541908</v>
      </c>
      <c r="BL283" s="29">
        <v>0</v>
      </c>
      <c r="BN283" s="22">
        <v>44828</v>
      </c>
      <c r="BO283" s="26">
        <f t="shared" ca="1" si="45"/>
        <v>0.79603900756133339</v>
      </c>
      <c r="BP283" s="29">
        <v>0</v>
      </c>
      <c r="BR283" s="22">
        <v>44828</v>
      </c>
      <c r="BS283" s="26">
        <f t="shared" ca="1" si="46"/>
        <v>0.89470626797404484</v>
      </c>
      <c r="BT283" s="29">
        <v>0</v>
      </c>
      <c r="BV283" s="22">
        <v>44828</v>
      </c>
      <c r="BW283" s="26">
        <f t="shared" ca="1" si="47"/>
        <v>0.70827336073620284</v>
      </c>
      <c r="BX283" s="29">
        <v>0</v>
      </c>
    </row>
    <row r="284" spans="2:76" ht="12.75" x14ac:dyDescent="0.2">
      <c r="B284" s="22">
        <v>44829</v>
      </c>
      <c r="C284" s="26">
        <f t="shared" ca="1" si="0"/>
        <v>0.25072508778994296</v>
      </c>
      <c r="D284" s="29">
        <f t="shared" ca="1" si="48"/>
        <v>62</v>
      </c>
      <c r="F284" s="22">
        <v>44829</v>
      </c>
      <c r="G284" s="26">
        <f t="shared" ca="1" si="31"/>
        <v>0.98529650356774101</v>
      </c>
      <c r="H284" s="29">
        <f t="shared" ca="1" si="27"/>
        <v>247</v>
      </c>
      <c r="J284" s="22">
        <v>44829</v>
      </c>
      <c r="K284" s="26">
        <f t="shared" ca="1" si="32"/>
        <v>0.99241791914085942</v>
      </c>
      <c r="L284" s="29">
        <f t="shared" ca="1" si="28"/>
        <v>175</v>
      </c>
      <c r="N284" s="22">
        <v>44829</v>
      </c>
      <c r="O284" s="26">
        <f t="shared" ca="1" si="33"/>
        <v>0.22726323841609175</v>
      </c>
      <c r="P284" s="29">
        <f t="shared" ca="1" si="29"/>
        <v>218</v>
      </c>
      <c r="R284" s="22">
        <v>44829</v>
      </c>
      <c r="S284" s="26">
        <f t="shared" ca="1" si="34"/>
        <v>0.87863372218713687</v>
      </c>
      <c r="T284" s="29">
        <f t="shared" ca="1" si="30"/>
        <v>150</v>
      </c>
      <c r="V284" s="22">
        <v>44829</v>
      </c>
      <c r="W284" s="26">
        <f t="shared" ca="1" si="35"/>
        <v>0.36747167080800025</v>
      </c>
      <c r="X284" s="29">
        <v>0</v>
      </c>
      <c r="Z284" s="22">
        <v>44829</v>
      </c>
      <c r="AA284" s="26">
        <f t="shared" ca="1" si="36"/>
        <v>0.27262269931178784</v>
      </c>
      <c r="AB284" s="29">
        <v>0</v>
      </c>
      <c r="AC284"/>
      <c r="AD284" s="25"/>
      <c r="AF284" s="22">
        <v>44829</v>
      </c>
      <c r="AG284" s="26">
        <f t="shared" ca="1" si="37"/>
        <v>0.91207834877998939</v>
      </c>
      <c r="AH284" s="29">
        <v>0</v>
      </c>
      <c r="AJ284" s="22">
        <v>44829</v>
      </c>
      <c r="AK284" s="26">
        <f t="shared" ca="1" si="38"/>
        <v>0.38348662248383691</v>
      </c>
      <c r="AL284" s="29">
        <v>0</v>
      </c>
      <c r="AN284" s="22">
        <v>44829</v>
      </c>
      <c r="AO284" s="26">
        <f t="shared" ca="1" si="39"/>
        <v>0.76774120708980731</v>
      </c>
      <c r="AP284" s="29">
        <v>0</v>
      </c>
      <c r="AR284" s="22">
        <v>44829</v>
      </c>
      <c r="AS284" s="26">
        <f t="shared" ca="1" si="40"/>
        <v>0.82147960996673419</v>
      </c>
      <c r="AT284" s="29">
        <v>0</v>
      </c>
      <c r="AV284" s="22">
        <v>44829</v>
      </c>
      <c r="AW284" s="26">
        <f t="shared" ca="1" si="41"/>
        <v>0.45197601437395052</v>
      </c>
      <c r="AX284" s="29">
        <v>0</v>
      </c>
      <c r="AZ284" s="22">
        <v>44829</v>
      </c>
      <c r="BA284" s="26">
        <f t="shared" ca="1" si="42"/>
        <v>0.22301395419220127</v>
      </c>
      <c r="BB284" s="29">
        <v>0</v>
      </c>
      <c r="BC284"/>
      <c r="BD284" s="25"/>
      <c r="BF284" s="22">
        <v>44829</v>
      </c>
      <c r="BG284" s="26">
        <f t="shared" ca="1" si="43"/>
        <v>0.60549559298151456</v>
      </c>
      <c r="BH284" s="29">
        <v>0</v>
      </c>
      <c r="BJ284" s="22">
        <v>44829</v>
      </c>
      <c r="BK284" s="26">
        <f t="shared" ca="1" si="44"/>
        <v>0.95035135496580458</v>
      </c>
      <c r="BL284" s="29">
        <v>0</v>
      </c>
      <c r="BN284" s="22">
        <v>44829</v>
      </c>
      <c r="BO284" s="26">
        <f t="shared" ca="1" si="45"/>
        <v>1.9340106118642675E-3</v>
      </c>
      <c r="BP284" s="29">
        <v>0</v>
      </c>
      <c r="BR284" s="22">
        <v>44829</v>
      </c>
      <c r="BS284" s="26">
        <f t="shared" ca="1" si="46"/>
        <v>0.79649930888175824</v>
      </c>
      <c r="BT284" s="29">
        <v>0</v>
      </c>
      <c r="BV284" s="22">
        <v>44829</v>
      </c>
      <c r="BW284" s="26">
        <f t="shared" ca="1" si="47"/>
        <v>0.72395250140842071</v>
      </c>
      <c r="BX284" s="29">
        <v>0</v>
      </c>
    </row>
    <row r="285" spans="2:76" ht="12.75" x14ac:dyDescent="0.2">
      <c r="B285" s="22">
        <v>44830</v>
      </c>
      <c r="C285" s="26">
        <f t="shared" ca="1" si="0"/>
        <v>0.89544928567303328</v>
      </c>
      <c r="D285" s="29">
        <f t="shared" ca="1" si="48"/>
        <v>101</v>
      </c>
      <c r="F285" s="22">
        <v>44830</v>
      </c>
      <c r="G285" s="26">
        <f t="shared" ca="1" si="31"/>
        <v>0.47266699637663601</v>
      </c>
      <c r="H285" s="29">
        <f t="shared" ca="1" si="27"/>
        <v>215</v>
      </c>
      <c r="J285" s="22">
        <v>44830</v>
      </c>
      <c r="K285" s="26">
        <f t="shared" ca="1" si="32"/>
        <v>0.28737479405190658</v>
      </c>
      <c r="L285" s="29">
        <f t="shared" ca="1" si="28"/>
        <v>145</v>
      </c>
      <c r="N285" s="22">
        <v>44830</v>
      </c>
      <c r="O285" s="26">
        <f t="shared" ca="1" si="33"/>
        <v>0.77568972647484213</v>
      </c>
      <c r="P285" s="29">
        <f t="shared" ca="1" si="29"/>
        <v>241</v>
      </c>
      <c r="R285" s="22">
        <v>44830</v>
      </c>
      <c r="S285" s="26">
        <f t="shared" ca="1" si="34"/>
        <v>0.55554532640564702</v>
      </c>
      <c r="T285" s="29">
        <f t="shared" ca="1" si="30"/>
        <v>141</v>
      </c>
      <c r="V285" s="22">
        <v>44830</v>
      </c>
      <c r="W285" s="26">
        <f t="shared" ca="1" si="35"/>
        <v>0.81997449536497213</v>
      </c>
      <c r="X285" s="29">
        <v>0</v>
      </c>
      <c r="Z285" s="22">
        <v>44830</v>
      </c>
      <c r="AA285" s="26">
        <f t="shared" ca="1" si="36"/>
        <v>2.6952567362494961E-2</v>
      </c>
      <c r="AB285" s="29">
        <v>0</v>
      </c>
      <c r="AC285"/>
      <c r="AD285" s="25"/>
      <c r="AF285" s="22">
        <v>44830</v>
      </c>
      <c r="AG285" s="26">
        <f t="shared" ca="1" si="37"/>
        <v>0.6928881861208791</v>
      </c>
      <c r="AH285" s="29">
        <v>0</v>
      </c>
      <c r="AJ285" s="22">
        <v>44830</v>
      </c>
      <c r="AK285" s="26">
        <f t="shared" ca="1" si="38"/>
        <v>0.13450858213942152</v>
      </c>
      <c r="AL285" s="29">
        <v>0</v>
      </c>
      <c r="AN285" s="22">
        <v>44830</v>
      </c>
      <c r="AO285" s="26">
        <f t="shared" ca="1" si="39"/>
        <v>0.65357623009983201</v>
      </c>
      <c r="AP285" s="29">
        <v>0</v>
      </c>
      <c r="AR285" s="22">
        <v>44830</v>
      </c>
      <c r="AS285" s="26">
        <f t="shared" ca="1" si="40"/>
        <v>0.62321671419509672</v>
      </c>
      <c r="AT285" s="29">
        <v>0</v>
      </c>
      <c r="AV285" s="22">
        <v>44830</v>
      </c>
      <c r="AW285" s="26">
        <f t="shared" ca="1" si="41"/>
        <v>0.24684663901981285</v>
      </c>
      <c r="AX285" s="29">
        <v>0</v>
      </c>
      <c r="AZ285" s="22">
        <v>44830</v>
      </c>
      <c r="BA285" s="26">
        <f t="shared" ca="1" si="42"/>
        <v>0.28341892146779113</v>
      </c>
      <c r="BB285" s="29">
        <v>0</v>
      </c>
      <c r="BC285"/>
      <c r="BD285" s="25"/>
      <c r="BF285" s="22">
        <v>44830</v>
      </c>
      <c r="BG285" s="26">
        <f t="shared" ca="1" si="43"/>
        <v>0.39337207326230905</v>
      </c>
      <c r="BH285" s="29">
        <v>0</v>
      </c>
      <c r="BJ285" s="22">
        <v>44830</v>
      </c>
      <c r="BK285" s="26">
        <f t="shared" ca="1" si="44"/>
        <v>0.61548187453270009</v>
      </c>
      <c r="BL285" s="29">
        <v>0</v>
      </c>
      <c r="BN285" s="22">
        <v>44830</v>
      </c>
      <c r="BO285" s="26">
        <f t="shared" ca="1" si="45"/>
        <v>0.14677771928565542</v>
      </c>
      <c r="BP285" s="29">
        <v>0</v>
      </c>
      <c r="BR285" s="22">
        <v>44830</v>
      </c>
      <c r="BS285" s="26">
        <f t="shared" ca="1" si="46"/>
        <v>0.52508908201482785</v>
      </c>
      <c r="BT285" s="29">
        <v>0</v>
      </c>
      <c r="BV285" s="22">
        <v>44830</v>
      </c>
      <c r="BW285" s="26">
        <f t="shared" ca="1" si="47"/>
        <v>0.56580212131133889</v>
      </c>
      <c r="BX285" s="29">
        <v>0</v>
      </c>
    </row>
    <row r="286" spans="2:76" ht="12.75" x14ac:dyDescent="0.2">
      <c r="B286" s="22">
        <v>44831</v>
      </c>
      <c r="C286" s="26">
        <f t="shared" ca="1" si="0"/>
        <v>0.26537102558467662</v>
      </c>
      <c r="D286" s="29">
        <f t="shared" ca="1" si="48"/>
        <v>63</v>
      </c>
      <c r="F286" s="22">
        <v>44831</v>
      </c>
      <c r="G286" s="26">
        <f t="shared" ca="1" si="31"/>
        <v>0.48934491696913618</v>
      </c>
      <c r="H286" s="29">
        <f t="shared" ca="1" si="27"/>
        <v>216</v>
      </c>
      <c r="J286" s="22">
        <v>44831</v>
      </c>
      <c r="K286" s="26">
        <f t="shared" ca="1" si="32"/>
        <v>4.003477805829625E-2</v>
      </c>
      <c r="L286" s="29">
        <f t="shared" ca="1" si="28"/>
        <v>133</v>
      </c>
      <c r="N286" s="22">
        <v>44831</v>
      </c>
      <c r="O286" s="26">
        <f t="shared" ca="1" si="33"/>
        <v>2.0756720917335492E-2</v>
      </c>
      <c r="P286" s="29">
        <f t="shared" ca="1" si="29"/>
        <v>199</v>
      </c>
      <c r="R286" s="22">
        <v>44831</v>
      </c>
      <c r="S286" s="26">
        <f t="shared" ca="1" si="34"/>
        <v>0.31376211095339612</v>
      </c>
      <c r="T286" s="29">
        <f t="shared" ca="1" si="30"/>
        <v>135</v>
      </c>
      <c r="V286" s="22">
        <v>44831</v>
      </c>
      <c r="W286" s="26">
        <f t="shared" ca="1" si="35"/>
        <v>0.52050931303851322</v>
      </c>
      <c r="X286" s="29">
        <v>0</v>
      </c>
      <c r="Z286" s="22">
        <v>44831</v>
      </c>
      <c r="AA286" s="26">
        <f t="shared" ca="1" si="36"/>
        <v>0.77489937704118372</v>
      </c>
      <c r="AB286" s="29">
        <v>0</v>
      </c>
      <c r="AC286"/>
      <c r="AD286" s="25"/>
      <c r="AF286" s="22">
        <v>44831</v>
      </c>
      <c r="AG286" s="26">
        <f t="shared" ca="1" si="37"/>
        <v>0.13927462888366016</v>
      </c>
      <c r="AH286" s="29">
        <v>0</v>
      </c>
      <c r="AJ286" s="22">
        <v>44831</v>
      </c>
      <c r="AK286" s="26">
        <f t="shared" ca="1" si="38"/>
        <v>0.69025663490451183</v>
      </c>
      <c r="AL286" s="29">
        <v>0</v>
      </c>
      <c r="AN286" s="22">
        <v>44831</v>
      </c>
      <c r="AO286" s="26">
        <f t="shared" ca="1" si="39"/>
        <v>0.14307292895197965</v>
      </c>
      <c r="AP286" s="29">
        <v>0</v>
      </c>
      <c r="AR286" s="22">
        <v>44831</v>
      </c>
      <c r="AS286" s="26">
        <f t="shared" ca="1" si="40"/>
        <v>2.7927625209456353E-2</v>
      </c>
      <c r="AT286" s="29">
        <v>0</v>
      </c>
      <c r="AV286" s="22">
        <v>44831</v>
      </c>
      <c r="AW286" s="26">
        <f t="shared" ca="1" si="41"/>
        <v>0.40855399879463472</v>
      </c>
      <c r="AX286" s="29">
        <v>0</v>
      </c>
      <c r="AZ286" s="22">
        <v>44831</v>
      </c>
      <c r="BA286" s="26">
        <f t="shared" ca="1" si="42"/>
        <v>0.15424764104085598</v>
      </c>
      <c r="BB286" s="29">
        <v>0</v>
      </c>
      <c r="BC286"/>
      <c r="BD286" s="25"/>
      <c r="BF286" s="22">
        <v>44831</v>
      </c>
      <c r="BG286" s="26">
        <f t="shared" ca="1" si="43"/>
        <v>0.28720827334209109</v>
      </c>
      <c r="BH286" s="29">
        <v>0</v>
      </c>
      <c r="BJ286" s="22">
        <v>44831</v>
      </c>
      <c r="BK286" s="26">
        <f t="shared" ca="1" si="44"/>
        <v>0.56209479509204685</v>
      </c>
      <c r="BL286" s="29">
        <v>0</v>
      </c>
      <c r="BN286" s="22">
        <v>44831</v>
      </c>
      <c r="BO286" s="26">
        <f t="shared" ca="1" si="45"/>
        <v>0.40754545621125227</v>
      </c>
      <c r="BP286" s="29">
        <v>0</v>
      </c>
      <c r="BR286" s="22">
        <v>44831</v>
      </c>
      <c r="BS286" s="26">
        <f t="shared" ca="1" si="46"/>
        <v>0.88964456509591738</v>
      </c>
      <c r="BT286" s="29">
        <v>0</v>
      </c>
      <c r="BV286" s="22">
        <v>44831</v>
      </c>
      <c r="BW286" s="26">
        <f t="shared" ca="1" si="47"/>
        <v>0.96277142789578829</v>
      </c>
      <c r="BX286" s="29">
        <v>0</v>
      </c>
    </row>
    <row r="287" spans="2:76" ht="12.75" x14ac:dyDescent="0.2">
      <c r="B287" s="22">
        <v>44832</v>
      </c>
      <c r="C287" s="26">
        <f t="shared" ca="1" si="0"/>
        <v>0.67193730303218602</v>
      </c>
      <c r="D287" s="29">
        <f t="shared" ca="1" si="48"/>
        <v>84</v>
      </c>
      <c r="F287" s="22">
        <v>44832</v>
      </c>
      <c r="G287" s="26">
        <f t="shared" ca="1" si="31"/>
        <v>2.3547070820753468E-2</v>
      </c>
      <c r="H287" s="29">
        <f t="shared" ca="1" si="27"/>
        <v>187</v>
      </c>
      <c r="J287" s="22">
        <v>44832</v>
      </c>
      <c r="K287" s="26">
        <f t="shared" ca="1" si="32"/>
        <v>0.84784666340901438</v>
      </c>
      <c r="L287" s="29">
        <f t="shared" ca="1" si="28"/>
        <v>161</v>
      </c>
      <c r="N287" s="22">
        <v>44832</v>
      </c>
      <c r="O287" s="26">
        <f t="shared" ca="1" si="33"/>
        <v>0.54863108267314042</v>
      </c>
      <c r="P287" s="29">
        <f t="shared" ca="1" si="29"/>
        <v>232</v>
      </c>
      <c r="R287" s="22">
        <v>44832</v>
      </c>
      <c r="S287" s="26">
        <f t="shared" ca="1" si="34"/>
        <v>0.56390849090950956</v>
      </c>
      <c r="T287" s="29">
        <f t="shared" ca="1" si="30"/>
        <v>141</v>
      </c>
      <c r="V287" s="22">
        <v>44832</v>
      </c>
      <c r="W287" s="26">
        <f t="shared" ca="1" si="35"/>
        <v>0.38320771083533534</v>
      </c>
      <c r="X287" s="29">
        <v>0</v>
      </c>
      <c r="Z287" s="22">
        <v>44832</v>
      </c>
      <c r="AA287" s="26">
        <f t="shared" ca="1" si="36"/>
        <v>0.31012082148208397</v>
      </c>
      <c r="AB287" s="29">
        <v>0</v>
      </c>
      <c r="AC287"/>
      <c r="AD287" s="25"/>
      <c r="AF287" s="22">
        <v>44832</v>
      </c>
      <c r="AG287" s="26">
        <f t="shared" ca="1" si="37"/>
        <v>0.41676681986090525</v>
      </c>
      <c r="AH287" s="29">
        <v>0</v>
      </c>
      <c r="AJ287" s="22">
        <v>44832</v>
      </c>
      <c r="AK287" s="26">
        <f t="shared" ca="1" si="38"/>
        <v>0.28484331280785025</v>
      </c>
      <c r="AL287" s="29">
        <v>0</v>
      </c>
      <c r="AN287" s="22">
        <v>44832</v>
      </c>
      <c r="AO287" s="26">
        <f t="shared" ca="1" si="39"/>
        <v>0.63856102059036812</v>
      </c>
      <c r="AP287" s="29">
        <v>0</v>
      </c>
      <c r="AR287" s="22">
        <v>44832</v>
      </c>
      <c r="AS287" s="26">
        <f t="shared" ca="1" si="40"/>
        <v>0.80924279263737331</v>
      </c>
      <c r="AT287" s="29">
        <v>0</v>
      </c>
      <c r="AV287" s="22">
        <v>44832</v>
      </c>
      <c r="AW287" s="26">
        <f t="shared" ca="1" si="41"/>
        <v>0.91239909793075413</v>
      </c>
      <c r="AX287" s="29">
        <v>0</v>
      </c>
      <c r="AZ287" s="22">
        <v>44832</v>
      </c>
      <c r="BA287" s="26">
        <f t="shared" ca="1" si="42"/>
        <v>0.47715765295618473</v>
      </c>
      <c r="BB287" s="29">
        <v>0</v>
      </c>
      <c r="BC287"/>
      <c r="BD287" s="25"/>
      <c r="BF287" s="22">
        <v>44832</v>
      </c>
      <c r="BG287" s="26">
        <f t="shared" ca="1" si="43"/>
        <v>0.52877142437495184</v>
      </c>
      <c r="BH287" s="29">
        <v>0</v>
      </c>
      <c r="BJ287" s="22">
        <v>44832</v>
      </c>
      <c r="BK287" s="26">
        <f t="shared" ca="1" si="44"/>
        <v>0.6149544875229993</v>
      </c>
      <c r="BL287" s="29">
        <v>0</v>
      </c>
      <c r="BN287" s="22">
        <v>44832</v>
      </c>
      <c r="BO287" s="26">
        <f t="shared" ca="1" si="45"/>
        <v>9.210415346292955E-2</v>
      </c>
      <c r="BP287" s="29">
        <v>0</v>
      </c>
      <c r="BR287" s="22">
        <v>44832</v>
      </c>
      <c r="BS287" s="26">
        <f t="shared" ca="1" si="46"/>
        <v>0.95381564343798764</v>
      </c>
      <c r="BT287" s="29">
        <v>0</v>
      </c>
      <c r="BV287" s="22">
        <v>44832</v>
      </c>
      <c r="BW287" s="26">
        <f t="shared" ca="1" si="47"/>
        <v>0.16149641891349054</v>
      </c>
      <c r="BX287" s="29">
        <v>0</v>
      </c>
    </row>
    <row r="288" spans="2:76" ht="12.75" x14ac:dyDescent="0.2">
      <c r="B288" s="22">
        <v>44833</v>
      </c>
      <c r="C288" s="26">
        <f t="shared" ca="1" si="0"/>
        <v>0.20900487904137521</v>
      </c>
      <c r="D288" s="29">
        <f t="shared" ca="1" si="48"/>
        <v>59</v>
      </c>
      <c r="F288" s="22">
        <v>44833</v>
      </c>
      <c r="G288" s="26">
        <f t="shared" ca="1" si="31"/>
        <v>0.83141914823162699</v>
      </c>
      <c r="H288" s="29">
        <f t="shared" ca="1" si="27"/>
        <v>230</v>
      </c>
      <c r="J288" s="22">
        <v>44833</v>
      </c>
      <c r="K288" s="26">
        <f t="shared" ca="1" si="32"/>
        <v>0.54326587168577378</v>
      </c>
      <c r="L288" s="29">
        <f t="shared" ca="1" si="28"/>
        <v>152</v>
      </c>
      <c r="N288" s="22">
        <v>44833</v>
      </c>
      <c r="O288" s="26">
        <f t="shared" ca="1" si="33"/>
        <v>0.69880468143931151</v>
      </c>
      <c r="P288" s="29">
        <f t="shared" ca="1" si="29"/>
        <v>238</v>
      </c>
      <c r="R288" s="22">
        <v>44833</v>
      </c>
      <c r="S288" s="26">
        <f t="shared" ca="1" si="34"/>
        <v>0.5660081591858257</v>
      </c>
      <c r="T288" s="29">
        <f t="shared" ca="1" si="30"/>
        <v>141</v>
      </c>
      <c r="V288" s="22">
        <v>44833</v>
      </c>
      <c r="W288" s="26">
        <f t="shared" ca="1" si="35"/>
        <v>0.24810995402199831</v>
      </c>
      <c r="X288" s="29">
        <v>0</v>
      </c>
      <c r="Z288" s="22">
        <v>44833</v>
      </c>
      <c r="AA288" s="26">
        <f t="shared" ca="1" si="36"/>
        <v>0.77144340652050669</v>
      </c>
      <c r="AB288" s="29">
        <v>0</v>
      </c>
      <c r="AC288"/>
      <c r="AD288" s="25"/>
      <c r="AF288" s="22">
        <v>44833</v>
      </c>
      <c r="AG288" s="26">
        <f t="shared" ca="1" si="37"/>
        <v>5.1283792457459842E-2</v>
      </c>
      <c r="AH288" s="29">
        <v>0</v>
      </c>
      <c r="AJ288" s="22">
        <v>44833</v>
      </c>
      <c r="AK288" s="26">
        <f t="shared" ca="1" si="38"/>
        <v>0.8129472782954642</v>
      </c>
      <c r="AL288" s="29">
        <v>0</v>
      </c>
      <c r="AN288" s="22">
        <v>44833</v>
      </c>
      <c r="AO288" s="26">
        <f t="shared" ca="1" si="39"/>
        <v>0.90498904427084181</v>
      </c>
      <c r="AP288" s="29">
        <v>0</v>
      </c>
      <c r="AR288" s="22">
        <v>44833</v>
      </c>
      <c r="AS288" s="26">
        <f t="shared" ca="1" si="40"/>
        <v>0.71453754925814683</v>
      </c>
      <c r="AT288" s="29">
        <v>0</v>
      </c>
      <c r="AV288" s="22">
        <v>44833</v>
      </c>
      <c r="AW288" s="26">
        <f t="shared" ca="1" si="41"/>
        <v>0.59359713085463361</v>
      </c>
      <c r="AX288" s="29">
        <v>0</v>
      </c>
      <c r="AZ288" s="22">
        <v>44833</v>
      </c>
      <c r="BA288" s="26">
        <f t="shared" ca="1" si="42"/>
        <v>0.5266566890714719</v>
      </c>
      <c r="BB288" s="29">
        <v>0</v>
      </c>
      <c r="BC288"/>
      <c r="BD288" s="25"/>
      <c r="BF288" s="22">
        <v>44833</v>
      </c>
      <c r="BG288" s="26">
        <f t="shared" ca="1" si="43"/>
        <v>0.75692621803237359</v>
      </c>
      <c r="BH288" s="29">
        <v>0</v>
      </c>
      <c r="BJ288" s="22">
        <v>44833</v>
      </c>
      <c r="BK288" s="26">
        <f t="shared" ca="1" si="44"/>
        <v>0.36010880439409587</v>
      </c>
      <c r="BL288" s="29">
        <v>0</v>
      </c>
      <c r="BN288" s="22">
        <v>44833</v>
      </c>
      <c r="BO288" s="26">
        <f t="shared" ca="1" si="45"/>
        <v>0.30729346678015546</v>
      </c>
      <c r="BP288" s="29">
        <v>0</v>
      </c>
      <c r="BR288" s="22">
        <v>44833</v>
      </c>
      <c r="BS288" s="26">
        <f t="shared" ca="1" si="46"/>
        <v>0.8311210094364101</v>
      </c>
      <c r="BT288" s="29">
        <v>0</v>
      </c>
      <c r="BV288" s="22">
        <v>44833</v>
      </c>
      <c r="BW288" s="26">
        <f t="shared" ca="1" si="47"/>
        <v>0.27312592894175203</v>
      </c>
      <c r="BX288" s="29">
        <v>0</v>
      </c>
    </row>
    <row r="289" spans="2:77" ht="12.75" x14ac:dyDescent="0.2">
      <c r="B289" s="22">
        <v>44834</v>
      </c>
      <c r="C289" s="26">
        <f t="shared" ca="1" si="0"/>
        <v>0.30964839815807621</v>
      </c>
      <c r="D289" s="29">
        <f t="shared" ca="1" si="48"/>
        <v>66</v>
      </c>
      <c r="E289">
        <v>2086</v>
      </c>
      <c r="F289" s="22">
        <v>44834</v>
      </c>
      <c r="G289" s="26">
        <f t="shared" ca="1" si="31"/>
        <v>6.1139079971389232E-2</v>
      </c>
      <c r="H289" s="29">
        <f t="shared" ca="1" si="27"/>
        <v>194</v>
      </c>
      <c r="I289">
        <v>6210</v>
      </c>
      <c r="J289" s="22">
        <v>44834</v>
      </c>
      <c r="K289" s="26">
        <f t="shared" ca="1" si="32"/>
        <v>0.60560417674303779</v>
      </c>
      <c r="L289" s="29">
        <f t="shared" ca="1" si="28"/>
        <v>153</v>
      </c>
      <c r="M289">
        <v>4270</v>
      </c>
      <c r="N289" s="22">
        <v>44834</v>
      </c>
      <c r="O289" s="26">
        <f t="shared" ca="1" si="33"/>
        <v>0.22600972552672549</v>
      </c>
      <c r="P289" s="29">
        <f t="shared" ca="1" si="29"/>
        <v>218</v>
      </c>
      <c r="Q289">
        <v>6631</v>
      </c>
      <c r="R289" s="22">
        <v>44834</v>
      </c>
      <c r="S289" s="26">
        <f t="shared" ca="1" si="34"/>
        <v>0.87856005916378832</v>
      </c>
      <c r="T289" s="29">
        <f t="shared" ca="1" si="30"/>
        <v>150</v>
      </c>
      <c r="U289">
        <v>4048</v>
      </c>
      <c r="V289" s="22">
        <v>44834</v>
      </c>
      <c r="W289" s="26">
        <f t="shared" ca="1" si="35"/>
        <v>0.80015625117687439</v>
      </c>
      <c r="X289" s="29">
        <v>0</v>
      </c>
      <c r="Y289">
        <v>0</v>
      </c>
      <c r="Z289" s="22">
        <v>44834</v>
      </c>
      <c r="AA289" s="26">
        <f t="shared" ca="1" si="36"/>
        <v>0.39594619003927989</v>
      </c>
      <c r="AB289" s="29">
        <v>0</v>
      </c>
      <c r="AC289">
        <v>0</v>
      </c>
      <c r="AD289" s="25"/>
      <c r="AF289" s="22">
        <v>44834</v>
      </c>
      <c r="AG289" s="26">
        <f t="shared" ca="1" si="37"/>
        <v>0.15039822146306481</v>
      </c>
      <c r="AH289" s="29">
        <v>0</v>
      </c>
      <c r="AI289">
        <v>0</v>
      </c>
      <c r="AJ289" s="22">
        <v>44834</v>
      </c>
      <c r="AK289" s="26">
        <f t="shared" ca="1" si="38"/>
        <v>0.53585789196180278</v>
      </c>
      <c r="AL289" s="29">
        <v>0</v>
      </c>
      <c r="AM289">
        <v>0</v>
      </c>
      <c r="AN289" s="22">
        <v>44834</v>
      </c>
      <c r="AO289" s="26">
        <f t="shared" ca="1" si="39"/>
        <v>0.50709183407224956</v>
      </c>
      <c r="AP289" s="29">
        <v>0</v>
      </c>
      <c r="AQ289">
        <v>0</v>
      </c>
      <c r="AR289" s="22">
        <v>44834</v>
      </c>
      <c r="AS289" s="26">
        <f t="shared" ca="1" si="40"/>
        <v>0.34792226251983938</v>
      </c>
      <c r="AT289" s="29">
        <v>0</v>
      </c>
      <c r="AU289">
        <v>0</v>
      </c>
      <c r="AV289" s="22">
        <v>44834</v>
      </c>
      <c r="AW289" s="26">
        <f t="shared" ca="1" si="41"/>
        <v>0.41705390705108569</v>
      </c>
      <c r="AX289" s="29">
        <v>0</v>
      </c>
      <c r="AY289">
        <v>0</v>
      </c>
      <c r="AZ289" s="22">
        <v>44834</v>
      </c>
      <c r="BA289" s="26">
        <f t="shared" ca="1" si="42"/>
        <v>0.68698537680944294</v>
      </c>
      <c r="BB289" s="29">
        <v>0</v>
      </c>
      <c r="BC289">
        <v>0</v>
      </c>
      <c r="BD289" s="25"/>
      <c r="BF289" s="22">
        <v>44834</v>
      </c>
      <c r="BG289" s="26">
        <f t="shared" ca="1" si="43"/>
        <v>0.87930199191902347</v>
      </c>
      <c r="BH289" s="29">
        <v>0</v>
      </c>
      <c r="BI289">
        <v>0</v>
      </c>
      <c r="BJ289" s="22">
        <v>44834</v>
      </c>
      <c r="BK289" s="26">
        <f t="shared" ca="1" si="44"/>
        <v>0.63847773618641446</v>
      </c>
      <c r="BL289" s="29">
        <v>0</v>
      </c>
      <c r="BM289">
        <v>0</v>
      </c>
      <c r="BN289" s="22">
        <v>44834</v>
      </c>
      <c r="BO289" s="26">
        <f t="shared" ca="1" si="45"/>
        <v>0.37316587202978357</v>
      </c>
      <c r="BP289" s="29">
        <v>0</v>
      </c>
      <c r="BQ289">
        <v>0</v>
      </c>
      <c r="BR289" s="22">
        <v>44834</v>
      </c>
      <c r="BS289" s="26">
        <f t="shared" ca="1" si="46"/>
        <v>0.57565519756057337</v>
      </c>
      <c r="BT289" s="29">
        <v>0</v>
      </c>
      <c r="BU289">
        <v>0</v>
      </c>
      <c r="BV289" s="22">
        <v>44834</v>
      </c>
      <c r="BW289" s="26">
        <f t="shared" ca="1" si="47"/>
        <v>0.49719774910903236</v>
      </c>
      <c r="BX289" s="29">
        <v>0</v>
      </c>
      <c r="BY289">
        <v>0</v>
      </c>
    </row>
    <row r="290" spans="2:77" ht="12.75" x14ac:dyDescent="0.2">
      <c r="B290" s="22">
        <v>44835</v>
      </c>
      <c r="C290" s="26">
        <f t="shared" ca="1" si="0"/>
        <v>0.23798185952148798</v>
      </c>
      <c r="D290" s="29">
        <f ca="1">ROUNDUP(_xlfn.NORM.INV(C289,C$10,C$12),0)</f>
        <v>66</v>
      </c>
      <c r="F290" s="22">
        <v>44835</v>
      </c>
      <c r="G290" s="26">
        <f t="shared" ca="1" si="31"/>
        <v>0.9362876759116654</v>
      </c>
      <c r="H290" s="29">
        <f ca="1">ROUNDUP(_xlfn.NORM.INV(G289,G$10,G$12),0)</f>
        <v>194</v>
      </c>
      <c r="J290" s="22">
        <v>44835</v>
      </c>
      <c r="K290" s="26">
        <f t="shared" ca="1" si="32"/>
        <v>0.93016168417301459</v>
      </c>
      <c r="L290" s="29">
        <f ca="1">ROUNDUP(_xlfn.NORM.INV(K289,K$10,K$12),0)</f>
        <v>153</v>
      </c>
      <c r="N290" s="22">
        <v>44835</v>
      </c>
      <c r="O290" s="26">
        <f t="shared" ca="1" si="33"/>
        <v>0.60675768936016061</v>
      </c>
      <c r="P290" s="29">
        <f ca="1">ROUNDUP(_xlfn.NORM.INV(O289,O$10,O$12),0)</f>
        <v>218</v>
      </c>
      <c r="R290" s="22">
        <v>44835</v>
      </c>
      <c r="S290" s="26">
        <f t="shared" ca="1" si="34"/>
        <v>0.45318864540323667</v>
      </c>
      <c r="T290" s="29">
        <f ca="1">ROUNDUP(_xlfn.NORM.INV(S289,S$10,S$12),0)</f>
        <v>150</v>
      </c>
      <c r="V290" s="22">
        <v>44835</v>
      </c>
      <c r="W290" s="26">
        <f t="shared" ca="1" si="35"/>
        <v>0.26983040896290134</v>
      </c>
      <c r="X290" s="29">
        <v>0</v>
      </c>
      <c r="Z290" s="22">
        <v>44835</v>
      </c>
      <c r="AA290" s="26">
        <f t="shared" ca="1" si="36"/>
        <v>6.2837333756392555E-2</v>
      </c>
      <c r="AB290" s="29">
        <v>0</v>
      </c>
      <c r="AC290"/>
      <c r="AD290" s="25"/>
      <c r="AF290" s="22">
        <v>44835</v>
      </c>
      <c r="AG290" s="26">
        <f t="shared" ca="1" si="37"/>
        <v>0.99684323306563549</v>
      </c>
      <c r="AH290" s="29">
        <v>0</v>
      </c>
      <c r="AJ290" s="22">
        <v>44835</v>
      </c>
      <c r="AK290" s="26">
        <f t="shared" ca="1" si="38"/>
        <v>0.83910364101798851</v>
      </c>
      <c r="AL290" s="29">
        <v>0</v>
      </c>
      <c r="AN290" s="22">
        <v>44835</v>
      </c>
      <c r="AO290" s="26">
        <f t="shared" ca="1" si="39"/>
        <v>2.7773420176545049E-2</v>
      </c>
      <c r="AP290" s="29">
        <v>0</v>
      </c>
      <c r="AR290" s="22">
        <v>44835</v>
      </c>
      <c r="AS290" s="26">
        <f t="shared" ca="1" si="40"/>
        <v>0.47503431167483701</v>
      </c>
      <c r="AT290" s="29">
        <v>0</v>
      </c>
      <c r="AV290" s="22">
        <v>44835</v>
      </c>
      <c r="AW290" s="26">
        <f t="shared" ca="1" si="41"/>
        <v>0.64992688974606505</v>
      </c>
      <c r="AX290" s="29">
        <v>0</v>
      </c>
      <c r="AZ290" s="22">
        <v>44835</v>
      </c>
      <c r="BA290" s="26">
        <f t="shared" ca="1" si="42"/>
        <v>2.2670984841345443E-2</v>
      </c>
      <c r="BB290" s="29">
        <v>0</v>
      </c>
      <c r="BC290"/>
      <c r="BD290" s="25"/>
      <c r="BF290" s="22">
        <v>44835</v>
      </c>
      <c r="BG290" s="26">
        <f t="shared" ca="1" si="43"/>
        <v>8.506917800200775E-2</v>
      </c>
      <c r="BH290" s="29">
        <v>0</v>
      </c>
      <c r="BJ290" s="22">
        <v>44835</v>
      </c>
      <c r="BK290" s="26">
        <f t="shared" ca="1" si="44"/>
        <v>0.35498053061015677</v>
      </c>
      <c r="BL290" s="29">
        <v>0</v>
      </c>
      <c r="BN290" s="22">
        <v>44835</v>
      </c>
      <c r="BO290" s="26">
        <f t="shared" ca="1" si="45"/>
        <v>0.50000453730893946</v>
      </c>
      <c r="BP290" s="29">
        <v>0</v>
      </c>
      <c r="BR290" s="22">
        <v>44835</v>
      </c>
      <c r="BS290" s="26">
        <f t="shared" ca="1" si="46"/>
        <v>0.62171653168867846</v>
      </c>
      <c r="BT290" s="29">
        <v>0</v>
      </c>
      <c r="BV290" s="22">
        <v>44835</v>
      </c>
      <c r="BW290" s="26">
        <f t="shared" ca="1" si="47"/>
        <v>0.69356551793202259</v>
      </c>
      <c r="BX290" s="29">
        <v>0</v>
      </c>
    </row>
    <row r="291" spans="2:77" ht="12.75" x14ac:dyDescent="0.2">
      <c r="B291" s="22">
        <v>44836</v>
      </c>
      <c r="C291" s="26">
        <f t="shared" ca="1" si="0"/>
        <v>0.36847687729118928</v>
      </c>
      <c r="D291" s="29">
        <f t="shared" ca="1" si="48"/>
        <v>69</v>
      </c>
      <c r="F291" s="22">
        <v>44836</v>
      </c>
      <c r="G291" s="26">
        <f t="shared" ca="1" si="31"/>
        <v>0.31072431125817213</v>
      </c>
      <c r="H291" s="29">
        <f t="shared" ca="1" si="27"/>
        <v>209</v>
      </c>
      <c r="J291" s="22">
        <v>44836</v>
      </c>
      <c r="K291" s="26">
        <f t="shared" ca="1" si="32"/>
        <v>0.34378837496629167</v>
      </c>
      <c r="L291" s="29">
        <f t="shared" ca="1" si="28"/>
        <v>146</v>
      </c>
      <c r="N291" s="22">
        <v>44836</v>
      </c>
      <c r="O291" s="26">
        <f t="shared" ca="1" si="33"/>
        <v>0.77893101034969836</v>
      </c>
      <c r="P291" s="29">
        <f t="shared" ca="1" si="29"/>
        <v>242</v>
      </c>
      <c r="R291" s="22">
        <v>44836</v>
      </c>
      <c r="S291" s="26">
        <f t="shared" ca="1" si="34"/>
        <v>0.82610757237468135</v>
      </c>
      <c r="T291" s="29">
        <f t="shared" ca="1" si="30"/>
        <v>148</v>
      </c>
      <c r="V291" s="22">
        <v>44836</v>
      </c>
      <c r="W291" s="26">
        <f t="shared" ca="1" si="35"/>
        <v>4.6772558878042991E-2</v>
      </c>
      <c r="X291" s="29">
        <v>0</v>
      </c>
      <c r="Z291" s="22">
        <v>44836</v>
      </c>
      <c r="AA291" s="26">
        <f t="shared" ca="1" si="36"/>
        <v>0.59343830581855406</v>
      </c>
      <c r="AB291" s="29">
        <v>0</v>
      </c>
      <c r="AC291"/>
      <c r="AD291" s="25"/>
      <c r="AF291" s="22">
        <v>44836</v>
      </c>
      <c r="AG291" s="26">
        <f t="shared" ca="1" si="37"/>
        <v>0.67014861913706225</v>
      </c>
      <c r="AH291" s="29">
        <v>0</v>
      </c>
      <c r="AJ291" s="22">
        <v>44836</v>
      </c>
      <c r="AK291" s="26">
        <f t="shared" ca="1" si="38"/>
        <v>0.80957852947386</v>
      </c>
      <c r="AL291" s="29">
        <v>0</v>
      </c>
      <c r="AN291" s="22">
        <v>44836</v>
      </c>
      <c r="AO291" s="26">
        <f t="shared" ca="1" si="39"/>
        <v>0.34540243538844639</v>
      </c>
      <c r="AP291" s="29">
        <v>0</v>
      </c>
      <c r="AR291" s="22">
        <v>44836</v>
      </c>
      <c r="AS291" s="26">
        <f t="shared" ca="1" si="40"/>
        <v>0.86786606486030005</v>
      </c>
      <c r="AT291" s="29">
        <v>0</v>
      </c>
      <c r="AV291" s="22">
        <v>44836</v>
      </c>
      <c r="AW291" s="26">
        <f t="shared" ca="1" si="41"/>
        <v>0.11987110952416036</v>
      </c>
      <c r="AX291" s="29">
        <v>0</v>
      </c>
      <c r="AZ291" s="22">
        <v>44836</v>
      </c>
      <c r="BA291" s="26">
        <f t="shared" ca="1" si="42"/>
        <v>0.67909893001886235</v>
      </c>
      <c r="BB291" s="29">
        <v>0</v>
      </c>
      <c r="BC291"/>
      <c r="BD291" s="25"/>
      <c r="BF291" s="22">
        <v>44836</v>
      </c>
      <c r="BG291" s="26">
        <f t="shared" ca="1" si="43"/>
        <v>4.6865260480473347E-2</v>
      </c>
      <c r="BH291" s="29">
        <v>0</v>
      </c>
      <c r="BJ291" s="22">
        <v>44836</v>
      </c>
      <c r="BK291" s="26">
        <f t="shared" ca="1" si="44"/>
        <v>0.64579368103853307</v>
      </c>
      <c r="BL291" s="29">
        <v>0</v>
      </c>
      <c r="BN291" s="22">
        <v>44836</v>
      </c>
      <c r="BO291" s="26">
        <f t="shared" ca="1" si="45"/>
        <v>0.52788541950174728</v>
      </c>
      <c r="BP291" s="29">
        <v>0</v>
      </c>
      <c r="BR291" s="22">
        <v>44836</v>
      </c>
      <c r="BS291" s="26">
        <f t="shared" ca="1" si="46"/>
        <v>0.65723546992301285</v>
      </c>
      <c r="BT291" s="29">
        <v>0</v>
      </c>
      <c r="BV291" s="22">
        <v>44836</v>
      </c>
      <c r="BW291" s="26">
        <f t="shared" ca="1" si="47"/>
        <v>0.34153598521150386</v>
      </c>
      <c r="BX291" s="29">
        <v>0</v>
      </c>
    </row>
    <row r="292" spans="2:77" ht="12.75" x14ac:dyDescent="0.2">
      <c r="B292" s="22">
        <v>44837</v>
      </c>
      <c r="C292" s="26">
        <f t="shared" ca="1" si="0"/>
        <v>0.3216053800817309</v>
      </c>
      <c r="D292" s="29">
        <f t="shared" ca="1" si="48"/>
        <v>66</v>
      </c>
      <c r="F292" s="22">
        <v>44837</v>
      </c>
      <c r="G292" s="26">
        <f t="shared" ca="1" si="31"/>
        <v>0.26630692185537697</v>
      </c>
      <c r="H292" s="29">
        <f t="shared" ca="1" si="27"/>
        <v>207</v>
      </c>
      <c r="J292" s="22">
        <v>44837</v>
      </c>
      <c r="K292" s="26">
        <f t="shared" ca="1" si="32"/>
        <v>0.89838599051805867</v>
      </c>
      <c r="L292" s="29">
        <f t="shared" ca="1" si="28"/>
        <v>163</v>
      </c>
      <c r="N292" s="22">
        <v>44837</v>
      </c>
      <c r="O292" s="26">
        <f t="shared" ca="1" si="33"/>
        <v>0.36418149899653107</v>
      </c>
      <c r="P292" s="29">
        <f t="shared" ca="1" si="29"/>
        <v>225</v>
      </c>
      <c r="R292" s="22">
        <v>44837</v>
      </c>
      <c r="S292" s="26">
        <f t="shared" ca="1" si="34"/>
        <v>0.31174620856000645</v>
      </c>
      <c r="T292" s="29">
        <f t="shared" ca="1" si="30"/>
        <v>135</v>
      </c>
      <c r="V292" s="22">
        <v>44837</v>
      </c>
      <c r="W292" s="26">
        <f t="shared" ca="1" si="35"/>
        <v>0.95835328733090175</v>
      </c>
      <c r="X292" s="29">
        <v>0</v>
      </c>
      <c r="Z292" s="22">
        <v>44837</v>
      </c>
      <c r="AA292" s="26">
        <f t="shared" ca="1" si="36"/>
        <v>0.7834432408223877</v>
      </c>
      <c r="AB292" s="29">
        <v>0</v>
      </c>
      <c r="AC292"/>
      <c r="AD292" s="25"/>
      <c r="AF292" s="22">
        <v>44837</v>
      </c>
      <c r="AG292" s="26">
        <f t="shared" ca="1" si="37"/>
        <v>0.44892506892534989</v>
      </c>
      <c r="AH292" s="29">
        <v>0</v>
      </c>
      <c r="AJ292" s="22">
        <v>44837</v>
      </c>
      <c r="AK292" s="26">
        <f t="shared" ca="1" si="38"/>
        <v>0.20915122497423433</v>
      </c>
      <c r="AL292" s="29">
        <v>0</v>
      </c>
      <c r="AN292" s="22">
        <v>44837</v>
      </c>
      <c r="AO292" s="26">
        <f t="shared" ca="1" si="39"/>
        <v>0.39980453805805327</v>
      </c>
      <c r="AP292" s="29">
        <v>0</v>
      </c>
      <c r="AR292" s="22">
        <v>44837</v>
      </c>
      <c r="AS292" s="26">
        <f t="shared" ca="1" si="40"/>
        <v>0.41166842281092586</v>
      </c>
      <c r="AT292" s="29">
        <v>0</v>
      </c>
      <c r="AV292" s="22">
        <v>44837</v>
      </c>
      <c r="AW292" s="26">
        <f t="shared" ca="1" si="41"/>
        <v>0.46818947494758201</v>
      </c>
      <c r="AX292" s="29">
        <v>0</v>
      </c>
      <c r="AZ292" s="22">
        <v>44837</v>
      </c>
      <c r="BA292" s="26">
        <f t="shared" ca="1" si="42"/>
        <v>9.5408488825242665E-3</v>
      </c>
      <c r="BB292" s="29">
        <v>0</v>
      </c>
      <c r="BC292"/>
      <c r="BD292" s="25"/>
      <c r="BF292" s="22">
        <v>44837</v>
      </c>
      <c r="BG292" s="26">
        <f t="shared" ca="1" si="43"/>
        <v>0.50174782452099209</v>
      </c>
      <c r="BH292" s="29">
        <v>0</v>
      </c>
      <c r="BJ292" s="22">
        <v>44837</v>
      </c>
      <c r="BK292" s="26">
        <f t="shared" ca="1" si="44"/>
        <v>0.1433883563720888</v>
      </c>
      <c r="BL292" s="29">
        <v>0</v>
      </c>
      <c r="BN292" s="22">
        <v>44837</v>
      </c>
      <c r="BO292" s="26">
        <f t="shared" ca="1" si="45"/>
        <v>0.26227108477940797</v>
      </c>
      <c r="BP292" s="29">
        <v>0</v>
      </c>
      <c r="BR292" s="22">
        <v>44837</v>
      </c>
      <c r="BS292" s="26">
        <f t="shared" ca="1" si="46"/>
        <v>0.64582977250037055</v>
      </c>
      <c r="BT292" s="29">
        <v>0</v>
      </c>
      <c r="BV292" s="22">
        <v>44837</v>
      </c>
      <c r="BW292" s="26">
        <f t="shared" ca="1" si="47"/>
        <v>0.29599521433519649</v>
      </c>
      <c r="BX292" s="29">
        <v>0</v>
      </c>
    </row>
    <row r="293" spans="2:77" ht="12.75" x14ac:dyDescent="0.2">
      <c r="B293" s="22">
        <v>44838</v>
      </c>
      <c r="C293" s="26">
        <f t="shared" ca="1" si="0"/>
        <v>0.53220469639418699</v>
      </c>
      <c r="D293" s="29">
        <f t="shared" ca="1" si="48"/>
        <v>77</v>
      </c>
      <c r="F293" s="22">
        <v>44838</v>
      </c>
      <c r="G293" s="26">
        <f t="shared" ca="1" si="31"/>
        <v>0.90212653866467629</v>
      </c>
      <c r="H293" s="29">
        <f t="shared" ca="1" si="27"/>
        <v>234</v>
      </c>
      <c r="J293" s="22">
        <v>44838</v>
      </c>
      <c r="K293" s="26">
        <f t="shared" ca="1" si="32"/>
        <v>8.2500478311013703E-2</v>
      </c>
      <c r="L293" s="29">
        <f t="shared" ca="1" si="28"/>
        <v>137</v>
      </c>
      <c r="N293" s="22">
        <v>44838</v>
      </c>
      <c r="O293" s="26">
        <f t="shared" ca="1" si="33"/>
        <v>0.57558844225329509</v>
      </c>
      <c r="P293" s="29">
        <f t="shared" ca="1" si="29"/>
        <v>233</v>
      </c>
      <c r="R293" s="22">
        <v>44838</v>
      </c>
      <c r="S293" s="26">
        <f t="shared" ca="1" si="34"/>
        <v>0.1391657235865571</v>
      </c>
      <c r="T293" s="29">
        <f t="shared" ca="1" si="30"/>
        <v>129</v>
      </c>
      <c r="V293" s="22">
        <v>44838</v>
      </c>
      <c r="W293" s="26">
        <f t="shared" ca="1" si="35"/>
        <v>0.95676307886281631</v>
      </c>
      <c r="X293" s="29">
        <v>0</v>
      </c>
      <c r="Z293" s="22">
        <v>44838</v>
      </c>
      <c r="AA293" s="26">
        <f t="shared" ca="1" si="36"/>
        <v>0.73344916003776461</v>
      </c>
      <c r="AB293" s="29">
        <v>0</v>
      </c>
      <c r="AC293"/>
      <c r="AD293" s="25"/>
      <c r="AF293" s="22">
        <v>44838</v>
      </c>
      <c r="AG293" s="26">
        <f t="shared" ca="1" si="37"/>
        <v>0.56193925097804043</v>
      </c>
      <c r="AH293" s="29">
        <v>0</v>
      </c>
      <c r="AJ293" s="22">
        <v>44838</v>
      </c>
      <c r="AK293" s="26">
        <f t="shared" ca="1" si="38"/>
        <v>0.67623014547669902</v>
      </c>
      <c r="AL293" s="29">
        <v>0</v>
      </c>
      <c r="AN293" s="22">
        <v>44838</v>
      </c>
      <c r="AO293" s="26">
        <f t="shared" ca="1" si="39"/>
        <v>0.97578903032964215</v>
      </c>
      <c r="AP293" s="29">
        <v>0</v>
      </c>
      <c r="AR293" s="22">
        <v>44838</v>
      </c>
      <c r="AS293" s="26">
        <f t="shared" ca="1" si="40"/>
        <v>0.8579702660154801</v>
      </c>
      <c r="AT293" s="29">
        <v>0</v>
      </c>
      <c r="AV293" s="22">
        <v>44838</v>
      </c>
      <c r="AW293" s="26">
        <f t="shared" ca="1" si="41"/>
        <v>0.64146917494528621</v>
      </c>
      <c r="AX293" s="29">
        <v>0</v>
      </c>
      <c r="AZ293" s="22">
        <v>44838</v>
      </c>
      <c r="BA293" s="26">
        <f t="shared" ca="1" si="42"/>
        <v>0.36239279401120794</v>
      </c>
      <c r="BB293" s="29">
        <v>0</v>
      </c>
      <c r="BC293"/>
      <c r="BD293" s="25"/>
      <c r="BF293" s="22">
        <v>44838</v>
      </c>
      <c r="BG293" s="26">
        <f t="shared" ca="1" si="43"/>
        <v>0.5639053575248445</v>
      </c>
      <c r="BH293" s="29">
        <v>0</v>
      </c>
      <c r="BJ293" s="22">
        <v>44838</v>
      </c>
      <c r="BK293" s="26">
        <f t="shared" ca="1" si="44"/>
        <v>0.70547729385996172</v>
      </c>
      <c r="BL293" s="29">
        <v>0</v>
      </c>
      <c r="BN293" s="22">
        <v>44838</v>
      </c>
      <c r="BO293" s="26">
        <f t="shared" ca="1" si="45"/>
        <v>0.87051593169645392</v>
      </c>
      <c r="BP293" s="29">
        <v>0</v>
      </c>
      <c r="BR293" s="22">
        <v>44838</v>
      </c>
      <c r="BS293" s="26">
        <f t="shared" ca="1" si="46"/>
        <v>0.9550023769028726</v>
      </c>
      <c r="BT293" s="29">
        <v>0</v>
      </c>
      <c r="BV293" s="22">
        <v>44838</v>
      </c>
      <c r="BW293" s="26">
        <f t="shared" ca="1" si="47"/>
        <v>0.15326423010182233</v>
      </c>
      <c r="BX293" s="29">
        <v>0</v>
      </c>
    </row>
    <row r="294" spans="2:77" ht="12.75" x14ac:dyDescent="0.2">
      <c r="B294" s="22">
        <v>44839</v>
      </c>
      <c r="C294" s="26">
        <f t="shared" ca="1" si="0"/>
        <v>0.80011191842038287</v>
      </c>
      <c r="D294" s="29">
        <f t="shared" ca="1" si="48"/>
        <v>92</v>
      </c>
      <c r="F294" s="22">
        <v>44839</v>
      </c>
      <c r="G294" s="26">
        <f t="shared" ca="1" si="31"/>
        <v>0.23235546887905434</v>
      </c>
      <c r="H294" s="29">
        <f t="shared" ca="1" si="27"/>
        <v>205</v>
      </c>
      <c r="J294" s="22">
        <v>44839</v>
      </c>
      <c r="K294" s="26">
        <f t="shared" ca="1" si="32"/>
        <v>0.62221276868025654</v>
      </c>
      <c r="L294" s="29">
        <f t="shared" ca="1" si="28"/>
        <v>154</v>
      </c>
      <c r="N294" s="22">
        <v>44839</v>
      </c>
      <c r="O294" s="26">
        <f t="shared" ca="1" si="33"/>
        <v>0.12463096129704176</v>
      </c>
      <c r="P294" s="29">
        <f t="shared" ca="1" si="29"/>
        <v>212</v>
      </c>
      <c r="R294" s="22">
        <v>44839</v>
      </c>
      <c r="S294" s="26">
        <f t="shared" ca="1" si="34"/>
        <v>0.38065405909758865</v>
      </c>
      <c r="T294" s="29">
        <f t="shared" ca="1" si="30"/>
        <v>136</v>
      </c>
      <c r="V294" s="22">
        <v>44839</v>
      </c>
      <c r="W294" s="26">
        <f t="shared" ca="1" si="35"/>
        <v>0.12149363419489745</v>
      </c>
      <c r="X294" s="29">
        <v>0</v>
      </c>
      <c r="Z294" s="22">
        <v>44839</v>
      </c>
      <c r="AA294" s="26">
        <f t="shared" ca="1" si="36"/>
        <v>0.34373819908494652</v>
      </c>
      <c r="AB294" s="29">
        <v>0</v>
      </c>
      <c r="AC294"/>
      <c r="AD294" s="25"/>
      <c r="AF294" s="22">
        <v>44839</v>
      </c>
      <c r="AG294" s="26">
        <f t="shared" ca="1" si="37"/>
        <v>0.63319123397520083</v>
      </c>
      <c r="AH294" s="29">
        <v>0</v>
      </c>
      <c r="AJ294" s="22">
        <v>44839</v>
      </c>
      <c r="AK294" s="26">
        <f t="shared" ca="1" si="38"/>
        <v>0.3900307134652331</v>
      </c>
      <c r="AL294" s="29">
        <v>0</v>
      </c>
      <c r="AN294" s="22">
        <v>44839</v>
      </c>
      <c r="AO294" s="26">
        <f t="shared" ca="1" si="39"/>
        <v>5.9707749021183254E-2</v>
      </c>
      <c r="AP294" s="29">
        <v>0</v>
      </c>
      <c r="AR294" s="22">
        <v>44839</v>
      </c>
      <c r="AS294" s="26">
        <f t="shared" ca="1" si="40"/>
        <v>0.54564852937005737</v>
      </c>
      <c r="AT294" s="29">
        <v>0</v>
      </c>
      <c r="AV294" s="22">
        <v>44839</v>
      </c>
      <c r="AW294" s="26">
        <f t="shared" ca="1" si="41"/>
        <v>0.92950965216930326</v>
      </c>
      <c r="AX294" s="29">
        <v>0</v>
      </c>
      <c r="AZ294" s="22">
        <v>44839</v>
      </c>
      <c r="BA294" s="26">
        <f t="shared" ca="1" si="42"/>
        <v>0.22680690607715204</v>
      </c>
      <c r="BB294" s="29">
        <v>0</v>
      </c>
      <c r="BC294"/>
      <c r="BD294" s="25"/>
      <c r="BF294" s="22">
        <v>44839</v>
      </c>
      <c r="BG294" s="26">
        <f t="shared" ca="1" si="43"/>
        <v>0.77126301348696236</v>
      </c>
      <c r="BH294" s="29">
        <v>0</v>
      </c>
      <c r="BJ294" s="22">
        <v>44839</v>
      </c>
      <c r="BK294" s="26">
        <f t="shared" ca="1" si="44"/>
        <v>0.84408522932877728</v>
      </c>
      <c r="BL294" s="29">
        <v>0</v>
      </c>
      <c r="BN294" s="22">
        <v>44839</v>
      </c>
      <c r="BO294" s="26">
        <f t="shared" ca="1" si="45"/>
        <v>0.99546035635058383</v>
      </c>
      <c r="BP294" s="29">
        <v>0</v>
      </c>
      <c r="BR294" s="22">
        <v>44839</v>
      </c>
      <c r="BS294" s="26">
        <f t="shared" ca="1" si="46"/>
        <v>0.44073730560711355</v>
      </c>
      <c r="BT294" s="29">
        <v>0</v>
      </c>
      <c r="BV294" s="22">
        <v>44839</v>
      </c>
      <c r="BW294" s="26">
        <f t="shared" ca="1" si="47"/>
        <v>0.24450658696047334</v>
      </c>
      <c r="BX294" s="29">
        <v>0</v>
      </c>
    </row>
    <row r="295" spans="2:77" ht="12.75" x14ac:dyDescent="0.2">
      <c r="B295" s="22">
        <v>44840</v>
      </c>
      <c r="C295" s="26">
        <f t="shared" ca="1" si="0"/>
        <v>0.96440753924716327</v>
      </c>
      <c r="D295" s="29">
        <f t="shared" ca="1" si="48"/>
        <v>112</v>
      </c>
      <c r="F295" s="22">
        <v>44840</v>
      </c>
      <c r="G295" s="26">
        <f t="shared" ca="1" si="31"/>
        <v>0.30474536845718225</v>
      </c>
      <c r="H295" s="29">
        <f t="shared" ca="1" si="27"/>
        <v>209</v>
      </c>
      <c r="J295" s="22">
        <v>44840</v>
      </c>
      <c r="K295" s="26">
        <f t="shared" ca="1" si="32"/>
        <v>0.47750972983008932</v>
      </c>
      <c r="L295" s="29">
        <f t="shared" ca="1" si="28"/>
        <v>150</v>
      </c>
      <c r="N295" s="22">
        <v>44840</v>
      </c>
      <c r="O295" s="26">
        <f t="shared" ca="1" si="33"/>
        <v>0.51247845647762591</v>
      </c>
      <c r="P295" s="29">
        <f t="shared" ca="1" si="29"/>
        <v>230</v>
      </c>
      <c r="R295" s="22">
        <v>44840</v>
      </c>
      <c r="S295" s="26">
        <f t="shared" ca="1" si="34"/>
        <v>2.9904658831019115E-2</v>
      </c>
      <c r="T295" s="29">
        <f t="shared" ca="1" si="30"/>
        <v>122</v>
      </c>
      <c r="V295" s="22">
        <v>44840</v>
      </c>
      <c r="W295" s="26">
        <f t="shared" ca="1" si="35"/>
        <v>0.77842654806020384</v>
      </c>
      <c r="X295" s="29">
        <v>0</v>
      </c>
      <c r="Z295" s="22">
        <v>44840</v>
      </c>
      <c r="AA295" s="26">
        <f t="shared" ca="1" si="36"/>
        <v>0.38746687689563375</v>
      </c>
      <c r="AB295" s="29">
        <v>0</v>
      </c>
      <c r="AC295"/>
      <c r="AD295" s="25"/>
      <c r="AF295" s="22">
        <v>44840</v>
      </c>
      <c r="AG295" s="26">
        <f t="shared" ca="1" si="37"/>
        <v>0.95556551579385429</v>
      </c>
      <c r="AH295" s="29">
        <v>0</v>
      </c>
      <c r="AJ295" s="22">
        <v>44840</v>
      </c>
      <c r="AK295" s="26">
        <f t="shared" ca="1" si="38"/>
        <v>0.16395004761683385</v>
      </c>
      <c r="AL295" s="29">
        <v>0</v>
      </c>
      <c r="AN295" s="22">
        <v>44840</v>
      </c>
      <c r="AO295" s="26">
        <f t="shared" ca="1" si="39"/>
        <v>0.96246618869218326</v>
      </c>
      <c r="AP295" s="29">
        <v>0</v>
      </c>
      <c r="AR295" s="22">
        <v>44840</v>
      </c>
      <c r="AS295" s="26">
        <f t="shared" ca="1" si="40"/>
        <v>0.62906613306850945</v>
      </c>
      <c r="AT295" s="29">
        <v>0</v>
      </c>
      <c r="AV295" s="22">
        <v>44840</v>
      </c>
      <c r="AW295" s="26">
        <f t="shared" ca="1" si="41"/>
        <v>0.39126905412766944</v>
      </c>
      <c r="AX295" s="29">
        <v>0</v>
      </c>
      <c r="AZ295" s="22">
        <v>44840</v>
      </c>
      <c r="BA295" s="26">
        <f t="shared" ca="1" si="42"/>
        <v>0.23795605514481344</v>
      </c>
      <c r="BB295" s="29">
        <v>0</v>
      </c>
      <c r="BC295"/>
      <c r="BD295" s="25"/>
      <c r="BF295" s="22">
        <v>44840</v>
      </c>
      <c r="BG295" s="26">
        <f t="shared" ca="1" si="43"/>
        <v>0.69454996498303101</v>
      </c>
      <c r="BH295" s="29">
        <v>0</v>
      </c>
      <c r="BJ295" s="22">
        <v>44840</v>
      </c>
      <c r="BK295" s="26">
        <f t="shared" ca="1" si="44"/>
        <v>0.47730339594176274</v>
      </c>
      <c r="BL295" s="29">
        <v>0</v>
      </c>
      <c r="BN295" s="22">
        <v>44840</v>
      </c>
      <c r="BO295" s="26">
        <f t="shared" ca="1" si="45"/>
        <v>0.59306805259386142</v>
      </c>
      <c r="BP295" s="29">
        <v>0</v>
      </c>
      <c r="BR295" s="22">
        <v>44840</v>
      </c>
      <c r="BS295" s="26">
        <f t="shared" ca="1" si="46"/>
        <v>0.6433092916932619</v>
      </c>
      <c r="BT295" s="29">
        <v>0</v>
      </c>
      <c r="BV295" s="22">
        <v>44840</v>
      </c>
      <c r="BW295" s="26">
        <f t="shared" ca="1" si="47"/>
        <v>0.86272179206905919</v>
      </c>
      <c r="BX295" s="29">
        <v>0</v>
      </c>
    </row>
    <row r="296" spans="2:77" ht="12.75" x14ac:dyDescent="0.2">
      <c r="B296" s="22">
        <v>44841</v>
      </c>
      <c r="C296" s="26">
        <f t="shared" ca="1" si="0"/>
        <v>0.26282833336600675</v>
      </c>
      <c r="D296" s="29">
        <f t="shared" ca="1" si="48"/>
        <v>63</v>
      </c>
      <c r="F296" s="22">
        <v>44841</v>
      </c>
      <c r="G296" s="26">
        <f t="shared" ca="1" si="31"/>
        <v>0.38367900214702289</v>
      </c>
      <c r="H296" s="29">
        <f t="shared" ca="1" si="27"/>
        <v>212</v>
      </c>
      <c r="J296" s="22">
        <v>44841</v>
      </c>
      <c r="K296" s="26">
        <f t="shared" ca="1" si="32"/>
        <v>0.29393923585198389</v>
      </c>
      <c r="L296" s="29">
        <f t="shared" ca="1" si="28"/>
        <v>145</v>
      </c>
      <c r="N296" s="22">
        <v>44841</v>
      </c>
      <c r="O296" s="26">
        <f t="shared" ca="1" si="33"/>
        <v>0.10077928812297954</v>
      </c>
      <c r="P296" s="29">
        <f t="shared" ca="1" si="29"/>
        <v>210</v>
      </c>
      <c r="R296" s="22">
        <v>44841</v>
      </c>
      <c r="S296" s="26">
        <f t="shared" ca="1" si="34"/>
        <v>0.55090474575902448</v>
      </c>
      <c r="T296" s="29">
        <f t="shared" ca="1" si="30"/>
        <v>140</v>
      </c>
      <c r="V296" s="22">
        <v>44841</v>
      </c>
      <c r="W296" s="26">
        <f t="shared" ca="1" si="35"/>
        <v>0.52689560345145892</v>
      </c>
      <c r="X296" s="29">
        <v>0</v>
      </c>
      <c r="Z296" s="22">
        <v>44841</v>
      </c>
      <c r="AA296" s="26">
        <f t="shared" ca="1" si="36"/>
        <v>0.66197468206069343</v>
      </c>
      <c r="AB296" s="29">
        <v>0</v>
      </c>
      <c r="AC296"/>
      <c r="AD296" s="25"/>
      <c r="AF296" s="22">
        <v>44841</v>
      </c>
      <c r="AG296" s="26">
        <f t="shared" ca="1" si="37"/>
        <v>0.97103336705498389</v>
      </c>
      <c r="AH296" s="29">
        <v>0</v>
      </c>
      <c r="AJ296" s="22">
        <v>44841</v>
      </c>
      <c r="AK296" s="26">
        <f t="shared" ca="1" si="38"/>
        <v>0.41610693564536738</v>
      </c>
      <c r="AL296" s="29">
        <v>0</v>
      </c>
      <c r="AN296" s="22">
        <v>44841</v>
      </c>
      <c r="AO296" s="26">
        <f t="shared" ca="1" si="39"/>
        <v>0.50863674587471852</v>
      </c>
      <c r="AP296" s="29">
        <v>0</v>
      </c>
      <c r="AR296" s="22">
        <v>44841</v>
      </c>
      <c r="AS296" s="26">
        <f t="shared" ca="1" si="40"/>
        <v>0.20985869441118477</v>
      </c>
      <c r="AT296" s="29">
        <v>0</v>
      </c>
      <c r="AV296" s="22">
        <v>44841</v>
      </c>
      <c r="AW296" s="26">
        <f t="shared" ca="1" si="41"/>
        <v>0.62757498623919772</v>
      </c>
      <c r="AX296" s="29">
        <v>0</v>
      </c>
      <c r="AZ296" s="22">
        <v>44841</v>
      </c>
      <c r="BA296" s="26">
        <f t="shared" ca="1" si="42"/>
        <v>0.5947328213547437</v>
      </c>
      <c r="BB296" s="29">
        <v>0</v>
      </c>
      <c r="BC296"/>
      <c r="BD296" s="25"/>
      <c r="BF296" s="22">
        <v>44841</v>
      </c>
      <c r="BG296" s="26">
        <f t="shared" ca="1" si="43"/>
        <v>0.22555980068227433</v>
      </c>
      <c r="BH296" s="29">
        <v>0</v>
      </c>
      <c r="BJ296" s="22">
        <v>44841</v>
      </c>
      <c r="BK296" s="26">
        <f t="shared" ca="1" si="44"/>
        <v>0.88366633199475231</v>
      </c>
      <c r="BL296" s="29">
        <v>0</v>
      </c>
      <c r="BN296" s="22">
        <v>44841</v>
      </c>
      <c r="BO296" s="26">
        <f t="shared" ca="1" si="45"/>
        <v>2.5801078173613656E-2</v>
      </c>
      <c r="BP296" s="29">
        <v>0</v>
      </c>
      <c r="BR296" s="22">
        <v>44841</v>
      </c>
      <c r="BS296" s="26">
        <f t="shared" ca="1" si="46"/>
        <v>0.94211273759576131</v>
      </c>
      <c r="BT296" s="29">
        <v>0</v>
      </c>
      <c r="BV296" s="22">
        <v>44841</v>
      </c>
      <c r="BW296" s="26">
        <f t="shared" ca="1" si="47"/>
        <v>0.29703130500070574</v>
      </c>
      <c r="BX296" s="29">
        <v>0</v>
      </c>
    </row>
    <row r="297" spans="2:77" ht="12.75" x14ac:dyDescent="0.2">
      <c r="B297" s="22">
        <v>44842</v>
      </c>
      <c r="C297" s="26">
        <f t="shared" ca="1" si="0"/>
        <v>0.6918188765132931</v>
      </c>
      <c r="D297" s="29">
        <f t="shared" ca="1" si="48"/>
        <v>86</v>
      </c>
      <c r="F297" s="22">
        <v>44842</v>
      </c>
      <c r="G297" s="26">
        <f t="shared" ca="1" si="31"/>
        <v>5.1884972020546982E-2</v>
      </c>
      <c r="H297" s="29">
        <f t="shared" ca="1" si="27"/>
        <v>193</v>
      </c>
      <c r="J297" s="22">
        <v>44842</v>
      </c>
      <c r="K297" s="26">
        <f t="shared" ca="1" si="32"/>
        <v>0.36700182985768826</v>
      </c>
      <c r="L297" s="29">
        <f t="shared" ca="1" si="28"/>
        <v>147</v>
      </c>
      <c r="N297" s="22">
        <v>44842</v>
      </c>
      <c r="O297" s="26">
        <f t="shared" ca="1" si="33"/>
        <v>0.61222637262719382</v>
      </c>
      <c r="P297" s="29">
        <f t="shared" ca="1" si="29"/>
        <v>234</v>
      </c>
      <c r="R297" s="22">
        <v>44842</v>
      </c>
      <c r="S297" s="26">
        <f t="shared" ca="1" si="34"/>
        <v>0.87239562084352662</v>
      </c>
      <c r="T297" s="29">
        <f t="shared" ca="1" si="30"/>
        <v>150</v>
      </c>
      <c r="V297" s="22">
        <v>44842</v>
      </c>
      <c r="W297" s="26">
        <f t="shared" ca="1" si="35"/>
        <v>0.97952691416896687</v>
      </c>
      <c r="X297" s="29">
        <v>0</v>
      </c>
      <c r="Z297" s="22">
        <v>44842</v>
      </c>
      <c r="AA297" s="26">
        <f t="shared" ca="1" si="36"/>
        <v>0.94320215080025449</v>
      </c>
      <c r="AB297" s="29">
        <v>0</v>
      </c>
      <c r="AC297"/>
      <c r="AD297" s="25"/>
      <c r="AF297" s="22">
        <v>44842</v>
      </c>
      <c r="AG297" s="26">
        <f t="shared" ca="1" si="37"/>
        <v>0.39618615516611655</v>
      </c>
      <c r="AH297" s="29">
        <v>0</v>
      </c>
      <c r="AJ297" s="22">
        <v>44842</v>
      </c>
      <c r="AK297" s="26">
        <f t="shared" ca="1" si="38"/>
        <v>0.11670423619517212</v>
      </c>
      <c r="AL297" s="29">
        <v>0</v>
      </c>
      <c r="AN297" s="22">
        <v>44842</v>
      </c>
      <c r="AO297" s="26">
        <f t="shared" ca="1" si="39"/>
        <v>0.49398683992233006</v>
      </c>
      <c r="AP297" s="29">
        <v>0</v>
      </c>
      <c r="AR297" s="22">
        <v>44842</v>
      </c>
      <c r="AS297" s="26">
        <f t="shared" ca="1" si="40"/>
        <v>0.49832354103500298</v>
      </c>
      <c r="AT297" s="29">
        <v>0</v>
      </c>
      <c r="AV297" s="22">
        <v>44842</v>
      </c>
      <c r="AW297" s="26">
        <f t="shared" ca="1" si="41"/>
        <v>6.7697765436673163E-2</v>
      </c>
      <c r="AX297" s="29">
        <v>0</v>
      </c>
      <c r="AZ297" s="22">
        <v>44842</v>
      </c>
      <c r="BA297" s="26">
        <f t="shared" ca="1" si="42"/>
        <v>0.33142469668467889</v>
      </c>
      <c r="BB297" s="29">
        <v>0</v>
      </c>
      <c r="BC297"/>
      <c r="BD297" s="25"/>
      <c r="BF297" s="22">
        <v>44842</v>
      </c>
      <c r="BG297" s="26">
        <f t="shared" ca="1" si="43"/>
        <v>0.69108381489892001</v>
      </c>
      <c r="BH297" s="29">
        <v>0</v>
      </c>
      <c r="BJ297" s="22">
        <v>44842</v>
      </c>
      <c r="BK297" s="26">
        <f t="shared" ca="1" si="44"/>
        <v>0.53745763759423393</v>
      </c>
      <c r="BL297" s="29">
        <v>0</v>
      </c>
      <c r="BN297" s="22">
        <v>44842</v>
      </c>
      <c r="BO297" s="26">
        <f t="shared" ca="1" si="45"/>
        <v>0.87128528549267081</v>
      </c>
      <c r="BP297" s="29">
        <v>0</v>
      </c>
      <c r="BR297" s="22">
        <v>44842</v>
      </c>
      <c r="BS297" s="26">
        <f t="shared" ca="1" si="46"/>
        <v>0.43752207380213792</v>
      </c>
      <c r="BT297" s="29">
        <v>0</v>
      </c>
      <c r="BV297" s="22">
        <v>44842</v>
      </c>
      <c r="BW297" s="26">
        <f t="shared" ca="1" si="47"/>
        <v>0.99026075098295607</v>
      </c>
      <c r="BX297" s="29">
        <v>0</v>
      </c>
    </row>
    <row r="298" spans="2:77" ht="12.75" x14ac:dyDescent="0.2">
      <c r="B298" s="22">
        <v>44843</v>
      </c>
      <c r="C298" s="26">
        <f t="shared" ca="1" si="0"/>
        <v>0.36541266009411522</v>
      </c>
      <c r="D298" s="29">
        <f t="shared" ca="1" si="48"/>
        <v>69</v>
      </c>
      <c r="F298" s="22">
        <v>44843</v>
      </c>
      <c r="G298" s="26">
        <f t="shared" ca="1" si="31"/>
        <v>0.73458648295437201</v>
      </c>
      <c r="H298" s="29">
        <f t="shared" ca="1" si="27"/>
        <v>225</v>
      </c>
      <c r="J298" s="22">
        <v>44843</v>
      </c>
      <c r="K298" s="26">
        <f t="shared" ca="1" si="32"/>
        <v>0.66313126618516904</v>
      </c>
      <c r="L298" s="29">
        <f t="shared" ca="1" si="28"/>
        <v>155</v>
      </c>
      <c r="N298" s="22">
        <v>44843</v>
      </c>
      <c r="O298" s="26">
        <f t="shared" ca="1" si="33"/>
        <v>0.59624880259011348</v>
      </c>
      <c r="P298" s="29">
        <f t="shared" ca="1" si="29"/>
        <v>234</v>
      </c>
      <c r="R298" s="22">
        <v>44843</v>
      </c>
      <c r="S298" s="26">
        <f t="shared" ca="1" si="34"/>
        <v>1.9769582211249581E-2</v>
      </c>
      <c r="T298" s="29">
        <f t="shared" ca="1" si="30"/>
        <v>120</v>
      </c>
      <c r="V298" s="22">
        <v>44843</v>
      </c>
      <c r="W298" s="26">
        <f t="shared" ca="1" si="35"/>
        <v>0.60043989305633938</v>
      </c>
      <c r="X298" s="29">
        <v>0</v>
      </c>
      <c r="Z298" s="22">
        <v>44843</v>
      </c>
      <c r="AA298" s="26">
        <f t="shared" ca="1" si="36"/>
        <v>0.50204658573142513</v>
      </c>
      <c r="AB298" s="29">
        <v>0</v>
      </c>
      <c r="AC298"/>
      <c r="AD298" s="25"/>
      <c r="AF298" s="22">
        <v>44843</v>
      </c>
      <c r="AG298" s="26">
        <f t="shared" ca="1" si="37"/>
        <v>0.45540978571431368</v>
      </c>
      <c r="AH298" s="29">
        <v>0</v>
      </c>
      <c r="AJ298" s="22">
        <v>44843</v>
      </c>
      <c r="AK298" s="26">
        <f t="shared" ca="1" si="38"/>
        <v>0.98421658065254658</v>
      </c>
      <c r="AL298" s="29">
        <v>0</v>
      </c>
      <c r="AN298" s="22">
        <v>44843</v>
      </c>
      <c r="AO298" s="26">
        <f t="shared" ca="1" si="39"/>
        <v>0.1118685473697828</v>
      </c>
      <c r="AP298" s="29">
        <v>0</v>
      </c>
      <c r="AR298" s="22">
        <v>44843</v>
      </c>
      <c r="AS298" s="26">
        <f t="shared" ca="1" si="40"/>
        <v>0.9155716076168533</v>
      </c>
      <c r="AT298" s="29">
        <v>0</v>
      </c>
      <c r="AV298" s="22">
        <v>44843</v>
      </c>
      <c r="AW298" s="26">
        <f t="shared" ca="1" si="41"/>
        <v>0.30610228687338203</v>
      </c>
      <c r="AX298" s="29">
        <v>0</v>
      </c>
      <c r="AZ298" s="22">
        <v>44843</v>
      </c>
      <c r="BA298" s="26">
        <f t="shared" ca="1" si="42"/>
        <v>0.2080241405242691</v>
      </c>
      <c r="BB298" s="29">
        <v>0</v>
      </c>
      <c r="BC298"/>
      <c r="BD298" s="25"/>
      <c r="BF298" s="22">
        <v>44843</v>
      </c>
      <c r="BG298" s="26">
        <f t="shared" ca="1" si="43"/>
        <v>0.17079500837401185</v>
      </c>
      <c r="BH298" s="29">
        <v>0</v>
      </c>
      <c r="BJ298" s="22">
        <v>44843</v>
      </c>
      <c r="BK298" s="26">
        <f t="shared" ca="1" si="44"/>
        <v>0.50380863893692307</v>
      </c>
      <c r="BL298" s="29">
        <v>0</v>
      </c>
      <c r="BN298" s="22">
        <v>44843</v>
      </c>
      <c r="BO298" s="26">
        <f t="shared" ca="1" si="45"/>
        <v>0.61345552061974096</v>
      </c>
      <c r="BP298" s="29">
        <v>0</v>
      </c>
      <c r="BR298" s="22">
        <v>44843</v>
      </c>
      <c r="BS298" s="26">
        <f t="shared" ca="1" si="46"/>
        <v>0.18705795166343087</v>
      </c>
      <c r="BT298" s="29">
        <v>0</v>
      </c>
      <c r="BV298" s="22">
        <v>44843</v>
      </c>
      <c r="BW298" s="26">
        <f t="shared" ca="1" si="47"/>
        <v>0.70701517606223097</v>
      </c>
      <c r="BX298" s="29">
        <v>0</v>
      </c>
    </row>
    <row r="299" spans="2:77" ht="12.75" x14ac:dyDescent="0.2">
      <c r="B299" s="22">
        <v>44844</v>
      </c>
      <c r="C299" s="26">
        <f t="shared" ca="1" si="0"/>
        <v>5.5031320004946593E-2</v>
      </c>
      <c r="D299" s="29">
        <f t="shared" ca="1" si="48"/>
        <v>44</v>
      </c>
      <c r="F299" s="22">
        <v>44844</v>
      </c>
      <c r="G299" s="26">
        <f t="shared" ca="1" si="31"/>
        <v>0.83051489495902331</v>
      </c>
      <c r="H299" s="29">
        <f t="shared" ca="1" si="27"/>
        <v>230</v>
      </c>
      <c r="J299" s="22">
        <v>44844</v>
      </c>
      <c r="K299" s="26">
        <f t="shared" ca="1" si="32"/>
        <v>0.44519017300871966</v>
      </c>
      <c r="L299" s="29">
        <f t="shared" ca="1" si="28"/>
        <v>149</v>
      </c>
      <c r="N299" s="22">
        <v>44844</v>
      </c>
      <c r="O299" s="26">
        <f t="shared" ca="1" si="33"/>
        <v>0.16564078986722708</v>
      </c>
      <c r="P299" s="29">
        <f t="shared" ca="1" si="29"/>
        <v>215</v>
      </c>
      <c r="R299" s="22">
        <v>44844</v>
      </c>
      <c r="S299" s="26">
        <f t="shared" ca="1" si="34"/>
        <v>0.10111942690919584</v>
      </c>
      <c r="T299" s="29">
        <f t="shared" ca="1" si="30"/>
        <v>127</v>
      </c>
      <c r="V299" s="22">
        <v>44844</v>
      </c>
      <c r="W299" s="26">
        <f t="shared" ca="1" si="35"/>
        <v>0.12936010074653403</v>
      </c>
      <c r="X299" s="29">
        <v>0</v>
      </c>
      <c r="Z299" s="22">
        <v>44844</v>
      </c>
      <c r="AA299" s="26">
        <f t="shared" ca="1" si="36"/>
        <v>0.61320082686110589</v>
      </c>
      <c r="AB299" s="29">
        <v>0</v>
      </c>
      <c r="AC299"/>
      <c r="AD299" s="25"/>
      <c r="AF299" s="22">
        <v>44844</v>
      </c>
      <c r="AG299" s="26">
        <f t="shared" ca="1" si="37"/>
        <v>0.6779838830242686</v>
      </c>
      <c r="AH299" s="29">
        <v>0</v>
      </c>
      <c r="AJ299" s="22">
        <v>44844</v>
      </c>
      <c r="AK299" s="26">
        <f t="shared" ca="1" si="38"/>
        <v>2.2707374996341345E-2</v>
      </c>
      <c r="AL299" s="29">
        <v>0</v>
      </c>
      <c r="AN299" s="22">
        <v>44844</v>
      </c>
      <c r="AO299" s="26">
        <f t="shared" ca="1" si="39"/>
        <v>0.92230911373796587</v>
      </c>
      <c r="AP299" s="29">
        <v>0</v>
      </c>
      <c r="AR299" s="22">
        <v>44844</v>
      </c>
      <c r="AS299" s="26">
        <f t="shared" ca="1" si="40"/>
        <v>0.19400282445035932</v>
      </c>
      <c r="AT299" s="29">
        <v>0</v>
      </c>
      <c r="AV299" s="22">
        <v>44844</v>
      </c>
      <c r="AW299" s="26">
        <f t="shared" ca="1" si="41"/>
        <v>0.3199093836750988</v>
      </c>
      <c r="AX299" s="29">
        <v>0</v>
      </c>
      <c r="AZ299" s="22">
        <v>44844</v>
      </c>
      <c r="BA299" s="26">
        <f t="shared" ca="1" si="42"/>
        <v>0.29391085378485793</v>
      </c>
      <c r="BB299" s="29">
        <v>0</v>
      </c>
      <c r="BC299"/>
      <c r="BD299" s="25"/>
      <c r="BF299" s="22">
        <v>44844</v>
      </c>
      <c r="BG299" s="26">
        <f t="shared" ca="1" si="43"/>
        <v>0.79460941094688109</v>
      </c>
      <c r="BH299" s="29">
        <v>0</v>
      </c>
      <c r="BJ299" s="22">
        <v>44844</v>
      </c>
      <c r="BK299" s="26">
        <f t="shared" ca="1" si="44"/>
        <v>0.60389276091605493</v>
      </c>
      <c r="BL299" s="29">
        <v>0</v>
      </c>
      <c r="BN299" s="22">
        <v>44844</v>
      </c>
      <c r="BO299" s="26">
        <f t="shared" ca="1" si="45"/>
        <v>0.70236029192646166</v>
      </c>
      <c r="BP299" s="29">
        <v>0</v>
      </c>
      <c r="BR299" s="22">
        <v>44844</v>
      </c>
      <c r="BS299" s="26">
        <f t="shared" ca="1" si="46"/>
        <v>0.20595703316686031</v>
      </c>
      <c r="BT299" s="29">
        <v>0</v>
      </c>
      <c r="BV299" s="22">
        <v>44844</v>
      </c>
      <c r="BW299" s="26">
        <f t="shared" ca="1" si="47"/>
        <v>0.82269748910976637</v>
      </c>
      <c r="BX299" s="29">
        <v>0</v>
      </c>
    </row>
    <row r="300" spans="2:77" ht="12.75" x14ac:dyDescent="0.2">
      <c r="B300" s="22">
        <v>44845</v>
      </c>
      <c r="C300" s="26">
        <f t="shared" ca="1" si="0"/>
        <v>0.70374707793174429</v>
      </c>
      <c r="D300" s="29">
        <f t="shared" ca="1" si="48"/>
        <v>86</v>
      </c>
      <c r="F300" s="22">
        <v>44845</v>
      </c>
      <c r="G300" s="26">
        <f t="shared" ca="1" si="31"/>
        <v>0.56009776460906935</v>
      </c>
      <c r="H300" s="29">
        <f t="shared" ca="1" si="27"/>
        <v>218</v>
      </c>
      <c r="J300" s="22">
        <v>44845</v>
      </c>
      <c r="K300" s="26">
        <f t="shared" ca="1" si="32"/>
        <v>0.29337602527275763</v>
      </c>
      <c r="L300" s="29">
        <f t="shared" ca="1" si="28"/>
        <v>145</v>
      </c>
      <c r="N300" s="22">
        <v>44845</v>
      </c>
      <c r="O300" s="26">
        <f t="shared" ca="1" si="33"/>
        <v>0.79722703580736343</v>
      </c>
      <c r="P300" s="29">
        <f t="shared" ca="1" si="29"/>
        <v>243</v>
      </c>
      <c r="R300" s="22">
        <v>44845</v>
      </c>
      <c r="S300" s="26">
        <f t="shared" ca="1" si="34"/>
        <v>0.3820470320082815</v>
      </c>
      <c r="T300" s="29">
        <f t="shared" ca="1" si="30"/>
        <v>136</v>
      </c>
      <c r="V300" s="22">
        <v>44845</v>
      </c>
      <c r="W300" s="26">
        <f t="shared" ca="1" si="35"/>
        <v>0.92138982546323078</v>
      </c>
      <c r="X300" s="29">
        <v>0</v>
      </c>
      <c r="Z300" s="22">
        <v>44845</v>
      </c>
      <c r="AA300" s="26">
        <f t="shared" ca="1" si="36"/>
        <v>0.24652665866162937</v>
      </c>
      <c r="AB300" s="29">
        <v>0</v>
      </c>
      <c r="AC300"/>
      <c r="AD300" s="25"/>
      <c r="AF300" s="22">
        <v>44845</v>
      </c>
      <c r="AG300" s="26">
        <f t="shared" ca="1" si="37"/>
        <v>0.30130635279822526</v>
      </c>
      <c r="AH300" s="29">
        <v>0</v>
      </c>
      <c r="AJ300" s="22">
        <v>44845</v>
      </c>
      <c r="AK300" s="26">
        <f t="shared" ca="1" si="38"/>
        <v>0.92281962886641034</v>
      </c>
      <c r="AL300" s="29">
        <v>0</v>
      </c>
      <c r="AN300" s="22">
        <v>44845</v>
      </c>
      <c r="AO300" s="26">
        <f t="shared" ca="1" si="39"/>
        <v>0.89410574771892282</v>
      </c>
      <c r="AP300" s="29">
        <v>0</v>
      </c>
      <c r="AR300" s="22">
        <v>44845</v>
      </c>
      <c r="AS300" s="26">
        <f t="shared" ca="1" si="40"/>
        <v>0.97021812412299602</v>
      </c>
      <c r="AT300" s="29">
        <v>0</v>
      </c>
      <c r="AV300" s="22">
        <v>44845</v>
      </c>
      <c r="AW300" s="26">
        <f t="shared" ca="1" si="41"/>
        <v>0.9677769837659711</v>
      </c>
      <c r="AX300" s="29">
        <v>0</v>
      </c>
      <c r="AZ300" s="22">
        <v>44845</v>
      </c>
      <c r="BA300" s="26">
        <f t="shared" ca="1" si="42"/>
        <v>0.85327882811935984</v>
      </c>
      <c r="BB300" s="29">
        <v>0</v>
      </c>
      <c r="BC300"/>
      <c r="BD300" s="25"/>
      <c r="BF300" s="22">
        <v>44845</v>
      </c>
      <c r="BG300" s="26">
        <f t="shared" ca="1" si="43"/>
        <v>0.99008718903119985</v>
      </c>
      <c r="BH300" s="29">
        <v>0</v>
      </c>
      <c r="BJ300" s="22">
        <v>44845</v>
      </c>
      <c r="BK300" s="26">
        <f t="shared" ca="1" si="44"/>
        <v>0.75376419588062893</v>
      </c>
      <c r="BL300" s="29">
        <v>0</v>
      </c>
      <c r="BN300" s="22">
        <v>44845</v>
      </c>
      <c r="BO300" s="26">
        <f t="shared" ca="1" si="45"/>
        <v>0.65885141963307448</v>
      </c>
      <c r="BP300" s="29">
        <v>0</v>
      </c>
      <c r="BR300" s="22">
        <v>44845</v>
      </c>
      <c r="BS300" s="26">
        <f t="shared" ca="1" si="46"/>
        <v>7.9177103054125508E-2</v>
      </c>
      <c r="BT300" s="29">
        <v>0</v>
      </c>
      <c r="BV300" s="22">
        <v>44845</v>
      </c>
      <c r="BW300" s="26">
        <f t="shared" ca="1" si="47"/>
        <v>4.9146076976462671E-2</v>
      </c>
      <c r="BX300" s="29">
        <v>0</v>
      </c>
    </row>
    <row r="301" spans="2:77" ht="12.75" x14ac:dyDescent="0.2">
      <c r="B301" s="22">
        <v>44846</v>
      </c>
      <c r="C301" s="26">
        <f t="shared" ca="1" si="0"/>
        <v>4.9276563223737302E-2</v>
      </c>
      <c r="D301" s="29">
        <f t="shared" ca="1" si="48"/>
        <v>42</v>
      </c>
      <c r="F301" s="22">
        <v>44846</v>
      </c>
      <c r="G301" s="26">
        <f t="shared" ca="1" si="31"/>
        <v>0.37610608273883805</v>
      </c>
      <c r="H301" s="29">
        <f t="shared" ca="1" si="27"/>
        <v>211</v>
      </c>
      <c r="J301" s="22">
        <v>44846</v>
      </c>
      <c r="K301" s="26">
        <f t="shared" ca="1" si="32"/>
        <v>0.391318420029103</v>
      </c>
      <c r="L301" s="29">
        <f t="shared" ca="1" si="28"/>
        <v>148</v>
      </c>
      <c r="N301" s="22">
        <v>44846</v>
      </c>
      <c r="O301" s="26">
        <f t="shared" ca="1" si="33"/>
        <v>0.31621867042458729</v>
      </c>
      <c r="P301" s="29">
        <f t="shared" ca="1" si="29"/>
        <v>223</v>
      </c>
      <c r="R301" s="22">
        <v>44846</v>
      </c>
      <c r="S301" s="26">
        <f t="shared" ca="1" si="34"/>
        <v>0.18227612409838045</v>
      </c>
      <c r="T301" s="29">
        <f t="shared" ca="1" si="30"/>
        <v>131</v>
      </c>
      <c r="V301" s="22">
        <v>44846</v>
      </c>
      <c r="W301" s="26">
        <f t="shared" ca="1" si="35"/>
        <v>0.76825995127577362</v>
      </c>
      <c r="X301" s="29">
        <v>0</v>
      </c>
      <c r="Z301" s="22">
        <v>44846</v>
      </c>
      <c r="AA301" s="26">
        <f t="shared" ca="1" si="36"/>
        <v>0.29767797247235173</v>
      </c>
      <c r="AB301" s="29">
        <v>0</v>
      </c>
      <c r="AC301"/>
      <c r="AD301" s="25"/>
      <c r="AF301" s="22">
        <v>44846</v>
      </c>
      <c r="AG301" s="26">
        <f t="shared" ca="1" si="37"/>
        <v>0.30935581653138255</v>
      </c>
      <c r="AH301" s="29">
        <v>0</v>
      </c>
      <c r="AJ301" s="22">
        <v>44846</v>
      </c>
      <c r="AK301" s="26">
        <f t="shared" ca="1" si="38"/>
        <v>0.88802134829814527</v>
      </c>
      <c r="AL301" s="29">
        <v>0</v>
      </c>
      <c r="AN301" s="22">
        <v>44846</v>
      </c>
      <c r="AO301" s="26">
        <f t="shared" ca="1" si="39"/>
        <v>0.7200408683072782</v>
      </c>
      <c r="AP301" s="29">
        <v>0</v>
      </c>
      <c r="AR301" s="22">
        <v>44846</v>
      </c>
      <c r="AS301" s="26">
        <f t="shared" ca="1" si="40"/>
        <v>0.7588965558505345</v>
      </c>
      <c r="AT301" s="29">
        <v>0</v>
      </c>
      <c r="AV301" s="22">
        <v>44846</v>
      </c>
      <c r="AW301" s="26">
        <f t="shared" ca="1" si="41"/>
        <v>0.7583937692914261</v>
      </c>
      <c r="AX301" s="29">
        <v>0</v>
      </c>
      <c r="AZ301" s="22">
        <v>44846</v>
      </c>
      <c r="BA301" s="26">
        <f t="shared" ca="1" si="42"/>
        <v>0.10036802424361846</v>
      </c>
      <c r="BB301" s="29">
        <v>0</v>
      </c>
      <c r="BC301"/>
      <c r="BD301" s="25"/>
      <c r="BF301" s="22">
        <v>44846</v>
      </c>
      <c r="BG301" s="26">
        <f t="shared" ca="1" si="43"/>
        <v>0.26634691193847082</v>
      </c>
      <c r="BH301" s="29">
        <v>0</v>
      </c>
      <c r="BJ301" s="22">
        <v>44846</v>
      </c>
      <c r="BK301" s="26">
        <f t="shared" ca="1" si="44"/>
        <v>1.1216307980287388E-3</v>
      </c>
      <c r="BL301" s="29">
        <v>0</v>
      </c>
      <c r="BN301" s="22">
        <v>44846</v>
      </c>
      <c r="BO301" s="26">
        <f t="shared" ca="1" si="45"/>
        <v>0.33430072621607732</v>
      </c>
      <c r="BP301" s="29">
        <v>0</v>
      </c>
      <c r="BR301" s="22">
        <v>44846</v>
      </c>
      <c r="BS301" s="26">
        <f t="shared" ca="1" si="46"/>
        <v>0.60861664704405649</v>
      </c>
      <c r="BT301" s="29">
        <v>0</v>
      </c>
      <c r="BV301" s="22">
        <v>44846</v>
      </c>
      <c r="BW301" s="26">
        <f t="shared" ca="1" si="47"/>
        <v>2.1147922771569627E-2</v>
      </c>
      <c r="BX301" s="29">
        <v>0</v>
      </c>
    </row>
    <row r="302" spans="2:77" ht="12.75" x14ac:dyDescent="0.2">
      <c r="B302" s="22">
        <v>44847</v>
      </c>
      <c r="C302" s="26">
        <f t="shared" ca="1" si="0"/>
        <v>0.48110259357386143</v>
      </c>
      <c r="D302" s="29">
        <f t="shared" ca="1" si="48"/>
        <v>75</v>
      </c>
      <c r="F302" s="22">
        <v>44847</v>
      </c>
      <c r="G302" s="26">
        <f t="shared" ca="1" si="31"/>
        <v>0.97894864084382693</v>
      </c>
      <c r="H302" s="29">
        <f t="shared" ca="1" si="27"/>
        <v>245</v>
      </c>
      <c r="J302" s="22">
        <v>44847</v>
      </c>
      <c r="K302" s="26">
        <f t="shared" ca="1" si="32"/>
        <v>0.68023307014548506</v>
      </c>
      <c r="L302" s="29">
        <f t="shared" ca="1" si="28"/>
        <v>155</v>
      </c>
      <c r="N302" s="22">
        <v>44847</v>
      </c>
      <c r="O302" s="26">
        <f t="shared" ca="1" si="33"/>
        <v>0.20658257636933208</v>
      </c>
      <c r="P302" s="29">
        <f t="shared" ca="1" si="29"/>
        <v>217</v>
      </c>
      <c r="R302" s="22">
        <v>44847</v>
      </c>
      <c r="S302" s="26">
        <f t="shared" ca="1" si="34"/>
        <v>0.94637799959615931</v>
      </c>
      <c r="T302" s="29">
        <f t="shared" ca="1" si="30"/>
        <v>154</v>
      </c>
      <c r="V302" s="22">
        <v>44847</v>
      </c>
      <c r="W302" s="26">
        <f t="shared" ca="1" si="35"/>
        <v>3.4289194949036483E-3</v>
      </c>
      <c r="X302" s="29">
        <v>0</v>
      </c>
      <c r="Z302" s="22">
        <v>44847</v>
      </c>
      <c r="AA302" s="26">
        <f t="shared" ca="1" si="36"/>
        <v>0.86579789889382364</v>
      </c>
      <c r="AB302" s="29">
        <v>0</v>
      </c>
      <c r="AC302"/>
      <c r="AD302" s="25"/>
      <c r="AF302" s="22">
        <v>44847</v>
      </c>
      <c r="AG302" s="26">
        <f t="shared" ca="1" si="37"/>
        <v>0.56306991915692872</v>
      </c>
      <c r="AH302" s="29">
        <v>0</v>
      </c>
      <c r="AJ302" s="22">
        <v>44847</v>
      </c>
      <c r="AK302" s="26">
        <f t="shared" ca="1" si="38"/>
        <v>0.75687023843558554</v>
      </c>
      <c r="AL302" s="29">
        <v>0</v>
      </c>
      <c r="AN302" s="22">
        <v>44847</v>
      </c>
      <c r="AO302" s="26">
        <f t="shared" ca="1" si="39"/>
        <v>0.41184578587784948</v>
      </c>
      <c r="AP302" s="29">
        <v>0</v>
      </c>
      <c r="AR302" s="22">
        <v>44847</v>
      </c>
      <c r="AS302" s="26">
        <f t="shared" ca="1" si="40"/>
        <v>0.52782754097520579</v>
      </c>
      <c r="AT302" s="29">
        <v>0</v>
      </c>
      <c r="AV302" s="22">
        <v>44847</v>
      </c>
      <c r="AW302" s="26">
        <f t="shared" ca="1" si="41"/>
        <v>0.70597146421647039</v>
      </c>
      <c r="AX302" s="29">
        <v>0</v>
      </c>
      <c r="AZ302" s="22">
        <v>44847</v>
      </c>
      <c r="BA302" s="26">
        <f t="shared" ca="1" si="42"/>
        <v>7.9096684184147614E-2</v>
      </c>
      <c r="BB302" s="29">
        <v>0</v>
      </c>
      <c r="BC302"/>
      <c r="BD302" s="25"/>
      <c r="BF302" s="22">
        <v>44847</v>
      </c>
      <c r="BG302" s="26">
        <f t="shared" ca="1" si="43"/>
        <v>0.45180037928233041</v>
      </c>
      <c r="BH302" s="29">
        <v>0</v>
      </c>
      <c r="BJ302" s="22">
        <v>44847</v>
      </c>
      <c r="BK302" s="26">
        <f t="shared" ca="1" si="44"/>
        <v>0.36522163417333497</v>
      </c>
      <c r="BL302" s="29">
        <v>0</v>
      </c>
      <c r="BN302" s="22">
        <v>44847</v>
      </c>
      <c r="BO302" s="26">
        <f t="shared" ca="1" si="45"/>
        <v>0.31597544233748887</v>
      </c>
      <c r="BP302" s="29">
        <v>0</v>
      </c>
      <c r="BR302" s="22">
        <v>44847</v>
      </c>
      <c r="BS302" s="26">
        <f t="shared" ca="1" si="46"/>
        <v>0.15986620401297558</v>
      </c>
      <c r="BT302" s="29">
        <v>0</v>
      </c>
      <c r="BV302" s="22">
        <v>44847</v>
      </c>
      <c r="BW302" s="26">
        <f t="shared" ca="1" si="47"/>
        <v>0.85684377996114103</v>
      </c>
      <c r="BX302" s="29">
        <v>0</v>
      </c>
    </row>
    <row r="303" spans="2:77" ht="12.75" x14ac:dyDescent="0.2">
      <c r="B303" s="22">
        <v>44848</v>
      </c>
      <c r="C303" s="26">
        <f t="shared" ca="1" si="0"/>
        <v>0.34515047171763669</v>
      </c>
      <c r="D303" s="29">
        <f t="shared" ca="1" si="48"/>
        <v>68</v>
      </c>
      <c r="F303" s="22">
        <v>44848</v>
      </c>
      <c r="G303" s="26">
        <f t="shared" ca="1" si="31"/>
        <v>0.26511069512314267</v>
      </c>
      <c r="H303" s="29">
        <f t="shared" ca="1" si="27"/>
        <v>207</v>
      </c>
      <c r="J303" s="22">
        <v>44848</v>
      </c>
      <c r="K303" s="26">
        <f t="shared" ca="1" si="32"/>
        <v>0.15251930258402924</v>
      </c>
      <c r="L303" s="29">
        <f t="shared" ca="1" si="28"/>
        <v>140</v>
      </c>
      <c r="N303" s="22">
        <v>44848</v>
      </c>
      <c r="O303" s="26">
        <f t="shared" ca="1" si="33"/>
        <v>0.43554803878142623</v>
      </c>
      <c r="P303" s="29">
        <f t="shared" ca="1" si="29"/>
        <v>227</v>
      </c>
      <c r="R303" s="22">
        <v>44848</v>
      </c>
      <c r="S303" s="26">
        <f t="shared" ca="1" si="34"/>
        <v>0.14658458103851302</v>
      </c>
      <c r="T303" s="29">
        <f t="shared" ca="1" si="30"/>
        <v>130</v>
      </c>
      <c r="V303" s="22">
        <v>44848</v>
      </c>
      <c r="W303" s="26">
        <f t="shared" ca="1" si="35"/>
        <v>0.82700732341906769</v>
      </c>
      <c r="X303" s="29">
        <v>0</v>
      </c>
      <c r="Z303" s="22">
        <v>44848</v>
      </c>
      <c r="AA303" s="26">
        <f t="shared" ca="1" si="36"/>
        <v>8.5135989101530751E-2</v>
      </c>
      <c r="AB303" s="29">
        <v>0</v>
      </c>
      <c r="AC303"/>
      <c r="AD303" s="25"/>
      <c r="AF303" s="22">
        <v>44848</v>
      </c>
      <c r="AG303" s="26">
        <f t="shared" ca="1" si="37"/>
        <v>0.29979223702821056</v>
      </c>
      <c r="AH303" s="29">
        <v>0</v>
      </c>
      <c r="AJ303" s="22">
        <v>44848</v>
      </c>
      <c r="AK303" s="26">
        <f t="shared" ca="1" si="38"/>
        <v>0.47252704674559176</v>
      </c>
      <c r="AL303" s="29">
        <v>0</v>
      </c>
      <c r="AN303" s="22">
        <v>44848</v>
      </c>
      <c r="AO303" s="26">
        <f t="shared" ca="1" si="39"/>
        <v>0.2641001018338428</v>
      </c>
      <c r="AP303" s="29">
        <v>0</v>
      </c>
      <c r="AR303" s="22">
        <v>44848</v>
      </c>
      <c r="AS303" s="26">
        <f t="shared" ca="1" si="40"/>
        <v>5.9526538588711264E-2</v>
      </c>
      <c r="AT303" s="29">
        <v>0</v>
      </c>
      <c r="AV303" s="22">
        <v>44848</v>
      </c>
      <c r="AW303" s="26">
        <f t="shared" ca="1" si="41"/>
        <v>0.6739579429354885</v>
      </c>
      <c r="AX303" s="29">
        <v>0</v>
      </c>
      <c r="AZ303" s="22">
        <v>44848</v>
      </c>
      <c r="BA303" s="26">
        <f t="shared" ca="1" si="42"/>
        <v>0.41507269410980507</v>
      </c>
      <c r="BB303" s="29">
        <v>0</v>
      </c>
      <c r="BC303"/>
      <c r="BD303" s="25"/>
      <c r="BF303" s="22">
        <v>44848</v>
      </c>
      <c r="BG303" s="26">
        <f t="shared" ca="1" si="43"/>
        <v>0.82086134506499786</v>
      </c>
      <c r="BH303" s="29">
        <v>0</v>
      </c>
      <c r="BJ303" s="22">
        <v>44848</v>
      </c>
      <c r="BK303" s="26">
        <f t="shared" ca="1" si="44"/>
        <v>0.82799633608403844</v>
      </c>
      <c r="BL303" s="29">
        <v>0</v>
      </c>
      <c r="BN303" s="22">
        <v>44848</v>
      </c>
      <c r="BO303" s="26">
        <f t="shared" ca="1" si="45"/>
        <v>0.21982036021247209</v>
      </c>
      <c r="BP303" s="29">
        <v>0</v>
      </c>
      <c r="BR303" s="22">
        <v>44848</v>
      </c>
      <c r="BS303" s="26">
        <f t="shared" ca="1" si="46"/>
        <v>0.2876839584079407</v>
      </c>
      <c r="BT303" s="29">
        <v>0</v>
      </c>
      <c r="BV303" s="22">
        <v>44848</v>
      </c>
      <c r="BW303" s="26">
        <f t="shared" ca="1" si="47"/>
        <v>0.34685121079737091</v>
      </c>
      <c r="BX303" s="29">
        <v>0</v>
      </c>
    </row>
    <row r="304" spans="2:77" ht="12.75" x14ac:dyDescent="0.2">
      <c r="B304" s="22">
        <v>44849</v>
      </c>
      <c r="C304" s="26">
        <f t="shared" ca="1" si="0"/>
        <v>0.72316785154832541</v>
      </c>
      <c r="D304" s="29">
        <f t="shared" ca="1" si="48"/>
        <v>87</v>
      </c>
      <c r="F304" s="22">
        <v>44849</v>
      </c>
      <c r="G304" s="26">
        <f t="shared" ca="1" si="31"/>
        <v>0.57975459789806261</v>
      </c>
      <c r="H304" s="29">
        <f t="shared" ca="1" si="27"/>
        <v>219</v>
      </c>
      <c r="J304" s="22">
        <v>44849</v>
      </c>
      <c r="K304" s="26">
        <f t="shared" ca="1" si="32"/>
        <v>0.98067578212439632</v>
      </c>
      <c r="L304" s="29">
        <f t="shared" ca="1" si="28"/>
        <v>171</v>
      </c>
      <c r="N304" s="22">
        <v>44849</v>
      </c>
      <c r="O304" s="26">
        <f t="shared" ca="1" si="33"/>
        <v>0.28238791019406706</v>
      </c>
      <c r="P304" s="29">
        <f t="shared" ca="1" si="29"/>
        <v>221</v>
      </c>
      <c r="R304" s="22">
        <v>44849</v>
      </c>
      <c r="S304" s="26">
        <f t="shared" ca="1" si="34"/>
        <v>0.86864712521810894</v>
      </c>
      <c r="T304" s="29">
        <f t="shared" ca="1" si="30"/>
        <v>150</v>
      </c>
      <c r="V304" s="22">
        <v>44849</v>
      </c>
      <c r="W304" s="26">
        <f t="shared" ca="1" si="35"/>
        <v>0.71864687807681626</v>
      </c>
      <c r="X304" s="29">
        <v>0</v>
      </c>
      <c r="Z304" s="22">
        <v>44849</v>
      </c>
      <c r="AA304" s="26">
        <f t="shared" ca="1" si="36"/>
        <v>0.62581553813995827</v>
      </c>
      <c r="AB304" s="29">
        <v>0</v>
      </c>
      <c r="AC304"/>
      <c r="AD304" s="25"/>
      <c r="AF304" s="22">
        <v>44849</v>
      </c>
      <c r="AG304" s="26">
        <f t="shared" ca="1" si="37"/>
        <v>0.54070498114348686</v>
      </c>
      <c r="AH304" s="29">
        <v>0</v>
      </c>
      <c r="AJ304" s="22">
        <v>44849</v>
      </c>
      <c r="AK304" s="26">
        <f t="shared" ca="1" si="38"/>
        <v>0.14937952688144618</v>
      </c>
      <c r="AL304" s="29">
        <v>0</v>
      </c>
      <c r="AN304" s="22">
        <v>44849</v>
      </c>
      <c r="AO304" s="26">
        <f t="shared" ca="1" si="39"/>
        <v>0.32237589880580786</v>
      </c>
      <c r="AP304" s="29">
        <v>0</v>
      </c>
      <c r="AR304" s="22">
        <v>44849</v>
      </c>
      <c r="AS304" s="26">
        <f t="shared" ca="1" si="40"/>
        <v>0.74361389304759162</v>
      </c>
      <c r="AT304" s="29">
        <v>0</v>
      </c>
      <c r="AV304" s="22">
        <v>44849</v>
      </c>
      <c r="AW304" s="26">
        <f t="shared" ca="1" si="41"/>
        <v>8.0783245581343643E-2</v>
      </c>
      <c r="AX304" s="29">
        <v>0</v>
      </c>
      <c r="AZ304" s="22">
        <v>44849</v>
      </c>
      <c r="BA304" s="26">
        <f t="shared" ca="1" si="42"/>
        <v>0.67435200366043024</v>
      </c>
      <c r="BB304" s="29">
        <v>0</v>
      </c>
      <c r="BC304"/>
      <c r="BD304" s="25"/>
      <c r="BF304" s="22">
        <v>44849</v>
      </c>
      <c r="BG304" s="26">
        <f t="shared" ca="1" si="43"/>
        <v>0.42531661095172091</v>
      </c>
      <c r="BH304" s="29">
        <v>0</v>
      </c>
      <c r="BJ304" s="22">
        <v>44849</v>
      </c>
      <c r="BK304" s="26">
        <f t="shared" ca="1" si="44"/>
        <v>0.47828303269990902</v>
      </c>
      <c r="BL304" s="29">
        <v>0</v>
      </c>
      <c r="BN304" s="22">
        <v>44849</v>
      </c>
      <c r="BO304" s="26">
        <f t="shared" ca="1" si="45"/>
        <v>0.92981485700511612</v>
      </c>
      <c r="BP304" s="29">
        <v>0</v>
      </c>
      <c r="BR304" s="22">
        <v>44849</v>
      </c>
      <c r="BS304" s="26">
        <f t="shared" ca="1" si="46"/>
        <v>0.49014918320672862</v>
      </c>
      <c r="BT304" s="29">
        <v>0</v>
      </c>
      <c r="BV304" s="22">
        <v>44849</v>
      </c>
      <c r="BW304" s="26">
        <f t="shared" ca="1" si="47"/>
        <v>0.30409732494450392</v>
      </c>
      <c r="BX304" s="29">
        <v>0</v>
      </c>
    </row>
    <row r="305" spans="2:77" ht="12.75" x14ac:dyDescent="0.2">
      <c r="B305" s="22">
        <v>44850</v>
      </c>
      <c r="C305" s="26">
        <f t="shared" ca="1" si="0"/>
        <v>0.6401993523820344</v>
      </c>
      <c r="D305" s="29">
        <f t="shared" ca="1" si="48"/>
        <v>83</v>
      </c>
      <c r="F305" s="22">
        <v>44850</v>
      </c>
      <c r="G305" s="26">
        <f t="shared" ca="1" si="31"/>
        <v>0.94849006652223133</v>
      </c>
      <c r="H305" s="29">
        <f t="shared" ca="1" si="27"/>
        <v>239</v>
      </c>
      <c r="J305" s="22">
        <v>44850</v>
      </c>
      <c r="K305" s="26">
        <f t="shared" ca="1" si="32"/>
        <v>0.41281075055502914</v>
      </c>
      <c r="L305" s="29">
        <f t="shared" ca="1" si="28"/>
        <v>148</v>
      </c>
      <c r="N305" s="22">
        <v>44850</v>
      </c>
      <c r="O305" s="26">
        <f t="shared" ca="1" si="33"/>
        <v>0.88638817526680347</v>
      </c>
      <c r="P305" s="29">
        <f t="shared" ca="1" si="29"/>
        <v>248</v>
      </c>
      <c r="R305" s="22">
        <v>44850</v>
      </c>
      <c r="S305" s="26">
        <f t="shared" ca="1" si="34"/>
        <v>0.96387233714357679</v>
      </c>
      <c r="T305" s="29">
        <f t="shared" ca="1" si="30"/>
        <v>156</v>
      </c>
      <c r="V305" s="22">
        <v>44850</v>
      </c>
      <c r="W305" s="26">
        <f t="shared" ca="1" si="35"/>
        <v>0.93316483943035478</v>
      </c>
      <c r="X305" s="29">
        <v>0</v>
      </c>
      <c r="Z305" s="22">
        <v>44850</v>
      </c>
      <c r="AA305" s="26">
        <f t="shared" ca="1" si="36"/>
        <v>0.80070783347500862</v>
      </c>
      <c r="AB305" s="29">
        <v>0</v>
      </c>
      <c r="AC305"/>
      <c r="AD305" s="25"/>
      <c r="AF305" s="22">
        <v>44850</v>
      </c>
      <c r="AG305" s="26">
        <f t="shared" ca="1" si="37"/>
        <v>0.95325629162984138</v>
      </c>
      <c r="AH305" s="29">
        <v>0</v>
      </c>
      <c r="AJ305" s="22">
        <v>44850</v>
      </c>
      <c r="AK305" s="26">
        <f t="shared" ca="1" si="38"/>
        <v>1.5537581544941226E-2</v>
      </c>
      <c r="AL305" s="29">
        <v>0</v>
      </c>
      <c r="AN305" s="22">
        <v>44850</v>
      </c>
      <c r="AO305" s="26">
        <f t="shared" ca="1" si="39"/>
        <v>0.88807938321618118</v>
      </c>
      <c r="AP305" s="29">
        <v>0</v>
      </c>
      <c r="AR305" s="22">
        <v>44850</v>
      </c>
      <c r="AS305" s="26">
        <f t="shared" ca="1" si="40"/>
        <v>0.84093817751966216</v>
      </c>
      <c r="AT305" s="29">
        <v>0</v>
      </c>
      <c r="AV305" s="22">
        <v>44850</v>
      </c>
      <c r="AW305" s="26">
        <f t="shared" ca="1" si="41"/>
        <v>0.60848016409362626</v>
      </c>
      <c r="AX305" s="29">
        <v>0</v>
      </c>
      <c r="AZ305" s="22">
        <v>44850</v>
      </c>
      <c r="BA305" s="26">
        <f t="shared" ca="1" si="42"/>
        <v>0.81194451286637526</v>
      </c>
      <c r="BB305" s="29">
        <v>0</v>
      </c>
      <c r="BC305"/>
      <c r="BD305" s="25"/>
      <c r="BF305" s="22">
        <v>44850</v>
      </c>
      <c r="BG305" s="26">
        <f t="shared" ca="1" si="43"/>
        <v>0.85803476368729936</v>
      </c>
      <c r="BH305" s="29">
        <v>0</v>
      </c>
      <c r="BJ305" s="22">
        <v>44850</v>
      </c>
      <c r="BK305" s="26">
        <f t="shared" ca="1" si="44"/>
        <v>0.30305554137721213</v>
      </c>
      <c r="BL305" s="29">
        <v>0</v>
      </c>
      <c r="BN305" s="22">
        <v>44850</v>
      </c>
      <c r="BO305" s="26">
        <f t="shared" ca="1" si="45"/>
        <v>9.4522789847887312E-2</v>
      </c>
      <c r="BP305" s="29">
        <v>0</v>
      </c>
      <c r="BR305" s="22">
        <v>44850</v>
      </c>
      <c r="BS305" s="26">
        <f t="shared" ca="1" si="46"/>
        <v>0.14441539583524987</v>
      </c>
      <c r="BT305" s="29">
        <v>0</v>
      </c>
      <c r="BV305" s="22">
        <v>44850</v>
      </c>
      <c r="BW305" s="26">
        <f t="shared" ca="1" si="47"/>
        <v>0.67727875482003541</v>
      </c>
      <c r="BX305" s="29">
        <v>0</v>
      </c>
    </row>
    <row r="306" spans="2:77" ht="12.75" x14ac:dyDescent="0.2">
      <c r="B306" s="22">
        <v>44851</v>
      </c>
      <c r="C306" s="26">
        <f t="shared" ca="1" si="0"/>
        <v>0.94421090800618213</v>
      </c>
      <c r="D306" s="29">
        <v>0</v>
      </c>
      <c r="F306" s="22">
        <v>44851</v>
      </c>
      <c r="G306" s="26">
        <f t="shared" ca="1" si="31"/>
        <v>0.29154026740141192</v>
      </c>
      <c r="H306" s="29">
        <v>0</v>
      </c>
      <c r="J306" s="22">
        <v>44851</v>
      </c>
      <c r="K306" s="26">
        <f t="shared" ca="1" si="32"/>
        <v>0.98040537713716058</v>
      </c>
      <c r="L306" s="29">
        <v>0</v>
      </c>
      <c r="N306" s="22">
        <v>44851</v>
      </c>
      <c r="O306" s="26">
        <f t="shared" ca="1" si="33"/>
        <v>0.97502698355101691</v>
      </c>
      <c r="P306" s="29">
        <v>0</v>
      </c>
      <c r="R306" s="22">
        <v>44851</v>
      </c>
      <c r="S306" s="26">
        <f t="shared" ca="1" si="34"/>
        <v>0.71512957912339237</v>
      </c>
      <c r="T306" s="29">
        <v>0</v>
      </c>
      <c r="V306" s="22">
        <v>44851</v>
      </c>
      <c r="W306" s="26">
        <f t="shared" ca="1" si="35"/>
        <v>0.22430298703553153</v>
      </c>
      <c r="X306" s="29">
        <v>0</v>
      </c>
      <c r="Z306" s="22">
        <v>44851</v>
      </c>
      <c r="AA306" s="26">
        <f t="shared" ca="1" si="36"/>
        <v>0.37142786515108839</v>
      </c>
      <c r="AB306" s="29">
        <v>0</v>
      </c>
      <c r="AC306"/>
      <c r="AD306" s="25"/>
      <c r="AF306" s="22">
        <v>44851</v>
      </c>
      <c r="AG306" s="26">
        <f t="shared" ca="1" si="37"/>
        <v>0.49527644849883556</v>
      </c>
      <c r="AH306" s="29">
        <v>0</v>
      </c>
      <c r="AJ306" s="22">
        <v>44851</v>
      </c>
      <c r="AK306" s="26">
        <f t="shared" ca="1" si="38"/>
        <v>0.34755357934808806</v>
      </c>
      <c r="AL306" s="29">
        <v>0</v>
      </c>
      <c r="AN306" s="22">
        <v>44851</v>
      </c>
      <c r="AO306" s="26">
        <f t="shared" ca="1" si="39"/>
        <v>0.93366169198366444</v>
      </c>
      <c r="AP306" s="29">
        <v>0</v>
      </c>
      <c r="AR306" s="22">
        <v>44851</v>
      </c>
      <c r="AS306" s="26">
        <f t="shared" ca="1" si="40"/>
        <v>3.2837390039500591E-2</v>
      </c>
      <c r="AT306" s="29">
        <v>0</v>
      </c>
      <c r="AV306" s="22">
        <v>44851</v>
      </c>
      <c r="AW306" s="26">
        <f t="shared" ca="1" si="41"/>
        <v>3.7468313879384652E-2</v>
      </c>
      <c r="AX306" s="29">
        <v>0</v>
      </c>
      <c r="AZ306" s="22">
        <v>44851</v>
      </c>
      <c r="BA306" s="26">
        <f t="shared" ca="1" si="42"/>
        <v>0.82572407862565367</v>
      </c>
      <c r="BB306" s="29">
        <v>0</v>
      </c>
      <c r="BC306"/>
      <c r="BD306" s="25"/>
      <c r="BF306" s="22">
        <v>44851</v>
      </c>
      <c r="BG306" s="26">
        <f t="shared" ca="1" si="43"/>
        <v>0.40740751440315481</v>
      </c>
      <c r="BH306" s="29">
        <v>0</v>
      </c>
      <c r="BJ306" s="22">
        <v>44851</v>
      </c>
      <c r="BK306" s="26">
        <f t="shared" ca="1" si="44"/>
        <v>0.57426676020242684</v>
      </c>
      <c r="BL306" s="29">
        <v>0</v>
      </c>
      <c r="BN306" s="22">
        <v>44851</v>
      </c>
      <c r="BO306" s="26">
        <f t="shared" ca="1" si="45"/>
        <v>0.54663893104334804</v>
      </c>
      <c r="BP306" s="29">
        <v>0</v>
      </c>
      <c r="BR306" s="22">
        <v>44851</v>
      </c>
      <c r="BS306" s="26">
        <f t="shared" ca="1" si="46"/>
        <v>0.37520439448497267</v>
      </c>
      <c r="BT306" s="29">
        <v>0</v>
      </c>
      <c r="BV306" s="22">
        <v>44851</v>
      </c>
      <c r="BW306" s="26">
        <f t="shared" ca="1" si="47"/>
        <v>4.0180124134562401E-2</v>
      </c>
      <c r="BX306" s="29">
        <v>0</v>
      </c>
    </row>
    <row r="307" spans="2:77" ht="12.75" x14ac:dyDescent="0.2">
      <c r="B307" s="22">
        <v>44852</v>
      </c>
      <c r="C307" s="26">
        <f t="shared" ca="1" si="0"/>
        <v>0.34372479236365383</v>
      </c>
      <c r="D307" s="29">
        <v>0</v>
      </c>
      <c r="F307" s="22">
        <v>44852</v>
      </c>
      <c r="G307" s="26">
        <f t="shared" ca="1" si="31"/>
        <v>0.85777102847942122</v>
      </c>
      <c r="H307" s="29">
        <v>0</v>
      </c>
      <c r="J307" s="22">
        <v>44852</v>
      </c>
      <c r="K307" s="26">
        <f t="shared" ca="1" si="32"/>
        <v>0.64208707471432014</v>
      </c>
      <c r="L307" s="29">
        <v>0</v>
      </c>
      <c r="N307" s="22">
        <v>44852</v>
      </c>
      <c r="O307" s="26">
        <f t="shared" ca="1" si="33"/>
        <v>3.3733979176217566E-2</v>
      </c>
      <c r="P307" s="29">
        <v>0</v>
      </c>
      <c r="R307" s="22">
        <v>44852</v>
      </c>
      <c r="S307" s="26">
        <f t="shared" ca="1" si="34"/>
        <v>0.75829559708826988</v>
      </c>
      <c r="T307" s="29">
        <v>0</v>
      </c>
      <c r="V307" s="22">
        <v>44852</v>
      </c>
      <c r="W307" s="26">
        <f t="shared" ca="1" si="35"/>
        <v>0.88034284598236123</v>
      </c>
      <c r="X307" s="29">
        <v>0</v>
      </c>
      <c r="Z307" s="22">
        <v>44852</v>
      </c>
      <c r="AA307" s="26">
        <f t="shared" ca="1" si="36"/>
        <v>0.36050390591800996</v>
      </c>
      <c r="AB307" s="29">
        <v>0</v>
      </c>
      <c r="AC307"/>
      <c r="AD307" s="25"/>
      <c r="AF307" s="22">
        <v>44852</v>
      </c>
      <c r="AG307" s="26">
        <f t="shared" ca="1" si="37"/>
        <v>5.3735004664782648E-2</v>
      </c>
      <c r="AH307" s="29">
        <v>0</v>
      </c>
      <c r="AJ307" s="22">
        <v>44852</v>
      </c>
      <c r="AK307" s="26">
        <f t="shared" ca="1" si="38"/>
        <v>0.92307328679095502</v>
      </c>
      <c r="AL307" s="29">
        <v>0</v>
      </c>
      <c r="AN307" s="22">
        <v>44852</v>
      </c>
      <c r="AO307" s="26">
        <f t="shared" ca="1" si="39"/>
        <v>0.68642323469524913</v>
      </c>
      <c r="AP307" s="29">
        <v>0</v>
      </c>
      <c r="AR307" s="22">
        <v>44852</v>
      </c>
      <c r="AS307" s="26">
        <f t="shared" ca="1" si="40"/>
        <v>0.8942555045094992</v>
      </c>
      <c r="AT307" s="29">
        <v>0</v>
      </c>
      <c r="AV307" s="22">
        <v>44852</v>
      </c>
      <c r="AW307" s="26">
        <f t="shared" ca="1" si="41"/>
        <v>4.7477320780091814E-2</v>
      </c>
      <c r="AX307" s="29">
        <v>0</v>
      </c>
      <c r="AZ307" s="22">
        <v>44852</v>
      </c>
      <c r="BA307" s="26">
        <f t="shared" ca="1" si="42"/>
        <v>0.13635587107514846</v>
      </c>
      <c r="BB307" s="29">
        <v>0</v>
      </c>
      <c r="BC307"/>
      <c r="BD307" s="25"/>
      <c r="BF307" s="22">
        <v>44852</v>
      </c>
      <c r="BG307" s="26">
        <f t="shared" ca="1" si="43"/>
        <v>0.97256643789490993</v>
      </c>
      <c r="BH307" s="29">
        <v>0</v>
      </c>
      <c r="BJ307" s="22">
        <v>44852</v>
      </c>
      <c r="BK307" s="26">
        <f t="shared" ca="1" si="44"/>
        <v>0.1253919561958633</v>
      </c>
      <c r="BL307" s="29">
        <v>0</v>
      </c>
      <c r="BN307" s="22">
        <v>44852</v>
      </c>
      <c r="BO307" s="26">
        <f t="shared" ca="1" si="45"/>
        <v>0.31184810306413213</v>
      </c>
      <c r="BP307" s="29">
        <v>0</v>
      </c>
      <c r="BR307" s="22">
        <v>44852</v>
      </c>
      <c r="BS307" s="26">
        <f t="shared" ca="1" si="46"/>
        <v>0.37765922361430493</v>
      </c>
      <c r="BT307" s="29">
        <v>0</v>
      </c>
      <c r="BV307" s="22">
        <v>44852</v>
      </c>
      <c r="BW307" s="26">
        <f t="shared" ca="1" si="47"/>
        <v>0.11988359674581239</v>
      </c>
      <c r="BX307" s="29">
        <v>0</v>
      </c>
    </row>
    <row r="308" spans="2:77" ht="12.75" x14ac:dyDescent="0.2">
      <c r="B308" s="22">
        <v>44853</v>
      </c>
      <c r="C308" s="26">
        <f t="shared" ca="1" si="0"/>
        <v>6.6870249255178482E-2</v>
      </c>
      <c r="D308" s="29">
        <v>0</v>
      </c>
      <c r="F308" s="22">
        <v>44853</v>
      </c>
      <c r="G308" s="26">
        <f t="shared" ca="1" si="31"/>
        <v>0.74893985303309696</v>
      </c>
      <c r="H308" s="29">
        <v>0</v>
      </c>
      <c r="J308" s="22">
        <v>44853</v>
      </c>
      <c r="K308" s="26">
        <f t="shared" ca="1" si="32"/>
        <v>0.55120920988928279</v>
      </c>
      <c r="L308" s="29">
        <v>0</v>
      </c>
      <c r="N308" s="22">
        <v>44853</v>
      </c>
      <c r="O308" s="26">
        <f t="shared" ca="1" si="33"/>
        <v>0.21159267089774614</v>
      </c>
      <c r="P308" s="29">
        <v>0</v>
      </c>
      <c r="R308" s="22">
        <v>44853</v>
      </c>
      <c r="S308" s="26">
        <f t="shared" ca="1" si="34"/>
        <v>0.16937272827840866</v>
      </c>
      <c r="T308" s="29">
        <v>0</v>
      </c>
      <c r="V308" s="22">
        <v>44853</v>
      </c>
      <c r="W308" s="26">
        <f t="shared" ca="1" si="35"/>
        <v>0.99843241457132192</v>
      </c>
      <c r="X308" s="29">
        <v>0</v>
      </c>
      <c r="Z308" s="22">
        <v>44853</v>
      </c>
      <c r="AA308" s="26">
        <f t="shared" ca="1" si="36"/>
        <v>0.4862736268763056</v>
      </c>
      <c r="AB308" s="29">
        <v>0</v>
      </c>
      <c r="AC308"/>
      <c r="AD308" s="25"/>
      <c r="AF308" s="22">
        <v>44853</v>
      </c>
      <c r="AG308" s="26">
        <f t="shared" ca="1" si="37"/>
        <v>0.21468631821166062</v>
      </c>
      <c r="AH308" s="29">
        <v>0</v>
      </c>
      <c r="AJ308" s="22">
        <v>44853</v>
      </c>
      <c r="AK308" s="26">
        <f t="shared" ca="1" si="38"/>
        <v>0.98418469251984231</v>
      </c>
      <c r="AL308" s="29">
        <v>0</v>
      </c>
      <c r="AN308" s="22">
        <v>44853</v>
      </c>
      <c r="AO308" s="26">
        <f t="shared" ca="1" si="39"/>
        <v>0.80028881629378101</v>
      </c>
      <c r="AP308" s="29">
        <v>0</v>
      </c>
      <c r="AR308" s="22">
        <v>44853</v>
      </c>
      <c r="AS308" s="26">
        <f t="shared" ca="1" si="40"/>
        <v>0.51108588651882236</v>
      </c>
      <c r="AT308" s="29">
        <v>0</v>
      </c>
      <c r="AV308" s="22">
        <v>44853</v>
      </c>
      <c r="AW308" s="26">
        <f t="shared" ca="1" si="41"/>
        <v>0.88218569936534585</v>
      </c>
      <c r="AX308" s="29">
        <v>0</v>
      </c>
      <c r="AZ308" s="22">
        <v>44853</v>
      </c>
      <c r="BA308" s="26">
        <f t="shared" ca="1" si="42"/>
        <v>0.36474733225304357</v>
      </c>
      <c r="BB308" s="29">
        <v>0</v>
      </c>
      <c r="BC308"/>
      <c r="BD308" s="25"/>
      <c r="BF308" s="22">
        <v>44853</v>
      </c>
      <c r="BG308" s="26">
        <f t="shared" ca="1" si="43"/>
        <v>0.76589140577407422</v>
      </c>
      <c r="BH308" s="29">
        <v>0</v>
      </c>
      <c r="BJ308" s="22">
        <v>44853</v>
      </c>
      <c r="BK308" s="26">
        <f t="shared" ca="1" si="44"/>
        <v>0.4459383846845455</v>
      </c>
      <c r="BL308" s="29">
        <v>0</v>
      </c>
      <c r="BN308" s="22">
        <v>44853</v>
      </c>
      <c r="BO308" s="26">
        <f t="shared" ca="1" si="45"/>
        <v>0.64058638955508096</v>
      </c>
      <c r="BP308" s="29">
        <v>0</v>
      </c>
      <c r="BR308" s="22">
        <v>44853</v>
      </c>
      <c r="BS308" s="26">
        <f t="shared" ca="1" si="46"/>
        <v>0.10758607780605278</v>
      </c>
      <c r="BT308" s="29">
        <v>0</v>
      </c>
      <c r="BV308" s="22">
        <v>44853</v>
      </c>
      <c r="BW308" s="26">
        <f t="shared" ca="1" si="47"/>
        <v>0.91257212528021614</v>
      </c>
      <c r="BX308" s="29">
        <v>0</v>
      </c>
    </row>
    <row r="309" spans="2:77" ht="12.75" x14ac:dyDescent="0.2">
      <c r="B309" s="22">
        <v>44854</v>
      </c>
      <c r="C309" s="26">
        <f t="shared" ca="1" si="0"/>
        <v>0.11523780965453922</v>
      </c>
      <c r="D309" s="29">
        <v>0</v>
      </c>
      <c r="F309" s="22">
        <v>44854</v>
      </c>
      <c r="G309" s="26">
        <f t="shared" ca="1" si="31"/>
        <v>9.5303488977016904E-2</v>
      </c>
      <c r="H309" s="29">
        <v>0</v>
      </c>
      <c r="J309" s="22">
        <v>44854</v>
      </c>
      <c r="K309" s="26">
        <f t="shared" ca="1" si="32"/>
        <v>0.26437276877949156</v>
      </c>
      <c r="L309" s="29">
        <v>0</v>
      </c>
      <c r="N309" s="22">
        <v>44854</v>
      </c>
      <c r="O309" s="26">
        <f t="shared" ca="1" si="33"/>
        <v>2.6029733334172911E-2</v>
      </c>
      <c r="P309" s="29">
        <v>0</v>
      </c>
      <c r="R309" s="22">
        <v>44854</v>
      </c>
      <c r="S309" s="26">
        <f t="shared" ca="1" si="34"/>
        <v>0.40173242582635049</v>
      </c>
      <c r="T309" s="29">
        <v>0</v>
      </c>
      <c r="V309" s="22">
        <v>44854</v>
      </c>
      <c r="W309" s="26">
        <f t="shared" ca="1" si="35"/>
        <v>0.83870161713531988</v>
      </c>
      <c r="X309" s="29">
        <v>0</v>
      </c>
      <c r="Z309" s="22">
        <v>44854</v>
      </c>
      <c r="AA309" s="26">
        <f t="shared" ca="1" si="36"/>
        <v>0.62760348086422879</v>
      </c>
      <c r="AB309" s="29">
        <v>0</v>
      </c>
      <c r="AC309"/>
      <c r="AD309" s="25"/>
      <c r="AF309" s="22">
        <v>44854</v>
      </c>
      <c r="AG309" s="26">
        <f t="shared" ca="1" si="37"/>
        <v>0.2029831200308021</v>
      </c>
      <c r="AH309" s="29">
        <v>0</v>
      </c>
      <c r="AJ309" s="22">
        <v>44854</v>
      </c>
      <c r="AK309" s="26">
        <f t="shared" ca="1" si="38"/>
        <v>0.28120942008954619</v>
      </c>
      <c r="AL309" s="29">
        <v>0</v>
      </c>
      <c r="AN309" s="22">
        <v>44854</v>
      </c>
      <c r="AO309" s="26">
        <f t="shared" ca="1" si="39"/>
        <v>0.98502037661858433</v>
      </c>
      <c r="AP309" s="29">
        <v>0</v>
      </c>
      <c r="AR309" s="22">
        <v>44854</v>
      </c>
      <c r="AS309" s="26">
        <f t="shared" ca="1" si="40"/>
        <v>0.79029643565768704</v>
      </c>
      <c r="AT309" s="29">
        <v>0</v>
      </c>
      <c r="AV309" s="22">
        <v>44854</v>
      </c>
      <c r="AW309" s="26">
        <f t="shared" ca="1" si="41"/>
        <v>0.47118653263044996</v>
      </c>
      <c r="AX309" s="29">
        <v>0</v>
      </c>
      <c r="AZ309" s="22">
        <v>44854</v>
      </c>
      <c r="BA309" s="26">
        <f t="shared" ca="1" si="42"/>
        <v>4.3325500514825865E-2</v>
      </c>
      <c r="BB309" s="29">
        <v>0</v>
      </c>
      <c r="BC309"/>
      <c r="BD309" s="25"/>
      <c r="BF309" s="22">
        <v>44854</v>
      </c>
      <c r="BG309" s="26">
        <f t="shared" ca="1" si="43"/>
        <v>0.40782721514941911</v>
      </c>
      <c r="BH309" s="29">
        <v>0</v>
      </c>
      <c r="BJ309" s="22">
        <v>44854</v>
      </c>
      <c r="BK309" s="26">
        <f t="shared" ca="1" si="44"/>
        <v>0.60423648365504867</v>
      </c>
      <c r="BL309" s="29">
        <v>0</v>
      </c>
      <c r="BN309" s="22">
        <v>44854</v>
      </c>
      <c r="BO309" s="26">
        <f t="shared" ca="1" si="45"/>
        <v>0.43815716563353824</v>
      </c>
      <c r="BP309" s="29">
        <v>0</v>
      </c>
      <c r="BR309" s="22">
        <v>44854</v>
      </c>
      <c r="BS309" s="26">
        <f t="shared" ca="1" si="46"/>
        <v>0.74652987255065228</v>
      </c>
      <c r="BT309" s="29">
        <v>0</v>
      </c>
      <c r="BV309" s="22">
        <v>44854</v>
      </c>
      <c r="BW309" s="26">
        <f t="shared" ca="1" si="47"/>
        <v>0.14296461135707117</v>
      </c>
      <c r="BX309" s="29">
        <v>0</v>
      </c>
    </row>
    <row r="310" spans="2:77" ht="12.75" x14ac:dyDescent="0.2">
      <c r="B310" s="22">
        <v>44855</v>
      </c>
      <c r="C310" s="26">
        <f t="shared" ca="1" si="0"/>
        <v>0.775375599168031</v>
      </c>
      <c r="D310" s="29">
        <v>0</v>
      </c>
      <c r="F310" s="22">
        <v>44855</v>
      </c>
      <c r="G310" s="26">
        <f t="shared" ca="1" si="31"/>
        <v>0.23643850432329161</v>
      </c>
      <c r="H310" s="29">
        <v>0</v>
      </c>
      <c r="J310" s="22">
        <v>44855</v>
      </c>
      <c r="K310" s="26">
        <f t="shared" ca="1" si="32"/>
        <v>0.89294288426548396</v>
      </c>
      <c r="L310" s="29">
        <v>0</v>
      </c>
      <c r="N310" s="22">
        <v>44855</v>
      </c>
      <c r="O310" s="26">
        <f t="shared" ca="1" si="33"/>
        <v>8.2658378143227629E-2</v>
      </c>
      <c r="P310" s="29">
        <v>0</v>
      </c>
      <c r="R310" s="22">
        <v>44855</v>
      </c>
      <c r="S310" s="26">
        <f t="shared" ca="1" si="34"/>
        <v>0.75606829758287453</v>
      </c>
      <c r="T310" s="29">
        <v>0</v>
      </c>
      <c r="V310" s="22">
        <v>44855</v>
      </c>
      <c r="W310" s="26">
        <f t="shared" ca="1" si="35"/>
        <v>0.6932820777365184</v>
      </c>
      <c r="X310" s="29">
        <v>0</v>
      </c>
      <c r="Z310" s="22">
        <v>44855</v>
      </c>
      <c r="AA310" s="26">
        <f t="shared" ca="1" si="36"/>
        <v>0.2261306687187965</v>
      </c>
      <c r="AB310" s="29">
        <v>0</v>
      </c>
      <c r="AC310"/>
      <c r="AD310" s="25"/>
      <c r="AF310" s="22">
        <v>44855</v>
      </c>
      <c r="AG310" s="26">
        <f t="shared" ca="1" si="37"/>
        <v>0.61790799484973535</v>
      </c>
      <c r="AH310" s="29">
        <v>0</v>
      </c>
      <c r="AJ310" s="22">
        <v>44855</v>
      </c>
      <c r="AK310" s="26">
        <f t="shared" ca="1" si="38"/>
        <v>0.43415558430072632</v>
      </c>
      <c r="AL310" s="29">
        <v>0</v>
      </c>
      <c r="AN310" s="22">
        <v>44855</v>
      </c>
      <c r="AO310" s="26">
        <f t="shared" ca="1" si="39"/>
        <v>0.24699266077620707</v>
      </c>
      <c r="AP310" s="29">
        <v>0</v>
      </c>
      <c r="AR310" s="22">
        <v>44855</v>
      </c>
      <c r="AS310" s="26">
        <f t="shared" ca="1" si="40"/>
        <v>0.70826585029937461</v>
      </c>
      <c r="AT310" s="29">
        <v>0</v>
      </c>
      <c r="AV310" s="22">
        <v>44855</v>
      </c>
      <c r="AW310" s="26">
        <f t="shared" ca="1" si="41"/>
        <v>0.77438403042524295</v>
      </c>
      <c r="AX310" s="29">
        <v>0</v>
      </c>
      <c r="AZ310" s="22">
        <v>44855</v>
      </c>
      <c r="BA310" s="26">
        <f t="shared" ca="1" si="42"/>
        <v>0.71357295801047382</v>
      </c>
      <c r="BB310" s="29">
        <v>0</v>
      </c>
      <c r="BC310"/>
      <c r="BD310" s="25"/>
      <c r="BF310" s="22">
        <v>44855</v>
      </c>
      <c r="BG310" s="26">
        <f t="shared" ca="1" si="43"/>
        <v>0.86060988194057075</v>
      </c>
      <c r="BH310" s="29">
        <v>0</v>
      </c>
      <c r="BJ310" s="22">
        <v>44855</v>
      </c>
      <c r="BK310" s="26">
        <f t="shared" ca="1" si="44"/>
        <v>0.18448823177310036</v>
      </c>
      <c r="BL310" s="29">
        <v>0</v>
      </c>
      <c r="BN310" s="22">
        <v>44855</v>
      </c>
      <c r="BO310" s="26">
        <f t="shared" ca="1" si="45"/>
        <v>0.30478882819297637</v>
      </c>
      <c r="BP310" s="29">
        <v>0</v>
      </c>
      <c r="BR310" s="22">
        <v>44855</v>
      </c>
      <c r="BS310" s="26">
        <f t="shared" ca="1" si="46"/>
        <v>2.9339273686696976E-2</v>
      </c>
      <c r="BT310" s="29">
        <v>0</v>
      </c>
      <c r="BV310" s="22">
        <v>44855</v>
      </c>
      <c r="BW310" s="26">
        <f t="shared" ca="1" si="47"/>
        <v>0.25098627160653442</v>
      </c>
      <c r="BX310" s="29">
        <v>0</v>
      </c>
    </row>
    <row r="311" spans="2:77" ht="12.75" x14ac:dyDescent="0.2">
      <c r="B311" s="22">
        <v>44856</v>
      </c>
      <c r="C311" s="26">
        <f t="shared" ca="1" si="0"/>
        <v>0.86238283821542716</v>
      </c>
      <c r="D311" s="29">
        <v>0</v>
      </c>
      <c r="F311" s="22">
        <v>44856</v>
      </c>
      <c r="G311" s="26">
        <f t="shared" ca="1" si="31"/>
        <v>0.25391423477417596</v>
      </c>
      <c r="H311" s="29">
        <v>0</v>
      </c>
      <c r="J311" s="22">
        <v>44856</v>
      </c>
      <c r="K311" s="26">
        <f t="shared" ca="1" si="32"/>
        <v>0.87943887342759108</v>
      </c>
      <c r="L311" s="29">
        <v>0</v>
      </c>
      <c r="N311" s="22">
        <v>44856</v>
      </c>
      <c r="O311" s="26">
        <f t="shared" ca="1" si="33"/>
        <v>0.81474106962024273</v>
      </c>
      <c r="P311" s="29">
        <v>0</v>
      </c>
      <c r="R311" s="22">
        <v>44856</v>
      </c>
      <c r="S311" s="26">
        <f t="shared" ca="1" si="34"/>
        <v>0.68160886045049041</v>
      </c>
      <c r="T311" s="29">
        <v>0</v>
      </c>
      <c r="V311" s="22">
        <v>44856</v>
      </c>
      <c r="W311" s="26">
        <f t="shared" ca="1" si="35"/>
        <v>0.81719173605606099</v>
      </c>
      <c r="X311" s="29">
        <v>0</v>
      </c>
      <c r="Z311" s="22">
        <v>44856</v>
      </c>
      <c r="AA311" s="26">
        <f t="shared" ca="1" si="36"/>
        <v>0.78579723947288627</v>
      </c>
      <c r="AB311" s="29">
        <v>0</v>
      </c>
      <c r="AC311"/>
      <c r="AD311" s="25"/>
      <c r="AF311" s="22">
        <v>44856</v>
      </c>
      <c r="AG311" s="26">
        <f t="shared" ca="1" si="37"/>
        <v>0.12731025256332418</v>
      </c>
      <c r="AH311" s="29">
        <v>0</v>
      </c>
      <c r="AJ311" s="22">
        <v>44856</v>
      </c>
      <c r="AK311" s="26">
        <f t="shared" ca="1" si="38"/>
        <v>0.3702598581481531</v>
      </c>
      <c r="AL311" s="29">
        <v>0</v>
      </c>
      <c r="AN311" s="22">
        <v>44856</v>
      </c>
      <c r="AO311" s="26">
        <f t="shared" ca="1" si="39"/>
        <v>0.27159177708234494</v>
      </c>
      <c r="AP311" s="29">
        <v>0</v>
      </c>
      <c r="AR311" s="22">
        <v>44856</v>
      </c>
      <c r="AS311" s="26">
        <f t="shared" ca="1" si="40"/>
        <v>0.8801954387944676</v>
      </c>
      <c r="AT311" s="29">
        <v>0</v>
      </c>
      <c r="AV311" s="22">
        <v>44856</v>
      </c>
      <c r="AW311" s="26">
        <f t="shared" ca="1" si="41"/>
        <v>0.65731859698979267</v>
      </c>
      <c r="AX311" s="29">
        <v>0</v>
      </c>
      <c r="AZ311" s="22">
        <v>44856</v>
      </c>
      <c r="BA311" s="26">
        <f t="shared" ca="1" si="42"/>
        <v>0.37145074881580242</v>
      </c>
      <c r="BB311" s="29">
        <v>0</v>
      </c>
      <c r="BC311"/>
      <c r="BD311" s="25"/>
      <c r="BF311" s="22">
        <v>44856</v>
      </c>
      <c r="BG311" s="26">
        <f t="shared" ca="1" si="43"/>
        <v>0.97688170856148016</v>
      </c>
      <c r="BH311" s="29">
        <v>0</v>
      </c>
      <c r="BJ311" s="22">
        <v>44856</v>
      </c>
      <c r="BK311" s="26">
        <f t="shared" ca="1" si="44"/>
        <v>0.96437998588026574</v>
      </c>
      <c r="BL311" s="29">
        <v>0</v>
      </c>
      <c r="BN311" s="22">
        <v>44856</v>
      </c>
      <c r="BO311" s="26">
        <f t="shared" ca="1" si="45"/>
        <v>0.4257417330735267</v>
      </c>
      <c r="BP311" s="29">
        <v>0</v>
      </c>
      <c r="BR311" s="22">
        <v>44856</v>
      </c>
      <c r="BS311" s="26">
        <f t="shared" ca="1" si="46"/>
        <v>0.60126267952389756</v>
      </c>
      <c r="BT311" s="29">
        <v>0</v>
      </c>
      <c r="BV311" s="22">
        <v>44856</v>
      </c>
      <c r="BW311" s="26">
        <f t="shared" ca="1" si="47"/>
        <v>0.58551213681435743</v>
      </c>
      <c r="BX311" s="29">
        <v>0</v>
      </c>
    </row>
    <row r="312" spans="2:77" ht="12.75" x14ac:dyDescent="0.2">
      <c r="B312" s="22">
        <v>44857</v>
      </c>
      <c r="C312" s="26">
        <f t="shared" ca="1" si="0"/>
        <v>0.83842002124156423</v>
      </c>
      <c r="D312" s="29">
        <v>0</v>
      </c>
      <c r="F312" s="22">
        <v>44857</v>
      </c>
      <c r="G312" s="26">
        <f t="shared" ca="1" si="31"/>
        <v>0.88908028075625267</v>
      </c>
      <c r="H312" s="29">
        <v>0</v>
      </c>
      <c r="J312" s="22">
        <v>44857</v>
      </c>
      <c r="K312" s="26">
        <f t="shared" ca="1" si="32"/>
        <v>0.94992384799323826</v>
      </c>
      <c r="L312" s="29">
        <v>0</v>
      </c>
      <c r="N312" s="22">
        <v>44857</v>
      </c>
      <c r="O312" s="26">
        <f t="shared" ca="1" si="33"/>
        <v>0.78091273404839112</v>
      </c>
      <c r="P312" s="29">
        <v>0</v>
      </c>
      <c r="R312" s="22">
        <v>44857</v>
      </c>
      <c r="S312" s="26">
        <f t="shared" ca="1" si="34"/>
        <v>0.7702981520545531</v>
      </c>
      <c r="T312" s="29">
        <v>0</v>
      </c>
      <c r="V312" s="22">
        <v>44857</v>
      </c>
      <c r="W312" s="26">
        <f t="shared" ca="1" si="35"/>
        <v>0.89182305305326282</v>
      </c>
      <c r="X312" s="29">
        <v>0</v>
      </c>
      <c r="Z312" s="22">
        <v>44857</v>
      </c>
      <c r="AA312" s="26">
        <f t="shared" ca="1" si="36"/>
        <v>8.8867800484071835E-2</v>
      </c>
      <c r="AB312" s="29">
        <v>0</v>
      </c>
      <c r="AC312"/>
      <c r="AD312" s="25"/>
      <c r="AF312" s="22">
        <v>44857</v>
      </c>
      <c r="AG312" s="26">
        <f t="shared" ca="1" si="37"/>
        <v>0.91264853578897775</v>
      </c>
      <c r="AH312" s="29">
        <v>0</v>
      </c>
      <c r="AJ312" s="22">
        <v>44857</v>
      </c>
      <c r="AK312" s="26">
        <f t="shared" ca="1" si="38"/>
        <v>0.57795500354187257</v>
      </c>
      <c r="AL312" s="29">
        <v>0</v>
      </c>
      <c r="AN312" s="22">
        <v>44857</v>
      </c>
      <c r="AO312" s="26">
        <f t="shared" ca="1" si="39"/>
        <v>0.44041935759842066</v>
      </c>
      <c r="AP312" s="29">
        <v>0</v>
      </c>
      <c r="AR312" s="22">
        <v>44857</v>
      </c>
      <c r="AS312" s="26">
        <f t="shared" ca="1" si="40"/>
        <v>0.87999013195654019</v>
      </c>
      <c r="AT312" s="29">
        <v>0</v>
      </c>
      <c r="AV312" s="22">
        <v>44857</v>
      </c>
      <c r="AW312" s="26">
        <f t="shared" ca="1" si="41"/>
        <v>0.94393985456227114</v>
      </c>
      <c r="AX312" s="29">
        <v>0</v>
      </c>
      <c r="AZ312" s="22">
        <v>44857</v>
      </c>
      <c r="BA312" s="26">
        <f t="shared" ca="1" si="42"/>
        <v>0.71893154002773552</v>
      </c>
      <c r="BB312" s="29">
        <v>0</v>
      </c>
      <c r="BC312"/>
      <c r="BD312" s="25"/>
      <c r="BF312" s="22">
        <v>44857</v>
      </c>
      <c r="BG312" s="26">
        <f t="shared" ca="1" si="43"/>
        <v>0.82019594094977455</v>
      </c>
      <c r="BH312" s="29">
        <v>0</v>
      </c>
      <c r="BJ312" s="22">
        <v>44857</v>
      </c>
      <c r="BK312" s="26">
        <f t="shared" ca="1" si="44"/>
        <v>0.13595550123666456</v>
      </c>
      <c r="BL312" s="29">
        <v>0</v>
      </c>
      <c r="BN312" s="22">
        <v>44857</v>
      </c>
      <c r="BO312" s="26">
        <f t="shared" ca="1" si="45"/>
        <v>0.13297875454943486</v>
      </c>
      <c r="BP312" s="29">
        <v>0</v>
      </c>
      <c r="BR312" s="22">
        <v>44857</v>
      </c>
      <c r="BS312" s="26">
        <f t="shared" ca="1" si="46"/>
        <v>0.86336762849701132</v>
      </c>
      <c r="BT312" s="29">
        <v>0</v>
      </c>
      <c r="BV312" s="22">
        <v>44857</v>
      </c>
      <c r="BW312" s="26">
        <f t="shared" ca="1" si="47"/>
        <v>0.12953413679790104</v>
      </c>
      <c r="BX312" s="29">
        <v>0</v>
      </c>
    </row>
    <row r="313" spans="2:77" ht="12.75" x14ac:dyDescent="0.2">
      <c r="B313" s="22">
        <v>44858</v>
      </c>
      <c r="C313" s="26">
        <f t="shared" ca="1" si="0"/>
        <v>0.30247492393598208</v>
      </c>
      <c r="D313" s="29">
        <v>0</v>
      </c>
      <c r="F313" s="22">
        <v>44858</v>
      </c>
      <c r="G313" s="26">
        <f t="shared" ca="1" si="31"/>
        <v>0.19576518539726973</v>
      </c>
      <c r="H313" s="29">
        <v>0</v>
      </c>
      <c r="J313" s="22">
        <v>44858</v>
      </c>
      <c r="K313" s="26">
        <f t="shared" ca="1" si="32"/>
        <v>0.67481613436813137</v>
      </c>
      <c r="L313" s="29">
        <v>0</v>
      </c>
      <c r="N313" s="22">
        <v>44858</v>
      </c>
      <c r="O313" s="26">
        <f t="shared" ca="1" si="33"/>
        <v>0.4009596901547221</v>
      </c>
      <c r="P313" s="29">
        <v>0</v>
      </c>
      <c r="R313" s="22">
        <v>44858</v>
      </c>
      <c r="S313" s="26">
        <f t="shared" ca="1" si="34"/>
        <v>0.61145926615846735</v>
      </c>
      <c r="T313" s="29">
        <v>0</v>
      </c>
      <c r="V313" s="22">
        <v>44858</v>
      </c>
      <c r="W313" s="26">
        <f t="shared" ca="1" si="35"/>
        <v>0.22320083507178667</v>
      </c>
      <c r="X313" s="29">
        <v>0</v>
      </c>
      <c r="Z313" s="22">
        <v>44858</v>
      </c>
      <c r="AA313" s="26">
        <f t="shared" ca="1" si="36"/>
        <v>0.4636219904760126</v>
      </c>
      <c r="AB313" s="29">
        <v>0</v>
      </c>
      <c r="AC313"/>
      <c r="AD313" s="25"/>
      <c r="AF313" s="22">
        <v>44858</v>
      </c>
      <c r="AG313" s="26">
        <f t="shared" ca="1" si="37"/>
        <v>0.96366289338361677</v>
      </c>
      <c r="AH313" s="29">
        <v>0</v>
      </c>
      <c r="AJ313" s="22">
        <v>44858</v>
      </c>
      <c r="AK313" s="26">
        <f t="shared" ca="1" si="38"/>
        <v>0.23895817844943157</v>
      </c>
      <c r="AL313" s="29">
        <v>0</v>
      </c>
      <c r="AN313" s="22">
        <v>44858</v>
      </c>
      <c r="AO313" s="26">
        <f t="shared" ca="1" si="39"/>
        <v>8.8507272162855366E-2</v>
      </c>
      <c r="AP313" s="29">
        <v>0</v>
      </c>
      <c r="AR313" s="22">
        <v>44858</v>
      </c>
      <c r="AS313" s="26">
        <f t="shared" ca="1" si="40"/>
        <v>2.0355982455683153E-2</v>
      </c>
      <c r="AT313" s="29">
        <v>0</v>
      </c>
      <c r="AV313" s="22">
        <v>44858</v>
      </c>
      <c r="AW313" s="26">
        <f t="shared" ca="1" si="41"/>
        <v>0.73703870694707452</v>
      </c>
      <c r="AX313" s="29">
        <v>0</v>
      </c>
      <c r="AZ313" s="22">
        <v>44858</v>
      </c>
      <c r="BA313" s="26">
        <f t="shared" ca="1" si="42"/>
        <v>0.43297347047574852</v>
      </c>
      <c r="BB313" s="29">
        <v>0</v>
      </c>
      <c r="BC313"/>
      <c r="BD313" s="25"/>
      <c r="BF313" s="22">
        <v>44858</v>
      </c>
      <c r="BG313" s="26">
        <f t="shared" ca="1" si="43"/>
        <v>0.44567138694372677</v>
      </c>
      <c r="BH313" s="29">
        <v>0</v>
      </c>
      <c r="BJ313" s="22">
        <v>44858</v>
      </c>
      <c r="BK313" s="26">
        <f t="shared" ca="1" si="44"/>
        <v>9.296208329137734E-2</v>
      </c>
      <c r="BL313" s="29">
        <v>0</v>
      </c>
      <c r="BN313" s="22">
        <v>44858</v>
      </c>
      <c r="BO313" s="26">
        <f t="shared" ca="1" si="45"/>
        <v>5.1961937336654551E-2</v>
      </c>
      <c r="BP313" s="29">
        <v>0</v>
      </c>
      <c r="BR313" s="22">
        <v>44858</v>
      </c>
      <c r="BS313" s="26">
        <f t="shared" ca="1" si="46"/>
        <v>0.58046402685789156</v>
      </c>
      <c r="BT313" s="29">
        <v>0</v>
      </c>
      <c r="BV313" s="22">
        <v>44858</v>
      </c>
      <c r="BW313" s="26">
        <f t="shared" ca="1" si="47"/>
        <v>0.38037669511338756</v>
      </c>
      <c r="BX313" s="29">
        <v>0</v>
      </c>
    </row>
    <row r="314" spans="2:77" ht="12.75" x14ac:dyDescent="0.2">
      <c r="B314" s="22">
        <v>44859</v>
      </c>
      <c r="C314" s="26">
        <f t="shared" ca="1" si="0"/>
        <v>0.83212981312656831</v>
      </c>
      <c r="D314" s="29">
        <v>0</v>
      </c>
      <c r="F314" s="22">
        <v>44859</v>
      </c>
      <c r="G314" s="26">
        <f t="shared" ca="1" si="31"/>
        <v>0.40197704170456172</v>
      </c>
      <c r="H314" s="29">
        <v>0</v>
      </c>
      <c r="J314" s="22">
        <v>44859</v>
      </c>
      <c r="K314" s="26">
        <f t="shared" ca="1" si="32"/>
        <v>0.12617902113182333</v>
      </c>
      <c r="L314" s="29">
        <v>0</v>
      </c>
      <c r="N314" s="22">
        <v>44859</v>
      </c>
      <c r="O314" s="26">
        <f t="shared" ca="1" si="33"/>
        <v>0.37990358058772933</v>
      </c>
      <c r="P314" s="29">
        <v>0</v>
      </c>
      <c r="R314" s="22">
        <v>44859</v>
      </c>
      <c r="S314" s="26">
        <f t="shared" ca="1" si="34"/>
        <v>0.45767974337406714</v>
      </c>
      <c r="T314" s="29">
        <v>0</v>
      </c>
      <c r="V314" s="22">
        <v>44859</v>
      </c>
      <c r="W314" s="26">
        <f t="shared" ca="1" si="35"/>
        <v>0.16989407557503367</v>
      </c>
      <c r="X314" s="29">
        <v>0</v>
      </c>
      <c r="Z314" s="22">
        <v>44859</v>
      </c>
      <c r="AA314" s="26">
        <f t="shared" ca="1" si="36"/>
        <v>0.75576130684682408</v>
      </c>
      <c r="AB314" s="29">
        <v>0</v>
      </c>
      <c r="AC314"/>
      <c r="AD314" s="25"/>
      <c r="AF314" s="22">
        <v>44859</v>
      </c>
      <c r="AG314" s="26">
        <f t="shared" ca="1" si="37"/>
        <v>0.70762676282468173</v>
      </c>
      <c r="AH314" s="29">
        <v>0</v>
      </c>
      <c r="AJ314" s="22">
        <v>44859</v>
      </c>
      <c r="AK314" s="26">
        <f t="shared" ca="1" si="38"/>
        <v>0.46356926619076366</v>
      </c>
      <c r="AL314" s="29">
        <v>0</v>
      </c>
      <c r="AN314" s="22">
        <v>44859</v>
      </c>
      <c r="AO314" s="26">
        <f t="shared" ca="1" si="39"/>
        <v>0.18115277665007512</v>
      </c>
      <c r="AP314" s="29">
        <v>0</v>
      </c>
      <c r="AR314" s="22">
        <v>44859</v>
      </c>
      <c r="AS314" s="26">
        <f t="shared" ca="1" si="40"/>
        <v>5.4842759436964594E-2</v>
      </c>
      <c r="AT314" s="29">
        <v>0</v>
      </c>
      <c r="AV314" s="22">
        <v>44859</v>
      </c>
      <c r="AW314" s="26">
        <f t="shared" ca="1" si="41"/>
        <v>0.63705937751464425</v>
      </c>
      <c r="AX314" s="29">
        <v>0</v>
      </c>
      <c r="AZ314" s="22">
        <v>44859</v>
      </c>
      <c r="BA314" s="26">
        <f t="shared" ca="1" si="42"/>
        <v>0.4495107496822095</v>
      </c>
      <c r="BB314" s="29">
        <v>0</v>
      </c>
      <c r="BC314"/>
      <c r="BD314" s="25"/>
      <c r="BF314" s="22">
        <v>44859</v>
      </c>
      <c r="BG314" s="26">
        <f t="shared" ca="1" si="43"/>
        <v>0.37304137907720658</v>
      </c>
      <c r="BH314" s="29">
        <v>0</v>
      </c>
      <c r="BJ314" s="22">
        <v>44859</v>
      </c>
      <c r="BK314" s="26">
        <f t="shared" ca="1" si="44"/>
        <v>3.0416461598612443E-3</v>
      </c>
      <c r="BL314" s="29">
        <v>0</v>
      </c>
      <c r="BN314" s="22">
        <v>44859</v>
      </c>
      <c r="BO314" s="26">
        <f t="shared" ca="1" si="45"/>
        <v>0.81210006648892874</v>
      </c>
      <c r="BP314" s="29">
        <v>0</v>
      </c>
      <c r="BR314" s="22">
        <v>44859</v>
      </c>
      <c r="BS314" s="26">
        <f t="shared" ca="1" si="46"/>
        <v>0.82061770734987194</v>
      </c>
      <c r="BT314" s="29">
        <v>0</v>
      </c>
      <c r="BV314" s="22">
        <v>44859</v>
      </c>
      <c r="BW314" s="26">
        <f t="shared" ca="1" si="47"/>
        <v>0.83369536978457004</v>
      </c>
      <c r="BX314" s="29">
        <v>0</v>
      </c>
    </row>
    <row r="315" spans="2:77" ht="12.75" x14ac:dyDescent="0.2">
      <c r="B315" s="22">
        <v>44860</v>
      </c>
      <c r="C315" s="26">
        <f t="shared" ca="1" si="0"/>
        <v>0.11876436582228522</v>
      </c>
      <c r="D315" s="29">
        <f t="shared" ca="1" si="48"/>
        <v>52</v>
      </c>
      <c r="F315" s="22">
        <v>44860</v>
      </c>
      <c r="G315" s="26">
        <f t="shared" ca="1" si="31"/>
        <v>6.9101226342518363E-3</v>
      </c>
      <c r="H315" s="29">
        <f t="shared" ca="1" si="27"/>
        <v>181</v>
      </c>
      <c r="J315" s="22">
        <v>44860</v>
      </c>
      <c r="K315" s="26">
        <f t="shared" ca="1" si="32"/>
        <v>0.50249603653490815</v>
      </c>
      <c r="L315" s="29">
        <f t="shared" ca="1" si="28"/>
        <v>151</v>
      </c>
      <c r="N315" s="22">
        <v>44860</v>
      </c>
      <c r="O315" s="26">
        <f t="shared" ca="1" si="33"/>
        <v>0.8905707325362523</v>
      </c>
      <c r="P315" s="29">
        <f t="shared" ca="1" si="29"/>
        <v>249</v>
      </c>
      <c r="R315" s="22">
        <v>44860</v>
      </c>
      <c r="S315" s="26">
        <f t="shared" ca="1" si="34"/>
        <v>8.9776617266569159E-2</v>
      </c>
      <c r="T315" s="29">
        <f t="shared" ca="1" si="30"/>
        <v>127</v>
      </c>
      <c r="V315" s="22">
        <v>44860</v>
      </c>
      <c r="W315" s="26">
        <f t="shared" ca="1" si="35"/>
        <v>0.64186158967161933</v>
      </c>
      <c r="X315" s="29">
        <v>0</v>
      </c>
      <c r="Z315" s="22">
        <v>44860</v>
      </c>
      <c r="AA315" s="26">
        <f t="shared" ca="1" si="36"/>
        <v>0.56856754341414906</v>
      </c>
      <c r="AB315" s="29">
        <v>0</v>
      </c>
      <c r="AC315"/>
      <c r="AD315" s="25"/>
      <c r="AF315" s="22">
        <v>44860</v>
      </c>
      <c r="AG315" s="26">
        <f t="shared" ca="1" si="37"/>
        <v>0.87910084335514782</v>
      </c>
      <c r="AH315" s="29">
        <v>0</v>
      </c>
      <c r="AJ315" s="22">
        <v>44860</v>
      </c>
      <c r="AK315" s="26">
        <f t="shared" ca="1" si="38"/>
        <v>0.65814109353496364</v>
      </c>
      <c r="AL315" s="29">
        <v>0</v>
      </c>
      <c r="AN315" s="22">
        <v>44860</v>
      </c>
      <c r="AO315" s="26">
        <f t="shared" ca="1" si="39"/>
        <v>2.7340037309454113E-2</v>
      </c>
      <c r="AP315" s="29">
        <v>0</v>
      </c>
      <c r="AR315" s="22">
        <v>44860</v>
      </c>
      <c r="AS315" s="26">
        <f t="shared" ca="1" si="40"/>
        <v>0.78816973650988398</v>
      </c>
      <c r="AT315" s="29">
        <v>0</v>
      </c>
      <c r="AV315" s="22">
        <v>44860</v>
      </c>
      <c r="AW315" s="26">
        <f t="shared" ca="1" si="41"/>
        <v>0.41874690378447865</v>
      </c>
      <c r="AX315" s="29">
        <v>0</v>
      </c>
      <c r="AZ315" s="22">
        <v>44860</v>
      </c>
      <c r="BA315" s="26">
        <f t="shared" ca="1" si="42"/>
        <v>0.62743480214392533</v>
      </c>
      <c r="BB315" s="29">
        <v>0</v>
      </c>
      <c r="BC315"/>
      <c r="BD315" s="25"/>
      <c r="BF315" s="22">
        <v>44860</v>
      </c>
      <c r="BG315" s="26">
        <f t="shared" ca="1" si="43"/>
        <v>0.44213485959391219</v>
      </c>
      <c r="BH315" s="29">
        <v>0</v>
      </c>
      <c r="BJ315" s="22">
        <v>44860</v>
      </c>
      <c r="BK315" s="26">
        <f t="shared" ca="1" si="44"/>
        <v>0.94814695384087011</v>
      </c>
      <c r="BL315" s="29">
        <v>0</v>
      </c>
      <c r="BN315" s="22">
        <v>44860</v>
      </c>
      <c r="BO315" s="26">
        <f t="shared" ca="1" si="45"/>
        <v>0.53166130071624618</v>
      </c>
      <c r="BP315" s="29">
        <v>0</v>
      </c>
      <c r="BR315" s="22">
        <v>44860</v>
      </c>
      <c r="BS315" s="26">
        <f t="shared" ca="1" si="46"/>
        <v>0.90380895671776207</v>
      </c>
      <c r="BT315" s="29">
        <v>0</v>
      </c>
      <c r="BV315" s="22">
        <v>44860</v>
      </c>
      <c r="BW315" s="26">
        <f t="shared" ca="1" si="47"/>
        <v>0.88689277810710698</v>
      </c>
      <c r="BX315" s="29">
        <v>0</v>
      </c>
    </row>
    <row r="316" spans="2:77" ht="12.75" x14ac:dyDescent="0.2">
      <c r="B316" s="22">
        <v>44861</v>
      </c>
      <c r="C316" s="26">
        <f t="shared" ca="1" si="0"/>
        <v>0.30218057447800417</v>
      </c>
      <c r="D316" s="29">
        <f t="shared" ca="1" si="48"/>
        <v>65</v>
      </c>
      <c r="F316" s="22">
        <v>44861</v>
      </c>
      <c r="G316" s="26">
        <f t="shared" ca="1" si="31"/>
        <v>0.51298062796453225</v>
      </c>
      <c r="H316" s="29">
        <f t="shared" ca="1" si="27"/>
        <v>216</v>
      </c>
      <c r="J316" s="22">
        <v>44861</v>
      </c>
      <c r="K316" s="26">
        <f t="shared" ca="1" si="32"/>
        <v>0.33646914717244869</v>
      </c>
      <c r="L316" s="29">
        <f t="shared" ca="1" si="28"/>
        <v>146</v>
      </c>
      <c r="N316" s="22">
        <v>44861</v>
      </c>
      <c r="O316" s="26">
        <f t="shared" ca="1" si="33"/>
        <v>0.73554357180771301</v>
      </c>
      <c r="P316" s="29">
        <f t="shared" ca="1" si="29"/>
        <v>239</v>
      </c>
      <c r="R316" s="22">
        <v>44861</v>
      </c>
      <c r="S316" s="26">
        <f t="shared" ca="1" si="34"/>
        <v>0.60024426069969616</v>
      </c>
      <c r="T316" s="29">
        <f t="shared" ca="1" si="30"/>
        <v>142</v>
      </c>
      <c r="V316" s="22">
        <v>44861</v>
      </c>
      <c r="W316" s="26">
        <f t="shared" ca="1" si="35"/>
        <v>0.67464990880462716</v>
      </c>
      <c r="X316" s="29">
        <v>0</v>
      </c>
      <c r="Z316" s="22">
        <v>44861</v>
      </c>
      <c r="AA316" s="26">
        <f t="shared" ca="1" si="36"/>
        <v>0.41702590017762065</v>
      </c>
      <c r="AB316" s="29">
        <v>0</v>
      </c>
      <c r="AC316"/>
      <c r="AD316" s="25"/>
      <c r="AF316" s="22">
        <v>44861</v>
      </c>
      <c r="AG316" s="26">
        <f t="shared" ca="1" si="37"/>
        <v>0.53078256696094095</v>
      </c>
      <c r="AH316" s="29">
        <v>0</v>
      </c>
      <c r="AJ316" s="22">
        <v>44861</v>
      </c>
      <c r="AK316" s="26">
        <f t="shared" ca="1" si="38"/>
        <v>0.38189001773035869</v>
      </c>
      <c r="AL316" s="29">
        <v>0</v>
      </c>
      <c r="AN316" s="22">
        <v>44861</v>
      </c>
      <c r="AO316" s="26">
        <f t="shared" ca="1" si="39"/>
        <v>0.6867993779555186</v>
      </c>
      <c r="AP316" s="29">
        <v>0</v>
      </c>
      <c r="AR316" s="22">
        <v>44861</v>
      </c>
      <c r="AS316" s="26">
        <f t="shared" ca="1" si="40"/>
        <v>0.42114841267197345</v>
      </c>
      <c r="AT316" s="29">
        <v>0</v>
      </c>
      <c r="AV316" s="22">
        <v>44861</v>
      </c>
      <c r="AW316" s="26">
        <f t="shared" ca="1" si="41"/>
        <v>0.86110668825529046</v>
      </c>
      <c r="AX316" s="29">
        <v>0</v>
      </c>
      <c r="AZ316" s="22">
        <v>44861</v>
      </c>
      <c r="BA316" s="26">
        <f t="shared" ca="1" si="42"/>
        <v>7.134316969645893E-2</v>
      </c>
      <c r="BB316" s="29">
        <v>0</v>
      </c>
      <c r="BC316"/>
      <c r="BD316" s="25"/>
      <c r="BF316" s="22">
        <v>44861</v>
      </c>
      <c r="BG316" s="26">
        <f t="shared" ca="1" si="43"/>
        <v>0.62734114621934323</v>
      </c>
      <c r="BH316" s="29">
        <v>0</v>
      </c>
      <c r="BJ316" s="22">
        <v>44861</v>
      </c>
      <c r="BK316" s="26">
        <f t="shared" ca="1" si="44"/>
        <v>5.3377080622801332E-2</v>
      </c>
      <c r="BL316" s="29">
        <v>0</v>
      </c>
      <c r="BN316" s="22">
        <v>44861</v>
      </c>
      <c r="BO316" s="26">
        <f t="shared" ca="1" si="45"/>
        <v>0.5574198562004874</v>
      </c>
      <c r="BP316" s="29">
        <v>0</v>
      </c>
      <c r="BR316" s="22">
        <v>44861</v>
      </c>
      <c r="BS316" s="26">
        <f t="shared" ca="1" si="46"/>
        <v>0.88394614121660409</v>
      </c>
      <c r="BT316" s="29">
        <v>0</v>
      </c>
      <c r="BV316" s="22">
        <v>44861</v>
      </c>
      <c r="BW316" s="26">
        <f t="shared" ca="1" si="47"/>
        <v>0.27939897981909201</v>
      </c>
      <c r="BX316" s="29">
        <v>0</v>
      </c>
    </row>
    <row r="317" spans="2:77" ht="12.75" x14ac:dyDescent="0.2">
      <c r="B317" s="22">
        <v>44862</v>
      </c>
      <c r="C317" s="26">
        <f t="shared" ca="1" si="0"/>
        <v>0.12925173892664132</v>
      </c>
      <c r="D317" s="29">
        <f t="shared" ca="1" si="48"/>
        <v>53</v>
      </c>
      <c r="F317" s="22">
        <v>44862</v>
      </c>
      <c r="G317" s="26">
        <f t="shared" ca="1" si="31"/>
        <v>0.11509341446765808</v>
      </c>
      <c r="H317" s="29">
        <f t="shared" ca="1" si="27"/>
        <v>199</v>
      </c>
      <c r="J317" s="22">
        <v>44862</v>
      </c>
      <c r="K317" s="26">
        <f t="shared" ca="1" si="32"/>
        <v>0.98811479628556997</v>
      </c>
      <c r="L317" s="29">
        <f t="shared" ca="1" si="28"/>
        <v>173</v>
      </c>
      <c r="N317" s="22">
        <v>44862</v>
      </c>
      <c r="O317" s="26">
        <f t="shared" ca="1" si="33"/>
        <v>0.39343936184275763</v>
      </c>
      <c r="P317" s="29">
        <f t="shared" ca="1" si="29"/>
        <v>226</v>
      </c>
      <c r="R317" s="22">
        <v>44862</v>
      </c>
      <c r="S317" s="26">
        <f t="shared" ca="1" si="34"/>
        <v>0.90971504117514457</v>
      </c>
      <c r="T317" s="29">
        <f t="shared" ca="1" si="30"/>
        <v>152</v>
      </c>
      <c r="V317" s="22">
        <v>44862</v>
      </c>
      <c r="W317" s="26">
        <f t="shared" ca="1" si="35"/>
        <v>4.148475395329887E-2</v>
      </c>
      <c r="X317" s="29">
        <v>0</v>
      </c>
      <c r="Z317" s="22">
        <v>44862</v>
      </c>
      <c r="AA317" s="26">
        <f t="shared" ca="1" si="36"/>
        <v>0.84038515861483576</v>
      </c>
      <c r="AB317" s="29">
        <v>0</v>
      </c>
      <c r="AC317"/>
      <c r="AD317" s="25"/>
      <c r="AF317" s="22">
        <v>44862</v>
      </c>
      <c r="AG317" s="26">
        <f t="shared" ca="1" si="37"/>
        <v>0.43250022491180384</v>
      </c>
      <c r="AH317" s="29">
        <v>0</v>
      </c>
      <c r="AJ317" s="22">
        <v>44862</v>
      </c>
      <c r="AK317" s="26">
        <f t="shared" ca="1" si="38"/>
        <v>0.20176734197450419</v>
      </c>
      <c r="AL317" s="29">
        <v>0</v>
      </c>
      <c r="AN317" s="22">
        <v>44862</v>
      </c>
      <c r="AO317" s="26">
        <f t="shared" ca="1" si="39"/>
        <v>0.66990690326313107</v>
      </c>
      <c r="AP317" s="29">
        <v>0</v>
      </c>
      <c r="AR317" s="22">
        <v>44862</v>
      </c>
      <c r="AS317" s="26">
        <f t="shared" ca="1" si="40"/>
        <v>0.65218299606494101</v>
      </c>
      <c r="AT317" s="29">
        <v>0</v>
      </c>
      <c r="AV317" s="22">
        <v>44862</v>
      </c>
      <c r="AW317" s="26">
        <f t="shared" ca="1" si="41"/>
        <v>0.11427197959707069</v>
      </c>
      <c r="AX317" s="29">
        <v>0</v>
      </c>
      <c r="AZ317" s="22">
        <v>44862</v>
      </c>
      <c r="BA317" s="26">
        <f t="shared" ca="1" si="42"/>
        <v>8.2085928429476152E-2</v>
      </c>
      <c r="BB317" s="29">
        <v>0</v>
      </c>
      <c r="BC317"/>
      <c r="BD317" s="25"/>
      <c r="BF317" s="22">
        <v>44862</v>
      </c>
      <c r="BG317" s="26">
        <f t="shared" ca="1" si="43"/>
        <v>0.52683249056493786</v>
      </c>
      <c r="BH317" s="29">
        <v>0</v>
      </c>
      <c r="BJ317" s="22">
        <v>44862</v>
      </c>
      <c r="BK317" s="26">
        <f t="shared" ca="1" si="44"/>
        <v>0.62184477328245824</v>
      </c>
      <c r="BL317" s="29">
        <v>0</v>
      </c>
      <c r="BN317" s="22">
        <v>44862</v>
      </c>
      <c r="BO317" s="26">
        <f t="shared" ca="1" si="45"/>
        <v>0.32630807214867219</v>
      </c>
      <c r="BP317" s="29">
        <v>0</v>
      </c>
      <c r="BR317" s="22">
        <v>44862</v>
      </c>
      <c r="BS317" s="26">
        <f t="shared" ca="1" si="46"/>
        <v>0.18359671403113498</v>
      </c>
      <c r="BT317" s="29">
        <v>0</v>
      </c>
      <c r="BV317" s="22">
        <v>44862</v>
      </c>
      <c r="BW317" s="26">
        <f t="shared" ca="1" si="47"/>
        <v>8.7042448319454846E-2</v>
      </c>
      <c r="BX317" s="29">
        <v>0</v>
      </c>
    </row>
    <row r="318" spans="2:77" ht="12.75" x14ac:dyDescent="0.2">
      <c r="B318" s="22">
        <v>44863</v>
      </c>
      <c r="C318" s="26">
        <f t="shared" ca="1" si="0"/>
        <v>0.37320585868694789</v>
      </c>
      <c r="D318" s="29">
        <f t="shared" ca="1" si="48"/>
        <v>69</v>
      </c>
      <c r="F318" s="22">
        <v>44863</v>
      </c>
      <c r="G318" s="26">
        <f t="shared" ca="1" si="31"/>
        <v>0.67642292604887855</v>
      </c>
      <c r="H318" s="29">
        <f t="shared" ca="1" si="27"/>
        <v>222</v>
      </c>
      <c r="J318" s="22">
        <v>44863</v>
      </c>
      <c r="K318" s="26">
        <f t="shared" ca="1" si="32"/>
        <v>0.76331693092258479</v>
      </c>
      <c r="L318" s="29">
        <f t="shared" ca="1" si="28"/>
        <v>158</v>
      </c>
      <c r="N318" s="22">
        <v>44863</v>
      </c>
      <c r="O318" s="26">
        <f t="shared" ca="1" si="33"/>
        <v>0.3044495498479407</v>
      </c>
      <c r="P318" s="29">
        <f t="shared" ca="1" si="29"/>
        <v>222</v>
      </c>
      <c r="R318" s="22">
        <v>44863</v>
      </c>
      <c r="S318" s="26">
        <f t="shared" ca="1" si="34"/>
        <v>0.64048289991005503</v>
      </c>
      <c r="T318" s="29">
        <f t="shared" ca="1" si="30"/>
        <v>143</v>
      </c>
      <c r="V318" s="22">
        <v>44863</v>
      </c>
      <c r="W318" s="26">
        <f t="shared" ca="1" si="35"/>
        <v>0.80976119679914138</v>
      </c>
      <c r="X318" s="29">
        <v>0</v>
      </c>
      <c r="Z318" s="22">
        <v>44863</v>
      </c>
      <c r="AA318" s="26">
        <f t="shared" ca="1" si="36"/>
        <v>6.3403316736879933E-2</v>
      </c>
      <c r="AB318" s="29">
        <v>0</v>
      </c>
      <c r="AC318"/>
      <c r="AD318" s="25"/>
      <c r="AF318" s="22">
        <v>44863</v>
      </c>
      <c r="AG318" s="26">
        <f t="shared" ca="1" si="37"/>
        <v>0.43747610403111392</v>
      </c>
      <c r="AH318" s="29">
        <v>0</v>
      </c>
      <c r="AJ318" s="22">
        <v>44863</v>
      </c>
      <c r="AK318" s="26">
        <f t="shared" ca="1" si="38"/>
        <v>0.82362969613447046</v>
      </c>
      <c r="AL318" s="29">
        <v>0</v>
      </c>
      <c r="AN318" s="22">
        <v>44863</v>
      </c>
      <c r="AO318" s="26">
        <f t="shared" ca="1" si="39"/>
        <v>0.61293448475157897</v>
      </c>
      <c r="AP318" s="29">
        <v>0</v>
      </c>
      <c r="AR318" s="22">
        <v>44863</v>
      </c>
      <c r="AS318" s="26">
        <f t="shared" ca="1" si="40"/>
        <v>0.87478935845086481</v>
      </c>
      <c r="AT318" s="29">
        <v>0</v>
      </c>
      <c r="AV318" s="22">
        <v>44863</v>
      </c>
      <c r="AW318" s="26">
        <f t="shared" ca="1" si="41"/>
        <v>0.12909416412681718</v>
      </c>
      <c r="AX318" s="29">
        <v>0</v>
      </c>
      <c r="AZ318" s="22">
        <v>44863</v>
      </c>
      <c r="BA318" s="26">
        <f t="shared" ca="1" si="42"/>
        <v>0.83189829224885159</v>
      </c>
      <c r="BB318" s="29">
        <v>0</v>
      </c>
      <c r="BC318"/>
      <c r="BD318" s="25"/>
      <c r="BF318" s="22">
        <v>44863</v>
      </c>
      <c r="BG318" s="26">
        <f t="shared" ca="1" si="43"/>
        <v>0.13488556240629235</v>
      </c>
      <c r="BH318" s="29">
        <v>0</v>
      </c>
      <c r="BJ318" s="22">
        <v>44863</v>
      </c>
      <c r="BK318" s="26">
        <f t="shared" ca="1" si="44"/>
        <v>0.34189539555906756</v>
      </c>
      <c r="BL318" s="29">
        <v>0</v>
      </c>
      <c r="BN318" s="22">
        <v>44863</v>
      </c>
      <c r="BO318" s="26">
        <f t="shared" ca="1" si="45"/>
        <v>0.75152007029185353</v>
      </c>
      <c r="BP318" s="29">
        <v>0</v>
      </c>
      <c r="BR318" s="22">
        <v>44863</v>
      </c>
      <c r="BS318" s="26">
        <f t="shared" ca="1" si="46"/>
        <v>0.60329286556839512</v>
      </c>
      <c r="BT318" s="29">
        <v>0</v>
      </c>
      <c r="BV318" s="22">
        <v>44863</v>
      </c>
      <c r="BW318" s="26">
        <f t="shared" ca="1" si="47"/>
        <v>0.29079512559271592</v>
      </c>
      <c r="BX318" s="29">
        <v>0</v>
      </c>
    </row>
    <row r="319" spans="2:77" ht="12.75" x14ac:dyDescent="0.2">
      <c r="B319" s="22">
        <v>44864</v>
      </c>
      <c r="C319" s="26">
        <f t="shared" ca="1" si="0"/>
        <v>0.69881477520276292</v>
      </c>
      <c r="D319" s="29">
        <f t="shared" ca="1" si="48"/>
        <v>86</v>
      </c>
      <c r="F319" s="22">
        <v>44864</v>
      </c>
      <c r="G319" s="26">
        <f t="shared" ca="1" si="31"/>
        <v>0.51937942950130089</v>
      </c>
      <c r="H319" s="29">
        <f t="shared" ca="1" si="27"/>
        <v>217</v>
      </c>
      <c r="J319" s="22">
        <v>44864</v>
      </c>
      <c r="K319" s="26">
        <f t="shared" ca="1" si="32"/>
        <v>0.30430483689672316</v>
      </c>
      <c r="L319" s="29">
        <f t="shared" ca="1" si="28"/>
        <v>145</v>
      </c>
      <c r="N319" s="22">
        <v>44864</v>
      </c>
      <c r="O319" s="26">
        <f t="shared" ca="1" si="33"/>
        <v>0.16584489867479835</v>
      </c>
      <c r="P319" s="29">
        <f t="shared" ca="1" si="29"/>
        <v>215</v>
      </c>
      <c r="R319" s="22">
        <v>44864</v>
      </c>
      <c r="S319" s="26">
        <f t="shared" ca="1" si="34"/>
        <v>0.50205469096585298</v>
      </c>
      <c r="T319" s="29">
        <f t="shared" ca="1" si="30"/>
        <v>139</v>
      </c>
      <c r="V319" s="22">
        <v>44864</v>
      </c>
      <c r="W319" s="26">
        <f t="shared" ca="1" si="35"/>
        <v>0.50312303369568789</v>
      </c>
      <c r="X319" s="29">
        <v>0</v>
      </c>
      <c r="Z319" s="22">
        <v>44864</v>
      </c>
      <c r="AA319" s="26">
        <f t="shared" ca="1" si="36"/>
        <v>0.67347883069911219</v>
      </c>
      <c r="AB319" s="29">
        <v>0</v>
      </c>
      <c r="AC319"/>
      <c r="AD319" s="25"/>
      <c r="AF319" s="22">
        <v>44864</v>
      </c>
      <c r="AG319" s="26">
        <f t="shared" ca="1" si="37"/>
        <v>0.66427222859809554</v>
      </c>
      <c r="AH319" s="29">
        <v>0</v>
      </c>
      <c r="AJ319" s="22">
        <v>44864</v>
      </c>
      <c r="AK319" s="26">
        <f t="shared" ca="1" si="38"/>
        <v>5.0040881451073105E-2</v>
      </c>
      <c r="AL319" s="29">
        <v>0</v>
      </c>
      <c r="AN319" s="22">
        <v>44864</v>
      </c>
      <c r="AO319" s="26">
        <f t="shared" ca="1" si="39"/>
        <v>0.55681763023698283</v>
      </c>
      <c r="AP319" s="29">
        <v>0</v>
      </c>
      <c r="AR319" s="22">
        <v>44864</v>
      </c>
      <c r="AS319" s="26">
        <f t="shared" ca="1" si="40"/>
        <v>0.82493558228624453</v>
      </c>
      <c r="AT319" s="29">
        <v>0</v>
      </c>
      <c r="AV319" s="22">
        <v>44864</v>
      </c>
      <c r="AW319" s="26">
        <f t="shared" ca="1" si="41"/>
        <v>0.9511939765979186</v>
      </c>
      <c r="AX319" s="29">
        <v>0</v>
      </c>
      <c r="AZ319" s="22">
        <v>44864</v>
      </c>
      <c r="BA319" s="26">
        <f t="shared" ca="1" si="42"/>
        <v>0.83684657518597838</v>
      </c>
      <c r="BB319" s="29">
        <v>0</v>
      </c>
      <c r="BC319"/>
      <c r="BD319" s="25"/>
      <c r="BF319" s="22">
        <v>44864</v>
      </c>
      <c r="BG319" s="26">
        <f t="shared" ca="1" si="43"/>
        <v>0.71589783735524348</v>
      </c>
      <c r="BH319" s="29">
        <v>0</v>
      </c>
      <c r="BJ319" s="22">
        <v>44864</v>
      </c>
      <c r="BK319" s="26">
        <f t="shared" ca="1" si="44"/>
        <v>0.69761666046868676</v>
      </c>
      <c r="BL319" s="29">
        <v>0</v>
      </c>
      <c r="BN319" s="22">
        <v>44864</v>
      </c>
      <c r="BO319" s="26">
        <f t="shared" ca="1" si="45"/>
        <v>0.92662510977074142</v>
      </c>
      <c r="BP319" s="29">
        <v>0</v>
      </c>
      <c r="BR319" s="22">
        <v>44864</v>
      </c>
      <c r="BS319" s="26">
        <f t="shared" ca="1" si="46"/>
        <v>0.75636431375330448</v>
      </c>
      <c r="BT319" s="29">
        <v>0</v>
      </c>
      <c r="BV319" s="22">
        <v>44864</v>
      </c>
      <c r="BW319" s="26">
        <f t="shared" ca="1" si="47"/>
        <v>0.58759812782055076</v>
      </c>
      <c r="BX319" s="29">
        <v>0</v>
      </c>
    </row>
    <row r="320" spans="2:77" ht="12.75" x14ac:dyDescent="0.2">
      <c r="B320" s="22">
        <v>44865</v>
      </c>
      <c r="C320" s="26">
        <f t="shared" ca="1" si="0"/>
        <v>0.4114518714015043</v>
      </c>
      <c r="D320" s="29">
        <f t="shared" ca="1" si="48"/>
        <v>71</v>
      </c>
      <c r="E320">
        <v>1727</v>
      </c>
      <c r="F320" s="22">
        <v>44865</v>
      </c>
      <c r="G320" s="26">
        <f t="shared" ca="1" si="31"/>
        <v>0.60703450715864282</v>
      </c>
      <c r="H320" s="29">
        <f t="shared" ca="1" si="27"/>
        <v>220</v>
      </c>
      <c r="I320">
        <v>4725</v>
      </c>
      <c r="J320" s="22">
        <v>44865</v>
      </c>
      <c r="K320" s="26">
        <f t="shared" ca="1" si="32"/>
        <v>0.60193976749670963</v>
      </c>
      <c r="L320" s="29">
        <f t="shared" ca="1" si="28"/>
        <v>153</v>
      </c>
      <c r="M320">
        <v>3278</v>
      </c>
      <c r="N320" s="22">
        <v>44865</v>
      </c>
      <c r="O320" s="26">
        <f t="shared" ca="1" si="33"/>
        <v>0.62085093831184457</v>
      </c>
      <c r="P320" s="29">
        <f t="shared" ca="1" si="29"/>
        <v>235</v>
      </c>
      <c r="Q320">
        <v>5084</v>
      </c>
      <c r="R320" s="22">
        <v>44865</v>
      </c>
      <c r="S320" s="26">
        <f t="shared" ca="1" si="34"/>
        <v>0.57816474884118718</v>
      </c>
      <c r="T320" s="29">
        <f t="shared" ca="1" si="30"/>
        <v>141</v>
      </c>
      <c r="U320">
        <v>3015</v>
      </c>
      <c r="V320" s="22">
        <v>44865</v>
      </c>
      <c r="W320" s="26">
        <f t="shared" ca="1" si="35"/>
        <v>0.47960144274206684</v>
      </c>
      <c r="X320" s="29">
        <v>0</v>
      </c>
      <c r="Y320">
        <v>0</v>
      </c>
      <c r="Z320" s="22">
        <v>44865</v>
      </c>
      <c r="AA320" s="26">
        <f t="shared" ca="1" si="36"/>
        <v>0.28489848049758504</v>
      </c>
      <c r="AB320" s="29">
        <v>0</v>
      </c>
      <c r="AC320">
        <v>0</v>
      </c>
      <c r="AD320" s="25"/>
      <c r="AF320" s="22">
        <v>44865</v>
      </c>
      <c r="AG320" s="26">
        <f t="shared" ca="1" si="37"/>
        <v>0.5684118564044458</v>
      </c>
      <c r="AH320" s="29">
        <v>0</v>
      </c>
      <c r="AI320">
        <v>0</v>
      </c>
      <c r="AJ320" s="22">
        <v>44865</v>
      </c>
      <c r="AK320" s="26">
        <f t="shared" ca="1" si="38"/>
        <v>0.99594029980042542</v>
      </c>
      <c r="AL320" s="29">
        <v>0</v>
      </c>
      <c r="AM320">
        <v>0</v>
      </c>
      <c r="AN320" s="22">
        <v>44865</v>
      </c>
      <c r="AO320" s="26">
        <f t="shared" ca="1" si="39"/>
        <v>0.42210932456388162</v>
      </c>
      <c r="AP320" s="29">
        <v>0</v>
      </c>
      <c r="AQ320">
        <v>0</v>
      </c>
      <c r="AR320" s="22">
        <v>44865</v>
      </c>
      <c r="AS320" s="26">
        <f t="shared" ca="1" si="40"/>
        <v>0.62203212010800357</v>
      </c>
      <c r="AT320" s="29">
        <v>0</v>
      </c>
      <c r="AU320">
        <v>0</v>
      </c>
      <c r="AV320" s="22">
        <v>44865</v>
      </c>
      <c r="AW320" s="26">
        <f t="shared" ca="1" si="41"/>
        <v>0.10670814968986098</v>
      </c>
      <c r="AX320" s="29">
        <v>0</v>
      </c>
      <c r="AY320">
        <v>0</v>
      </c>
      <c r="AZ320" s="22">
        <v>44865</v>
      </c>
      <c r="BA320" s="26">
        <f t="shared" ca="1" si="42"/>
        <v>0.9396079868702315</v>
      </c>
      <c r="BB320" s="29">
        <v>0</v>
      </c>
      <c r="BC320">
        <v>0</v>
      </c>
      <c r="BD320" s="25"/>
      <c r="BF320" s="22">
        <v>44865</v>
      </c>
      <c r="BG320" s="26">
        <f t="shared" ca="1" si="43"/>
        <v>0.90580653762759245</v>
      </c>
      <c r="BH320" s="29">
        <v>0</v>
      </c>
      <c r="BI320">
        <v>0</v>
      </c>
      <c r="BJ320" s="22">
        <v>44865</v>
      </c>
      <c r="BK320" s="26">
        <f t="shared" ca="1" si="44"/>
        <v>0.8107013429094615</v>
      </c>
      <c r="BL320" s="29">
        <v>0</v>
      </c>
      <c r="BM320">
        <v>0</v>
      </c>
      <c r="BN320" s="22">
        <v>44865</v>
      </c>
      <c r="BO320" s="26">
        <f t="shared" ca="1" si="45"/>
        <v>0.60061224313224815</v>
      </c>
      <c r="BP320" s="29">
        <v>0</v>
      </c>
      <c r="BQ320">
        <v>0</v>
      </c>
      <c r="BR320" s="22">
        <v>44865</v>
      </c>
      <c r="BS320" s="26">
        <f t="shared" ca="1" si="46"/>
        <v>0.8298922957766478</v>
      </c>
      <c r="BT320" s="29">
        <v>0</v>
      </c>
      <c r="BU320">
        <v>0</v>
      </c>
      <c r="BV320" s="22">
        <v>44865</v>
      </c>
      <c r="BW320" s="26">
        <f t="shared" ca="1" si="47"/>
        <v>0.587832281400685</v>
      </c>
      <c r="BX320" s="29">
        <v>0</v>
      </c>
      <c r="BY320">
        <v>0</v>
      </c>
    </row>
    <row r="321" spans="2:76" ht="12.75" x14ac:dyDescent="0.2">
      <c r="B321" s="22">
        <v>44866</v>
      </c>
      <c r="C321" s="26">
        <f t="shared" ca="1" si="0"/>
        <v>0.3251301984075895</v>
      </c>
      <c r="D321" s="29">
        <f ca="1">ROUNDUP(_xlfn.NORM.INV(C320,C$10,C$12),0)</f>
        <v>71</v>
      </c>
      <c r="F321" s="22">
        <v>44866</v>
      </c>
      <c r="G321" s="26">
        <f t="shared" ca="1" si="31"/>
        <v>0.41526308749990737</v>
      </c>
      <c r="H321" s="29">
        <f ca="1">ROUNDUP(_xlfn.NORM.INV(G320,G$10,G$12),0)</f>
        <v>220</v>
      </c>
      <c r="J321" s="22">
        <v>44866</v>
      </c>
      <c r="K321" s="26">
        <f t="shared" ca="1" si="32"/>
        <v>0.16350622955937144</v>
      </c>
      <c r="L321" s="29">
        <f ca="1">ROUNDUP(_xlfn.NORM.INV(K320,K$10,K$12),0)</f>
        <v>153</v>
      </c>
      <c r="N321" s="22">
        <v>44866</v>
      </c>
      <c r="O321" s="26">
        <f t="shared" ca="1" si="33"/>
        <v>0.23118349055704679</v>
      </c>
      <c r="P321" s="29">
        <f ca="1">ROUNDUP(_xlfn.NORM.INV(O320,O$10,O$12),0)</f>
        <v>235</v>
      </c>
      <c r="R321" s="22">
        <v>44866</v>
      </c>
      <c r="S321" s="26">
        <f t="shared" ca="1" si="34"/>
        <v>0.1930643207710977</v>
      </c>
      <c r="T321" s="29">
        <f ca="1">ROUNDUP(_xlfn.NORM.INV(S320,S$10,S$12),0)</f>
        <v>141</v>
      </c>
      <c r="V321" s="22">
        <v>44866</v>
      </c>
      <c r="W321" s="26">
        <f t="shared" ca="1" si="35"/>
        <v>0.15507597651325122</v>
      </c>
      <c r="X321" s="29">
        <v>0</v>
      </c>
      <c r="Z321" s="22">
        <v>44866</v>
      </c>
      <c r="AA321" s="26">
        <f t="shared" ca="1" si="36"/>
        <v>0.52931973294089518</v>
      </c>
      <c r="AB321" s="29">
        <v>0</v>
      </c>
      <c r="AC321"/>
      <c r="AD321" s="25"/>
      <c r="AF321" s="22">
        <v>44866</v>
      </c>
      <c r="AG321" s="26">
        <f t="shared" ca="1" si="37"/>
        <v>0.2569049939324769</v>
      </c>
      <c r="AH321" s="29">
        <v>0</v>
      </c>
      <c r="AJ321" s="22">
        <v>44866</v>
      </c>
      <c r="AK321" s="26">
        <f t="shared" ca="1" si="38"/>
        <v>0.89532060162378635</v>
      </c>
      <c r="AL321" s="29">
        <v>0</v>
      </c>
      <c r="AN321" s="22">
        <v>44866</v>
      </c>
      <c r="AO321" s="26">
        <f t="shared" ca="1" si="39"/>
        <v>0.92632853097731804</v>
      </c>
      <c r="AP321" s="29">
        <v>0</v>
      </c>
      <c r="AR321" s="22">
        <v>44866</v>
      </c>
      <c r="AS321" s="26">
        <f t="shared" ca="1" si="40"/>
        <v>0.63603134823901808</v>
      </c>
      <c r="AT321" s="29">
        <v>0</v>
      </c>
      <c r="AV321" s="22">
        <v>44866</v>
      </c>
      <c r="AW321" s="26">
        <f t="shared" ca="1" si="41"/>
        <v>0.94418534871266002</v>
      </c>
      <c r="AX321" s="29">
        <v>0</v>
      </c>
      <c r="AZ321" s="22">
        <v>44866</v>
      </c>
      <c r="BA321" s="26">
        <f t="shared" ca="1" si="42"/>
        <v>5.8870526424710912E-2</v>
      </c>
      <c r="BB321" s="29">
        <v>0</v>
      </c>
      <c r="BC321"/>
      <c r="BD321" s="25"/>
      <c r="BF321" s="22">
        <v>44866</v>
      </c>
      <c r="BG321" s="26">
        <f t="shared" ca="1" si="43"/>
        <v>0.68312054044288517</v>
      </c>
      <c r="BH321" s="29">
        <v>0</v>
      </c>
      <c r="BJ321" s="22">
        <v>44866</v>
      </c>
      <c r="BK321" s="26">
        <f t="shared" ca="1" si="44"/>
        <v>0.80213847143630301</v>
      </c>
      <c r="BL321" s="29">
        <v>0</v>
      </c>
      <c r="BN321" s="22">
        <v>44866</v>
      </c>
      <c r="BO321" s="26">
        <f t="shared" ca="1" si="45"/>
        <v>0.69063616923742133</v>
      </c>
      <c r="BP321" s="29">
        <v>0</v>
      </c>
      <c r="BR321" s="22">
        <v>44866</v>
      </c>
      <c r="BS321" s="26">
        <f t="shared" ca="1" si="46"/>
        <v>0.57159865606598925</v>
      </c>
      <c r="BT321" s="29">
        <v>0</v>
      </c>
      <c r="BV321" s="22">
        <v>44866</v>
      </c>
      <c r="BW321" s="26">
        <f t="shared" ca="1" si="47"/>
        <v>0.33914915146061864</v>
      </c>
      <c r="BX321" s="29">
        <v>0</v>
      </c>
    </row>
    <row r="322" spans="2:76" ht="12.75" x14ac:dyDescent="0.2">
      <c r="B322" s="22">
        <v>44867</v>
      </c>
      <c r="C322" s="26">
        <f t="shared" ca="1" si="0"/>
        <v>0.43073156567258764</v>
      </c>
      <c r="D322" s="29">
        <f t="shared" ca="1" si="48"/>
        <v>72</v>
      </c>
      <c r="F322" s="22">
        <v>44867</v>
      </c>
      <c r="G322" s="26">
        <f t="shared" ca="1" si="31"/>
        <v>0.44571392824939915</v>
      </c>
      <c r="H322" s="29">
        <f t="shared" ca="1" si="27"/>
        <v>214</v>
      </c>
      <c r="J322" s="22">
        <v>44867</v>
      </c>
      <c r="K322" s="26">
        <f t="shared" ca="1" si="32"/>
        <v>0.44240364589328984</v>
      </c>
      <c r="L322" s="29">
        <f t="shared" ca="1" si="28"/>
        <v>149</v>
      </c>
      <c r="N322" s="22">
        <v>44867</v>
      </c>
      <c r="O322" s="26">
        <f t="shared" ca="1" si="33"/>
        <v>0.72233917241846701</v>
      </c>
      <c r="P322" s="29">
        <f t="shared" ca="1" si="29"/>
        <v>239</v>
      </c>
      <c r="R322" s="22">
        <v>44867</v>
      </c>
      <c r="S322" s="26">
        <f t="shared" ca="1" si="34"/>
        <v>0.61502931884917567</v>
      </c>
      <c r="T322" s="29">
        <f t="shared" ca="1" si="30"/>
        <v>142</v>
      </c>
      <c r="V322" s="22">
        <v>44867</v>
      </c>
      <c r="W322" s="26">
        <f t="shared" ca="1" si="35"/>
        <v>0.18006925849853439</v>
      </c>
      <c r="X322" s="29">
        <v>0</v>
      </c>
      <c r="Z322" s="22">
        <v>44867</v>
      </c>
      <c r="AA322" s="26">
        <f t="shared" ca="1" si="36"/>
        <v>9.8904931353371528E-2</v>
      </c>
      <c r="AB322" s="29">
        <v>0</v>
      </c>
      <c r="AC322"/>
      <c r="AD322" s="25"/>
      <c r="AF322" s="22">
        <v>44867</v>
      </c>
      <c r="AG322" s="26">
        <f t="shared" ca="1" si="37"/>
        <v>7.8082114025669336E-3</v>
      </c>
      <c r="AH322" s="29">
        <v>0</v>
      </c>
      <c r="AJ322" s="22">
        <v>44867</v>
      </c>
      <c r="AK322" s="26">
        <f t="shared" ca="1" si="38"/>
        <v>0.83812204985805938</v>
      </c>
      <c r="AL322" s="29">
        <v>0</v>
      </c>
      <c r="AN322" s="22">
        <v>44867</v>
      </c>
      <c r="AO322" s="26">
        <f t="shared" ca="1" si="39"/>
        <v>0.13706493439247336</v>
      </c>
      <c r="AP322" s="29">
        <v>0</v>
      </c>
      <c r="AR322" s="22">
        <v>44867</v>
      </c>
      <c r="AS322" s="26">
        <f t="shared" ca="1" si="40"/>
        <v>0.8834082127299745</v>
      </c>
      <c r="AT322" s="29">
        <v>0</v>
      </c>
      <c r="AV322" s="22">
        <v>44867</v>
      </c>
      <c r="AW322" s="26">
        <f t="shared" ca="1" si="41"/>
        <v>0.36130017454900565</v>
      </c>
      <c r="AX322" s="29">
        <v>0</v>
      </c>
      <c r="AZ322" s="22">
        <v>44867</v>
      </c>
      <c r="BA322" s="26">
        <f t="shared" ca="1" si="42"/>
        <v>0.28739643477885601</v>
      </c>
      <c r="BB322" s="29">
        <v>0</v>
      </c>
      <c r="BC322"/>
      <c r="BD322" s="25"/>
      <c r="BF322" s="22">
        <v>44867</v>
      </c>
      <c r="BG322" s="26">
        <f t="shared" ca="1" si="43"/>
        <v>0.90558243684150141</v>
      </c>
      <c r="BH322" s="29">
        <v>0</v>
      </c>
      <c r="BJ322" s="22">
        <v>44867</v>
      </c>
      <c r="BK322" s="26">
        <f t="shared" ca="1" si="44"/>
        <v>0.43331833746033688</v>
      </c>
      <c r="BL322" s="29">
        <v>0</v>
      </c>
      <c r="BN322" s="22">
        <v>44867</v>
      </c>
      <c r="BO322" s="26">
        <f t="shared" ca="1" si="45"/>
        <v>0.51942758951395762</v>
      </c>
      <c r="BP322" s="29">
        <v>0</v>
      </c>
      <c r="BR322" s="22">
        <v>44867</v>
      </c>
      <c r="BS322" s="26">
        <f t="shared" ca="1" si="46"/>
        <v>0.22073806456652934</v>
      </c>
      <c r="BT322" s="29">
        <v>0</v>
      </c>
      <c r="BV322" s="22">
        <v>44867</v>
      </c>
      <c r="BW322" s="26">
        <f t="shared" ca="1" si="47"/>
        <v>0.33410827352470518</v>
      </c>
      <c r="BX322" s="29">
        <v>0</v>
      </c>
    </row>
    <row r="323" spans="2:76" ht="12.75" x14ac:dyDescent="0.2">
      <c r="B323" s="22">
        <v>44868</v>
      </c>
      <c r="C323" s="26">
        <f t="shared" ca="1" si="0"/>
        <v>0.56326123067233946</v>
      </c>
      <c r="D323" s="29">
        <f t="shared" ca="1" si="48"/>
        <v>79</v>
      </c>
      <c r="F323" s="22">
        <v>44868</v>
      </c>
      <c r="G323" s="26">
        <f t="shared" ca="1" si="31"/>
        <v>0.22773333644848726</v>
      </c>
      <c r="H323" s="29">
        <f t="shared" ca="1" si="27"/>
        <v>205</v>
      </c>
      <c r="J323" s="22">
        <v>44868</v>
      </c>
      <c r="K323" s="26">
        <f t="shared" ca="1" si="32"/>
        <v>0.81991590407119275</v>
      </c>
      <c r="L323" s="29">
        <f t="shared" ca="1" si="28"/>
        <v>160</v>
      </c>
      <c r="N323" s="22">
        <v>44868</v>
      </c>
      <c r="O323" s="26">
        <f t="shared" ca="1" si="33"/>
        <v>0.37117937325309802</v>
      </c>
      <c r="P323" s="29">
        <f t="shared" ca="1" si="29"/>
        <v>225</v>
      </c>
      <c r="R323" s="22">
        <v>44868</v>
      </c>
      <c r="S323" s="26">
        <f t="shared" ca="1" si="34"/>
        <v>0.24501957160956611</v>
      </c>
      <c r="T323" s="29">
        <f t="shared" ca="1" si="30"/>
        <v>133</v>
      </c>
      <c r="V323" s="22">
        <v>44868</v>
      </c>
      <c r="W323" s="26">
        <f t="shared" ca="1" si="35"/>
        <v>0.49101189617533714</v>
      </c>
      <c r="X323" s="29">
        <v>0</v>
      </c>
      <c r="Z323" s="22">
        <v>44868</v>
      </c>
      <c r="AA323" s="26">
        <f t="shared" ca="1" si="36"/>
        <v>0.97237893349285986</v>
      </c>
      <c r="AB323" s="29">
        <v>0</v>
      </c>
      <c r="AC323"/>
      <c r="AD323" s="25"/>
      <c r="AF323" s="22">
        <v>44868</v>
      </c>
      <c r="AG323" s="26">
        <f t="shared" ca="1" si="37"/>
        <v>0.62354357067671073</v>
      </c>
      <c r="AH323" s="29">
        <v>0</v>
      </c>
      <c r="AJ323" s="22">
        <v>44868</v>
      </c>
      <c r="AK323" s="26">
        <f t="shared" ca="1" si="38"/>
        <v>0.38578080202680098</v>
      </c>
      <c r="AL323" s="29">
        <v>0</v>
      </c>
      <c r="AN323" s="22">
        <v>44868</v>
      </c>
      <c r="AO323" s="26">
        <f t="shared" ca="1" si="39"/>
        <v>0.89607028039730974</v>
      </c>
      <c r="AP323" s="29">
        <v>0</v>
      </c>
      <c r="AR323" s="22">
        <v>44868</v>
      </c>
      <c r="AS323" s="26">
        <f t="shared" ca="1" si="40"/>
        <v>0.98061036076041441</v>
      </c>
      <c r="AT323" s="29">
        <v>0</v>
      </c>
      <c r="AV323" s="22">
        <v>44868</v>
      </c>
      <c r="AW323" s="26">
        <f t="shared" ca="1" si="41"/>
        <v>0.24428770438967573</v>
      </c>
      <c r="AX323" s="29">
        <v>0</v>
      </c>
      <c r="AZ323" s="22">
        <v>44868</v>
      </c>
      <c r="BA323" s="26">
        <f t="shared" ca="1" si="42"/>
        <v>0.90231938107956855</v>
      </c>
      <c r="BB323" s="29">
        <v>0</v>
      </c>
      <c r="BC323"/>
      <c r="BD323" s="25"/>
      <c r="BF323" s="22">
        <v>44868</v>
      </c>
      <c r="BG323" s="26">
        <f t="shared" ca="1" si="43"/>
        <v>0.74854439403211614</v>
      </c>
      <c r="BH323" s="29">
        <v>0</v>
      </c>
      <c r="BJ323" s="22">
        <v>44868</v>
      </c>
      <c r="BK323" s="26">
        <f t="shared" ca="1" si="44"/>
        <v>0.62883029881805774</v>
      </c>
      <c r="BL323" s="29">
        <v>0</v>
      </c>
      <c r="BN323" s="22">
        <v>44868</v>
      </c>
      <c r="BO323" s="26">
        <f t="shared" ca="1" si="45"/>
        <v>0.18273757567613991</v>
      </c>
      <c r="BP323" s="29">
        <v>0</v>
      </c>
      <c r="BR323" s="22">
        <v>44868</v>
      </c>
      <c r="BS323" s="26">
        <f t="shared" ca="1" si="46"/>
        <v>0.48271420473456617</v>
      </c>
      <c r="BT323" s="29">
        <v>0</v>
      </c>
      <c r="BV323" s="22">
        <v>44868</v>
      </c>
      <c r="BW323" s="26">
        <f t="shared" ca="1" si="47"/>
        <v>0.35568099284158128</v>
      </c>
      <c r="BX323" s="29">
        <v>0</v>
      </c>
    </row>
    <row r="324" spans="2:76" ht="12.75" x14ac:dyDescent="0.2">
      <c r="B324" s="22">
        <v>44869</v>
      </c>
      <c r="C324" s="26">
        <f t="shared" ca="1" si="0"/>
        <v>0.12718806615072065</v>
      </c>
      <c r="D324" s="29">
        <f t="shared" ca="1" si="48"/>
        <v>53</v>
      </c>
      <c r="F324" s="22">
        <v>44869</v>
      </c>
      <c r="G324" s="26">
        <f t="shared" ca="1" si="31"/>
        <v>0.15315883969805377</v>
      </c>
      <c r="H324" s="29">
        <f t="shared" ref="H324:H387" ca="1" si="49">ROUNDUP(_xlfn.NORM.INV(G324,G$10,G$12),0)</f>
        <v>201</v>
      </c>
      <c r="J324" s="22">
        <v>44869</v>
      </c>
      <c r="K324" s="26">
        <f t="shared" ca="1" si="32"/>
        <v>0.38263746840336388</v>
      </c>
      <c r="L324" s="29">
        <f t="shared" ref="L324:L387" ca="1" si="50">ROUNDUP(_xlfn.NORM.INV(K324,K$10,K$12),0)</f>
        <v>148</v>
      </c>
      <c r="N324" s="22">
        <v>44869</v>
      </c>
      <c r="O324" s="26">
        <f t="shared" ca="1" si="33"/>
        <v>0.54355756680576395</v>
      </c>
      <c r="P324" s="29">
        <f t="shared" ref="P324:P387" ca="1" si="51">ROUNDUP(_xlfn.NORM.INV(O324,O$10,O$12),0)</f>
        <v>232</v>
      </c>
      <c r="R324" s="22">
        <v>44869</v>
      </c>
      <c r="S324" s="26">
        <f t="shared" ca="1" si="34"/>
        <v>0.8905156033199908</v>
      </c>
      <c r="T324" s="29">
        <f t="shared" ref="T324:T387" ca="1" si="52">ROUNDUP(_xlfn.NORM.INV(S324,S$10,S$12),0)</f>
        <v>151</v>
      </c>
      <c r="V324" s="22">
        <v>44869</v>
      </c>
      <c r="W324" s="26">
        <f t="shared" ca="1" si="35"/>
        <v>0.87923615784871911</v>
      </c>
      <c r="X324" s="29">
        <v>0</v>
      </c>
      <c r="Z324" s="22">
        <v>44869</v>
      </c>
      <c r="AA324" s="26">
        <f t="shared" ca="1" si="36"/>
        <v>0.30386397960640443</v>
      </c>
      <c r="AB324" s="29">
        <v>0</v>
      </c>
      <c r="AC324"/>
      <c r="AD324" s="25"/>
      <c r="AF324" s="22">
        <v>44869</v>
      </c>
      <c r="AG324" s="26">
        <f t="shared" ca="1" si="37"/>
        <v>0.37669661544798916</v>
      </c>
      <c r="AH324" s="29">
        <v>0</v>
      </c>
      <c r="AJ324" s="22">
        <v>44869</v>
      </c>
      <c r="AK324" s="26">
        <f t="shared" ca="1" si="38"/>
        <v>0.27152364014440644</v>
      </c>
      <c r="AL324" s="29">
        <v>0</v>
      </c>
      <c r="AN324" s="22">
        <v>44869</v>
      </c>
      <c r="AO324" s="26">
        <f t="shared" ca="1" si="39"/>
        <v>0.97682034956504005</v>
      </c>
      <c r="AP324" s="29">
        <v>0</v>
      </c>
      <c r="AR324" s="22">
        <v>44869</v>
      </c>
      <c r="AS324" s="26">
        <f t="shared" ca="1" si="40"/>
        <v>8.5211204384674333E-2</v>
      </c>
      <c r="AT324" s="29">
        <v>0</v>
      </c>
      <c r="AV324" s="22">
        <v>44869</v>
      </c>
      <c r="AW324" s="26">
        <f t="shared" ca="1" si="41"/>
        <v>0.15466834083870329</v>
      </c>
      <c r="AX324" s="29">
        <v>0</v>
      </c>
      <c r="AZ324" s="22">
        <v>44869</v>
      </c>
      <c r="BA324" s="26">
        <f t="shared" ca="1" si="42"/>
        <v>0.74639202227468537</v>
      </c>
      <c r="BB324" s="29">
        <v>0</v>
      </c>
      <c r="BC324"/>
      <c r="BD324" s="25"/>
      <c r="BF324" s="22">
        <v>44869</v>
      </c>
      <c r="BG324" s="26">
        <f t="shared" ca="1" si="43"/>
        <v>0.92940088765114015</v>
      </c>
      <c r="BH324" s="29">
        <v>0</v>
      </c>
      <c r="BJ324" s="22">
        <v>44869</v>
      </c>
      <c r="BK324" s="26">
        <f t="shared" ca="1" si="44"/>
        <v>0.93183725771092663</v>
      </c>
      <c r="BL324" s="29">
        <v>0</v>
      </c>
      <c r="BN324" s="22">
        <v>44869</v>
      </c>
      <c r="BO324" s="26">
        <f t="shared" ca="1" si="45"/>
        <v>0.72385712747482589</v>
      </c>
      <c r="BP324" s="29">
        <v>0</v>
      </c>
      <c r="BR324" s="22">
        <v>44869</v>
      </c>
      <c r="BS324" s="26">
        <f t="shared" ca="1" si="46"/>
        <v>0.49449055430359345</v>
      </c>
      <c r="BT324" s="29">
        <v>0</v>
      </c>
      <c r="BV324" s="22">
        <v>44869</v>
      </c>
      <c r="BW324" s="26">
        <f t="shared" ca="1" si="47"/>
        <v>5.4063626362219175E-2</v>
      </c>
      <c r="BX324" s="29">
        <v>0</v>
      </c>
    </row>
    <row r="325" spans="2:76" ht="12.75" x14ac:dyDescent="0.2">
      <c r="B325" s="22">
        <v>44870</v>
      </c>
      <c r="C325" s="26">
        <f t="shared" ca="1" si="0"/>
        <v>0.36709661575461161</v>
      </c>
      <c r="D325" s="29">
        <f t="shared" ca="1" si="48"/>
        <v>69</v>
      </c>
      <c r="F325" s="22">
        <v>44870</v>
      </c>
      <c r="G325" s="26">
        <f t="shared" ca="1" si="31"/>
        <v>0.19493018408520291</v>
      </c>
      <c r="H325" s="29">
        <f t="shared" ca="1" si="49"/>
        <v>204</v>
      </c>
      <c r="J325" s="22">
        <v>44870</v>
      </c>
      <c r="K325" s="26">
        <f t="shared" ca="1" si="32"/>
        <v>0.87417548431407166</v>
      </c>
      <c r="L325" s="29">
        <f t="shared" ca="1" si="50"/>
        <v>162</v>
      </c>
      <c r="N325" s="22">
        <v>44870</v>
      </c>
      <c r="O325" s="26">
        <f t="shared" ca="1" si="33"/>
        <v>3.4577817058887961E-2</v>
      </c>
      <c r="P325" s="29">
        <f t="shared" ca="1" si="51"/>
        <v>202</v>
      </c>
      <c r="R325" s="22">
        <v>44870</v>
      </c>
      <c r="S325" s="26">
        <f t="shared" ca="1" si="34"/>
        <v>0.17820734597282606</v>
      </c>
      <c r="T325" s="29">
        <f t="shared" ca="1" si="52"/>
        <v>131</v>
      </c>
      <c r="V325" s="22">
        <v>44870</v>
      </c>
      <c r="W325" s="26">
        <f t="shared" ca="1" si="35"/>
        <v>0.30854017111642718</v>
      </c>
      <c r="X325" s="29">
        <v>0</v>
      </c>
      <c r="Z325" s="22">
        <v>44870</v>
      </c>
      <c r="AA325" s="26">
        <f t="shared" ca="1" si="36"/>
        <v>0.2911426731706358</v>
      </c>
      <c r="AB325" s="29">
        <v>0</v>
      </c>
      <c r="AC325"/>
      <c r="AD325" s="25"/>
      <c r="AF325" s="22">
        <v>44870</v>
      </c>
      <c r="AG325" s="26">
        <f t="shared" ca="1" si="37"/>
        <v>0.77238990228609627</v>
      </c>
      <c r="AH325" s="29">
        <v>0</v>
      </c>
      <c r="AJ325" s="22">
        <v>44870</v>
      </c>
      <c r="AK325" s="26">
        <f t="shared" ca="1" si="38"/>
        <v>0.19964219471746092</v>
      </c>
      <c r="AL325" s="29">
        <v>0</v>
      </c>
      <c r="AN325" s="22">
        <v>44870</v>
      </c>
      <c r="AO325" s="26">
        <f t="shared" ca="1" si="39"/>
        <v>0.30962763776440383</v>
      </c>
      <c r="AP325" s="29">
        <v>0</v>
      </c>
      <c r="AR325" s="22">
        <v>44870</v>
      </c>
      <c r="AS325" s="26">
        <f t="shared" ca="1" si="40"/>
        <v>0.23674952686391415</v>
      </c>
      <c r="AT325" s="29">
        <v>0</v>
      </c>
      <c r="AV325" s="22">
        <v>44870</v>
      </c>
      <c r="AW325" s="26">
        <f t="shared" ca="1" si="41"/>
        <v>1.8750505465416012E-2</v>
      </c>
      <c r="AX325" s="29">
        <v>0</v>
      </c>
      <c r="AZ325" s="22">
        <v>44870</v>
      </c>
      <c r="BA325" s="26">
        <f t="shared" ca="1" si="42"/>
        <v>0.18821299285294257</v>
      </c>
      <c r="BB325" s="29">
        <v>0</v>
      </c>
      <c r="BC325"/>
      <c r="BD325" s="25"/>
      <c r="BF325" s="22">
        <v>44870</v>
      </c>
      <c r="BG325" s="26">
        <f t="shared" ca="1" si="43"/>
        <v>0.32862871475906441</v>
      </c>
      <c r="BH325" s="29">
        <v>0</v>
      </c>
      <c r="BJ325" s="22">
        <v>44870</v>
      </c>
      <c r="BK325" s="26">
        <f t="shared" ca="1" si="44"/>
        <v>0.88954139239613128</v>
      </c>
      <c r="BL325" s="29">
        <v>0</v>
      </c>
      <c r="BN325" s="22">
        <v>44870</v>
      </c>
      <c r="BO325" s="26">
        <f t="shared" ca="1" si="45"/>
        <v>6.607784958465901E-2</v>
      </c>
      <c r="BP325" s="29">
        <v>0</v>
      </c>
      <c r="BR325" s="22">
        <v>44870</v>
      </c>
      <c r="BS325" s="26">
        <f t="shared" ca="1" si="46"/>
        <v>0.82598307860793097</v>
      </c>
      <c r="BT325" s="29">
        <v>0</v>
      </c>
      <c r="BV325" s="22">
        <v>44870</v>
      </c>
      <c r="BW325" s="26">
        <f t="shared" ca="1" si="47"/>
        <v>0.93724898775834242</v>
      </c>
      <c r="BX325" s="29">
        <v>0</v>
      </c>
    </row>
    <row r="326" spans="2:76" ht="12.75" x14ac:dyDescent="0.2">
      <c r="B326" s="22">
        <v>44871</v>
      </c>
      <c r="C326" s="26">
        <f t="shared" ca="1" si="0"/>
        <v>0.50710738422560786</v>
      </c>
      <c r="D326" s="29">
        <f t="shared" ca="1" si="48"/>
        <v>76</v>
      </c>
      <c r="F326" s="22">
        <v>44871</v>
      </c>
      <c r="G326" s="26">
        <f t="shared" ca="1" si="31"/>
        <v>7.3680708317907628E-2</v>
      </c>
      <c r="H326" s="29">
        <f t="shared" ca="1" si="49"/>
        <v>195</v>
      </c>
      <c r="J326" s="22">
        <v>44871</v>
      </c>
      <c r="K326" s="26">
        <f t="shared" ca="1" si="32"/>
        <v>0.13459970415194711</v>
      </c>
      <c r="L326" s="29">
        <f t="shared" ca="1" si="50"/>
        <v>139</v>
      </c>
      <c r="N326" s="22">
        <v>44871</v>
      </c>
      <c r="O326" s="26">
        <f t="shared" ca="1" si="33"/>
        <v>0.26134945239148299</v>
      </c>
      <c r="P326" s="29">
        <f t="shared" ca="1" si="51"/>
        <v>220</v>
      </c>
      <c r="R326" s="22">
        <v>44871</v>
      </c>
      <c r="S326" s="26">
        <f t="shared" ca="1" si="34"/>
        <v>8.6075119341422646E-2</v>
      </c>
      <c r="T326" s="29">
        <f t="shared" ca="1" si="52"/>
        <v>127</v>
      </c>
      <c r="V326" s="22">
        <v>44871</v>
      </c>
      <c r="W326" s="26">
        <f t="shared" ca="1" si="35"/>
        <v>8.4910521733012945E-2</v>
      </c>
      <c r="X326" s="29">
        <v>0</v>
      </c>
      <c r="Z326" s="22">
        <v>44871</v>
      </c>
      <c r="AA326" s="26">
        <f t="shared" ca="1" si="36"/>
        <v>0.50250799849348704</v>
      </c>
      <c r="AB326" s="29">
        <v>0</v>
      </c>
      <c r="AC326"/>
      <c r="AD326" s="25"/>
      <c r="AF326" s="22">
        <v>44871</v>
      </c>
      <c r="AG326" s="26">
        <f t="shared" ca="1" si="37"/>
        <v>0.30373015267768777</v>
      </c>
      <c r="AH326" s="29">
        <v>0</v>
      </c>
      <c r="AJ326" s="22">
        <v>44871</v>
      </c>
      <c r="AK326" s="26">
        <f t="shared" ca="1" si="38"/>
        <v>0.63052071327053205</v>
      </c>
      <c r="AL326" s="29">
        <v>0</v>
      </c>
      <c r="AN326" s="22">
        <v>44871</v>
      </c>
      <c r="AO326" s="26">
        <f t="shared" ca="1" si="39"/>
        <v>0.51907026628683006</v>
      </c>
      <c r="AP326" s="29">
        <v>0</v>
      </c>
      <c r="AR326" s="22">
        <v>44871</v>
      </c>
      <c r="AS326" s="26">
        <f t="shared" ca="1" si="40"/>
        <v>0.65353142461252844</v>
      </c>
      <c r="AT326" s="29">
        <v>0</v>
      </c>
      <c r="AV326" s="22">
        <v>44871</v>
      </c>
      <c r="AW326" s="26">
        <f t="shared" ca="1" si="41"/>
        <v>0.26375187786683763</v>
      </c>
      <c r="AX326" s="29">
        <v>0</v>
      </c>
      <c r="AZ326" s="22">
        <v>44871</v>
      </c>
      <c r="BA326" s="26">
        <f t="shared" ca="1" si="42"/>
        <v>0.74040748103754206</v>
      </c>
      <c r="BB326" s="29">
        <v>0</v>
      </c>
      <c r="BC326"/>
      <c r="BD326" s="25"/>
      <c r="BF326" s="22">
        <v>44871</v>
      </c>
      <c r="BG326" s="26">
        <f t="shared" ca="1" si="43"/>
        <v>1.7375463778588118E-2</v>
      </c>
      <c r="BH326" s="29">
        <v>0</v>
      </c>
      <c r="BJ326" s="22">
        <v>44871</v>
      </c>
      <c r="BK326" s="26">
        <f t="shared" ca="1" si="44"/>
        <v>0.10691237533129561</v>
      </c>
      <c r="BL326" s="29">
        <v>0</v>
      </c>
      <c r="BN326" s="22">
        <v>44871</v>
      </c>
      <c r="BO326" s="26">
        <f t="shared" ca="1" si="45"/>
        <v>0.64773811911345003</v>
      </c>
      <c r="BP326" s="29">
        <v>0</v>
      </c>
      <c r="BR326" s="22">
        <v>44871</v>
      </c>
      <c r="BS326" s="26">
        <f t="shared" ca="1" si="46"/>
        <v>0.7944536594175623</v>
      </c>
      <c r="BT326" s="29">
        <v>0</v>
      </c>
      <c r="BV326" s="22">
        <v>44871</v>
      </c>
      <c r="BW326" s="26">
        <f t="shared" ca="1" si="47"/>
        <v>7.1571924530767439E-2</v>
      </c>
      <c r="BX326" s="29">
        <v>0</v>
      </c>
    </row>
    <row r="327" spans="2:76" ht="12.75" x14ac:dyDescent="0.2">
      <c r="B327" s="22">
        <v>44872</v>
      </c>
      <c r="C327" s="26">
        <f t="shared" ca="1" si="0"/>
        <v>0.9220236182306063</v>
      </c>
      <c r="D327" s="29">
        <f t="shared" ca="1" si="48"/>
        <v>104</v>
      </c>
      <c r="F327" s="22">
        <v>44872</v>
      </c>
      <c r="G327" s="26">
        <f t="shared" ca="1" si="31"/>
        <v>0.54932984158790121</v>
      </c>
      <c r="H327" s="29">
        <f t="shared" ca="1" si="49"/>
        <v>218</v>
      </c>
      <c r="J327" s="22">
        <v>44872</v>
      </c>
      <c r="K327" s="26">
        <f t="shared" ca="1" si="32"/>
        <v>0.43532618448788696</v>
      </c>
      <c r="L327" s="29">
        <f t="shared" ca="1" si="50"/>
        <v>149</v>
      </c>
      <c r="N327" s="22">
        <v>44872</v>
      </c>
      <c r="O327" s="26">
        <f t="shared" ca="1" si="33"/>
        <v>0.60195263954997003</v>
      </c>
      <c r="P327" s="29">
        <f t="shared" ca="1" si="51"/>
        <v>234</v>
      </c>
      <c r="R327" s="22">
        <v>44872</v>
      </c>
      <c r="S327" s="26">
        <f t="shared" ca="1" si="34"/>
        <v>0.74587506101931045</v>
      </c>
      <c r="T327" s="29">
        <f t="shared" ca="1" si="52"/>
        <v>145</v>
      </c>
      <c r="V327" s="22">
        <v>44872</v>
      </c>
      <c r="W327" s="26">
        <f t="shared" ca="1" si="35"/>
        <v>0.61397954983718916</v>
      </c>
      <c r="X327" s="29">
        <v>0</v>
      </c>
      <c r="Z327" s="22">
        <v>44872</v>
      </c>
      <c r="AA327" s="26">
        <f t="shared" ca="1" si="36"/>
        <v>0.55527723555198449</v>
      </c>
      <c r="AB327" s="29">
        <v>0</v>
      </c>
      <c r="AC327"/>
      <c r="AD327" s="25"/>
      <c r="AF327" s="22">
        <v>44872</v>
      </c>
      <c r="AG327" s="26">
        <f t="shared" ca="1" si="37"/>
        <v>0.10770201953042369</v>
      </c>
      <c r="AH327" s="29">
        <v>0</v>
      </c>
      <c r="AJ327" s="22">
        <v>44872</v>
      </c>
      <c r="AK327" s="26">
        <f t="shared" ca="1" si="38"/>
        <v>0.46740021377441232</v>
      </c>
      <c r="AL327" s="29">
        <v>0</v>
      </c>
      <c r="AN327" s="22">
        <v>44872</v>
      </c>
      <c r="AO327" s="26">
        <f t="shared" ca="1" si="39"/>
        <v>0.19997330969522054</v>
      </c>
      <c r="AP327" s="29">
        <v>0</v>
      </c>
      <c r="AR327" s="22">
        <v>44872</v>
      </c>
      <c r="AS327" s="26">
        <f t="shared" ca="1" si="40"/>
        <v>0.51834475816009751</v>
      </c>
      <c r="AT327" s="29">
        <v>0</v>
      </c>
      <c r="AV327" s="22">
        <v>44872</v>
      </c>
      <c r="AW327" s="26">
        <f t="shared" ca="1" si="41"/>
        <v>0.62080489643032677</v>
      </c>
      <c r="AX327" s="29">
        <v>0</v>
      </c>
      <c r="AZ327" s="22">
        <v>44872</v>
      </c>
      <c r="BA327" s="26">
        <f t="shared" ca="1" si="42"/>
        <v>0.85461523561274744</v>
      </c>
      <c r="BB327" s="29">
        <v>0</v>
      </c>
      <c r="BC327"/>
      <c r="BD327" s="25"/>
      <c r="BF327" s="22">
        <v>44872</v>
      </c>
      <c r="BG327" s="26">
        <f t="shared" ca="1" si="43"/>
        <v>0.33697331979366318</v>
      </c>
      <c r="BH327" s="29">
        <v>0</v>
      </c>
      <c r="BJ327" s="22">
        <v>44872</v>
      </c>
      <c r="BK327" s="26">
        <f t="shared" ca="1" si="44"/>
        <v>0.36962228730812419</v>
      </c>
      <c r="BL327" s="29">
        <v>0</v>
      </c>
      <c r="BN327" s="22">
        <v>44872</v>
      </c>
      <c r="BO327" s="26">
        <f t="shared" ca="1" si="45"/>
        <v>0.76047770849206819</v>
      </c>
      <c r="BP327" s="29">
        <v>0</v>
      </c>
      <c r="BR327" s="22">
        <v>44872</v>
      </c>
      <c r="BS327" s="26">
        <f t="shared" ca="1" si="46"/>
        <v>0.58871209500132404</v>
      </c>
      <c r="BT327" s="29">
        <v>0</v>
      </c>
      <c r="BV327" s="22">
        <v>44872</v>
      </c>
      <c r="BW327" s="26">
        <f t="shared" ca="1" si="47"/>
        <v>0.21553380690441037</v>
      </c>
      <c r="BX327" s="29">
        <v>0</v>
      </c>
    </row>
    <row r="328" spans="2:76" ht="12.75" x14ac:dyDescent="0.2">
      <c r="B328" s="22">
        <v>44873</v>
      </c>
      <c r="C328" s="26">
        <f t="shared" ca="1" si="0"/>
        <v>0.56866115733169831</v>
      </c>
      <c r="D328" s="29">
        <f t="shared" ca="1" si="48"/>
        <v>79</v>
      </c>
      <c r="F328" s="22">
        <v>44873</v>
      </c>
      <c r="G328" s="26">
        <f t="shared" ca="1" si="31"/>
        <v>0.75990985035320624</v>
      </c>
      <c r="H328" s="29">
        <f t="shared" ca="1" si="49"/>
        <v>226</v>
      </c>
      <c r="J328" s="22">
        <v>44873</v>
      </c>
      <c r="K328" s="26">
        <f t="shared" ca="1" si="32"/>
        <v>0.55290413820193063</v>
      </c>
      <c r="L328" s="29">
        <f t="shared" ca="1" si="50"/>
        <v>152</v>
      </c>
      <c r="N328" s="22">
        <v>44873</v>
      </c>
      <c r="O328" s="26">
        <f t="shared" ca="1" si="33"/>
        <v>0.75742120040522565</v>
      </c>
      <c r="P328" s="29">
        <f t="shared" ca="1" si="51"/>
        <v>241</v>
      </c>
      <c r="R328" s="22">
        <v>44873</v>
      </c>
      <c r="S328" s="26">
        <f t="shared" ca="1" si="34"/>
        <v>0.13806680860949072</v>
      </c>
      <c r="T328" s="29">
        <f t="shared" ca="1" si="52"/>
        <v>129</v>
      </c>
      <c r="V328" s="22">
        <v>44873</v>
      </c>
      <c r="W328" s="26">
        <f t="shared" ca="1" si="35"/>
        <v>0.88121811925408278</v>
      </c>
      <c r="X328" s="29">
        <v>0</v>
      </c>
      <c r="Z328" s="22">
        <v>44873</v>
      </c>
      <c r="AA328" s="26">
        <f t="shared" ca="1" si="36"/>
        <v>0.83804918070496526</v>
      </c>
      <c r="AB328" s="29">
        <v>0</v>
      </c>
      <c r="AC328"/>
      <c r="AD328" s="25"/>
      <c r="AF328" s="22">
        <v>44873</v>
      </c>
      <c r="AG328" s="26">
        <f t="shared" ca="1" si="37"/>
        <v>0.79395006199178608</v>
      </c>
      <c r="AH328" s="29">
        <v>0</v>
      </c>
      <c r="AJ328" s="22">
        <v>44873</v>
      </c>
      <c r="AK328" s="26">
        <f t="shared" ca="1" si="38"/>
        <v>0.92984537745271034</v>
      </c>
      <c r="AL328" s="29">
        <v>0</v>
      </c>
      <c r="AN328" s="22">
        <v>44873</v>
      </c>
      <c r="AO328" s="26">
        <f t="shared" ca="1" si="39"/>
        <v>0.33295087393685807</v>
      </c>
      <c r="AP328" s="29">
        <v>0</v>
      </c>
      <c r="AR328" s="22">
        <v>44873</v>
      </c>
      <c r="AS328" s="26">
        <f t="shared" ca="1" si="40"/>
        <v>0.4074390145141753</v>
      </c>
      <c r="AT328" s="29">
        <v>0</v>
      </c>
      <c r="AV328" s="22">
        <v>44873</v>
      </c>
      <c r="AW328" s="26">
        <f t="shared" ca="1" si="41"/>
        <v>7.5112516670691409E-2</v>
      </c>
      <c r="AX328" s="29">
        <v>0</v>
      </c>
      <c r="AZ328" s="22">
        <v>44873</v>
      </c>
      <c r="BA328" s="26">
        <f t="shared" ca="1" si="42"/>
        <v>0.51689561388250138</v>
      </c>
      <c r="BB328" s="29">
        <v>0</v>
      </c>
      <c r="BC328"/>
      <c r="BD328" s="25"/>
      <c r="BF328" s="22">
        <v>44873</v>
      </c>
      <c r="BG328" s="26">
        <f t="shared" ca="1" si="43"/>
        <v>0.13656146514579859</v>
      </c>
      <c r="BH328" s="29">
        <v>0</v>
      </c>
      <c r="BJ328" s="22">
        <v>44873</v>
      </c>
      <c r="BK328" s="26">
        <f t="shared" ca="1" si="44"/>
        <v>0.95443454938067929</v>
      </c>
      <c r="BL328" s="29">
        <v>0</v>
      </c>
      <c r="BN328" s="22">
        <v>44873</v>
      </c>
      <c r="BO328" s="26">
        <f t="shared" ca="1" si="45"/>
        <v>0.81944568054635025</v>
      </c>
      <c r="BP328" s="29">
        <v>0</v>
      </c>
      <c r="BR328" s="22">
        <v>44873</v>
      </c>
      <c r="BS328" s="26">
        <f t="shared" ca="1" si="46"/>
        <v>0.41374437409807141</v>
      </c>
      <c r="BT328" s="29">
        <v>0</v>
      </c>
      <c r="BV328" s="22">
        <v>44873</v>
      </c>
      <c r="BW328" s="26">
        <f t="shared" ca="1" si="47"/>
        <v>2.0026587179740041E-2</v>
      </c>
      <c r="BX328" s="29">
        <v>0</v>
      </c>
    </row>
    <row r="329" spans="2:76" ht="12.75" x14ac:dyDescent="0.2">
      <c r="B329" s="22">
        <v>44874</v>
      </c>
      <c r="C329" s="26">
        <f t="shared" ca="1" si="0"/>
        <v>0.56387431224489826</v>
      </c>
      <c r="D329" s="29">
        <f t="shared" ca="1" si="48"/>
        <v>79</v>
      </c>
      <c r="F329" s="22">
        <v>44874</v>
      </c>
      <c r="G329" s="26">
        <f t="shared" ca="1" si="31"/>
        <v>0.30170434039241545</v>
      </c>
      <c r="H329" s="29">
        <f t="shared" ca="1" si="49"/>
        <v>208</v>
      </c>
      <c r="J329" s="22">
        <v>44874</v>
      </c>
      <c r="K329" s="26">
        <f t="shared" ca="1" si="32"/>
        <v>0.8501048109685273</v>
      </c>
      <c r="L329" s="29">
        <f t="shared" ca="1" si="50"/>
        <v>161</v>
      </c>
      <c r="N329" s="22">
        <v>44874</v>
      </c>
      <c r="O329" s="26">
        <f t="shared" ca="1" si="33"/>
        <v>0.98063933250148327</v>
      </c>
      <c r="P329" s="29">
        <f t="shared" ca="1" si="51"/>
        <v>261</v>
      </c>
      <c r="R329" s="22">
        <v>44874</v>
      </c>
      <c r="S329" s="26">
        <f t="shared" ca="1" si="34"/>
        <v>0.16501185832014942</v>
      </c>
      <c r="T329" s="29">
        <f t="shared" ca="1" si="52"/>
        <v>130</v>
      </c>
      <c r="V329" s="22">
        <v>44874</v>
      </c>
      <c r="W329" s="26">
        <f t="shared" ca="1" si="35"/>
        <v>0.39146067119887884</v>
      </c>
      <c r="X329" s="29">
        <v>0</v>
      </c>
      <c r="Z329" s="22">
        <v>44874</v>
      </c>
      <c r="AA329" s="26">
        <f t="shared" ca="1" si="36"/>
        <v>0.68907403078129448</v>
      </c>
      <c r="AB329" s="29">
        <v>0</v>
      </c>
      <c r="AC329"/>
      <c r="AD329" s="25"/>
      <c r="AF329" s="22">
        <v>44874</v>
      </c>
      <c r="AG329" s="26">
        <f t="shared" ca="1" si="37"/>
        <v>0.31590311955886741</v>
      </c>
      <c r="AH329" s="29">
        <v>0</v>
      </c>
      <c r="AJ329" s="22">
        <v>44874</v>
      </c>
      <c r="AK329" s="26">
        <f t="shared" ca="1" si="38"/>
        <v>0.50488313155564191</v>
      </c>
      <c r="AL329" s="29">
        <v>0</v>
      </c>
      <c r="AN329" s="22">
        <v>44874</v>
      </c>
      <c r="AO329" s="26">
        <f t="shared" ca="1" si="39"/>
        <v>7.2158664996342048E-2</v>
      </c>
      <c r="AP329" s="29">
        <v>0</v>
      </c>
      <c r="AR329" s="22">
        <v>44874</v>
      </c>
      <c r="AS329" s="26">
        <f t="shared" ca="1" si="40"/>
        <v>0.55083445806553522</v>
      </c>
      <c r="AT329" s="29">
        <v>0</v>
      </c>
      <c r="AV329" s="22">
        <v>44874</v>
      </c>
      <c r="AW329" s="26">
        <f t="shared" ca="1" si="41"/>
        <v>0.211213068934757</v>
      </c>
      <c r="AX329" s="29">
        <v>0</v>
      </c>
      <c r="AZ329" s="22">
        <v>44874</v>
      </c>
      <c r="BA329" s="26">
        <f t="shared" ca="1" si="42"/>
        <v>0.27605502268709603</v>
      </c>
      <c r="BB329" s="29">
        <v>0</v>
      </c>
      <c r="BC329"/>
      <c r="BD329" s="25"/>
      <c r="BF329" s="22">
        <v>44874</v>
      </c>
      <c r="BG329" s="26">
        <f t="shared" ca="1" si="43"/>
        <v>0.78144388182391511</v>
      </c>
      <c r="BH329" s="29">
        <v>0</v>
      </c>
      <c r="BJ329" s="22">
        <v>44874</v>
      </c>
      <c r="BK329" s="26">
        <f t="shared" ca="1" si="44"/>
        <v>0.17728366935460238</v>
      </c>
      <c r="BL329" s="29">
        <v>0</v>
      </c>
      <c r="BN329" s="22">
        <v>44874</v>
      </c>
      <c r="BO329" s="26">
        <f t="shared" ca="1" si="45"/>
        <v>0.1003556892418902</v>
      </c>
      <c r="BP329" s="29">
        <v>0</v>
      </c>
      <c r="BR329" s="22">
        <v>44874</v>
      </c>
      <c r="BS329" s="26">
        <f t="shared" ca="1" si="46"/>
        <v>6.6932700807440293E-2</v>
      </c>
      <c r="BT329" s="29">
        <v>0</v>
      </c>
      <c r="BV329" s="22">
        <v>44874</v>
      </c>
      <c r="BW329" s="26">
        <f t="shared" ca="1" si="47"/>
        <v>0.54304898503399035</v>
      </c>
      <c r="BX329" s="29">
        <v>0</v>
      </c>
    </row>
    <row r="330" spans="2:76" ht="12.75" x14ac:dyDescent="0.2">
      <c r="B330" s="22">
        <v>44875</v>
      </c>
      <c r="C330" s="26">
        <f t="shared" ca="1" si="0"/>
        <v>0.39046402323700258</v>
      </c>
      <c r="D330" s="29">
        <f t="shared" ca="1" si="48"/>
        <v>70</v>
      </c>
      <c r="F330" s="22">
        <v>44875</v>
      </c>
      <c r="G330" s="26">
        <f t="shared" ca="1" si="31"/>
        <v>0.38782191034435431</v>
      </c>
      <c r="H330" s="29">
        <f t="shared" ca="1" si="49"/>
        <v>212</v>
      </c>
      <c r="J330" s="22">
        <v>44875</v>
      </c>
      <c r="K330" s="26">
        <f t="shared" ca="1" si="32"/>
        <v>0.14832432308623322</v>
      </c>
      <c r="L330" s="29">
        <f t="shared" ca="1" si="50"/>
        <v>140</v>
      </c>
      <c r="N330" s="22">
        <v>44875</v>
      </c>
      <c r="O330" s="26">
        <f t="shared" ca="1" si="33"/>
        <v>0.97871933847493364</v>
      </c>
      <c r="P330" s="29">
        <f t="shared" ca="1" si="51"/>
        <v>261</v>
      </c>
      <c r="R330" s="22">
        <v>44875</v>
      </c>
      <c r="S330" s="26">
        <f t="shared" ca="1" si="34"/>
        <v>0.44400885757174036</v>
      </c>
      <c r="T330" s="29">
        <f t="shared" ca="1" si="52"/>
        <v>138</v>
      </c>
      <c r="V330" s="22">
        <v>44875</v>
      </c>
      <c r="W330" s="26">
        <f t="shared" ca="1" si="35"/>
        <v>0.32292358537383747</v>
      </c>
      <c r="X330" s="29">
        <v>0</v>
      </c>
      <c r="Z330" s="22">
        <v>44875</v>
      </c>
      <c r="AA330" s="26">
        <f t="shared" ca="1" si="36"/>
        <v>0.5707561831196285</v>
      </c>
      <c r="AB330" s="29">
        <v>0</v>
      </c>
      <c r="AC330"/>
      <c r="AD330" s="25"/>
      <c r="AF330" s="22">
        <v>44875</v>
      </c>
      <c r="AG330" s="26">
        <f t="shared" ca="1" si="37"/>
        <v>0.12009203229847631</v>
      </c>
      <c r="AH330" s="29">
        <v>0</v>
      </c>
      <c r="AJ330" s="22">
        <v>44875</v>
      </c>
      <c r="AK330" s="26">
        <f t="shared" ca="1" si="38"/>
        <v>0.29439781674577581</v>
      </c>
      <c r="AL330" s="29">
        <v>0</v>
      </c>
      <c r="AN330" s="22">
        <v>44875</v>
      </c>
      <c r="AO330" s="26">
        <f t="shared" ca="1" si="39"/>
        <v>0.63067119823653428</v>
      </c>
      <c r="AP330" s="29">
        <v>0</v>
      </c>
      <c r="AR330" s="22">
        <v>44875</v>
      </c>
      <c r="AS330" s="26">
        <f t="shared" ca="1" si="40"/>
        <v>0.53147131449926477</v>
      </c>
      <c r="AT330" s="29">
        <v>0</v>
      </c>
      <c r="AV330" s="22">
        <v>44875</v>
      </c>
      <c r="AW330" s="26">
        <f t="shared" ca="1" si="41"/>
        <v>0.23600593745038223</v>
      </c>
      <c r="AX330" s="29">
        <v>0</v>
      </c>
      <c r="AZ330" s="22">
        <v>44875</v>
      </c>
      <c r="BA330" s="26">
        <f t="shared" ca="1" si="42"/>
        <v>0.80439831478409796</v>
      </c>
      <c r="BB330" s="29">
        <v>0</v>
      </c>
      <c r="BC330"/>
      <c r="BD330" s="25"/>
      <c r="BF330" s="22">
        <v>44875</v>
      </c>
      <c r="BG330" s="26">
        <f t="shared" ca="1" si="43"/>
        <v>0.11022231388163761</v>
      </c>
      <c r="BH330" s="29">
        <v>0</v>
      </c>
      <c r="BJ330" s="22">
        <v>44875</v>
      </c>
      <c r="BK330" s="26">
        <f t="shared" ca="1" si="44"/>
        <v>3.0934672620837045E-3</v>
      </c>
      <c r="BL330" s="29">
        <v>0</v>
      </c>
      <c r="BN330" s="22">
        <v>44875</v>
      </c>
      <c r="BO330" s="26">
        <f t="shared" ca="1" si="45"/>
        <v>0.60440485609392725</v>
      </c>
      <c r="BP330" s="29">
        <v>0</v>
      </c>
      <c r="BR330" s="22">
        <v>44875</v>
      </c>
      <c r="BS330" s="26">
        <f t="shared" ca="1" si="46"/>
        <v>0.91409453773087546</v>
      </c>
      <c r="BT330" s="29">
        <v>0</v>
      </c>
      <c r="BV330" s="22">
        <v>44875</v>
      </c>
      <c r="BW330" s="26">
        <f t="shared" ca="1" si="47"/>
        <v>0.42192098263391431</v>
      </c>
      <c r="BX330" s="29">
        <v>0</v>
      </c>
    </row>
    <row r="331" spans="2:76" ht="12.75" x14ac:dyDescent="0.2">
      <c r="B331" s="22">
        <v>44876</v>
      </c>
      <c r="C331" s="26">
        <f t="shared" ca="1" si="0"/>
        <v>0.8500352554363696</v>
      </c>
      <c r="D331" s="29">
        <f t="shared" ca="1" si="48"/>
        <v>96</v>
      </c>
      <c r="F331" s="22">
        <v>44876</v>
      </c>
      <c r="G331" s="26">
        <f t="shared" ca="1" si="31"/>
        <v>0.70252205237774767</v>
      </c>
      <c r="H331" s="29">
        <f t="shared" ca="1" si="49"/>
        <v>224</v>
      </c>
      <c r="J331" s="22">
        <v>44876</v>
      </c>
      <c r="K331" s="26">
        <f t="shared" ca="1" si="32"/>
        <v>0.34233148095454957</v>
      </c>
      <c r="L331" s="29">
        <f t="shared" ca="1" si="50"/>
        <v>146</v>
      </c>
      <c r="N331" s="22">
        <v>44876</v>
      </c>
      <c r="O331" s="26">
        <f t="shared" ca="1" si="33"/>
        <v>0.43805487204746851</v>
      </c>
      <c r="P331" s="29">
        <f t="shared" ca="1" si="51"/>
        <v>227</v>
      </c>
      <c r="R331" s="22">
        <v>44876</v>
      </c>
      <c r="S331" s="26">
        <f t="shared" ca="1" si="34"/>
        <v>0.58142068535026692</v>
      </c>
      <c r="T331" s="29">
        <f t="shared" ca="1" si="52"/>
        <v>141</v>
      </c>
      <c r="V331" s="22">
        <v>44876</v>
      </c>
      <c r="W331" s="26">
        <f t="shared" ca="1" si="35"/>
        <v>0.72118198528397703</v>
      </c>
      <c r="X331" s="29">
        <v>0</v>
      </c>
      <c r="Z331" s="22">
        <v>44876</v>
      </c>
      <c r="AA331" s="26">
        <f t="shared" ca="1" si="36"/>
        <v>0.20749226083248073</v>
      </c>
      <c r="AB331" s="29">
        <v>0</v>
      </c>
      <c r="AC331"/>
      <c r="AD331" s="25"/>
      <c r="AF331" s="22">
        <v>44876</v>
      </c>
      <c r="AG331" s="26">
        <f t="shared" ca="1" si="37"/>
        <v>0.89495916880727544</v>
      </c>
      <c r="AH331" s="29">
        <v>0</v>
      </c>
      <c r="AJ331" s="22">
        <v>44876</v>
      </c>
      <c r="AK331" s="26">
        <f t="shared" ca="1" si="38"/>
        <v>0.12576947595367971</v>
      </c>
      <c r="AL331" s="29">
        <v>0</v>
      </c>
      <c r="AN331" s="22">
        <v>44876</v>
      </c>
      <c r="AO331" s="26">
        <f t="shared" ca="1" si="39"/>
        <v>0.56077569620032319</v>
      </c>
      <c r="AP331" s="29">
        <v>0</v>
      </c>
      <c r="AR331" s="22">
        <v>44876</v>
      </c>
      <c r="AS331" s="26">
        <f t="shared" ca="1" si="40"/>
        <v>2.333997437868085E-2</v>
      </c>
      <c r="AT331" s="29">
        <v>0</v>
      </c>
      <c r="AV331" s="22">
        <v>44876</v>
      </c>
      <c r="AW331" s="26">
        <f t="shared" ca="1" si="41"/>
        <v>0.6796920751246418</v>
      </c>
      <c r="AX331" s="29">
        <v>0</v>
      </c>
      <c r="AZ331" s="22">
        <v>44876</v>
      </c>
      <c r="BA331" s="26">
        <f t="shared" ca="1" si="42"/>
        <v>0.17095729108496394</v>
      </c>
      <c r="BB331" s="29">
        <v>0</v>
      </c>
      <c r="BC331"/>
      <c r="BD331" s="25"/>
      <c r="BF331" s="22">
        <v>44876</v>
      </c>
      <c r="BG331" s="26">
        <f t="shared" ca="1" si="43"/>
        <v>0.59109838897975786</v>
      </c>
      <c r="BH331" s="29">
        <v>0</v>
      </c>
      <c r="BJ331" s="22">
        <v>44876</v>
      </c>
      <c r="BK331" s="26">
        <f t="shared" ca="1" si="44"/>
        <v>0.46757057246469169</v>
      </c>
      <c r="BL331" s="29">
        <v>0</v>
      </c>
      <c r="BN331" s="22">
        <v>44876</v>
      </c>
      <c r="BO331" s="26">
        <f t="shared" ca="1" si="45"/>
        <v>0.53714205702422535</v>
      </c>
      <c r="BP331" s="29">
        <v>0</v>
      </c>
      <c r="BR331" s="22">
        <v>44876</v>
      </c>
      <c r="BS331" s="26">
        <f t="shared" ca="1" si="46"/>
        <v>0.53857179016719625</v>
      </c>
      <c r="BT331" s="29">
        <v>0</v>
      </c>
      <c r="BV331" s="22">
        <v>44876</v>
      </c>
      <c r="BW331" s="26">
        <f t="shared" ca="1" si="47"/>
        <v>3.1837922364691074E-2</v>
      </c>
      <c r="BX331" s="29">
        <v>0</v>
      </c>
    </row>
    <row r="332" spans="2:76" ht="12.75" x14ac:dyDescent="0.2">
      <c r="B332" s="22">
        <v>44877</v>
      </c>
      <c r="C332" s="26">
        <f t="shared" ca="1" si="0"/>
        <v>0.42249977982588571</v>
      </c>
      <c r="D332" s="29">
        <f t="shared" ca="1" si="48"/>
        <v>72</v>
      </c>
      <c r="F332" s="22">
        <v>44877</v>
      </c>
      <c r="G332" s="26">
        <f t="shared" ca="1" si="31"/>
        <v>0.37438156330936812</v>
      </c>
      <c r="H332" s="29">
        <f t="shared" ca="1" si="49"/>
        <v>211</v>
      </c>
      <c r="J332" s="22">
        <v>44877</v>
      </c>
      <c r="K332" s="26">
        <f t="shared" ca="1" si="32"/>
        <v>0.93808683131282899</v>
      </c>
      <c r="L332" s="29">
        <f t="shared" ca="1" si="50"/>
        <v>166</v>
      </c>
      <c r="N332" s="22">
        <v>44877</v>
      </c>
      <c r="O332" s="26">
        <f t="shared" ca="1" si="33"/>
        <v>0.94649140632208206</v>
      </c>
      <c r="P332" s="29">
        <f t="shared" ca="1" si="51"/>
        <v>254</v>
      </c>
      <c r="R332" s="22">
        <v>44877</v>
      </c>
      <c r="S332" s="26">
        <f t="shared" ca="1" si="34"/>
        <v>9.9875153449698661E-2</v>
      </c>
      <c r="T332" s="29">
        <f t="shared" ca="1" si="52"/>
        <v>127</v>
      </c>
      <c r="V332" s="22">
        <v>44877</v>
      </c>
      <c r="W332" s="26">
        <f t="shared" ca="1" si="35"/>
        <v>0.82457977796385129</v>
      </c>
      <c r="X332" s="29">
        <v>0</v>
      </c>
      <c r="Z332" s="22">
        <v>44877</v>
      </c>
      <c r="AA332" s="26">
        <f t="shared" ca="1" si="36"/>
        <v>7.8032906594307172E-2</v>
      </c>
      <c r="AB332" s="29">
        <v>0</v>
      </c>
      <c r="AC332"/>
      <c r="AD332" s="25"/>
      <c r="AF332" s="22">
        <v>44877</v>
      </c>
      <c r="AG332" s="26">
        <f t="shared" ca="1" si="37"/>
        <v>0.57272265232420261</v>
      </c>
      <c r="AH332" s="29">
        <v>0</v>
      </c>
      <c r="AJ332" s="22">
        <v>44877</v>
      </c>
      <c r="AK332" s="26">
        <f t="shared" ca="1" si="38"/>
        <v>0.5188631657883167</v>
      </c>
      <c r="AL332" s="29">
        <v>0</v>
      </c>
      <c r="AN332" s="22">
        <v>44877</v>
      </c>
      <c r="AO332" s="26">
        <f t="shared" ca="1" si="39"/>
        <v>0.46188515528848673</v>
      </c>
      <c r="AP332" s="29">
        <v>0</v>
      </c>
      <c r="AR332" s="22">
        <v>44877</v>
      </c>
      <c r="AS332" s="26">
        <f t="shared" ca="1" si="40"/>
        <v>0.23154999587349101</v>
      </c>
      <c r="AT332" s="29">
        <v>0</v>
      </c>
      <c r="AV332" s="22">
        <v>44877</v>
      </c>
      <c r="AW332" s="26">
        <f t="shared" ca="1" si="41"/>
        <v>0.26251871728032961</v>
      </c>
      <c r="AX332" s="29">
        <v>0</v>
      </c>
      <c r="AZ332" s="22">
        <v>44877</v>
      </c>
      <c r="BA332" s="26">
        <f t="shared" ca="1" si="42"/>
        <v>0.51268133612898903</v>
      </c>
      <c r="BB332" s="29">
        <v>0</v>
      </c>
      <c r="BC332"/>
      <c r="BD332" s="25"/>
      <c r="BF332" s="22">
        <v>44877</v>
      </c>
      <c r="BG332" s="26">
        <f t="shared" ca="1" si="43"/>
        <v>0.31893488832265982</v>
      </c>
      <c r="BH332" s="29">
        <v>0</v>
      </c>
      <c r="BJ332" s="22">
        <v>44877</v>
      </c>
      <c r="BK332" s="26">
        <f t="shared" ca="1" si="44"/>
        <v>0.21576890612142385</v>
      </c>
      <c r="BL332" s="29">
        <v>0</v>
      </c>
      <c r="BN332" s="22">
        <v>44877</v>
      </c>
      <c r="BO332" s="26">
        <f t="shared" ca="1" si="45"/>
        <v>0.68261369353634804</v>
      </c>
      <c r="BP332" s="29">
        <v>0</v>
      </c>
      <c r="BR332" s="22">
        <v>44877</v>
      </c>
      <c r="BS332" s="26">
        <f t="shared" ca="1" si="46"/>
        <v>0.14519210820648942</v>
      </c>
      <c r="BT332" s="29">
        <v>0</v>
      </c>
      <c r="BV332" s="22">
        <v>44877</v>
      </c>
      <c r="BW332" s="26">
        <f t="shared" ca="1" si="47"/>
        <v>0.83257826292305026</v>
      </c>
      <c r="BX332" s="29">
        <v>0</v>
      </c>
    </row>
    <row r="333" spans="2:76" ht="12.75" x14ac:dyDescent="0.2">
      <c r="B333" s="22">
        <v>44878</v>
      </c>
      <c r="C333" s="26">
        <f t="shared" ca="1" si="0"/>
        <v>0.62675487166706445</v>
      </c>
      <c r="D333" s="29">
        <f t="shared" ca="1" si="48"/>
        <v>82</v>
      </c>
      <c r="F333" s="22">
        <v>44878</v>
      </c>
      <c r="G333" s="26">
        <f t="shared" ca="1" si="31"/>
        <v>0.87045305927461836</v>
      </c>
      <c r="H333" s="29">
        <f t="shared" ca="1" si="49"/>
        <v>232</v>
      </c>
      <c r="J333" s="22">
        <v>44878</v>
      </c>
      <c r="K333" s="26">
        <f t="shared" ca="1" si="32"/>
        <v>0.359772987488296</v>
      </c>
      <c r="L333" s="29">
        <f t="shared" ca="1" si="50"/>
        <v>147</v>
      </c>
      <c r="N333" s="22">
        <v>44878</v>
      </c>
      <c r="O333" s="26">
        <f t="shared" ca="1" si="33"/>
        <v>0.40578753961774527</v>
      </c>
      <c r="P333" s="29">
        <f t="shared" ca="1" si="51"/>
        <v>226</v>
      </c>
      <c r="R333" s="22">
        <v>44878</v>
      </c>
      <c r="S333" s="26">
        <f t="shared" ca="1" si="34"/>
        <v>0.30804889976993244</v>
      </c>
      <c r="T333" s="29">
        <f t="shared" ca="1" si="52"/>
        <v>135</v>
      </c>
      <c r="V333" s="22">
        <v>44878</v>
      </c>
      <c r="W333" s="26">
        <f t="shared" ca="1" si="35"/>
        <v>0.73174851640438532</v>
      </c>
      <c r="X333" s="29">
        <v>0</v>
      </c>
      <c r="Z333" s="22">
        <v>44878</v>
      </c>
      <c r="AA333" s="26">
        <f t="shared" ca="1" si="36"/>
        <v>0.33430365812835972</v>
      </c>
      <c r="AB333" s="29">
        <v>0</v>
      </c>
      <c r="AC333"/>
      <c r="AD333" s="25"/>
      <c r="AF333" s="22">
        <v>44878</v>
      </c>
      <c r="AG333" s="26">
        <f t="shared" ca="1" si="37"/>
        <v>0.34447474452912097</v>
      </c>
      <c r="AH333" s="29">
        <v>0</v>
      </c>
      <c r="AJ333" s="22">
        <v>44878</v>
      </c>
      <c r="AK333" s="26">
        <f t="shared" ca="1" si="38"/>
        <v>0.46691652053194566</v>
      </c>
      <c r="AL333" s="29">
        <v>0</v>
      </c>
      <c r="AN333" s="22">
        <v>44878</v>
      </c>
      <c r="AO333" s="26">
        <f t="shared" ca="1" si="39"/>
        <v>0.88638997107885209</v>
      </c>
      <c r="AP333" s="29">
        <v>0</v>
      </c>
      <c r="AR333" s="22">
        <v>44878</v>
      </c>
      <c r="AS333" s="26">
        <f t="shared" ca="1" si="40"/>
        <v>0.26840653653621604</v>
      </c>
      <c r="AT333" s="29">
        <v>0</v>
      </c>
      <c r="AV333" s="22">
        <v>44878</v>
      </c>
      <c r="AW333" s="26">
        <f t="shared" ca="1" si="41"/>
        <v>0.79508977316343132</v>
      </c>
      <c r="AX333" s="29">
        <v>0</v>
      </c>
      <c r="AZ333" s="22">
        <v>44878</v>
      </c>
      <c r="BA333" s="26">
        <f t="shared" ca="1" si="42"/>
        <v>0.31008397067704363</v>
      </c>
      <c r="BB333" s="29">
        <v>0</v>
      </c>
      <c r="BC333"/>
      <c r="BD333" s="25"/>
      <c r="BF333" s="22">
        <v>44878</v>
      </c>
      <c r="BG333" s="26">
        <f t="shared" ca="1" si="43"/>
        <v>0.17788838771639104</v>
      </c>
      <c r="BH333" s="29">
        <v>0</v>
      </c>
      <c r="BJ333" s="22">
        <v>44878</v>
      </c>
      <c r="BK333" s="26">
        <f t="shared" ca="1" si="44"/>
        <v>0.26103157824649637</v>
      </c>
      <c r="BL333" s="29">
        <v>0</v>
      </c>
      <c r="BN333" s="22">
        <v>44878</v>
      </c>
      <c r="BO333" s="26">
        <f t="shared" ca="1" si="45"/>
        <v>0.99592599499902879</v>
      </c>
      <c r="BP333" s="29">
        <v>0</v>
      </c>
      <c r="BR333" s="22">
        <v>44878</v>
      </c>
      <c r="BS333" s="26">
        <f t="shared" ca="1" si="46"/>
        <v>0.28533790751780364</v>
      </c>
      <c r="BT333" s="29">
        <v>0</v>
      </c>
      <c r="BV333" s="22">
        <v>44878</v>
      </c>
      <c r="BW333" s="26">
        <f t="shared" ca="1" si="47"/>
        <v>0.27667065773687083</v>
      </c>
      <c r="BX333" s="29">
        <v>0</v>
      </c>
    </row>
    <row r="334" spans="2:76" ht="12.75" x14ac:dyDescent="0.2">
      <c r="B334" s="22">
        <v>44879</v>
      </c>
      <c r="C334" s="26">
        <f t="shared" ca="1" si="0"/>
        <v>0.2288978094330435</v>
      </c>
      <c r="D334" s="29">
        <f t="shared" ca="1" si="48"/>
        <v>61</v>
      </c>
      <c r="F334" s="22">
        <v>44879</v>
      </c>
      <c r="G334" s="26">
        <f t="shared" ca="1" si="31"/>
        <v>0.99253704397070552</v>
      </c>
      <c r="H334" s="29">
        <f t="shared" ca="1" si="49"/>
        <v>251</v>
      </c>
      <c r="J334" s="22">
        <v>44879</v>
      </c>
      <c r="K334" s="26">
        <f t="shared" ca="1" si="32"/>
        <v>0.31354297313296253</v>
      </c>
      <c r="L334" s="29">
        <f t="shared" ca="1" si="50"/>
        <v>146</v>
      </c>
      <c r="N334" s="22">
        <v>44879</v>
      </c>
      <c r="O334" s="26">
        <f t="shared" ca="1" si="33"/>
        <v>0.74493367374880592</v>
      </c>
      <c r="P334" s="29">
        <f t="shared" ca="1" si="51"/>
        <v>240</v>
      </c>
      <c r="R334" s="22">
        <v>44879</v>
      </c>
      <c r="S334" s="26">
        <f t="shared" ca="1" si="34"/>
        <v>0.41465315716357631</v>
      </c>
      <c r="T334" s="29">
        <f t="shared" ca="1" si="52"/>
        <v>137</v>
      </c>
      <c r="V334" s="22">
        <v>44879</v>
      </c>
      <c r="W334" s="26">
        <f t="shared" ca="1" si="35"/>
        <v>0.68355880011871684</v>
      </c>
      <c r="X334" s="29">
        <v>0</v>
      </c>
      <c r="Z334" s="22">
        <v>44879</v>
      </c>
      <c r="AA334" s="26">
        <f t="shared" ca="1" si="36"/>
        <v>0.74437993987412332</v>
      </c>
      <c r="AB334" s="29">
        <v>0</v>
      </c>
      <c r="AC334"/>
      <c r="AD334" s="25"/>
      <c r="AF334" s="22">
        <v>44879</v>
      </c>
      <c r="AG334" s="26">
        <f t="shared" ca="1" si="37"/>
        <v>0.56737144103802495</v>
      </c>
      <c r="AH334" s="29">
        <v>0</v>
      </c>
      <c r="AJ334" s="22">
        <v>44879</v>
      </c>
      <c r="AK334" s="26">
        <f t="shared" ca="1" si="38"/>
        <v>0.35697145111566897</v>
      </c>
      <c r="AL334" s="29">
        <v>0</v>
      </c>
      <c r="AN334" s="22">
        <v>44879</v>
      </c>
      <c r="AO334" s="26">
        <f t="shared" ca="1" si="39"/>
        <v>0.29530613933967398</v>
      </c>
      <c r="AP334" s="29">
        <v>0</v>
      </c>
      <c r="AR334" s="22">
        <v>44879</v>
      </c>
      <c r="AS334" s="26">
        <f t="shared" ca="1" si="40"/>
        <v>0.87424264224344284</v>
      </c>
      <c r="AT334" s="29">
        <v>0</v>
      </c>
      <c r="AV334" s="22">
        <v>44879</v>
      </c>
      <c r="AW334" s="26">
        <f t="shared" ca="1" si="41"/>
        <v>0.13848140188861147</v>
      </c>
      <c r="AX334" s="29">
        <v>0</v>
      </c>
      <c r="AZ334" s="22">
        <v>44879</v>
      </c>
      <c r="BA334" s="26">
        <f t="shared" ca="1" si="42"/>
        <v>0.9399147276948715</v>
      </c>
      <c r="BB334" s="29">
        <v>0</v>
      </c>
      <c r="BC334"/>
      <c r="BD334" s="25"/>
      <c r="BF334" s="22">
        <v>44879</v>
      </c>
      <c r="BG334" s="26">
        <f t="shared" ca="1" si="43"/>
        <v>0.19944715676534908</v>
      </c>
      <c r="BH334" s="29">
        <v>0</v>
      </c>
      <c r="BJ334" s="22">
        <v>44879</v>
      </c>
      <c r="BK334" s="26">
        <f t="shared" ca="1" si="44"/>
        <v>0.4441909171002586</v>
      </c>
      <c r="BL334" s="29">
        <v>0</v>
      </c>
      <c r="BN334" s="22">
        <v>44879</v>
      </c>
      <c r="BO334" s="26">
        <f t="shared" ca="1" si="45"/>
        <v>6.5026209688820336E-2</v>
      </c>
      <c r="BP334" s="29">
        <v>0</v>
      </c>
      <c r="BR334" s="22">
        <v>44879</v>
      </c>
      <c r="BS334" s="26">
        <f t="shared" ca="1" si="46"/>
        <v>0.25388863380703808</v>
      </c>
      <c r="BT334" s="29">
        <v>0</v>
      </c>
      <c r="BV334" s="22">
        <v>44879</v>
      </c>
      <c r="BW334" s="26">
        <f t="shared" ca="1" si="47"/>
        <v>0.29057950552890721</v>
      </c>
      <c r="BX334" s="29">
        <v>0</v>
      </c>
    </row>
    <row r="335" spans="2:76" ht="12.75" x14ac:dyDescent="0.2">
      <c r="B335" s="22">
        <v>44880</v>
      </c>
      <c r="C335" s="26">
        <f t="shared" ca="1" si="0"/>
        <v>0.58477571540381734</v>
      </c>
      <c r="D335" s="29">
        <f t="shared" ca="1" si="48"/>
        <v>80</v>
      </c>
      <c r="F335" s="22">
        <v>44880</v>
      </c>
      <c r="G335" s="26">
        <f t="shared" ca="1" si="31"/>
        <v>0.72529170320057101</v>
      </c>
      <c r="H335" s="29">
        <f t="shared" ca="1" si="49"/>
        <v>224</v>
      </c>
      <c r="J335" s="22">
        <v>44880</v>
      </c>
      <c r="K335" s="26">
        <f t="shared" ca="1" si="32"/>
        <v>0.29595106673552807</v>
      </c>
      <c r="L335" s="29">
        <f t="shared" ca="1" si="50"/>
        <v>145</v>
      </c>
      <c r="N335" s="22">
        <v>44880</v>
      </c>
      <c r="O335" s="26">
        <f t="shared" ca="1" si="33"/>
        <v>0.84149283265508923</v>
      </c>
      <c r="P335" s="29">
        <f t="shared" ca="1" si="51"/>
        <v>245</v>
      </c>
      <c r="R335" s="22">
        <v>44880</v>
      </c>
      <c r="S335" s="26">
        <f t="shared" ca="1" si="34"/>
        <v>0.6185171148685501</v>
      </c>
      <c r="T335" s="29">
        <f t="shared" ca="1" si="52"/>
        <v>142</v>
      </c>
      <c r="V335" s="22">
        <v>44880</v>
      </c>
      <c r="W335" s="26">
        <f t="shared" ca="1" si="35"/>
        <v>0.69722778516958173</v>
      </c>
      <c r="X335" s="29">
        <v>0</v>
      </c>
      <c r="Z335" s="22">
        <v>44880</v>
      </c>
      <c r="AA335" s="26">
        <f t="shared" ca="1" si="36"/>
        <v>5.0571924373873589E-2</v>
      </c>
      <c r="AB335" s="29">
        <v>0</v>
      </c>
      <c r="AC335"/>
      <c r="AD335" s="25"/>
      <c r="AF335" s="22">
        <v>44880</v>
      </c>
      <c r="AG335" s="26">
        <f t="shared" ca="1" si="37"/>
        <v>0.59229433538576504</v>
      </c>
      <c r="AH335" s="29">
        <v>0</v>
      </c>
      <c r="AJ335" s="22">
        <v>44880</v>
      </c>
      <c r="AK335" s="26">
        <f t="shared" ca="1" si="38"/>
        <v>0.90053398923599415</v>
      </c>
      <c r="AL335" s="29">
        <v>0</v>
      </c>
      <c r="AN335" s="22">
        <v>44880</v>
      </c>
      <c r="AO335" s="26">
        <f t="shared" ca="1" si="39"/>
        <v>4.2833006912755933E-2</v>
      </c>
      <c r="AP335" s="29">
        <v>0</v>
      </c>
      <c r="AR335" s="22">
        <v>44880</v>
      </c>
      <c r="AS335" s="26">
        <f t="shared" ca="1" si="40"/>
        <v>0.53547259493177046</v>
      </c>
      <c r="AT335" s="29">
        <v>0</v>
      </c>
      <c r="AV335" s="22">
        <v>44880</v>
      </c>
      <c r="AW335" s="26">
        <f t="shared" ca="1" si="41"/>
        <v>0.23698196656854942</v>
      </c>
      <c r="AX335" s="29">
        <v>0</v>
      </c>
      <c r="AZ335" s="22">
        <v>44880</v>
      </c>
      <c r="BA335" s="26">
        <f t="shared" ca="1" si="42"/>
        <v>0.85838772417098985</v>
      </c>
      <c r="BB335" s="29">
        <v>0</v>
      </c>
      <c r="BC335"/>
      <c r="BD335" s="25"/>
      <c r="BF335" s="22">
        <v>44880</v>
      </c>
      <c r="BG335" s="26">
        <f t="shared" ca="1" si="43"/>
        <v>0.20056213837351189</v>
      </c>
      <c r="BH335" s="29">
        <v>0</v>
      </c>
      <c r="BJ335" s="22">
        <v>44880</v>
      </c>
      <c r="BK335" s="26">
        <f t="shared" ca="1" si="44"/>
        <v>0.9824329985485315</v>
      </c>
      <c r="BL335" s="29">
        <v>0</v>
      </c>
      <c r="BN335" s="22">
        <v>44880</v>
      </c>
      <c r="BO335" s="26">
        <f t="shared" ca="1" si="45"/>
        <v>0.49707793027005387</v>
      </c>
      <c r="BP335" s="29">
        <v>0</v>
      </c>
      <c r="BR335" s="22">
        <v>44880</v>
      </c>
      <c r="BS335" s="26">
        <f t="shared" ca="1" si="46"/>
        <v>0.11100488798781993</v>
      </c>
      <c r="BT335" s="29">
        <v>0</v>
      </c>
      <c r="BV335" s="22">
        <v>44880</v>
      </c>
      <c r="BW335" s="26">
        <f t="shared" ca="1" si="47"/>
        <v>0.89674846564139898</v>
      </c>
      <c r="BX335" s="29">
        <v>0</v>
      </c>
    </row>
    <row r="336" spans="2:76" ht="12.75" x14ac:dyDescent="0.2">
      <c r="B336" s="22">
        <v>44881</v>
      </c>
      <c r="C336" s="26">
        <f t="shared" ca="1" si="0"/>
        <v>0.33570040397104095</v>
      </c>
      <c r="D336" s="29">
        <f t="shared" ca="1" si="48"/>
        <v>67</v>
      </c>
      <c r="F336" s="22">
        <v>44881</v>
      </c>
      <c r="G336" s="26">
        <f t="shared" ca="1" si="31"/>
        <v>0.4999660174867554</v>
      </c>
      <c r="H336" s="29">
        <f t="shared" ca="1" si="49"/>
        <v>216</v>
      </c>
      <c r="J336" s="22">
        <v>44881</v>
      </c>
      <c r="K336" s="26">
        <f t="shared" ca="1" si="32"/>
        <v>0.80107838560853029</v>
      </c>
      <c r="L336" s="29">
        <f t="shared" ca="1" si="50"/>
        <v>159</v>
      </c>
      <c r="N336" s="22">
        <v>44881</v>
      </c>
      <c r="O336" s="26">
        <f t="shared" ca="1" si="33"/>
        <v>0.8789180832106418</v>
      </c>
      <c r="P336" s="29">
        <f t="shared" ca="1" si="51"/>
        <v>248</v>
      </c>
      <c r="R336" s="22">
        <v>44881</v>
      </c>
      <c r="S336" s="26">
        <f t="shared" ca="1" si="34"/>
        <v>0.21419073119387588</v>
      </c>
      <c r="T336" s="29">
        <f t="shared" ca="1" si="52"/>
        <v>132</v>
      </c>
      <c r="V336" s="22">
        <v>44881</v>
      </c>
      <c r="W336" s="26">
        <f t="shared" ca="1" si="35"/>
        <v>0.79642600090938587</v>
      </c>
      <c r="X336" s="29">
        <v>0</v>
      </c>
      <c r="Z336" s="22">
        <v>44881</v>
      </c>
      <c r="AA336" s="26">
        <f t="shared" ca="1" si="36"/>
        <v>0.64515844485425</v>
      </c>
      <c r="AB336" s="29">
        <v>0</v>
      </c>
      <c r="AC336"/>
      <c r="AD336" s="25"/>
      <c r="AF336" s="22">
        <v>44881</v>
      </c>
      <c r="AG336" s="26">
        <f t="shared" ca="1" si="37"/>
        <v>0.5673628427579307</v>
      </c>
      <c r="AH336" s="29">
        <v>0</v>
      </c>
      <c r="AJ336" s="22">
        <v>44881</v>
      </c>
      <c r="AK336" s="26">
        <f t="shared" ca="1" si="38"/>
        <v>0.63639565220305594</v>
      </c>
      <c r="AL336" s="29">
        <v>0</v>
      </c>
      <c r="AN336" s="22">
        <v>44881</v>
      </c>
      <c r="AO336" s="26">
        <f t="shared" ca="1" si="39"/>
        <v>0.94327018253004091</v>
      </c>
      <c r="AP336" s="29">
        <v>0</v>
      </c>
      <c r="AR336" s="22">
        <v>44881</v>
      </c>
      <c r="AS336" s="26">
        <f t="shared" ca="1" si="40"/>
        <v>0.997385634389926</v>
      </c>
      <c r="AT336" s="29">
        <v>0</v>
      </c>
      <c r="AV336" s="22">
        <v>44881</v>
      </c>
      <c r="AW336" s="26">
        <f t="shared" ca="1" si="41"/>
        <v>0.7145484187228448</v>
      </c>
      <c r="AX336" s="29">
        <v>0</v>
      </c>
      <c r="AZ336" s="22">
        <v>44881</v>
      </c>
      <c r="BA336" s="26">
        <f t="shared" ca="1" si="42"/>
        <v>0.7256204060847935</v>
      </c>
      <c r="BB336" s="29">
        <v>0</v>
      </c>
      <c r="BC336"/>
      <c r="BD336" s="25"/>
      <c r="BF336" s="22">
        <v>44881</v>
      </c>
      <c r="BG336" s="26">
        <f t="shared" ca="1" si="43"/>
        <v>0.39168191104542316</v>
      </c>
      <c r="BH336" s="29">
        <v>0</v>
      </c>
      <c r="BJ336" s="22">
        <v>44881</v>
      </c>
      <c r="BK336" s="26">
        <f t="shared" ca="1" si="44"/>
        <v>0.46914875847622384</v>
      </c>
      <c r="BL336" s="29">
        <v>0</v>
      </c>
      <c r="BN336" s="22">
        <v>44881</v>
      </c>
      <c r="BO336" s="26">
        <f t="shared" ca="1" si="45"/>
        <v>0.29676103831676037</v>
      </c>
      <c r="BP336" s="29">
        <v>0</v>
      </c>
      <c r="BR336" s="22">
        <v>44881</v>
      </c>
      <c r="BS336" s="26">
        <f t="shared" ca="1" si="46"/>
        <v>0.83777980843533728</v>
      </c>
      <c r="BT336" s="29">
        <v>0</v>
      </c>
      <c r="BV336" s="22">
        <v>44881</v>
      </c>
      <c r="BW336" s="26">
        <f t="shared" ca="1" si="47"/>
        <v>0.23801236447216867</v>
      </c>
      <c r="BX336" s="29">
        <v>0</v>
      </c>
    </row>
    <row r="337" spans="2:77" ht="12.75" x14ac:dyDescent="0.2">
      <c r="B337" s="22">
        <v>44882</v>
      </c>
      <c r="C337" s="26">
        <f t="shared" ca="1" si="0"/>
        <v>0.15356543566294911</v>
      </c>
      <c r="D337" s="29">
        <f t="shared" ca="1" si="48"/>
        <v>55</v>
      </c>
      <c r="F337" s="22">
        <v>44882</v>
      </c>
      <c r="G337" s="26">
        <f t="shared" ca="1" si="31"/>
        <v>0.87292516889517069</v>
      </c>
      <c r="H337" s="29">
        <f t="shared" ca="1" si="49"/>
        <v>232</v>
      </c>
      <c r="J337" s="22">
        <v>44882</v>
      </c>
      <c r="K337" s="26">
        <f t="shared" ca="1" si="32"/>
        <v>0.14614531427874555</v>
      </c>
      <c r="L337" s="29">
        <f t="shared" ca="1" si="50"/>
        <v>140</v>
      </c>
      <c r="N337" s="22">
        <v>44882</v>
      </c>
      <c r="O337" s="26">
        <f t="shared" ca="1" si="33"/>
        <v>0.24589779661372879</v>
      </c>
      <c r="P337" s="29">
        <f t="shared" ca="1" si="51"/>
        <v>219</v>
      </c>
      <c r="R337" s="22">
        <v>44882</v>
      </c>
      <c r="S337" s="26">
        <f t="shared" ca="1" si="34"/>
        <v>0.84635991082435358</v>
      </c>
      <c r="T337" s="29">
        <f t="shared" ca="1" si="52"/>
        <v>149</v>
      </c>
      <c r="V337" s="22">
        <v>44882</v>
      </c>
      <c r="W337" s="26">
        <f t="shared" ca="1" si="35"/>
        <v>0.91993635731466517</v>
      </c>
      <c r="X337" s="29">
        <v>0</v>
      </c>
      <c r="Z337" s="22">
        <v>44882</v>
      </c>
      <c r="AA337" s="26">
        <f t="shared" ca="1" si="36"/>
        <v>0.25938703508251448</v>
      </c>
      <c r="AB337" s="29">
        <v>0</v>
      </c>
      <c r="AC337"/>
      <c r="AD337" s="25"/>
      <c r="AF337" s="22">
        <v>44882</v>
      </c>
      <c r="AG337" s="26">
        <f t="shared" ca="1" si="37"/>
        <v>0.49288876134702619</v>
      </c>
      <c r="AH337" s="29">
        <v>0</v>
      </c>
      <c r="AJ337" s="22">
        <v>44882</v>
      </c>
      <c r="AK337" s="26">
        <f t="shared" ca="1" si="38"/>
        <v>0.15908166367482157</v>
      </c>
      <c r="AL337" s="29">
        <v>0</v>
      </c>
      <c r="AN337" s="22">
        <v>44882</v>
      </c>
      <c r="AO337" s="26">
        <f t="shared" ca="1" si="39"/>
        <v>0.39953801743560258</v>
      </c>
      <c r="AP337" s="29">
        <v>0</v>
      </c>
      <c r="AR337" s="22">
        <v>44882</v>
      </c>
      <c r="AS337" s="26">
        <f t="shared" ca="1" si="40"/>
        <v>0.87519312440439057</v>
      </c>
      <c r="AT337" s="29">
        <v>0</v>
      </c>
      <c r="AV337" s="22">
        <v>44882</v>
      </c>
      <c r="AW337" s="26">
        <f t="shared" ca="1" si="41"/>
        <v>4.9353004950740464E-2</v>
      </c>
      <c r="AX337" s="29">
        <v>0</v>
      </c>
      <c r="AZ337" s="22">
        <v>44882</v>
      </c>
      <c r="BA337" s="26">
        <f t="shared" ca="1" si="42"/>
        <v>0.14311188823733334</v>
      </c>
      <c r="BB337" s="29">
        <v>0</v>
      </c>
      <c r="BC337"/>
      <c r="BD337" s="25"/>
      <c r="BF337" s="22">
        <v>44882</v>
      </c>
      <c r="BG337" s="26">
        <f t="shared" ca="1" si="43"/>
        <v>8.2746764149836838E-2</v>
      </c>
      <c r="BH337" s="29">
        <v>0</v>
      </c>
      <c r="BJ337" s="22">
        <v>44882</v>
      </c>
      <c r="BK337" s="26">
        <f t="shared" ca="1" si="44"/>
        <v>0.21746369321187264</v>
      </c>
      <c r="BL337" s="29">
        <v>0</v>
      </c>
      <c r="BN337" s="22">
        <v>44882</v>
      </c>
      <c r="BO337" s="26">
        <f t="shared" ca="1" si="45"/>
        <v>0.61149903847200371</v>
      </c>
      <c r="BP337" s="29">
        <v>0</v>
      </c>
      <c r="BR337" s="22">
        <v>44882</v>
      </c>
      <c r="BS337" s="26">
        <f t="shared" ca="1" si="46"/>
        <v>0.68931948398835508</v>
      </c>
      <c r="BT337" s="29">
        <v>0</v>
      </c>
      <c r="BV337" s="22">
        <v>44882</v>
      </c>
      <c r="BW337" s="26">
        <f t="shared" ca="1" si="47"/>
        <v>0.23137535800573406</v>
      </c>
      <c r="BX337" s="29">
        <v>0</v>
      </c>
    </row>
    <row r="338" spans="2:77" ht="12.75" x14ac:dyDescent="0.2">
      <c r="B338" s="22">
        <v>44883</v>
      </c>
      <c r="C338" s="26">
        <f t="shared" ca="1" si="0"/>
        <v>0.53334902687524566</v>
      </c>
      <c r="D338" s="29">
        <f t="shared" ref="D338:D401" ca="1" si="53">ROUNDUP(_xlfn.NORM.INV(C338,C$10,C$12),0)</f>
        <v>77</v>
      </c>
      <c r="F338" s="22">
        <v>44883</v>
      </c>
      <c r="G338" s="26">
        <f t="shared" ca="1" si="31"/>
        <v>0.25582296537092486</v>
      </c>
      <c r="H338" s="29">
        <f t="shared" ca="1" si="49"/>
        <v>206</v>
      </c>
      <c r="J338" s="22">
        <v>44883</v>
      </c>
      <c r="K338" s="26">
        <f t="shared" ca="1" si="32"/>
        <v>0.994706228384999</v>
      </c>
      <c r="L338" s="29">
        <f t="shared" ca="1" si="50"/>
        <v>176</v>
      </c>
      <c r="N338" s="22">
        <v>44883</v>
      </c>
      <c r="O338" s="26">
        <f t="shared" ca="1" si="33"/>
        <v>0.17378603016486638</v>
      </c>
      <c r="P338" s="29">
        <f t="shared" ca="1" si="51"/>
        <v>215</v>
      </c>
      <c r="R338" s="22">
        <v>44883</v>
      </c>
      <c r="S338" s="26">
        <f t="shared" ca="1" si="34"/>
        <v>0.29255739621432286</v>
      </c>
      <c r="T338" s="29">
        <f t="shared" ca="1" si="52"/>
        <v>134</v>
      </c>
      <c r="V338" s="22">
        <v>44883</v>
      </c>
      <c r="W338" s="26">
        <f t="shared" ca="1" si="35"/>
        <v>0.58891967859616023</v>
      </c>
      <c r="X338" s="29">
        <v>0</v>
      </c>
      <c r="Z338" s="22">
        <v>44883</v>
      </c>
      <c r="AA338" s="26">
        <f t="shared" ca="1" si="36"/>
        <v>0.9333046779043459</v>
      </c>
      <c r="AB338" s="29">
        <v>0</v>
      </c>
      <c r="AC338"/>
      <c r="AD338" s="25"/>
      <c r="AF338" s="22">
        <v>44883</v>
      </c>
      <c r="AG338" s="26">
        <f t="shared" ca="1" si="37"/>
        <v>0.46703590780979398</v>
      </c>
      <c r="AH338" s="29">
        <v>0</v>
      </c>
      <c r="AJ338" s="22">
        <v>44883</v>
      </c>
      <c r="AK338" s="26">
        <f t="shared" ca="1" si="38"/>
        <v>0.69633442365616238</v>
      </c>
      <c r="AL338" s="29">
        <v>0</v>
      </c>
      <c r="AN338" s="22">
        <v>44883</v>
      </c>
      <c r="AO338" s="26">
        <f t="shared" ca="1" si="39"/>
        <v>0.63517689784945053</v>
      </c>
      <c r="AP338" s="29">
        <v>0</v>
      </c>
      <c r="AR338" s="22">
        <v>44883</v>
      </c>
      <c r="AS338" s="26">
        <f t="shared" ca="1" si="40"/>
        <v>8.5954558878698073E-4</v>
      </c>
      <c r="AT338" s="29">
        <v>0</v>
      </c>
      <c r="AV338" s="22">
        <v>44883</v>
      </c>
      <c r="AW338" s="26">
        <f t="shared" ca="1" si="41"/>
        <v>0.70020158408246624</v>
      </c>
      <c r="AX338" s="29">
        <v>0</v>
      </c>
      <c r="AZ338" s="22">
        <v>44883</v>
      </c>
      <c r="BA338" s="26">
        <f t="shared" ca="1" si="42"/>
        <v>0.16265700590542309</v>
      </c>
      <c r="BB338" s="29">
        <v>0</v>
      </c>
      <c r="BC338"/>
      <c r="BD338" s="25"/>
      <c r="BF338" s="22">
        <v>44883</v>
      </c>
      <c r="BG338" s="26">
        <f t="shared" ca="1" si="43"/>
        <v>6.5554095532924572E-2</v>
      </c>
      <c r="BH338" s="29">
        <v>0</v>
      </c>
      <c r="BJ338" s="22">
        <v>44883</v>
      </c>
      <c r="BK338" s="26">
        <f t="shared" ca="1" si="44"/>
        <v>3.3410531364614804E-2</v>
      </c>
      <c r="BL338" s="29">
        <v>0</v>
      </c>
      <c r="BN338" s="22">
        <v>44883</v>
      </c>
      <c r="BO338" s="26">
        <f t="shared" ca="1" si="45"/>
        <v>0.96709185344825677</v>
      </c>
      <c r="BP338" s="29">
        <v>0</v>
      </c>
      <c r="BR338" s="22">
        <v>44883</v>
      </c>
      <c r="BS338" s="26">
        <f t="shared" ca="1" si="46"/>
        <v>0.28662474530027371</v>
      </c>
      <c r="BT338" s="29">
        <v>0</v>
      </c>
      <c r="BV338" s="22">
        <v>44883</v>
      </c>
      <c r="BW338" s="26">
        <f t="shared" ca="1" si="47"/>
        <v>0.48929738450108784</v>
      </c>
      <c r="BX338" s="29">
        <v>0</v>
      </c>
    </row>
    <row r="339" spans="2:77" ht="12.75" x14ac:dyDescent="0.2">
      <c r="B339" s="22">
        <v>44884</v>
      </c>
      <c r="C339" s="26">
        <f t="shared" ca="1" si="0"/>
        <v>9.7210021954348136E-2</v>
      </c>
      <c r="D339" s="29">
        <f t="shared" ca="1" si="53"/>
        <v>50</v>
      </c>
      <c r="F339" s="22">
        <v>44884</v>
      </c>
      <c r="G339" s="26">
        <f t="shared" ca="1" si="31"/>
        <v>8.2191397197812321E-2</v>
      </c>
      <c r="H339" s="29">
        <f t="shared" ca="1" si="49"/>
        <v>196</v>
      </c>
      <c r="J339" s="22">
        <v>44884</v>
      </c>
      <c r="K339" s="26">
        <f t="shared" ca="1" si="32"/>
        <v>0.72711023186671275</v>
      </c>
      <c r="L339" s="29">
        <f t="shared" ca="1" si="50"/>
        <v>157</v>
      </c>
      <c r="N339" s="22">
        <v>44884</v>
      </c>
      <c r="O339" s="26">
        <f t="shared" ca="1" si="33"/>
        <v>0.25743940536496135</v>
      </c>
      <c r="P339" s="29">
        <f t="shared" ca="1" si="51"/>
        <v>220</v>
      </c>
      <c r="R339" s="22">
        <v>44884</v>
      </c>
      <c r="S339" s="26">
        <f t="shared" ca="1" si="34"/>
        <v>4.2151030326655792E-2</v>
      </c>
      <c r="T339" s="29">
        <f t="shared" ca="1" si="52"/>
        <v>123</v>
      </c>
      <c r="V339" s="22">
        <v>44884</v>
      </c>
      <c r="W339" s="26">
        <f t="shared" ca="1" si="35"/>
        <v>4.896067806895088E-2</v>
      </c>
      <c r="X339" s="29">
        <v>0</v>
      </c>
      <c r="Z339" s="22">
        <v>44884</v>
      </c>
      <c r="AA339" s="26">
        <f t="shared" ca="1" si="36"/>
        <v>0.30618574799779674</v>
      </c>
      <c r="AB339" s="29">
        <v>0</v>
      </c>
      <c r="AC339"/>
      <c r="AD339" s="25"/>
      <c r="AF339" s="22">
        <v>44884</v>
      </c>
      <c r="AG339" s="26">
        <f t="shared" ca="1" si="37"/>
        <v>0.1342323196258588</v>
      </c>
      <c r="AH339" s="29">
        <v>0</v>
      </c>
      <c r="AJ339" s="22">
        <v>44884</v>
      </c>
      <c r="AK339" s="26">
        <f t="shared" ca="1" si="38"/>
        <v>0.28673273795627863</v>
      </c>
      <c r="AL339" s="29">
        <v>0</v>
      </c>
      <c r="AN339" s="22">
        <v>44884</v>
      </c>
      <c r="AO339" s="26">
        <f t="shared" ca="1" si="39"/>
        <v>0.44198995911249384</v>
      </c>
      <c r="AP339" s="29">
        <v>0</v>
      </c>
      <c r="AR339" s="22">
        <v>44884</v>
      </c>
      <c r="AS339" s="26">
        <f t="shared" ca="1" si="40"/>
        <v>0.13029554461368376</v>
      </c>
      <c r="AT339" s="29">
        <v>0</v>
      </c>
      <c r="AV339" s="22">
        <v>44884</v>
      </c>
      <c r="AW339" s="26">
        <f t="shared" ca="1" si="41"/>
        <v>0.75698618053986066</v>
      </c>
      <c r="AX339" s="29">
        <v>0</v>
      </c>
      <c r="AZ339" s="22">
        <v>44884</v>
      </c>
      <c r="BA339" s="26">
        <f t="shared" ca="1" si="42"/>
        <v>0.8741252189753036</v>
      </c>
      <c r="BB339" s="29">
        <v>0</v>
      </c>
      <c r="BC339"/>
      <c r="BD339" s="25"/>
      <c r="BF339" s="22">
        <v>44884</v>
      </c>
      <c r="BG339" s="26">
        <f t="shared" ca="1" si="43"/>
        <v>0.12864127906702738</v>
      </c>
      <c r="BH339" s="29">
        <v>0</v>
      </c>
      <c r="BJ339" s="22">
        <v>44884</v>
      </c>
      <c r="BK339" s="26">
        <f t="shared" ca="1" si="44"/>
        <v>0.14451033063116769</v>
      </c>
      <c r="BL339" s="29">
        <v>0</v>
      </c>
      <c r="BN339" s="22">
        <v>44884</v>
      </c>
      <c r="BO339" s="26">
        <f t="shared" ca="1" si="45"/>
        <v>0.9200649866049424</v>
      </c>
      <c r="BP339" s="29">
        <v>0</v>
      </c>
      <c r="BR339" s="22">
        <v>44884</v>
      </c>
      <c r="BS339" s="26">
        <f t="shared" ca="1" si="46"/>
        <v>0.19880489905175669</v>
      </c>
      <c r="BT339" s="29">
        <v>0</v>
      </c>
      <c r="BV339" s="22">
        <v>44884</v>
      </c>
      <c r="BW339" s="26">
        <f t="shared" ca="1" si="47"/>
        <v>1.5220338206172301E-2</v>
      </c>
      <c r="BX339" s="29">
        <v>0</v>
      </c>
    </row>
    <row r="340" spans="2:77" ht="12.75" x14ac:dyDescent="0.2">
      <c r="B340" s="22">
        <v>44885</v>
      </c>
      <c r="C340" s="26">
        <f t="shared" ca="1" si="0"/>
        <v>0.40362271008117989</v>
      </c>
      <c r="D340" s="29">
        <f t="shared" ca="1" si="53"/>
        <v>71</v>
      </c>
      <c r="F340" s="22">
        <v>44885</v>
      </c>
      <c r="G340" s="26">
        <f t="shared" ca="1" si="31"/>
        <v>0.88819870327142081</v>
      </c>
      <c r="H340" s="29">
        <f t="shared" ca="1" si="49"/>
        <v>233</v>
      </c>
      <c r="J340" s="22">
        <v>44885</v>
      </c>
      <c r="K340" s="26">
        <f t="shared" ca="1" si="32"/>
        <v>0.14941525010881762</v>
      </c>
      <c r="L340" s="29">
        <f t="shared" ca="1" si="50"/>
        <v>140</v>
      </c>
      <c r="N340" s="22">
        <v>44885</v>
      </c>
      <c r="O340" s="26">
        <f t="shared" ca="1" si="33"/>
        <v>0.61025532318769526</v>
      </c>
      <c r="P340" s="29">
        <f t="shared" ca="1" si="51"/>
        <v>234</v>
      </c>
      <c r="R340" s="22">
        <v>44885</v>
      </c>
      <c r="S340" s="26">
        <f t="shared" ca="1" si="34"/>
        <v>0.65900854342200432</v>
      </c>
      <c r="T340" s="29">
        <f t="shared" ca="1" si="52"/>
        <v>143</v>
      </c>
      <c r="V340" s="22">
        <v>44885</v>
      </c>
      <c r="W340" s="26">
        <f t="shared" ca="1" si="35"/>
        <v>0.45081996885352937</v>
      </c>
      <c r="X340" s="29">
        <v>0</v>
      </c>
      <c r="Z340" s="22">
        <v>44885</v>
      </c>
      <c r="AA340" s="26">
        <f t="shared" ca="1" si="36"/>
        <v>0.58606687115237655</v>
      </c>
      <c r="AB340" s="29">
        <v>0</v>
      </c>
      <c r="AC340"/>
      <c r="AD340" s="25"/>
      <c r="AF340" s="22">
        <v>44885</v>
      </c>
      <c r="AG340" s="26">
        <f t="shared" ca="1" si="37"/>
        <v>0.30968521802325877</v>
      </c>
      <c r="AH340" s="29">
        <v>0</v>
      </c>
      <c r="AJ340" s="22">
        <v>44885</v>
      </c>
      <c r="AK340" s="26">
        <f t="shared" ca="1" si="38"/>
        <v>0.58465580879119827</v>
      </c>
      <c r="AL340" s="29">
        <v>0</v>
      </c>
      <c r="AN340" s="22">
        <v>44885</v>
      </c>
      <c r="AO340" s="26">
        <f t="shared" ca="1" si="39"/>
        <v>0.84545591399330744</v>
      </c>
      <c r="AP340" s="29">
        <v>0</v>
      </c>
      <c r="AR340" s="22">
        <v>44885</v>
      </c>
      <c r="AS340" s="26">
        <f t="shared" ca="1" si="40"/>
        <v>2.4691046815986328E-2</v>
      </c>
      <c r="AT340" s="29">
        <v>0</v>
      </c>
      <c r="AV340" s="22">
        <v>44885</v>
      </c>
      <c r="AW340" s="26">
        <f t="shared" ca="1" si="41"/>
        <v>9.9983821075998791E-2</v>
      </c>
      <c r="AX340" s="29">
        <v>0</v>
      </c>
      <c r="AZ340" s="22">
        <v>44885</v>
      </c>
      <c r="BA340" s="26">
        <f t="shared" ca="1" si="42"/>
        <v>0.52585949558703049</v>
      </c>
      <c r="BB340" s="29">
        <v>0</v>
      </c>
      <c r="BC340"/>
      <c r="BD340" s="25"/>
      <c r="BF340" s="22">
        <v>44885</v>
      </c>
      <c r="BG340" s="26">
        <f t="shared" ca="1" si="43"/>
        <v>0.71487484668411438</v>
      </c>
      <c r="BH340" s="29">
        <v>0</v>
      </c>
      <c r="BJ340" s="22">
        <v>44885</v>
      </c>
      <c r="BK340" s="26">
        <f t="shared" ca="1" si="44"/>
        <v>0.67210486511491352</v>
      </c>
      <c r="BL340" s="29">
        <v>0</v>
      </c>
      <c r="BN340" s="22">
        <v>44885</v>
      </c>
      <c r="BO340" s="26">
        <f t="shared" ca="1" si="45"/>
        <v>0.62559298160379373</v>
      </c>
      <c r="BP340" s="29">
        <v>0</v>
      </c>
      <c r="BR340" s="22">
        <v>44885</v>
      </c>
      <c r="BS340" s="26">
        <f t="shared" ca="1" si="46"/>
        <v>0.4456964852943347</v>
      </c>
      <c r="BT340" s="29">
        <v>0</v>
      </c>
      <c r="BV340" s="22">
        <v>44885</v>
      </c>
      <c r="BW340" s="26">
        <f t="shared" ca="1" si="47"/>
        <v>0.3944265913230286</v>
      </c>
      <c r="BX340" s="29">
        <v>0</v>
      </c>
    </row>
    <row r="341" spans="2:77" ht="12.75" x14ac:dyDescent="0.2">
      <c r="B341" s="22">
        <v>44886</v>
      </c>
      <c r="C341" s="26">
        <f t="shared" ca="1" si="0"/>
        <v>0.97392815370466268</v>
      </c>
      <c r="D341" s="29">
        <f t="shared" ca="1" si="53"/>
        <v>114</v>
      </c>
      <c r="F341" s="22">
        <v>44886</v>
      </c>
      <c r="G341" s="26">
        <f t="shared" ca="1" si="31"/>
        <v>0.94780940649003564</v>
      </c>
      <c r="H341" s="29">
        <f t="shared" ca="1" si="49"/>
        <v>239</v>
      </c>
      <c r="J341" s="22">
        <v>44886</v>
      </c>
      <c r="K341" s="26">
        <f t="shared" ca="1" si="32"/>
        <v>0.37737728097569911</v>
      </c>
      <c r="L341" s="29">
        <f t="shared" ca="1" si="50"/>
        <v>147</v>
      </c>
      <c r="N341" s="22">
        <v>44886</v>
      </c>
      <c r="O341" s="26">
        <f t="shared" ca="1" si="33"/>
        <v>0.78407174164642812</v>
      </c>
      <c r="P341" s="29">
        <f t="shared" ca="1" si="51"/>
        <v>242</v>
      </c>
      <c r="R341" s="22">
        <v>44886</v>
      </c>
      <c r="S341" s="26">
        <f t="shared" ca="1" si="34"/>
        <v>0.35827933320303162</v>
      </c>
      <c r="T341" s="29">
        <f t="shared" ca="1" si="52"/>
        <v>136</v>
      </c>
      <c r="V341" s="22">
        <v>44886</v>
      </c>
      <c r="W341" s="26">
        <f t="shared" ca="1" si="35"/>
        <v>0.3387539928388601</v>
      </c>
      <c r="X341" s="29">
        <v>0</v>
      </c>
      <c r="Z341" s="22">
        <v>44886</v>
      </c>
      <c r="AA341" s="26">
        <f t="shared" ca="1" si="36"/>
        <v>0.37567772549118406</v>
      </c>
      <c r="AB341" s="29">
        <v>0</v>
      </c>
      <c r="AC341"/>
      <c r="AD341" s="25"/>
      <c r="AF341" s="22">
        <v>44886</v>
      </c>
      <c r="AG341" s="26">
        <f t="shared" ca="1" si="37"/>
        <v>0.11799977115399407</v>
      </c>
      <c r="AH341" s="29">
        <v>0</v>
      </c>
      <c r="AJ341" s="22">
        <v>44886</v>
      </c>
      <c r="AK341" s="26">
        <f t="shared" ca="1" si="38"/>
        <v>0.89929837336059348</v>
      </c>
      <c r="AL341" s="29">
        <v>0</v>
      </c>
      <c r="AN341" s="22">
        <v>44886</v>
      </c>
      <c r="AO341" s="26">
        <f t="shared" ca="1" si="39"/>
        <v>0.5198999555054078</v>
      </c>
      <c r="AP341" s="29">
        <v>0</v>
      </c>
      <c r="AR341" s="22">
        <v>44886</v>
      </c>
      <c r="AS341" s="26">
        <f t="shared" ca="1" si="40"/>
        <v>0.70111713051012492</v>
      </c>
      <c r="AT341" s="29">
        <v>0</v>
      </c>
      <c r="AV341" s="22">
        <v>44886</v>
      </c>
      <c r="AW341" s="26">
        <f t="shared" ca="1" si="41"/>
        <v>0.66539994458953899</v>
      </c>
      <c r="AX341" s="29">
        <v>0</v>
      </c>
      <c r="AZ341" s="22">
        <v>44886</v>
      </c>
      <c r="BA341" s="26">
        <f t="shared" ca="1" si="42"/>
        <v>0.33706437210904172</v>
      </c>
      <c r="BB341" s="29">
        <v>0</v>
      </c>
      <c r="BC341"/>
      <c r="BD341" s="25"/>
      <c r="BF341" s="22">
        <v>44886</v>
      </c>
      <c r="BG341" s="26">
        <f t="shared" ca="1" si="43"/>
        <v>0.48749333944126783</v>
      </c>
      <c r="BH341" s="29">
        <v>0</v>
      </c>
      <c r="BJ341" s="22">
        <v>44886</v>
      </c>
      <c r="BK341" s="26">
        <f t="shared" ca="1" si="44"/>
        <v>0.74307640788425855</v>
      </c>
      <c r="BL341" s="29">
        <v>0</v>
      </c>
      <c r="BN341" s="22">
        <v>44886</v>
      </c>
      <c r="BO341" s="26">
        <f t="shared" ca="1" si="45"/>
        <v>0.873363273149798</v>
      </c>
      <c r="BP341" s="29">
        <v>0</v>
      </c>
      <c r="BR341" s="22">
        <v>44886</v>
      </c>
      <c r="BS341" s="26">
        <f t="shared" ca="1" si="46"/>
        <v>0.96861837182057997</v>
      </c>
      <c r="BT341" s="29">
        <v>0</v>
      </c>
      <c r="BV341" s="22">
        <v>44886</v>
      </c>
      <c r="BW341" s="26">
        <f t="shared" ca="1" si="47"/>
        <v>0.33740329407533742</v>
      </c>
      <c r="BX341" s="29">
        <v>0</v>
      </c>
    </row>
    <row r="342" spans="2:77" ht="12.75" x14ac:dyDescent="0.2">
      <c r="B342" s="22">
        <v>44887</v>
      </c>
      <c r="C342" s="26">
        <f t="shared" ca="1" si="0"/>
        <v>0.40719017566042093</v>
      </c>
      <c r="D342" s="29">
        <f t="shared" ca="1" si="53"/>
        <v>71</v>
      </c>
      <c r="F342" s="22">
        <v>44887</v>
      </c>
      <c r="G342" s="26">
        <f t="shared" ca="1" si="31"/>
        <v>0.95650989488207616</v>
      </c>
      <c r="H342" s="29">
        <f t="shared" ca="1" si="49"/>
        <v>240</v>
      </c>
      <c r="J342" s="22">
        <v>44887</v>
      </c>
      <c r="K342" s="26">
        <f t="shared" ca="1" si="32"/>
        <v>0.48736403071175205</v>
      </c>
      <c r="L342" s="29">
        <f t="shared" ca="1" si="50"/>
        <v>150</v>
      </c>
      <c r="N342" s="22">
        <v>44887</v>
      </c>
      <c r="O342" s="26">
        <f t="shared" ca="1" si="33"/>
        <v>0.10249542224059927</v>
      </c>
      <c r="P342" s="29">
        <f t="shared" ca="1" si="51"/>
        <v>210</v>
      </c>
      <c r="R342" s="22">
        <v>44887</v>
      </c>
      <c r="S342" s="26">
        <f t="shared" ca="1" si="34"/>
        <v>0.85664332095703133</v>
      </c>
      <c r="T342" s="29">
        <f t="shared" ca="1" si="52"/>
        <v>149</v>
      </c>
      <c r="V342" s="22">
        <v>44887</v>
      </c>
      <c r="W342" s="26">
        <f t="shared" ca="1" si="35"/>
        <v>0.8034381064558993</v>
      </c>
      <c r="X342" s="29">
        <v>0</v>
      </c>
      <c r="Z342" s="22">
        <v>44887</v>
      </c>
      <c r="AA342" s="26">
        <f t="shared" ca="1" si="36"/>
        <v>0.52687486326930999</v>
      </c>
      <c r="AB342" s="29">
        <v>0</v>
      </c>
      <c r="AC342"/>
      <c r="AD342" s="25"/>
      <c r="AF342" s="22">
        <v>44887</v>
      </c>
      <c r="AG342" s="26">
        <f t="shared" ca="1" si="37"/>
        <v>0.15160732909264885</v>
      </c>
      <c r="AH342" s="29">
        <v>0</v>
      </c>
      <c r="AJ342" s="22">
        <v>44887</v>
      </c>
      <c r="AK342" s="26">
        <f t="shared" ca="1" si="38"/>
        <v>0.92855471432269854</v>
      </c>
      <c r="AL342" s="29">
        <v>0</v>
      </c>
      <c r="AN342" s="22">
        <v>44887</v>
      </c>
      <c r="AO342" s="26">
        <f t="shared" ca="1" si="39"/>
        <v>0.34985232689995249</v>
      </c>
      <c r="AP342" s="29">
        <v>0</v>
      </c>
      <c r="AR342" s="22">
        <v>44887</v>
      </c>
      <c r="AS342" s="26">
        <f t="shared" ca="1" si="40"/>
        <v>0.91909359032432414</v>
      </c>
      <c r="AT342" s="29">
        <v>0</v>
      </c>
      <c r="AV342" s="22">
        <v>44887</v>
      </c>
      <c r="AW342" s="26">
        <f t="shared" ca="1" si="41"/>
        <v>0.49632538279956762</v>
      </c>
      <c r="AX342" s="29">
        <v>0</v>
      </c>
      <c r="AZ342" s="22">
        <v>44887</v>
      </c>
      <c r="BA342" s="26">
        <f t="shared" ca="1" si="42"/>
        <v>0.44823777147614485</v>
      </c>
      <c r="BB342" s="29">
        <v>0</v>
      </c>
      <c r="BC342"/>
      <c r="BD342" s="25"/>
      <c r="BF342" s="22">
        <v>44887</v>
      </c>
      <c r="BG342" s="26">
        <f t="shared" ca="1" si="43"/>
        <v>0.76478390443951383</v>
      </c>
      <c r="BH342" s="29">
        <v>0</v>
      </c>
      <c r="BJ342" s="22">
        <v>44887</v>
      </c>
      <c r="BK342" s="26">
        <f t="shared" ca="1" si="44"/>
        <v>0.98847544798399622</v>
      </c>
      <c r="BL342" s="29">
        <v>0</v>
      </c>
      <c r="BN342" s="22">
        <v>44887</v>
      </c>
      <c r="BO342" s="26">
        <f t="shared" ca="1" si="45"/>
        <v>0.53275458141985177</v>
      </c>
      <c r="BP342" s="29">
        <v>0</v>
      </c>
      <c r="BR342" s="22">
        <v>44887</v>
      </c>
      <c r="BS342" s="26">
        <f t="shared" ca="1" si="46"/>
        <v>0.18134513283361642</v>
      </c>
      <c r="BT342" s="29">
        <v>0</v>
      </c>
      <c r="BV342" s="22">
        <v>44887</v>
      </c>
      <c r="BW342" s="26">
        <f t="shared" ca="1" si="47"/>
        <v>0.71484410801367049</v>
      </c>
      <c r="BX342" s="29">
        <v>0</v>
      </c>
    </row>
    <row r="343" spans="2:77" ht="12.75" x14ac:dyDescent="0.2">
      <c r="B343" s="22">
        <v>44888</v>
      </c>
      <c r="C343" s="26">
        <f t="shared" ca="1" si="0"/>
        <v>1.1695963866090731E-2</v>
      </c>
      <c r="D343" s="29">
        <f t="shared" ca="1" si="53"/>
        <v>30</v>
      </c>
      <c r="F343" s="22">
        <v>44888</v>
      </c>
      <c r="G343" s="26">
        <f t="shared" ca="1" si="31"/>
        <v>0.73171484169136292</v>
      </c>
      <c r="H343" s="29">
        <f t="shared" ca="1" si="49"/>
        <v>225</v>
      </c>
      <c r="J343" s="22">
        <v>44888</v>
      </c>
      <c r="K343" s="26">
        <f t="shared" ca="1" si="32"/>
        <v>0.61148943476286943</v>
      </c>
      <c r="L343" s="29">
        <f t="shared" ca="1" si="50"/>
        <v>153</v>
      </c>
      <c r="N343" s="22">
        <v>44888</v>
      </c>
      <c r="O343" s="26">
        <f t="shared" ca="1" si="33"/>
        <v>0.82595342740005195</v>
      </c>
      <c r="P343" s="29">
        <f t="shared" ca="1" si="51"/>
        <v>244</v>
      </c>
      <c r="R343" s="22">
        <v>44888</v>
      </c>
      <c r="S343" s="26">
        <f t="shared" ca="1" si="34"/>
        <v>0.20464921940242975</v>
      </c>
      <c r="T343" s="29">
        <f t="shared" ca="1" si="52"/>
        <v>132</v>
      </c>
      <c r="V343" s="22">
        <v>44888</v>
      </c>
      <c r="W343" s="26">
        <f t="shared" ca="1" si="35"/>
        <v>0.67681243401188551</v>
      </c>
      <c r="X343" s="29">
        <v>0</v>
      </c>
      <c r="Z343" s="22">
        <v>44888</v>
      </c>
      <c r="AA343" s="26">
        <f t="shared" ca="1" si="36"/>
        <v>0.2850010255671338</v>
      </c>
      <c r="AB343" s="29">
        <v>0</v>
      </c>
      <c r="AC343"/>
      <c r="AD343" s="25"/>
      <c r="AF343" s="22">
        <v>44888</v>
      </c>
      <c r="AG343" s="26">
        <f t="shared" ca="1" si="37"/>
        <v>9.1562744621908942E-2</v>
      </c>
      <c r="AH343" s="29">
        <v>0</v>
      </c>
      <c r="AJ343" s="22">
        <v>44888</v>
      </c>
      <c r="AK343" s="26">
        <f t="shared" ca="1" si="38"/>
        <v>0.43796089881642264</v>
      </c>
      <c r="AL343" s="29">
        <v>0</v>
      </c>
      <c r="AN343" s="22">
        <v>44888</v>
      </c>
      <c r="AO343" s="26">
        <f t="shared" ca="1" si="39"/>
        <v>0.73352748749766183</v>
      </c>
      <c r="AP343" s="29">
        <v>0</v>
      </c>
      <c r="AR343" s="22">
        <v>44888</v>
      </c>
      <c r="AS343" s="26">
        <f t="shared" ca="1" si="40"/>
        <v>0.73326103533383602</v>
      </c>
      <c r="AT343" s="29">
        <v>0</v>
      </c>
      <c r="AV343" s="22">
        <v>44888</v>
      </c>
      <c r="AW343" s="26">
        <f t="shared" ca="1" si="41"/>
        <v>0.72797755124462449</v>
      </c>
      <c r="AX343" s="29">
        <v>0</v>
      </c>
      <c r="AZ343" s="22">
        <v>44888</v>
      </c>
      <c r="BA343" s="26">
        <f t="shared" ca="1" si="42"/>
        <v>0.75100524989643558</v>
      </c>
      <c r="BB343" s="29">
        <v>0</v>
      </c>
      <c r="BC343"/>
      <c r="BD343" s="25"/>
      <c r="BF343" s="22">
        <v>44888</v>
      </c>
      <c r="BG343" s="26">
        <f t="shared" ca="1" si="43"/>
        <v>0.76008843526743064</v>
      </c>
      <c r="BH343" s="29">
        <v>0</v>
      </c>
      <c r="BJ343" s="22">
        <v>44888</v>
      </c>
      <c r="BK343" s="26">
        <f t="shared" ca="1" si="44"/>
        <v>0.8378371039813397</v>
      </c>
      <c r="BL343" s="29">
        <v>0</v>
      </c>
      <c r="BN343" s="22">
        <v>44888</v>
      </c>
      <c r="BO343" s="26">
        <f t="shared" ca="1" si="45"/>
        <v>0.3667693224752151</v>
      </c>
      <c r="BP343" s="29">
        <v>0</v>
      </c>
      <c r="BR343" s="22">
        <v>44888</v>
      </c>
      <c r="BS343" s="26">
        <f t="shared" ca="1" si="46"/>
        <v>0.76493785130938385</v>
      </c>
      <c r="BT343" s="29">
        <v>0</v>
      </c>
      <c r="BV343" s="22">
        <v>44888</v>
      </c>
      <c r="BW343" s="26">
        <f t="shared" ca="1" si="47"/>
        <v>0.17939217444709066</v>
      </c>
      <c r="BX343" s="29">
        <v>0</v>
      </c>
    </row>
    <row r="344" spans="2:77" ht="12.75" x14ac:dyDescent="0.2">
      <c r="B344" s="22">
        <v>44889</v>
      </c>
      <c r="C344" s="26">
        <f t="shared" ca="1" si="0"/>
        <v>0.74483182835333273</v>
      </c>
      <c r="D344" s="29">
        <f t="shared" ca="1" si="53"/>
        <v>89</v>
      </c>
      <c r="F344" s="22">
        <v>44889</v>
      </c>
      <c r="G344" s="26">
        <f t="shared" ca="1" si="31"/>
        <v>0.47674084138194073</v>
      </c>
      <c r="H344" s="29">
        <f t="shared" ca="1" si="49"/>
        <v>215</v>
      </c>
      <c r="J344" s="22">
        <v>44889</v>
      </c>
      <c r="K344" s="26">
        <f t="shared" ca="1" si="32"/>
        <v>9.3257879366107077E-2</v>
      </c>
      <c r="L344" s="29">
        <f t="shared" ca="1" si="50"/>
        <v>137</v>
      </c>
      <c r="N344" s="22">
        <v>44889</v>
      </c>
      <c r="O344" s="26">
        <f t="shared" ca="1" si="33"/>
        <v>0.58652640250497234</v>
      </c>
      <c r="P344" s="29">
        <f t="shared" ca="1" si="51"/>
        <v>233</v>
      </c>
      <c r="R344" s="22">
        <v>44889</v>
      </c>
      <c r="S344" s="26">
        <f t="shared" ca="1" si="34"/>
        <v>0.48952623882870172</v>
      </c>
      <c r="T344" s="29">
        <f t="shared" ca="1" si="52"/>
        <v>139</v>
      </c>
      <c r="V344" s="22">
        <v>44889</v>
      </c>
      <c r="W344" s="26">
        <f t="shared" ca="1" si="35"/>
        <v>0.84741537825503843</v>
      </c>
      <c r="X344" s="29">
        <v>0</v>
      </c>
      <c r="Z344" s="22">
        <v>44889</v>
      </c>
      <c r="AA344" s="26">
        <f t="shared" ca="1" si="36"/>
        <v>0.63424184597301991</v>
      </c>
      <c r="AB344" s="29">
        <v>0</v>
      </c>
      <c r="AC344"/>
      <c r="AD344" s="25"/>
      <c r="AF344" s="22">
        <v>44889</v>
      </c>
      <c r="AG344" s="26">
        <f t="shared" ca="1" si="37"/>
        <v>0.6110544558131813</v>
      </c>
      <c r="AH344" s="29">
        <v>0</v>
      </c>
      <c r="AJ344" s="22">
        <v>44889</v>
      </c>
      <c r="AK344" s="26">
        <f t="shared" ca="1" si="38"/>
        <v>5.0085483348552007E-2</v>
      </c>
      <c r="AL344" s="29">
        <v>0</v>
      </c>
      <c r="AN344" s="22">
        <v>44889</v>
      </c>
      <c r="AO344" s="26">
        <f t="shared" ca="1" si="39"/>
        <v>0.23764963242121717</v>
      </c>
      <c r="AP344" s="29">
        <v>0</v>
      </c>
      <c r="AR344" s="22">
        <v>44889</v>
      </c>
      <c r="AS344" s="26">
        <f t="shared" ca="1" si="40"/>
        <v>0.35595606638959532</v>
      </c>
      <c r="AT344" s="29">
        <v>0</v>
      </c>
      <c r="AV344" s="22">
        <v>44889</v>
      </c>
      <c r="AW344" s="26">
        <f t="shared" ca="1" si="41"/>
        <v>0.63869481247456994</v>
      </c>
      <c r="AX344" s="29">
        <v>0</v>
      </c>
      <c r="AZ344" s="22">
        <v>44889</v>
      </c>
      <c r="BA344" s="26">
        <f t="shared" ca="1" si="42"/>
        <v>0.26350292120170982</v>
      </c>
      <c r="BB344" s="29">
        <v>0</v>
      </c>
      <c r="BC344"/>
      <c r="BD344" s="25"/>
      <c r="BF344" s="22">
        <v>44889</v>
      </c>
      <c r="BG344" s="26">
        <f t="shared" ca="1" si="43"/>
        <v>0.91859619062455311</v>
      </c>
      <c r="BH344" s="29">
        <v>0</v>
      </c>
      <c r="BJ344" s="22">
        <v>44889</v>
      </c>
      <c r="BK344" s="26">
        <f t="shared" ca="1" si="44"/>
        <v>0.35274354312947698</v>
      </c>
      <c r="BL344" s="29">
        <v>0</v>
      </c>
      <c r="BN344" s="22">
        <v>44889</v>
      </c>
      <c r="BO344" s="26">
        <f t="shared" ca="1" si="45"/>
        <v>0.80801836922093229</v>
      </c>
      <c r="BP344" s="29">
        <v>0</v>
      </c>
      <c r="BR344" s="22">
        <v>44889</v>
      </c>
      <c r="BS344" s="26">
        <f t="shared" ca="1" si="46"/>
        <v>0.36905573375043543</v>
      </c>
      <c r="BT344" s="29">
        <v>0</v>
      </c>
      <c r="BV344" s="22">
        <v>44889</v>
      </c>
      <c r="BW344" s="26">
        <f t="shared" ca="1" si="47"/>
        <v>0.97333897308374417</v>
      </c>
      <c r="BX344" s="29">
        <v>0</v>
      </c>
    </row>
    <row r="345" spans="2:77" ht="12.75" x14ac:dyDescent="0.2">
      <c r="B345" s="22">
        <v>44890</v>
      </c>
      <c r="C345" s="26">
        <f t="shared" ca="1" si="0"/>
        <v>0.42662383087018152</v>
      </c>
      <c r="D345" s="29">
        <f t="shared" ca="1" si="53"/>
        <v>72</v>
      </c>
      <c r="F345" s="22">
        <v>44890</v>
      </c>
      <c r="G345" s="26">
        <f t="shared" ca="1" si="31"/>
        <v>2.903217247176848E-2</v>
      </c>
      <c r="H345" s="29">
        <f t="shared" ca="1" si="49"/>
        <v>189</v>
      </c>
      <c r="J345" s="22">
        <v>44890</v>
      </c>
      <c r="K345" s="26">
        <f t="shared" ca="1" si="32"/>
        <v>0.53219604814580679</v>
      </c>
      <c r="L345" s="29">
        <f t="shared" ca="1" si="50"/>
        <v>151</v>
      </c>
      <c r="N345" s="22">
        <v>44890</v>
      </c>
      <c r="O345" s="26">
        <f t="shared" ca="1" si="33"/>
        <v>0.15577114783788581</v>
      </c>
      <c r="P345" s="29">
        <f t="shared" ca="1" si="51"/>
        <v>214</v>
      </c>
      <c r="R345" s="22">
        <v>44890</v>
      </c>
      <c r="S345" s="26">
        <f t="shared" ca="1" si="34"/>
        <v>0.17954533090984615</v>
      </c>
      <c r="T345" s="29">
        <f t="shared" ca="1" si="52"/>
        <v>131</v>
      </c>
      <c r="V345" s="22">
        <v>44890</v>
      </c>
      <c r="W345" s="26">
        <f t="shared" ca="1" si="35"/>
        <v>0.28262882686921198</v>
      </c>
      <c r="X345" s="29">
        <v>0</v>
      </c>
      <c r="Z345" s="22">
        <v>44890</v>
      </c>
      <c r="AA345" s="26">
        <f t="shared" ca="1" si="36"/>
        <v>0.79209278766167301</v>
      </c>
      <c r="AB345" s="29">
        <v>0</v>
      </c>
      <c r="AC345"/>
      <c r="AD345" s="25"/>
      <c r="AF345" s="22">
        <v>44890</v>
      </c>
      <c r="AG345" s="26">
        <f t="shared" ca="1" si="37"/>
        <v>0.56571175071636504</v>
      </c>
      <c r="AH345" s="29">
        <v>0</v>
      </c>
      <c r="AJ345" s="22">
        <v>44890</v>
      </c>
      <c r="AK345" s="26">
        <f t="shared" ca="1" si="38"/>
        <v>0.64307203217270625</v>
      </c>
      <c r="AL345" s="29">
        <v>0</v>
      </c>
      <c r="AN345" s="22">
        <v>44890</v>
      </c>
      <c r="AO345" s="26">
        <f t="shared" ca="1" si="39"/>
        <v>0.26917370345801883</v>
      </c>
      <c r="AP345" s="29">
        <v>0</v>
      </c>
      <c r="AR345" s="22">
        <v>44890</v>
      </c>
      <c r="AS345" s="26">
        <f t="shared" ca="1" si="40"/>
        <v>0.59086238875007169</v>
      </c>
      <c r="AT345" s="29">
        <v>0</v>
      </c>
      <c r="AV345" s="22">
        <v>44890</v>
      </c>
      <c r="AW345" s="26">
        <f t="shared" ca="1" si="41"/>
        <v>0.15421370324859118</v>
      </c>
      <c r="AX345" s="29">
        <v>0</v>
      </c>
      <c r="AZ345" s="22">
        <v>44890</v>
      </c>
      <c r="BA345" s="26">
        <f t="shared" ca="1" si="42"/>
        <v>0.60912194912850171</v>
      </c>
      <c r="BB345" s="29">
        <v>0</v>
      </c>
      <c r="BC345"/>
      <c r="BD345" s="25"/>
      <c r="BF345" s="22">
        <v>44890</v>
      </c>
      <c r="BG345" s="26">
        <f t="shared" ca="1" si="43"/>
        <v>0.76536094730390469</v>
      </c>
      <c r="BH345" s="29">
        <v>0</v>
      </c>
      <c r="BJ345" s="22">
        <v>44890</v>
      </c>
      <c r="BK345" s="26">
        <f t="shared" ca="1" si="44"/>
        <v>0.17325425389283011</v>
      </c>
      <c r="BL345" s="29">
        <v>0</v>
      </c>
      <c r="BN345" s="22">
        <v>44890</v>
      </c>
      <c r="BO345" s="26">
        <f t="shared" ca="1" si="45"/>
        <v>0.13951457207320783</v>
      </c>
      <c r="BP345" s="29">
        <v>0</v>
      </c>
      <c r="BR345" s="22">
        <v>44890</v>
      </c>
      <c r="BS345" s="26">
        <f t="shared" ca="1" si="46"/>
        <v>0.83941456863125485</v>
      </c>
      <c r="BT345" s="29">
        <v>0</v>
      </c>
      <c r="BV345" s="22">
        <v>44890</v>
      </c>
      <c r="BW345" s="26">
        <f t="shared" ca="1" si="47"/>
        <v>0.73870044023743286</v>
      </c>
      <c r="BX345" s="29">
        <v>0</v>
      </c>
    </row>
    <row r="346" spans="2:77" ht="12.75" x14ac:dyDescent="0.2">
      <c r="B346" s="22">
        <v>44891</v>
      </c>
      <c r="C346" s="26">
        <f t="shared" ca="1" si="0"/>
        <v>0.20972864283870563</v>
      </c>
      <c r="D346" s="29">
        <f t="shared" ca="1" si="53"/>
        <v>59</v>
      </c>
      <c r="F346" s="22">
        <v>44891</v>
      </c>
      <c r="G346" s="26">
        <f t="shared" ca="1" si="31"/>
        <v>0.35093707974333777</v>
      </c>
      <c r="H346" s="29">
        <f t="shared" ca="1" si="49"/>
        <v>210</v>
      </c>
      <c r="J346" s="22">
        <v>44891</v>
      </c>
      <c r="K346" s="26">
        <f t="shared" ca="1" si="32"/>
        <v>0.36326965202373818</v>
      </c>
      <c r="L346" s="29">
        <f t="shared" ca="1" si="50"/>
        <v>147</v>
      </c>
      <c r="N346" s="22">
        <v>44891</v>
      </c>
      <c r="O346" s="26">
        <f t="shared" ca="1" si="33"/>
        <v>0.38571093467846929</v>
      </c>
      <c r="P346" s="29">
        <f t="shared" ca="1" si="51"/>
        <v>225</v>
      </c>
      <c r="R346" s="22">
        <v>44891</v>
      </c>
      <c r="S346" s="26">
        <f t="shared" ca="1" si="34"/>
        <v>0.67218056768310197</v>
      </c>
      <c r="T346" s="29">
        <f t="shared" ca="1" si="52"/>
        <v>143</v>
      </c>
      <c r="V346" s="22">
        <v>44891</v>
      </c>
      <c r="W346" s="26">
        <f t="shared" ca="1" si="35"/>
        <v>6.5388234948218438E-2</v>
      </c>
      <c r="X346" s="29">
        <v>0</v>
      </c>
      <c r="Z346" s="22">
        <v>44891</v>
      </c>
      <c r="AA346" s="26">
        <f t="shared" ca="1" si="36"/>
        <v>0.19010353720045159</v>
      </c>
      <c r="AB346" s="29">
        <v>0</v>
      </c>
      <c r="AC346"/>
      <c r="AD346" s="25"/>
      <c r="AF346" s="22">
        <v>44891</v>
      </c>
      <c r="AG346" s="26">
        <f t="shared" ca="1" si="37"/>
        <v>0.95046071951757027</v>
      </c>
      <c r="AH346" s="29">
        <v>0</v>
      </c>
      <c r="AJ346" s="22">
        <v>44891</v>
      </c>
      <c r="AK346" s="26">
        <f t="shared" ca="1" si="38"/>
        <v>3.6041316119553857E-3</v>
      </c>
      <c r="AL346" s="29">
        <v>0</v>
      </c>
      <c r="AN346" s="22">
        <v>44891</v>
      </c>
      <c r="AO346" s="26">
        <f t="shared" ca="1" si="39"/>
        <v>0.63513698614028546</v>
      </c>
      <c r="AP346" s="29">
        <v>0</v>
      </c>
      <c r="AR346" s="22">
        <v>44891</v>
      </c>
      <c r="AS346" s="26">
        <f t="shared" ca="1" si="40"/>
        <v>0.82575072048351883</v>
      </c>
      <c r="AT346" s="29">
        <v>0</v>
      </c>
      <c r="AV346" s="22">
        <v>44891</v>
      </c>
      <c r="AW346" s="26">
        <f t="shared" ca="1" si="41"/>
        <v>0.89708182279167925</v>
      </c>
      <c r="AX346" s="29">
        <v>0</v>
      </c>
      <c r="AZ346" s="22">
        <v>44891</v>
      </c>
      <c r="BA346" s="26">
        <f t="shared" ca="1" si="42"/>
        <v>0.59766537376255036</v>
      </c>
      <c r="BB346" s="29">
        <v>0</v>
      </c>
      <c r="BC346"/>
      <c r="BD346" s="25"/>
      <c r="BF346" s="22">
        <v>44891</v>
      </c>
      <c r="BG346" s="26">
        <f t="shared" ca="1" si="43"/>
        <v>0.34124552356048721</v>
      </c>
      <c r="BH346" s="29">
        <v>0</v>
      </c>
      <c r="BJ346" s="22">
        <v>44891</v>
      </c>
      <c r="BK346" s="26">
        <f t="shared" ca="1" si="44"/>
        <v>0.29149905273357724</v>
      </c>
      <c r="BL346" s="29">
        <v>0</v>
      </c>
      <c r="BN346" s="22">
        <v>44891</v>
      </c>
      <c r="BO346" s="26">
        <f t="shared" ca="1" si="45"/>
        <v>0.85270143629135564</v>
      </c>
      <c r="BP346" s="29">
        <v>0</v>
      </c>
      <c r="BR346" s="22">
        <v>44891</v>
      </c>
      <c r="BS346" s="26">
        <f t="shared" ca="1" si="46"/>
        <v>0.84269198712785232</v>
      </c>
      <c r="BT346" s="29">
        <v>0</v>
      </c>
      <c r="BV346" s="22">
        <v>44891</v>
      </c>
      <c r="BW346" s="26">
        <f t="shared" ca="1" si="47"/>
        <v>0.79227701668562112</v>
      </c>
      <c r="BX346" s="29">
        <v>0</v>
      </c>
    </row>
    <row r="347" spans="2:77" ht="12.75" x14ac:dyDescent="0.2">
      <c r="B347" s="22">
        <v>44892</v>
      </c>
      <c r="C347" s="26">
        <f t="shared" ca="1" si="0"/>
        <v>4.5700260523608094E-2</v>
      </c>
      <c r="D347" s="29">
        <f t="shared" ca="1" si="53"/>
        <v>42</v>
      </c>
      <c r="F347" s="22">
        <v>44892</v>
      </c>
      <c r="G347" s="26">
        <f t="shared" ca="1" si="31"/>
        <v>0.87994414147143851</v>
      </c>
      <c r="H347" s="29">
        <f t="shared" ca="1" si="49"/>
        <v>233</v>
      </c>
      <c r="J347" s="22">
        <v>44892</v>
      </c>
      <c r="K347" s="26">
        <f t="shared" ca="1" si="32"/>
        <v>0.7378919986669823</v>
      </c>
      <c r="L347" s="29">
        <f t="shared" ca="1" si="50"/>
        <v>157</v>
      </c>
      <c r="N347" s="22">
        <v>44892</v>
      </c>
      <c r="O347" s="26">
        <f t="shared" ca="1" si="33"/>
        <v>0.86099913159948471</v>
      </c>
      <c r="P347" s="29">
        <f t="shared" ca="1" si="51"/>
        <v>246</v>
      </c>
      <c r="R347" s="22">
        <v>44892</v>
      </c>
      <c r="S347" s="26">
        <f t="shared" ca="1" si="34"/>
        <v>0.56404627893746695</v>
      </c>
      <c r="T347" s="29">
        <f t="shared" ca="1" si="52"/>
        <v>141</v>
      </c>
      <c r="V347" s="22">
        <v>44892</v>
      </c>
      <c r="W347" s="26">
        <f t="shared" ca="1" si="35"/>
        <v>0.16578797055866812</v>
      </c>
      <c r="X347" s="29">
        <v>0</v>
      </c>
      <c r="Z347" s="22">
        <v>44892</v>
      </c>
      <c r="AA347" s="26">
        <f t="shared" ca="1" si="36"/>
        <v>0.4975729819521566</v>
      </c>
      <c r="AB347" s="29">
        <v>0</v>
      </c>
      <c r="AC347"/>
      <c r="AD347" s="25"/>
      <c r="AF347" s="22">
        <v>44892</v>
      </c>
      <c r="AG347" s="26">
        <f t="shared" ca="1" si="37"/>
        <v>0.26870475604819033</v>
      </c>
      <c r="AH347" s="29">
        <v>0</v>
      </c>
      <c r="AJ347" s="22">
        <v>44892</v>
      </c>
      <c r="AK347" s="26">
        <f t="shared" ca="1" si="38"/>
        <v>0.8134633032880948</v>
      </c>
      <c r="AL347" s="29">
        <v>0</v>
      </c>
      <c r="AN347" s="22">
        <v>44892</v>
      </c>
      <c r="AO347" s="26">
        <f t="shared" ca="1" si="39"/>
        <v>0.78471856897675896</v>
      </c>
      <c r="AP347" s="29">
        <v>0</v>
      </c>
      <c r="AR347" s="22">
        <v>44892</v>
      </c>
      <c r="AS347" s="26">
        <f t="shared" ca="1" si="40"/>
        <v>0.871325646276216</v>
      </c>
      <c r="AT347" s="29">
        <v>0</v>
      </c>
      <c r="AV347" s="22">
        <v>44892</v>
      </c>
      <c r="AW347" s="26">
        <f t="shared" ca="1" si="41"/>
        <v>0.14906963078738322</v>
      </c>
      <c r="AX347" s="29">
        <v>0</v>
      </c>
      <c r="AZ347" s="22">
        <v>44892</v>
      </c>
      <c r="BA347" s="26">
        <f t="shared" ca="1" si="42"/>
        <v>0.66922558497734497</v>
      </c>
      <c r="BB347" s="29">
        <v>0</v>
      </c>
      <c r="BC347"/>
      <c r="BD347" s="25"/>
      <c r="BF347" s="22">
        <v>44892</v>
      </c>
      <c r="BG347" s="26">
        <f t="shared" ca="1" si="43"/>
        <v>0.35638400775253765</v>
      </c>
      <c r="BH347" s="29">
        <v>0</v>
      </c>
      <c r="BJ347" s="22">
        <v>44892</v>
      </c>
      <c r="BK347" s="26">
        <f t="shared" ca="1" si="44"/>
        <v>0.37527276366589901</v>
      </c>
      <c r="BL347" s="29">
        <v>0</v>
      </c>
      <c r="BN347" s="22">
        <v>44892</v>
      </c>
      <c r="BO347" s="26">
        <f t="shared" ca="1" si="45"/>
        <v>0.57390675168587446</v>
      </c>
      <c r="BP347" s="29">
        <v>0</v>
      </c>
      <c r="BR347" s="22">
        <v>44892</v>
      </c>
      <c r="BS347" s="26">
        <f t="shared" ca="1" si="46"/>
        <v>0.15063037067200014</v>
      </c>
      <c r="BT347" s="29">
        <v>0</v>
      </c>
      <c r="BV347" s="22">
        <v>44892</v>
      </c>
      <c r="BW347" s="26">
        <f t="shared" ca="1" si="47"/>
        <v>0.49802738985978967</v>
      </c>
      <c r="BX347" s="29">
        <v>0</v>
      </c>
    </row>
    <row r="348" spans="2:77" ht="12.75" x14ac:dyDescent="0.2">
      <c r="B348" s="22">
        <v>44893</v>
      </c>
      <c r="C348" s="26">
        <f t="shared" ca="1" si="0"/>
        <v>0.84484732307517119</v>
      </c>
      <c r="D348" s="29">
        <f t="shared" ca="1" si="53"/>
        <v>96</v>
      </c>
      <c r="F348" s="22">
        <v>44893</v>
      </c>
      <c r="G348" s="26">
        <f t="shared" ca="1" si="31"/>
        <v>0.32624746771355673</v>
      </c>
      <c r="H348" s="29">
        <f t="shared" ca="1" si="49"/>
        <v>209</v>
      </c>
      <c r="J348" s="22">
        <v>44893</v>
      </c>
      <c r="K348" s="26">
        <f t="shared" ca="1" si="32"/>
        <v>0.58560540438409203</v>
      </c>
      <c r="L348" s="29">
        <f t="shared" ca="1" si="50"/>
        <v>153</v>
      </c>
      <c r="N348" s="22">
        <v>44893</v>
      </c>
      <c r="O348" s="26">
        <f t="shared" ca="1" si="33"/>
        <v>0.14250253109058586</v>
      </c>
      <c r="P348" s="29">
        <f t="shared" ca="1" si="51"/>
        <v>214</v>
      </c>
      <c r="R348" s="22">
        <v>44893</v>
      </c>
      <c r="S348" s="26">
        <f t="shared" ca="1" si="34"/>
        <v>0.58660044028072567</v>
      </c>
      <c r="T348" s="29">
        <f t="shared" ca="1" si="52"/>
        <v>141</v>
      </c>
      <c r="V348" s="22">
        <v>44893</v>
      </c>
      <c r="W348" s="26">
        <f t="shared" ca="1" si="35"/>
        <v>0.17234169695146828</v>
      </c>
      <c r="X348" s="29">
        <v>0</v>
      </c>
      <c r="Z348" s="22">
        <v>44893</v>
      </c>
      <c r="AA348" s="26">
        <f t="shared" ca="1" si="36"/>
        <v>0.8651856426755391</v>
      </c>
      <c r="AB348" s="29">
        <v>0</v>
      </c>
      <c r="AC348"/>
      <c r="AD348" s="25"/>
      <c r="AF348" s="22">
        <v>44893</v>
      </c>
      <c r="AG348" s="26">
        <f t="shared" ca="1" si="37"/>
        <v>0.23645102381163852</v>
      </c>
      <c r="AH348" s="29">
        <v>0</v>
      </c>
      <c r="AJ348" s="22">
        <v>44893</v>
      </c>
      <c r="AK348" s="26">
        <f t="shared" ca="1" si="38"/>
        <v>0.80481265301485105</v>
      </c>
      <c r="AL348" s="29">
        <v>0</v>
      </c>
      <c r="AN348" s="22">
        <v>44893</v>
      </c>
      <c r="AO348" s="26">
        <f t="shared" ca="1" si="39"/>
        <v>0.59829111528348755</v>
      </c>
      <c r="AP348" s="29">
        <v>0</v>
      </c>
      <c r="AR348" s="22">
        <v>44893</v>
      </c>
      <c r="AS348" s="26">
        <f t="shared" ca="1" si="40"/>
        <v>0.78891335758456027</v>
      </c>
      <c r="AT348" s="29">
        <v>0</v>
      </c>
      <c r="AV348" s="22">
        <v>44893</v>
      </c>
      <c r="AW348" s="26">
        <f t="shared" ca="1" si="41"/>
        <v>0.82560437195385905</v>
      </c>
      <c r="AX348" s="29">
        <v>0</v>
      </c>
      <c r="AZ348" s="22">
        <v>44893</v>
      </c>
      <c r="BA348" s="26">
        <f t="shared" ca="1" si="42"/>
        <v>0.8043543676048629</v>
      </c>
      <c r="BB348" s="29">
        <v>0</v>
      </c>
      <c r="BC348"/>
      <c r="BD348" s="25"/>
      <c r="BF348" s="22">
        <v>44893</v>
      </c>
      <c r="BG348" s="26">
        <f t="shared" ca="1" si="43"/>
        <v>9.2779010065777712E-2</v>
      </c>
      <c r="BH348" s="29">
        <v>0</v>
      </c>
      <c r="BJ348" s="22">
        <v>44893</v>
      </c>
      <c r="BK348" s="26">
        <f t="shared" ca="1" si="44"/>
        <v>0.63753679822055032</v>
      </c>
      <c r="BL348" s="29">
        <v>0</v>
      </c>
      <c r="BN348" s="22">
        <v>44893</v>
      </c>
      <c r="BO348" s="26">
        <f t="shared" ca="1" si="45"/>
        <v>8.0512504442628918E-2</v>
      </c>
      <c r="BP348" s="29">
        <v>0</v>
      </c>
      <c r="BR348" s="22">
        <v>44893</v>
      </c>
      <c r="BS348" s="26">
        <f t="shared" ca="1" si="46"/>
        <v>0.28402563108101186</v>
      </c>
      <c r="BT348" s="29">
        <v>0</v>
      </c>
      <c r="BV348" s="22">
        <v>44893</v>
      </c>
      <c r="BW348" s="26">
        <f t="shared" ca="1" si="47"/>
        <v>0.73560454104339779</v>
      </c>
      <c r="BX348" s="29">
        <v>0</v>
      </c>
    </row>
    <row r="349" spans="2:77" ht="12.75" x14ac:dyDescent="0.2">
      <c r="B349" s="22">
        <v>44894</v>
      </c>
      <c r="C349" s="26">
        <f t="shared" ca="1" si="0"/>
        <v>0.34464237956658683</v>
      </c>
      <c r="D349" s="29">
        <f t="shared" ca="1" si="53"/>
        <v>68</v>
      </c>
      <c r="F349" s="22">
        <v>44894</v>
      </c>
      <c r="G349" s="26">
        <f t="shared" ca="1" si="31"/>
        <v>0.80740924329576402</v>
      </c>
      <c r="H349" s="29">
        <f t="shared" ca="1" si="49"/>
        <v>228</v>
      </c>
      <c r="J349" s="22">
        <v>44894</v>
      </c>
      <c r="K349" s="26">
        <f t="shared" ca="1" si="32"/>
        <v>7.5564589659051107E-2</v>
      </c>
      <c r="L349" s="29">
        <f t="shared" ca="1" si="50"/>
        <v>136</v>
      </c>
      <c r="N349" s="22">
        <v>44894</v>
      </c>
      <c r="O349" s="26">
        <f t="shared" ca="1" si="33"/>
        <v>0.29406558748693779</v>
      </c>
      <c r="P349" s="29">
        <f t="shared" ca="1" si="51"/>
        <v>222</v>
      </c>
      <c r="R349" s="22">
        <v>44894</v>
      </c>
      <c r="S349" s="26">
        <f t="shared" ca="1" si="34"/>
        <v>8.1150068801012498E-2</v>
      </c>
      <c r="T349" s="29">
        <f t="shared" ca="1" si="52"/>
        <v>126</v>
      </c>
      <c r="V349" s="22">
        <v>44894</v>
      </c>
      <c r="W349" s="26">
        <f t="shared" ca="1" si="35"/>
        <v>0.74177696278833971</v>
      </c>
      <c r="X349" s="29">
        <v>0</v>
      </c>
      <c r="Z349" s="22">
        <v>44894</v>
      </c>
      <c r="AA349" s="26">
        <f t="shared" ca="1" si="36"/>
        <v>0.92937028202817229</v>
      </c>
      <c r="AB349" s="29">
        <v>0</v>
      </c>
      <c r="AC349"/>
      <c r="AD349" s="25"/>
      <c r="AF349" s="22">
        <v>44894</v>
      </c>
      <c r="AG349" s="26">
        <f t="shared" ca="1" si="37"/>
        <v>2.5203319038237915E-2</v>
      </c>
      <c r="AH349" s="29">
        <v>0</v>
      </c>
      <c r="AJ349" s="22">
        <v>44894</v>
      </c>
      <c r="AK349" s="26">
        <f t="shared" ca="1" si="38"/>
        <v>3.9889313178473329E-2</v>
      </c>
      <c r="AL349" s="29">
        <v>0</v>
      </c>
      <c r="AN349" s="22">
        <v>44894</v>
      </c>
      <c r="AO349" s="26">
        <f t="shared" ca="1" si="39"/>
        <v>0.87024227704378432</v>
      </c>
      <c r="AP349" s="29">
        <v>0</v>
      </c>
      <c r="AR349" s="22">
        <v>44894</v>
      </c>
      <c r="AS349" s="26">
        <f t="shared" ca="1" si="40"/>
        <v>0.96153764530158869</v>
      </c>
      <c r="AT349" s="29">
        <v>0</v>
      </c>
      <c r="AV349" s="22">
        <v>44894</v>
      </c>
      <c r="AW349" s="26">
        <f t="shared" ca="1" si="41"/>
        <v>0.6656629653449404</v>
      </c>
      <c r="AX349" s="29">
        <v>0</v>
      </c>
      <c r="AZ349" s="22">
        <v>44894</v>
      </c>
      <c r="BA349" s="26">
        <f t="shared" ca="1" si="42"/>
        <v>0.29331318277001583</v>
      </c>
      <c r="BB349" s="29">
        <v>0</v>
      </c>
      <c r="BC349"/>
      <c r="BD349" s="25"/>
      <c r="BF349" s="22">
        <v>44894</v>
      </c>
      <c r="BG349" s="26">
        <f t="shared" ca="1" si="43"/>
        <v>9.0061252539574643E-2</v>
      </c>
      <c r="BH349" s="29">
        <v>0</v>
      </c>
      <c r="BJ349" s="22">
        <v>44894</v>
      </c>
      <c r="BK349" s="26">
        <f t="shared" ca="1" si="44"/>
        <v>0.97755935484347323</v>
      </c>
      <c r="BL349" s="29">
        <v>0</v>
      </c>
      <c r="BN349" s="22">
        <v>44894</v>
      </c>
      <c r="BO349" s="26">
        <f t="shared" ca="1" si="45"/>
        <v>6.8058387240918838E-2</v>
      </c>
      <c r="BP349" s="29">
        <v>0</v>
      </c>
      <c r="BR349" s="22">
        <v>44894</v>
      </c>
      <c r="BS349" s="26">
        <f t="shared" ca="1" si="46"/>
        <v>0.95823264391351093</v>
      </c>
      <c r="BT349" s="29">
        <v>0</v>
      </c>
      <c r="BV349" s="22">
        <v>44894</v>
      </c>
      <c r="BW349" s="26">
        <f t="shared" ca="1" si="47"/>
        <v>0.78909993921580146</v>
      </c>
      <c r="BX349" s="29">
        <v>0</v>
      </c>
    </row>
    <row r="350" spans="2:77" ht="12.75" x14ac:dyDescent="0.2">
      <c r="B350" s="22">
        <v>44895</v>
      </c>
      <c r="C350" s="26">
        <f t="shared" ca="1" si="0"/>
        <v>0.97003402478674849</v>
      </c>
      <c r="D350" s="29">
        <f t="shared" ca="1" si="53"/>
        <v>113</v>
      </c>
      <c r="E350">
        <v>2380</v>
      </c>
      <c r="F350" s="22">
        <v>44895</v>
      </c>
      <c r="G350" s="26">
        <f t="shared" ca="1" si="31"/>
        <v>0.97425682879830622</v>
      </c>
      <c r="H350" s="29">
        <f t="shared" ca="1" si="49"/>
        <v>244</v>
      </c>
      <c r="I350">
        <v>6472</v>
      </c>
      <c r="J350" s="22">
        <v>44895</v>
      </c>
      <c r="K350" s="26">
        <f t="shared" ca="1" si="32"/>
        <v>0.44439246082766992</v>
      </c>
      <c r="L350" s="29">
        <f t="shared" ca="1" si="50"/>
        <v>149</v>
      </c>
      <c r="M350">
        <v>4518</v>
      </c>
      <c r="N350" s="22">
        <v>44895</v>
      </c>
      <c r="O350" s="26">
        <f t="shared" ca="1" si="33"/>
        <v>0.26394542811093524</v>
      </c>
      <c r="P350" s="29">
        <f t="shared" ca="1" si="51"/>
        <v>220</v>
      </c>
      <c r="Q350">
        <v>6926</v>
      </c>
      <c r="R350" s="22">
        <v>44895</v>
      </c>
      <c r="S350" s="26">
        <f t="shared" ca="1" si="34"/>
        <v>0.33783251247598378</v>
      </c>
      <c r="T350" s="29">
        <f t="shared" ca="1" si="52"/>
        <v>135</v>
      </c>
      <c r="U350">
        <v>4165</v>
      </c>
      <c r="V350" s="22">
        <v>44895</v>
      </c>
      <c r="W350" s="26">
        <f t="shared" ca="1" si="35"/>
        <v>0.11856078923424651</v>
      </c>
      <c r="X350" s="29">
        <v>0</v>
      </c>
      <c r="Y350">
        <v>0</v>
      </c>
      <c r="Z350" s="22">
        <v>44895</v>
      </c>
      <c r="AA350" s="26">
        <f t="shared" ca="1" si="36"/>
        <v>0.47105002559319331</v>
      </c>
      <c r="AB350" s="29">
        <v>0</v>
      </c>
      <c r="AC350">
        <v>0</v>
      </c>
      <c r="AD350" s="25"/>
      <c r="AF350" s="22">
        <v>44895</v>
      </c>
      <c r="AG350" s="26">
        <f t="shared" ca="1" si="37"/>
        <v>4.8748998359688822E-2</v>
      </c>
      <c r="AH350" s="29">
        <v>0</v>
      </c>
      <c r="AI350">
        <v>0</v>
      </c>
      <c r="AJ350" s="22">
        <v>44895</v>
      </c>
      <c r="AK350" s="26">
        <f t="shared" ca="1" si="38"/>
        <v>0.69759596064816376</v>
      </c>
      <c r="AL350" s="29">
        <v>0</v>
      </c>
      <c r="AM350">
        <v>0</v>
      </c>
      <c r="AN350" s="22">
        <v>44895</v>
      </c>
      <c r="AO350" s="26">
        <f t="shared" ca="1" si="39"/>
        <v>0.75812168379086897</v>
      </c>
      <c r="AP350" s="29">
        <v>0</v>
      </c>
      <c r="AQ350">
        <v>0</v>
      </c>
      <c r="AR350" s="22">
        <v>44895</v>
      </c>
      <c r="AS350" s="26">
        <f t="shared" ca="1" si="40"/>
        <v>0.2954132645882942</v>
      </c>
      <c r="AT350" s="29">
        <v>0</v>
      </c>
      <c r="AU350">
        <v>0</v>
      </c>
      <c r="AV350" s="22">
        <v>44895</v>
      </c>
      <c r="AW350" s="26">
        <f t="shared" ca="1" si="41"/>
        <v>0.81582660060897094</v>
      </c>
      <c r="AX350" s="29">
        <v>0</v>
      </c>
      <c r="AY350">
        <v>0</v>
      </c>
      <c r="AZ350" s="22">
        <v>44895</v>
      </c>
      <c r="BA350" s="26">
        <f t="shared" ca="1" si="42"/>
        <v>0.46198649812883641</v>
      </c>
      <c r="BB350" s="29">
        <v>0</v>
      </c>
      <c r="BC350">
        <v>0</v>
      </c>
      <c r="BD350" s="25"/>
      <c r="BF350" s="22">
        <v>44895</v>
      </c>
      <c r="BG350" s="26">
        <f t="shared" ca="1" si="43"/>
        <v>1.9818733002867295E-2</v>
      </c>
      <c r="BH350" s="29">
        <v>0</v>
      </c>
      <c r="BI350">
        <v>0</v>
      </c>
      <c r="BJ350" s="22">
        <v>44895</v>
      </c>
      <c r="BK350" s="26">
        <f t="shared" ca="1" si="44"/>
        <v>0.55160381434571504</v>
      </c>
      <c r="BL350" s="29">
        <v>0</v>
      </c>
      <c r="BM350">
        <v>0</v>
      </c>
      <c r="BN350" s="22">
        <v>44895</v>
      </c>
      <c r="BO350" s="26">
        <f t="shared" ca="1" si="45"/>
        <v>0.17204114459817643</v>
      </c>
      <c r="BP350" s="29">
        <v>0</v>
      </c>
      <c r="BQ350">
        <v>0</v>
      </c>
      <c r="BR350" s="22">
        <v>44895</v>
      </c>
      <c r="BS350" s="26">
        <f t="shared" ca="1" si="46"/>
        <v>9.3134745762023852E-2</v>
      </c>
      <c r="BT350" s="29">
        <v>0</v>
      </c>
      <c r="BU350">
        <v>0</v>
      </c>
      <c r="BV350" s="22">
        <v>44895</v>
      </c>
      <c r="BW350" s="26">
        <f t="shared" ca="1" si="47"/>
        <v>0.19967687699770931</v>
      </c>
      <c r="BX350" s="29">
        <v>0</v>
      </c>
      <c r="BY350">
        <v>0</v>
      </c>
    </row>
    <row r="351" spans="2:77" ht="12.75" x14ac:dyDescent="0.2">
      <c r="B351" s="22">
        <v>44896</v>
      </c>
      <c r="C351" s="26">
        <f t="shared" ca="1" si="0"/>
        <v>0.70010920323942216</v>
      </c>
      <c r="D351" s="29">
        <f ca="1">ROUNDUP(_xlfn.NORM.INV(C350,C$10,C$12),0)</f>
        <v>113</v>
      </c>
      <c r="F351" s="22">
        <v>44896</v>
      </c>
      <c r="G351" s="26">
        <f t="shared" ca="1" si="31"/>
        <v>0.21543581317401383</v>
      </c>
      <c r="H351" s="29">
        <f ca="1">ROUNDUP(_xlfn.NORM.INV(G350,G$10,G$12),0)</f>
        <v>244</v>
      </c>
      <c r="J351" s="22">
        <v>44896</v>
      </c>
      <c r="K351" s="26">
        <f t="shared" ca="1" si="32"/>
        <v>0.12171485742276311</v>
      </c>
      <c r="L351" s="29">
        <f ca="1">ROUNDUP(_xlfn.NORM.INV(K350,K$10,K$12),0)</f>
        <v>149</v>
      </c>
      <c r="N351" s="22">
        <v>44896</v>
      </c>
      <c r="O351" s="26">
        <f t="shared" ca="1" si="33"/>
        <v>0.39948293057487483</v>
      </c>
      <c r="P351" s="29">
        <f ca="1">ROUNDUP(_xlfn.NORM.INV(O350,O$10,O$12),0)</f>
        <v>220</v>
      </c>
      <c r="R351" s="22">
        <v>44896</v>
      </c>
      <c r="S351" s="26">
        <f t="shared" ca="1" si="34"/>
        <v>0.81093842047668452</v>
      </c>
      <c r="T351" s="29">
        <f ca="1">ROUNDUP(_xlfn.NORM.INV(S350,S$10,S$12),0)</f>
        <v>135</v>
      </c>
      <c r="V351" s="22">
        <v>44896</v>
      </c>
      <c r="W351" s="26">
        <f t="shared" ca="1" si="35"/>
        <v>0.39308294893680806</v>
      </c>
      <c r="X351" s="29">
        <v>0</v>
      </c>
      <c r="Z351" s="22">
        <v>44896</v>
      </c>
      <c r="AA351" s="26">
        <f t="shared" ca="1" si="36"/>
        <v>0.37426290007784624</v>
      </c>
      <c r="AB351" s="29">
        <v>0</v>
      </c>
      <c r="AC351"/>
      <c r="AD351" s="25"/>
      <c r="AF351" s="22">
        <v>44896</v>
      </c>
      <c r="AG351" s="26">
        <f t="shared" ca="1" si="37"/>
        <v>0.98551601434935521</v>
      </c>
      <c r="AH351" s="29">
        <v>0</v>
      </c>
      <c r="AJ351" s="22">
        <v>44896</v>
      </c>
      <c r="AK351" s="26">
        <f t="shared" ca="1" si="38"/>
        <v>0.61526965745324425</v>
      </c>
      <c r="AL351" s="29">
        <v>0</v>
      </c>
      <c r="AN351" s="22">
        <v>44896</v>
      </c>
      <c r="AO351" s="26">
        <f t="shared" ca="1" si="39"/>
        <v>0.47678149194291275</v>
      </c>
      <c r="AP351" s="29">
        <v>0</v>
      </c>
      <c r="AR351" s="22">
        <v>44896</v>
      </c>
      <c r="AS351" s="26">
        <f t="shared" ca="1" si="40"/>
        <v>0.80287790073681153</v>
      </c>
      <c r="AT351" s="29">
        <v>0</v>
      </c>
      <c r="AV351" s="22">
        <v>44896</v>
      </c>
      <c r="AW351" s="26">
        <f t="shared" ca="1" si="41"/>
        <v>0.89742157154869273</v>
      </c>
      <c r="AX351" s="29">
        <v>0</v>
      </c>
      <c r="AZ351" s="22">
        <v>44896</v>
      </c>
      <c r="BA351" s="26">
        <f t="shared" ca="1" si="42"/>
        <v>0.40974291955118014</v>
      </c>
      <c r="BB351" s="29">
        <v>0</v>
      </c>
      <c r="BC351"/>
      <c r="BD351" s="25"/>
      <c r="BF351" s="22">
        <v>44896</v>
      </c>
      <c r="BG351" s="26">
        <f t="shared" ca="1" si="43"/>
        <v>0.90486476426961904</v>
      </c>
      <c r="BH351" s="29">
        <v>0</v>
      </c>
      <c r="BJ351" s="22">
        <v>44896</v>
      </c>
      <c r="BK351" s="26">
        <f t="shared" ca="1" si="44"/>
        <v>9.4256372269110655E-2</v>
      </c>
      <c r="BL351" s="29">
        <v>0</v>
      </c>
      <c r="BN351" s="22">
        <v>44896</v>
      </c>
      <c r="BO351" s="26">
        <f t="shared" ca="1" si="45"/>
        <v>0.27525109087506094</v>
      </c>
      <c r="BP351" s="29">
        <v>0</v>
      </c>
      <c r="BR351" s="22">
        <v>44896</v>
      </c>
      <c r="BS351" s="26">
        <f t="shared" ca="1" si="46"/>
        <v>0.54841315653332723</v>
      </c>
      <c r="BT351" s="29">
        <v>0</v>
      </c>
      <c r="BV351" s="22">
        <v>44896</v>
      </c>
      <c r="BW351" s="26">
        <f t="shared" ca="1" si="47"/>
        <v>1.7555188665946964E-2</v>
      </c>
      <c r="BX351" s="29">
        <v>0</v>
      </c>
    </row>
    <row r="352" spans="2:77" ht="12.75" x14ac:dyDescent="0.2">
      <c r="B352" s="22">
        <v>44897</v>
      </c>
      <c r="C352" s="26">
        <f t="shared" ca="1" si="0"/>
        <v>0.77396248270986434</v>
      </c>
      <c r="D352" s="29">
        <f t="shared" ca="1" si="53"/>
        <v>91</v>
      </c>
      <c r="F352" s="22">
        <v>44897</v>
      </c>
      <c r="G352" s="26">
        <f t="shared" ca="1" si="31"/>
        <v>0.75188069820074388</v>
      </c>
      <c r="H352" s="29">
        <f t="shared" ca="1" si="49"/>
        <v>226</v>
      </c>
      <c r="J352" s="22">
        <v>44897</v>
      </c>
      <c r="K352" s="26">
        <f t="shared" ca="1" si="32"/>
        <v>0.91384022592756042</v>
      </c>
      <c r="L352" s="29">
        <f t="shared" ca="1" si="50"/>
        <v>164</v>
      </c>
      <c r="N352" s="22">
        <v>44897</v>
      </c>
      <c r="O352" s="26">
        <f t="shared" ca="1" si="33"/>
        <v>9.641762785486041E-2</v>
      </c>
      <c r="P352" s="29">
        <f t="shared" ca="1" si="51"/>
        <v>210</v>
      </c>
      <c r="R352" s="22">
        <v>44897</v>
      </c>
      <c r="S352" s="26">
        <f t="shared" ca="1" si="34"/>
        <v>0.62277626723272306</v>
      </c>
      <c r="T352" s="29">
        <f t="shared" ca="1" si="52"/>
        <v>142</v>
      </c>
      <c r="V352" s="22">
        <v>44897</v>
      </c>
      <c r="W352" s="26">
        <f t="shared" ca="1" si="35"/>
        <v>0.80998421910783669</v>
      </c>
      <c r="X352" s="29">
        <v>0</v>
      </c>
      <c r="Z352" s="22">
        <v>44897</v>
      </c>
      <c r="AA352" s="26">
        <f t="shared" ca="1" si="36"/>
        <v>0.64710639708824336</v>
      </c>
      <c r="AB352" s="29">
        <v>0</v>
      </c>
      <c r="AC352"/>
      <c r="AD352" s="25"/>
      <c r="AF352" s="22">
        <v>44897</v>
      </c>
      <c r="AG352" s="26">
        <f t="shared" ca="1" si="37"/>
        <v>0.222292300985519</v>
      </c>
      <c r="AH352" s="29">
        <v>0</v>
      </c>
      <c r="AJ352" s="22">
        <v>44897</v>
      </c>
      <c r="AK352" s="26">
        <f t="shared" ca="1" si="38"/>
        <v>0.91438732297549308</v>
      </c>
      <c r="AL352" s="29">
        <v>0</v>
      </c>
      <c r="AN352" s="22">
        <v>44897</v>
      </c>
      <c r="AO352" s="26">
        <f t="shared" ca="1" si="39"/>
        <v>0.60335568446096377</v>
      </c>
      <c r="AP352" s="29">
        <v>0</v>
      </c>
      <c r="AR352" s="22">
        <v>44897</v>
      </c>
      <c r="AS352" s="26">
        <f t="shared" ca="1" si="40"/>
        <v>5.0080924155573525E-2</v>
      </c>
      <c r="AT352" s="29">
        <v>0</v>
      </c>
      <c r="AV352" s="22">
        <v>44897</v>
      </c>
      <c r="AW352" s="26">
        <f t="shared" ca="1" si="41"/>
        <v>0.55126567569369656</v>
      </c>
      <c r="AX352" s="29">
        <v>0</v>
      </c>
      <c r="AZ352" s="22">
        <v>44897</v>
      </c>
      <c r="BA352" s="26">
        <f t="shared" ca="1" si="42"/>
        <v>0.36886429724752534</v>
      </c>
      <c r="BB352" s="29">
        <v>0</v>
      </c>
      <c r="BC352"/>
      <c r="BD352" s="25"/>
      <c r="BF352" s="22">
        <v>44897</v>
      </c>
      <c r="BG352" s="26">
        <f t="shared" ca="1" si="43"/>
        <v>0.7801098139367415</v>
      </c>
      <c r="BH352" s="29">
        <v>0</v>
      </c>
      <c r="BJ352" s="22">
        <v>44897</v>
      </c>
      <c r="BK352" s="26">
        <f t="shared" ca="1" si="44"/>
        <v>0.13223871244070551</v>
      </c>
      <c r="BL352" s="29">
        <v>0</v>
      </c>
      <c r="BN352" s="22">
        <v>44897</v>
      </c>
      <c r="BO352" s="26">
        <f t="shared" ca="1" si="45"/>
        <v>0.40949509878100832</v>
      </c>
      <c r="BP352" s="29">
        <v>0</v>
      </c>
      <c r="BR352" s="22">
        <v>44897</v>
      </c>
      <c r="BS352" s="26">
        <f t="shared" ca="1" si="46"/>
        <v>0.45395498025036995</v>
      </c>
      <c r="BT352" s="29">
        <v>0</v>
      </c>
      <c r="BV352" s="22">
        <v>44897</v>
      </c>
      <c r="BW352" s="26">
        <f t="shared" ca="1" si="47"/>
        <v>0.6579939438757022</v>
      </c>
      <c r="BX352" s="29">
        <v>0</v>
      </c>
    </row>
    <row r="353" spans="2:76" ht="12.75" x14ac:dyDescent="0.2">
      <c r="B353" s="22">
        <v>44898</v>
      </c>
      <c r="C353" s="26">
        <f t="shared" ca="1" si="0"/>
        <v>0.7178242041622559</v>
      </c>
      <c r="D353" s="29">
        <f t="shared" ca="1" si="53"/>
        <v>87</v>
      </c>
      <c r="F353" s="22">
        <v>44898</v>
      </c>
      <c r="G353" s="26">
        <f t="shared" ca="1" si="31"/>
        <v>6.0882414223139669E-2</v>
      </c>
      <c r="H353" s="29">
        <f t="shared" ca="1" si="49"/>
        <v>194</v>
      </c>
      <c r="J353" s="22">
        <v>44898</v>
      </c>
      <c r="K353" s="26">
        <f t="shared" ca="1" si="32"/>
        <v>6.633199707759696E-2</v>
      </c>
      <c r="L353" s="29">
        <f t="shared" ca="1" si="50"/>
        <v>135</v>
      </c>
      <c r="N353" s="22">
        <v>44898</v>
      </c>
      <c r="O353" s="26">
        <f t="shared" ca="1" si="33"/>
        <v>0.9077673138989546</v>
      </c>
      <c r="P353" s="29">
        <f t="shared" ca="1" si="51"/>
        <v>250</v>
      </c>
      <c r="R353" s="22">
        <v>44898</v>
      </c>
      <c r="S353" s="26">
        <f t="shared" ca="1" si="34"/>
        <v>0.51135704154928407</v>
      </c>
      <c r="T353" s="29">
        <f t="shared" ca="1" si="52"/>
        <v>140</v>
      </c>
      <c r="V353" s="22">
        <v>44898</v>
      </c>
      <c r="W353" s="26">
        <f t="shared" ca="1" si="35"/>
        <v>0.89687539310711462</v>
      </c>
      <c r="X353" s="29">
        <v>0</v>
      </c>
      <c r="Z353" s="22">
        <v>44898</v>
      </c>
      <c r="AA353" s="26">
        <f t="shared" ca="1" si="36"/>
        <v>0.14528962235401666</v>
      </c>
      <c r="AB353" s="29">
        <v>0</v>
      </c>
      <c r="AC353"/>
      <c r="AD353" s="25"/>
      <c r="AF353" s="22">
        <v>44898</v>
      </c>
      <c r="AG353" s="26">
        <f t="shared" ca="1" si="37"/>
        <v>0.58090820102437002</v>
      </c>
      <c r="AH353" s="29">
        <v>0</v>
      </c>
      <c r="AJ353" s="22">
        <v>44898</v>
      </c>
      <c r="AK353" s="26">
        <f t="shared" ca="1" si="38"/>
        <v>0.39836017808550217</v>
      </c>
      <c r="AL353" s="29">
        <v>0</v>
      </c>
      <c r="AN353" s="22">
        <v>44898</v>
      </c>
      <c r="AO353" s="26">
        <f t="shared" ca="1" si="39"/>
        <v>0.34909667625558738</v>
      </c>
      <c r="AP353" s="29">
        <v>0</v>
      </c>
      <c r="AR353" s="22">
        <v>44898</v>
      </c>
      <c r="AS353" s="26">
        <f t="shared" ca="1" si="40"/>
        <v>0.46801375947440149</v>
      </c>
      <c r="AT353" s="29">
        <v>0</v>
      </c>
      <c r="AV353" s="22">
        <v>44898</v>
      </c>
      <c r="AW353" s="26">
        <f t="shared" ca="1" si="41"/>
        <v>0.38553734194630507</v>
      </c>
      <c r="AX353" s="29">
        <v>0</v>
      </c>
      <c r="AZ353" s="22">
        <v>44898</v>
      </c>
      <c r="BA353" s="26">
        <f t="shared" ca="1" si="42"/>
        <v>0.44997162193288587</v>
      </c>
      <c r="BB353" s="29">
        <v>0</v>
      </c>
      <c r="BC353"/>
      <c r="BD353" s="25"/>
      <c r="BF353" s="22">
        <v>44898</v>
      </c>
      <c r="BG353" s="26">
        <f t="shared" ca="1" si="43"/>
        <v>0.18602402289731845</v>
      </c>
      <c r="BH353" s="29">
        <v>0</v>
      </c>
      <c r="BJ353" s="22">
        <v>44898</v>
      </c>
      <c r="BK353" s="26">
        <f t="shared" ca="1" si="44"/>
        <v>0.92266338842374263</v>
      </c>
      <c r="BL353" s="29">
        <v>0</v>
      </c>
      <c r="BN353" s="22">
        <v>44898</v>
      </c>
      <c r="BO353" s="26">
        <f t="shared" ca="1" si="45"/>
        <v>0.27036916215447582</v>
      </c>
      <c r="BP353" s="29">
        <v>0</v>
      </c>
      <c r="BR353" s="22">
        <v>44898</v>
      </c>
      <c r="BS353" s="26">
        <f t="shared" ca="1" si="46"/>
        <v>0.20260970085833208</v>
      </c>
      <c r="BT353" s="29">
        <v>0</v>
      </c>
      <c r="BV353" s="22">
        <v>44898</v>
      </c>
      <c r="BW353" s="26">
        <f t="shared" ca="1" si="47"/>
        <v>0.33702081251998117</v>
      </c>
      <c r="BX353" s="29">
        <v>0</v>
      </c>
    </row>
    <row r="354" spans="2:76" ht="12.75" x14ac:dyDescent="0.2">
      <c r="B354" s="22">
        <v>44899</v>
      </c>
      <c r="C354" s="26">
        <f t="shared" ca="1" si="0"/>
        <v>0.37260575758042569</v>
      </c>
      <c r="D354" s="29">
        <f t="shared" ca="1" si="53"/>
        <v>69</v>
      </c>
      <c r="F354" s="22">
        <v>44899</v>
      </c>
      <c r="G354" s="26">
        <f t="shared" ca="1" si="31"/>
        <v>0.63861977964273031</v>
      </c>
      <c r="H354" s="29">
        <f t="shared" ca="1" si="49"/>
        <v>221</v>
      </c>
      <c r="J354" s="22">
        <v>44899</v>
      </c>
      <c r="K354" s="26">
        <f t="shared" ca="1" si="32"/>
        <v>0.60372651144666489</v>
      </c>
      <c r="L354" s="29">
        <f t="shared" ca="1" si="50"/>
        <v>153</v>
      </c>
      <c r="N354" s="22">
        <v>44899</v>
      </c>
      <c r="O354" s="26">
        <f t="shared" ca="1" si="33"/>
        <v>0.80791155239304613</v>
      </c>
      <c r="P354" s="29">
        <f t="shared" ca="1" si="51"/>
        <v>243</v>
      </c>
      <c r="R354" s="22">
        <v>44899</v>
      </c>
      <c r="S354" s="26">
        <f t="shared" ca="1" si="34"/>
        <v>0.14007457451843586</v>
      </c>
      <c r="T354" s="29">
        <f t="shared" ca="1" si="52"/>
        <v>129</v>
      </c>
      <c r="V354" s="22">
        <v>44899</v>
      </c>
      <c r="W354" s="26">
        <f t="shared" ca="1" si="35"/>
        <v>0.17093219555633732</v>
      </c>
      <c r="X354" s="29">
        <v>0</v>
      </c>
      <c r="Z354" s="22">
        <v>44899</v>
      </c>
      <c r="AA354" s="26">
        <f t="shared" ca="1" si="36"/>
        <v>0.37989762165336549</v>
      </c>
      <c r="AB354" s="29">
        <v>0</v>
      </c>
      <c r="AC354"/>
      <c r="AD354" s="25"/>
      <c r="AF354" s="22">
        <v>44899</v>
      </c>
      <c r="AG354" s="26">
        <f t="shared" ca="1" si="37"/>
        <v>0.90936028508908906</v>
      </c>
      <c r="AH354" s="29">
        <v>0</v>
      </c>
      <c r="AJ354" s="22">
        <v>44899</v>
      </c>
      <c r="AK354" s="26">
        <f t="shared" ca="1" si="38"/>
        <v>0.48739932686352472</v>
      </c>
      <c r="AL354" s="29">
        <v>0</v>
      </c>
      <c r="AN354" s="22">
        <v>44899</v>
      </c>
      <c r="AO354" s="26">
        <f t="shared" ca="1" si="39"/>
        <v>0.4382256571809392</v>
      </c>
      <c r="AP354" s="29">
        <v>0</v>
      </c>
      <c r="AR354" s="22">
        <v>44899</v>
      </c>
      <c r="AS354" s="26">
        <f t="shared" ca="1" si="40"/>
        <v>0.81117934951034187</v>
      </c>
      <c r="AT354" s="29">
        <v>0</v>
      </c>
      <c r="AV354" s="22">
        <v>44899</v>
      </c>
      <c r="AW354" s="26">
        <f t="shared" ca="1" si="41"/>
        <v>0.50234978553680765</v>
      </c>
      <c r="AX354" s="29">
        <v>0</v>
      </c>
      <c r="AZ354" s="22">
        <v>44899</v>
      </c>
      <c r="BA354" s="26">
        <f t="shared" ca="1" si="42"/>
        <v>0.15577966332422577</v>
      </c>
      <c r="BB354" s="29">
        <v>0</v>
      </c>
      <c r="BC354"/>
      <c r="BD354" s="25"/>
      <c r="BF354" s="22">
        <v>44899</v>
      </c>
      <c r="BG354" s="26">
        <f t="shared" ca="1" si="43"/>
        <v>0.50129023622020796</v>
      </c>
      <c r="BH354" s="29">
        <v>0</v>
      </c>
      <c r="BJ354" s="22">
        <v>44899</v>
      </c>
      <c r="BK354" s="26">
        <f t="shared" ca="1" si="44"/>
        <v>0.54370752533588651</v>
      </c>
      <c r="BL354" s="29">
        <v>0</v>
      </c>
      <c r="BN354" s="22">
        <v>44899</v>
      </c>
      <c r="BO354" s="26">
        <f t="shared" ca="1" si="45"/>
        <v>0.25558408439819591</v>
      </c>
      <c r="BP354" s="29">
        <v>0</v>
      </c>
      <c r="BR354" s="22">
        <v>44899</v>
      </c>
      <c r="BS354" s="26">
        <f t="shared" ca="1" si="46"/>
        <v>0.44316233239031344</v>
      </c>
      <c r="BT354" s="29">
        <v>0</v>
      </c>
      <c r="BV354" s="22">
        <v>44899</v>
      </c>
      <c r="BW354" s="26">
        <f t="shared" ca="1" si="47"/>
        <v>0.75661330335611854</v>
      </c>
      <c r="BX354" s="29">
        <v>0</v>
      </c>
    </row>
    <row r="355" spans="2:76" ht="12.75" x14ac:dyDescent="0.2">
      <c r="B355" s="22">
        <v>44900</v>
      </c>
      <c r="C355" s="26">
        <f t="shared" ca="1" si="0"/>
        <v>0.79485055829877105</v>
      </c>
      <c r="D355" s="29">
        <f t="shared" ca="1" si="53"/>
        <v>92</v>
      </c>
      <c r="F355" s="22">
        <v>44900</v>
      </c>
      <c r="G355" s="26">
        <f t="shared" ca="1" si="31"/>
        <v>0.84785178383182191</v>
      </c>
      <c r="H355" s="29">
        <f t="shared" ca="1" si="49"/>
        <v>231</v>
      </c>
      <c r="J355" s="22">
        <v>44900</v>
      </c>
      <c r="K355" s="26">
        <f t="shared" ca="1" si="32"/>
        <v>0.25069336129925746</v>
      </c>
      <c r="L355" s="29">
        <f t="shared" ca="1" si="50"/>
        <v>144</v>
      </c>
      <c r="N355" s="22">
        <v>44900</v>
      </c>
      <c r="O355" s="26">
        <f t="shared" ca="1" si="33"/>
        <v>0.99634611400663964</v>
      </c>
      <c r="P355" s="29">
        <f t="shared" ca="1" si="51"/>
        <v>271</v>
      </c>
      <c r="R355" s="22">
        <v>44900</v>
      </c>
      <c r="S355" s="26">
        <f t="shared" ca="1" si="34"/>
        <v>4.1740173770523525E-2</v>
      </c>
      <c r="T355" s="29">
        <f t="shared" ca="1" si="52"/>
        <v>123</v>
      </c>
      <c r="V355" s="22">
        <v>44900</v>
      </c>
      <c r="W355" s="26">
        <f t="shared" ca="1" si="35"/>
        <v>0.24022986666303281</v>
      </c>
      <c r="X355" s="29">
        <v>0</v>
      </c>
      <c r="Z355" s="22">
        <v>44900</v>
      </c>
      <c r="AA355" s="26">
        <f t="shared" ca="1" si="36"/>
        <v>0.96108851343610258</v>
      </c>
      <c r="AB355" s="29">
        <v>0</v>
      </c>
      <c r="AC355"/>
      <c r="AD355" s="25"/>
      <c r="AF355" s="22">
        <v>44900</v>
      </c>
      <c r="AG355" s="26">
        <f t="shared" ca="1" si="37"/>
        <v>0.78759172888757301</v>
      </c>
      <c r="AH355" s="29">
        <v>0</v>
      </c>
      <c r="AJ355" s="22">
        <v>44900</v>
      </c>
      <c r="AK355" s="26">
        <f t="shared" ca="1" si="38"/>
        <v>0.35430876958881152</v>
      </c>
      <c r="AL355" s="29">
        <v>0</v>
      </c>
      <c r="AN355" s="22">
        <v>44900</v>
      </c>
      <c r="AO355" s="26">
        <f t="shared" ca="1" si="39"/>
        <v>0.59515244723079119</v>
      </c>
      <c r="AP355" s="29">
        <v>0</v>
      </c>
      <c r="AR355" s="22">
        <v>44900</v>
      </c>
      <c r="AS355" s="26">
        <f t="shared" ca="1" si="40"/>
        <v>0.88341753022188774</v>
      </c>
      <c r="AT355" s="29">
        <v>0</v>
      </c>
      <c r="AV355" s="22">
        <v>44900</v>
      </c>
      <c r="AW355" s="26">
        <f t="shared" ca="1" si="41"/>
        <v>0.11109345323234243</v>
      </c>
      <c r="AX355" s="29">
        <v>0</v>
      </c>
      <c r="AZ355" s="22">
        <v>44900</v>
      </c>
      <c r="BA355" s="26">
        <f t="shared" ca="1" si="42"/>
        <v>0.88583910717173009</v>
      </c>
      <c r="BB355" s="29">
        <v>0</v>
      </c>
      <c r="BC355"/>
      <c r="BD355" s="25"/>
      <c r="BF355" s="22">
        <v>44900</v>
      </c>
      <c r="BG355" s="26">
        <f t="shared" ca="1" si="43"/>
        <v>0.91722378730369825</v>
      </c>
      <c r="BH355" s="29">
        <v>0</v>
      </c>
      <c r="BJ355" s="22">
        <v>44900</v>
      </c>
      <c r="BK355" s="26">
        <f t="shared" ca="1" si="44"/>
        <v>9.9433691311852535E-2</v>
      </c>
      <c r="BL355" s="29">
        <v>0</v>
      </c>
      <c r="BN355" s="22">
        <v>44900</v>
      </c>
      <c r="BO355" s="26">
        <f t="shared" ca="1" si="45"/>
        <v>0.49228324331214157</v>
      </c>
      <c r="BP355" s="29">
        <v>0</v>
      </c>
      <c r="BR355" s="22">
        <v>44900</v>
      </c>
      <c r="BS355" s="26">
        <f t="shared" ca="1" si="46"/>
        <v>0.24463733592475745</v>
      </c>
      <c r="BT355" s="29">
        <v>0</v>
      </c>
      <c r="BV355" s="22">
        <v>44900</v>
      </c>
      <c r="BW355" s="26">
        <f t="shared" ca="1" si="47"/>
        <v>0.47075407113398648</v>
      </c>
      <c r="BX355" s="29">
        <v>0</v>
      </c>
    </row>
    <row r="356" spans="2:76" ht="12.75" x14ac:dyDescent="0.2">
      <c r="B356" s="22">
        <v>44901</v>
      </c>
      <c r="C356" s="26">
        <f t="shared" ca="1" si="0"/>
        <v>0.61996826997002552</v>
      </c>
      <c r="D356" s="29">
        <f t="shared" ca="1" si="53"/>
        <v>82</v>
      </c>
      <c r="F356" s="22">
        <v>44901</v>
      </c>
      <c r="G356" s="26">
        <f t="shared" ca="1" si="31"/>
        <v>0.55813632997788087</v>
      </c>
      <c r="H356" s="29">
        <f t="shared" ca="1" si="49"/>
        <v>218</v>
      </c>
      <c r="J356" s="22">
        <v>44901</v>
      </c>
      <c r="K356" s="26">
        <f t="shared" ca="1" si="32"/>
        <v>0.52595557256910808</v>
      </c>
      <c r="L356" s="29">
        <f t="shared" ca="1" si="50"/>
        <v>151</v>
      </c>
      <c r="N356" s="22">
        <v>44901</v>
      </c>
      <c r="O356" s="26">
        <f t="shared" ca="1" si="33"/>
        <v>0.66135857895536232</v>
      </c>
      <c r="P356" s="29">
        <f t="shared" ca="1" si="51"/>
        <v>236</v>
      </c>
      <c r="R356" s="22">
        <v>44901</v>
      </c>
      <c r="S356" s="26">
        <f t="shared" ca="1" si="34"/>
        <v>0.42841626405174982</v>
      </c>
      <c r="T356" s="29">
        <f t="shared" ca="1" si="52"/>
        <v>138</v>
      </c>
      <c r="V356" s="22">
        <v>44901</v>
      </c>
      <c r="W356" s="26">
        <f t="shared" ca="1" si="35"/>
        <v>0.67627417964878045</v>
      </c>
      <c r="X356" s="29">
        <v>0</v>
      </c>
      <c r="Z356" s="22">
        <v>44901</v>
      </c>
      <c r="AA356" s="26">
        <f t="shared" ca="1" si="36"/>
        <v>0.436431835845288</v>
      </c>
      <c r="AB356" s="29">
        <v>0</v>
      </c>
      <c r="AC356"/>
      <c r="AD356" s="25"/>
      <c r="AF356" s="22">
        <v>44901</v>
      </c>
      <c r="AG356" s="26">
        <f t="shared" ca="1" si="37"/>
        <v>0.89850395885007217</v>
      </c>
      <c r="AH356" s="29">
        <v>0</v>
      </c>
      <c r="AJ356" s="22">
        <v>44901</v>
      </c>
      <c r="AK356" s="26">
        <f t="shared" ca="1" si="38"/>
        <v>0.11030077930963944</v>
      </c>
      <c r="AL356" s="29">
        <v>0</v>
      </c>
      <c r="AN356" s="22">
        <v>44901</v>
      </c>
      <c r="AO356" s="26">
        <f t="shared" ca="1" si="39"/>
        <v>0.35726625402278545</v>
      </c>
      <c r="AP356" s="29">
        <v>0</v>
      </c>
      <c r="AR356" s="22">
        <v>44901</v>
      </c>
      <c r="AS356" s="26">
        <f t="shared" ca="1" si="40"/>
        <v>0.47209667519904219</v>
      </c>
      <c r="AT356" s="29">
        <v>0</v>
      </c>
      <c r="AV356" s="22">
        <v>44901</v>
      </c>
      <c r="AW356" s="26">
        <f t="shared" ca="1" si="41"/>
        <v>0.92591515251140044</v>
      </c>
      <c r="AX356" s="29">
        <v>0</v>
      </c>
      <c r="AZ356" s="22">
        <v>44901</v>
      </c>
      <c r="BA356" s="26">
        <f t="shared" ca="1" si="42"/>
        <v>0.96475889794386094</v>
      </c>
      <c r="BB356" s="29">
        <v>0</v>
      </c>
      <c r="BC356"/>
      <c r="BD356" s="25"/>
      <c r="BF356" s="22">
        <v>44901</v>
      </c>
      <c r="BG356" s="26">
        <f t="shared" ca="1" si="43"/>
        <v>0.17815693437525748</v>
      </c>
      <c r="BH356" s="29">
        <v>0</v>
      </c>
      <c r="BJ356" s="22">
        <v>44901</v>
      </c>
      <c r="BK356" s="26">
        <f t="shared" ca="1" si="44"/>
        <v>0.25880578617497652</v>
      </c>
      <c r="BL356" s="29">
        <v>0</v>
      </c>
      <c r="BN356" s="22">
        <v>44901</v>
      </c>
      <c r="BO356" s="26">
        <f t="shared" ca="1" si="45"/>
        <v>0.67124377527478862</v>
      </c>
      <c r="BP356" s="29">
        <v>0</v>
      </c>
      <c r="BR356" s="22">
        <v>44901</v>
      </c>
      <c r="BS356" s="26">
        <f t="shared" ca="1" si="46"/>
        <v>0.58001725885401245</v>
      </c>
      <c r="BT356" s="29">
        <v>0</v>
      </c>
      <c r="BV356" s="22">
        <v>44901</v>
      </c>
      <c r="BW356" s="26">
        <f t="shared" ca="1" si="47"/>
        <v>0.85361178255184122</v>
      </c>
      <c r="BX356" s="29">
        <v>0</v>
      </c>
    </row>
    <row r="357" spans="2:76" ht="12.75" x14ac:dyDescent="0.2">
      <c r="B357" s="22">
        <v>44902</v>
      </c>
      <c r="C357" s="26">
        <f t="shared" ca="1" si="0"/>
        <v>0.71914318876884298</v>
      </c>
      <c r="D357" s="29">
        <f t="shared" ca="1" si="53"/>
        <v>87</v>
      </c>
      <c r="F357" s="22">
        <v>44902</v>
      </c>
      <c r="G357" s="26">
        <f t="shared" ca="1" si="31"/>
        <v>0.61359851906949114</v>
      </c>
      <c r="H357" s="29">
        <f t="shared" ca="1" si="49"/>
        <v>220</v>
      </c>
      <c r="J357" s="22">
        <v>44902</v>
      </c>
      <c r="K357" s="26">
        <f t="shared" ca="1" si="32"/>
        <v>0.98764859610539035</v>
      </c>
      <c r="L357" s="29">
        <f t="shared" ca="1" si="50"/>
        <v>173</v>
      </c>
      <c r="N357" s="22">
        <v>44902</v>
      </c>
      <c r="O357" s="26">
        <f t="shared" ca="1" si="33"/>
        <v>0.51816053975117382</v>
      </c>
      <c r="P357" s="29">
        <f t="shared" ca="1" si="51"/>
        <v>231</v>
      </c>
      <c r="R357" s="22">
        <v>44902</v>
      </c>
      <c r="S357" s="26">
        <f t="shared" ca="1" si="34"/>
        <v>0.11617628374799527</v>
      </c>
      <c r="T357" s="29">
        <f t="shared" ca="1" si="52"/>
        <v>128</v>
      </c>
      <c r="V357" s="22">
        <v>44902</v>
      </c>
      <c r="W357" s="26">
        <f t="shared" ca="1" si="35"/>
        <v>0.80532469413823549</v>
      </c>
      <c r="X357" s="29">
        <v>0</v>
      </c>
      <c r="Z357" s="22">
        <v>44902</v>
      </c>
      <c r="AA357" s="26">
        <f t="shared" ca="1" si="36"/>
        <v>0.48193644265201951</v>
      </c>
      <c r="AB357" s="29">
        <v>0</v>
      </c>
      <c r="AC357"/>
      <c r="AD357" s="25"/>
      <c r="AF357" s="22">
        <v>44902</v>
      </c>
      <c r="AG357" s="26">
        <f t="shared" ca="1" si="37"/>
        <v>0.10743019655051234</v>
      </c>
      <c r="AH357" s="29">
        <v>0</v>
      </c>
      <c r="AJ357" s="22">
        <v>44902</v>
      </c>
      <c r="AK357" s="26">
        <f t="shared" ca="1" si="38"/>
        <v>0.96231912696770927</v>
      </c>
      <c r="AL357" s="29">
        <v>0</v>
      </c>
      <c r="AN357" s="22">
        <v>44902</v>
      </c>
      <c r="AO357" s="26">
        <f t="shared" ca="1" si="39"/>
        <v>0.26242846079436088</v>
      </c>
      <c r="AP357" s="29">
        <v>0</v>
      </c>
      <c r="AR357" s="22">
        <v>44902</v>
      </c>
      <c r="AS357" s="26">
        <f t="shared" ca="1" si="40"/>
        <v>0.264518611264558</v>
      </c>
      <c r="AT357" s="29">
        <v>0</v>
      </c>
      <c r="AV357" s="22">
        <v>44902</v>
      </c>
      <c r="AW357" s="26">
        <f t="shared" ca="1" si="41"/>
        <v>0.51876600197859479</v>
      </c>
      <c r="AX357" s="29">
        <v>0</v>
      </c>
      <c r="AZ357" s="22">
        <v>44902</v>
      </c>
      <c r="BA357" s="26">
        <f t="shared" ca="1" si="42"/>
        <v>0.52603163862296765</v>
      </c>
      <c r="BB357" s="29">
        <v>0</v>
      </c>
      <c r="BC357"/>
      <c r="BD357" s="25"/>
      <c r="BF357" s="22">
        <v>44902</v>
      </c>
      <c r="BG357" s="26">
        <f t="shared" ca="1" si="43"/>
        <v>0.25024161423449909</v>
      </c>
      <c r="BH357" s="29">
        <v>0</v>
      </c>
      <c r="BJ357" s="22">
        <v>44902</v>
      </c>
      <c r="BK357" s="26">
        <f t="shared" ca="1" si="44"/>
        <v>0.15876960695965225</v>
      </c>
      <c r="BL357" s="29">
        <v>0</v>
      </c>
      <c r="BN357" s="22">
        <v>44902</v>
      </c>
      <c r="BO357" s="26">
        <f t="shared" ca="1" si="45"/>
        <v>1.6434717362145634E-2</v>
      </c>
      <c r="BP357" s="29">
        <v>0</v>
      </c>
      <c r="BR357" s="22">
        <v>44902</v>
      </c>
      <c r="BS357" s="26">
        <f t="shared" ca="1" si="46"/>
        <v>0.80397533331978355</v>
      </c>
      <c r="BT357" s="29">
        <v>0</v>
      </c>
      <c r="BV357" s="22">
        <v>44902</v>
      </c>
      <c r="BW357" s="26">
        <f t="shared" ca="1" si="47"/>
        <v>0.62827186248906075</v>
      </c>
      <c r="BX357" s="29">
        <v>0</v>
      </c>
    </row>
    <row r="358" spans="2:76" ht="12.75" x14ac:dyDescent="0.2">
      <c r="B358" s="22">
        <v>44903</v>
      </c>
      <c r="C358" s="26">
        <f t="shared" ca="1" si="0"/>
        <v>0.8746795763585733</v>
      </c>
      <c r="D358" s="29">
        <f t="shared" ca="1" si="53"/>
        <v>98</v>
      </c>
      <c r="F358" s="22">
        <v>44903</v>
      </c>
      <c r="G358" s="26">
        <f t="shared" ca="1" si="31"/>
        <v>0.73365541853373772</v>
      </c>
      <c r="H358" s="29">
        <f t="shared" ca="1" si="49"/>
        <v>225</v>
      </c>
      <c r="J358" s="22">
        <v>44903</v>
      </c>
      <c r="K358" s="26">
        <f t="shared" ca="1" si="32"/>
        <v>0.10294074098136063</v>
      </c>
      <c r="L358" s="29">
        <f t="shared" ca="1" si="50"/>
        <v>138</v>
      </c>
      <c r="N358" s="22">
        <v>44903</v>
      </c>
      <c r="O358" s="26">
        <f t="shared" ca="1" si="33"/>
        <v>0.61576564135527578</v>
      </c>
      <c r="P358" s="29">
        <f t="shared" ca="1" si="51"/>
        <v>234</v>
      </c>
      <c r="R358" s="22">
        <v>44903</v>
      </c>
      <c r="S358" s="26">
        <f t="shared" ca="1" si="34"/>
        <v>0.51701213169177906</v>
      </c>
      <c r="T358" s="29">
        <f t="shared" ca="1" si="52"/>
        <v>140</v>
      </c>
      <c r="V358" s="22">
        <v>44903</v>
      </c>
      <c r="W358" s="26">
        <f t="shared" ca="1" si="35"/>
        <v>9.4116691103358963E-2</v>
      </c>
      <c r="X358" s="29">
        <v>0</v>
      </c>
      <c r="Z358" s="22">
        <v>44903</v>
      </c>
      <c r="AA358" s="26">
        <f t="shared" ca="1" si="36"/>
        <v>0.47033789775944768</v>
      </c>
      <c r="AB358" s="29">
        <v>0</v>
      </c>
      <c r="AC358"/>
      <c r="AD358" s="25"/>
      <c r="AF358" s="22">
        <v>44903</v>
      </c>
      <c r="AG358" s="26">
        <f t="shared" ca="1" si="37"/>
        <v>0.96155800977543648</v>
      </c>
      <c r="AH358" s="29">
        <v>0</v>
      </c>
      <c r="AJ358" s="22">
        <v>44903</v>
      </c>
      <c r="AK358" s="26">
        <f t="shared" ca="1" si="38"/>
        <v>0.7736196529196232</v>
      </c>
      <c r="AL358" s="29">
        <v>0</v>
      </c>
      <c r="AN358" s="22">
        <v>44903</v>
      </c>
      <c r="AO358" s="26">
        <f t="shared" ca="1" si="39"/>
        <v>0.2666937981762536</v>
      </c>
      <c r="AP358" s="29">
        <v>0</v>
      </c>
      <c r="AR358" s="22">
        <v>44903</v>
      </c>
      <c r="AS358" s="26">
        <f t="shared" ca="1" si="40"/>
        <v>8.7395468691879197E-2</v>
      </c>
      <c r="AT358" s="29">
        <v>0</v>
      </c>
      <c r="AV358" s="22">
        <v>44903</v>
      </c>
      <c r="AW358" s="26">
        <f t="shared" ca="1" si="41"/>
        <v>0.11227891823378866</v>
      </c>
      <c r="AX358" s="29">
        <v>0</v>
      </c>
      <c r="AZ358" s="22">
        <v>44903</v>
      </c>
      <c r="BA358" s="26">
        <f t="shared" ca="1" si="42"/>
        <v>0.94658997544995083</v>
      </c>
      <c r="BB358" s="29">
        <v>0</v>
      </c>
      <c r="BC358"/>
      <c r="BD358" s="25"/>
      <c r="BF358" s="22">
        <v>44903</v>
      </c>
      <c r="BG358" s="26">
        <f t="shared" ca="1" si="43"/>
        <v>0.57630527454954938</v>
      </c>
      <c r="BH358" s="29">
        <v>0</v>
      </c>
      <c r="BJ358" s="22">
        <v>44903</v>
      </c>
      <c r="BK358" s="26">
        <f t="shared" ca="1" si="44"/>
        <v>0.43429356455073265</v>
      </c>
      <c r="BL358" s="29">
        <v>0</v>
      </c>
      <c r="BN358" s="22">
        <v>44903</v>
      </c>
      <c r="BO358" s="26">
        <f t="shared" ca="1" si="45"/>
        <v>0.88478512960177924</v>
      </c>
      <c r="BP358" s="29">
        <v>0</v>
      </c>
      <c r="BR358" s="22">
        <v>44903</v>
      </c>
      <c r="BS358" s="26">
        <f t="shared" ca="1" si="46"/>
        <v>0.15963010342757566</v>
      </c>
      <c r="BT358" s="29">
        <v>0</v>
      </c>
      <c r="BV358" s="22">
        <v>44903</v>
      </c>
      <c r="BW358" s="26">
        <f t="shared" ca="1" si="47"/>
        <v>0.5844969742543128</v>
      </c>
      <c r="BX358" s="29">
        <v>0</v>
      </c>
    </row>
    <row r="359" spans="2:76" ht="12.75" x14ac:dyDescent="0.2">
      <c r="B359" s="22">
        <v>44904</v>
      </c>
      <c r="C359" s="26">
        <f t="shared" ca="1" si="0"/>
        <v>0.96814903110913086</v>
      </c>
      <c r="D359" s="29">
        <f t="shared" ca="1" si="53"/>
        <v>113</v>
      </c>
      <c r="F359" s="22">
        <v>44904</v>
      </c>
      <c r="G359" s="26">
        <f t="shared" ca="1" si="31"/>
        <v>0.14048995769208594</v>
      </c>
      <c r="H359" s="29">
        <f t="shared" ca="1" si="49"/>
        <v>200</v>
      </c>
      <c r="J359" s="22">
        <v>44904</v>
      </c>
      <c r="K359" s="26">
        <f t="shared" ca="1" si="32"/>
        <v>0.28776684835508726</v>
      </c>
      <c r="L359" s="29">
        <f t="shared" ca="1" si="50"/>
        <v>145</v>
      </c>
      <c r="N359" s="22">
        <v>44904</v>
      </c>
      <c r="O359" s="26">
        <f t="shared" ca="1" si="33"/>
        <v>0.22597207847500711</v>
      </c>
      <c r="P359" s="29">
        <f t="shared" ca="1" si="51"/>
        <v>218</v>
      </c>
      <c r="R359" s="22">
        <v>44904</v>
      </c>
      <c r="S359" s="26">
        <f t="shared" ca="1" si="34"/>
        <v>0.63701034061115014</v>
      </c>
      <c r="T359" s="29">
        <f t="shared" ca="1" si="52"/>
        <v>142</v>
      </c>
      <c r="V359" s="22">
        <v>44904</v>
      </c>
      <c r="W359" s="26">
        <f t="shared" ca="1" si="35"/>
        <v>0.88866313285870346</v>
      </c>
      <c r="X359" s="29">
        <v>0</v>
      </c>
      <c r="Z359" s="22">
        <v>44904</v>
      </c>
      <c r="AA359" s="26">
        <f t="shared" ca="1" si="36"/>
        <v>0.85998789138974574</v>
      </c>
      <c r="AB359" s="29">
        <v>0</v>
      </c>
      <c r="AC359"/>
      <c r="AD359" s="25"/>
      <c r="AF359" s="22">
        <v>44904</v>
      </c>
      <c r="AG359" s="26">
        <f t="shared" ca="1" si="37"/>
        <v>0.63331880494691029</v>
      </c>
      <c r="AH359" s="29">
        <v>0</v>
      </c>
      <c r="AJ359" s="22">
        <v>44904</v>
      </c>
      <c r="AK359" s="26">
        <f t="shared" ca="1" si="38"/>
        <v>0.68006301141499659</v>
      </c>
      <c r="AL359" s="29">
        <v>0</v>
      </c>
      <c r="AN359" s="22">
        <v>44904</v>
      </c>
      <c r="AO359" s="26">
        <f t="shared" ca="1" si="39"/>
        <v>0.34873191549098714</v>
      </c>
      <c r="AP359" s="29">
        <v>0</v>
      </c>
      <c r="AR359" s="22">
        <v>44904</v>
      </c>
      <c r="AS359" s="26">
        <f t="shared" ca="1" si="40"/>
        <v>0.67167263464649396</v>
      </c>
      <c r="AT359" s="29">
        <v>0</v>
      </c>
      <c r="AV359" s="22">
        <v>44904</v>
      </c>
      <c r="AW359" s="26">
        <f t="shared" ca="1" si="41"/>
        <v>0.3986004462652335</v>
      </c>
      <c r="AX359" s="29">
        <v>0</v>
      </c>
      <c r="AZ359" s="22">
        <v>44904</v>
      </c>
      <c r="BA359" s="26">
        <f t="shared" ca="1" si="42"/>
        <v>0.66306487027713068</v>
      </c>
      <c r="BB359" s="29">
        <v>0</v>
      </c>
      <c r="BC359"/>
      <c r="BD359" s="25"/>
      <c r="BF359" s="22">
        <v>44904</v>
      </c>
      <c r="BG359" s="26">
        <f t="shared" ca="1" si="43"/>
        <v>0.11394597332480005</v>
      </c>
      <c r="BH359" s="29">
        <v>0</v>
      </c>
      <c r="BJ359" s="22">
        <v>44904</v>
      </c>
      <c r="BK359" s="26">
        <f t="shared" ca="1" si="44"/>
        <v>0.33595619904985985</v>
      </c>
      <c r="BL359" s="29">
        <v>0</v>
      </c>
      <c r="BN359" s="22">
        <v>44904</v>
      </c>
      <c r="BO359" s="26">
        <f t="shared" ca="1" si="45"/>
        <v>0.1404315241583205</v>
      </c>
      <c r="BP359" s="29">
        <v>0</v>
      </c>
      <c r="BR359" s="22">
        <v>44904</v>
      </c>
      <c r="BS359" s="26">
        <f t="shared" ca="1" si="46"/>
        <v>0.13196452906663592</v>
      </c>
      <c r="BT359" s="29">
        <v>0</v>
      </c>
      <c r="BV359" s="22">
        <v>44904</v>
      </c>
      <c r="BW359" s="26">
        <f t="shared" ca="1" si="47"/>
        <v>0.22384403489819227</v>
      </c>
      <c r="BX359" s="29">
        <v>0</v>
      </c>
    </row>
    <row r="360" spans="2:76" ht="12.75" x14ac:dyDescent="0.2">
      <c r="B360" s="22">
        <v>44905</v>
      </c>
      <c r="C360" s="26">
        <f t="shared" ca="1" si="0"/>
        <v>0.74646245595749039</v>
      </c>
      <c r="D360" s="29">
        <f t="shared" ca="1" si="53"/>
        <v>89</v>
      </c>
      <c r="F360" s="22">
        <v>44905</v>
      </c>
      <c r="G360" s="26">
        <f t="shared" ca="1" si="31"/>
        <v>6.9018429939772252E-2</v>
      </c>
      <c r="H360" s="29">
        <f t="shared" ca="1" si="49"/>
        <v>195</v>
      </c>
      <c r="J360" s="22">
        <v>44905</v>
      </c>
      <c r="K360" s="26">
        <f t="shared" ca="1" si="32"/>
        <v>0.54110102930945825</v>
      </c>
      <c r="L360" s="29">
        <f t="shared" ca="1" si="50"/>
        <v>152</v>
      </c>
      <c r="N360" s="22">
        <v>44905</v>
      </c>
      <c r="O360" s="26">
        <f t="shared" ca="1" si="33"/>
        <v>0.3228472381060028</v>
      </c>
      <c r="P360" s="29">
        <f t="shared" ca="1" si="51"/>
        <v>223</v>
      </c>
      <c r="R360" s="22">
        <v>44905</v>
      </c>
      <c r="S360" s="26">
        <f t="shared" ca="1" si="34"/>
        <v>0.20738815061543925</v>
      </c>
      <c r="T360" s="29">
        <f t="shared" ca="1" si="52"/>
        <v>132</v>
      </c>
      <c r="V360" s="22">
        <v>44905</v>
      </c>
      <c r="W360" s="26">
        <f t="shared" ca="1" si="35"/>
        <v>8.4172735320630632E-2</v>
      </c>
      <c r="X360" s="29">
        <v>0</v>
      </c>
      <c r="Z360" s="22">
        <v>44905</v>
      </c>
      <c r="AA360" s="26">
        <f t="shared" ca="1" si="36"/>
        <v>0.36903439257663029</v>
      </c>
      <c r="AB360" s="29">
        <v>0</v>
      </c>
      <c r="AC360"/>
      <c r="AD360" s="25"/>
      <c r="AF360" s="22">
        <v>44905</v>
      </c>
      <c r="AG360" s="26">
        <f t="shared" ca="1" si="37"/>
        <v>4.9220673342102672E-2</v>
      </c>
      <c r="AH360" s="29">
        <v>0</v>
      </c>
      <c r="AJ360" s="22">
        <v>44905</v>
      </c>
      <c r="AK360" s="26">
        <f t="shared" ca="1" si="38"/>
        <v>0.81523926610248698</v>
      </c>
      <c r="AL360" s="29">
        <v>0</v>
      </c>
      <c r="AN360" s="22">
        <v>44905</v>
      </c>
      <c r="AO360" s="26">
        <f t="shared" ca="1" si="39"/>
        <v>6.2049757062600741E-2</v>
      </c>
      <c r="AP360" s="29">
        <v>0</v>
      </c>
      <c r="AR360" s="22">
        <v>44905</v>
      </c>
      <c r="AS360" s="26">
        <f t="shared" ca="1" si="40"/>
        <v>0.74706226798795805</v>
      </c>
      <c r="AT360" s="29">
        <v>0</v>
      </c>
      <c r="AV360" s="22">
        <v>44905</v>
      </c>
      <c r="AW360" s="26">
        <f t="shared" ca="1" si="41"/>
        <v>0.53567728552530447</v>
      </c>
      <c r="AX360" s="29">
        <v>0</v>
      </c>
      <c r="AZ360" s="22">
        <v>44905</v>
      </c>
      <c r="BA360" s="26">
        <f t="shared" ca="1" si="42"/>
        <v>0.716549327433325</v>
      </c>
      <c r="BB360" s="29">
        <v>0</v>
      </c>
      <c r="BC360"/>
      <c r="BD360" s="25"/>
      <c r="BF360" s="22">
        <v>44905</v>
      </c>
      <c r="BG360" s="26">
        <f t="shared" ca="1" si="43"/>
        <v>0.66369691203933823</v>
      </c>
      <c r="BH360" s="29">
        <v>0</v>
      </c>
      <c r="BJ360" s="22">
        <v>44905</v>
      </c>
      <c r="BK360" s="26">
        <f t="shared" ca="1" si="44"/>
        <v>0.6311341080015701</v>
      </c>
      <c r="BL360" s="29">
        <v>0</v>
      </c>
      <c r="BN360" s="22">
        <v>44905</v>
      </c>
      <c r="BO360" s="26">
        <f t="shared" ca="1" si="45"/>
        <v>0.22144977736327787</v>
      </c>
      <c r="BP360" s="29">
        <v>0</v>
      </c>
      <c r="BR360" s="22">
        <v>44905</v>
      </c>
      <c r="BS360" s="26">
        <f t="shared" ca="1" si="46"/>
        <v>9.4303664001110676E-2</v>
      </c>
      <c r="BT360" s="29">
        <v>0</v>
      </c>
      <c r="BV360" s="22">
        <v>44905</v>
      </c>
      <c r="BW360" s="26">
        <f t="shared" ca="1" si="47"/>
        <v>0.59425640080916797</v>
      </c>
      <c r="BX360" s="29">
        <v>0</v>
      </c>
    </row>
    <row r="361" spans="2:76" ht="12.75" x14ac:dyDescent="0.2">
      <c r="B361" s="22">
        <v>44906</v>
      </c>
      <c r="C361" s="26">
        <f t="shared" ca="1" si="0"/>
        <v>0.59760971590284706</v>
      </c>
      <c r="D361" s="29">
        <f t="shared" ca="1" si="53"/>
        <v>80</v>
      </c>
      <c r="F361" s="22">
        <v>44906</v>
      </c>
      <c r="G361" s="26">
        <f t="shared" ca="1" si="31"/>
        <v>0.85788269732502975</v>
      </c>
      <c r="H361" s="29">
        <f t="shared" ca="1" si="49"/>
        <v>231</v>
      </c>
      <c r="J361" s="22">
        <v>44906</v>
      </c>
      <c r="K361" s="26">
        <f t="shared" ca="1" si="32"/>
        <v>9.0692202436759684E-2</v>
      </c>
      <c r="L361" s="29">
        <f t="shared" ca="1" si="50"/>
        <v>137</v>
      </c>
      <c r="N361" s="22">
        <v>44906</v>
      </c>
      <c r="O361" s="26">
        <f t="shared" ca="1" si="33"/>
        <v>2.7187058526950691E-3</v>
      </c>
      <c r="P361" s="29">
        <f t="shared" ca="1" si="51"/>
        <v>187</v>
      </c>
      <c r="R361" s="22">
        <v>44906</v>
      </c>
      <c r="S361" s="26">
        <f t="shared" ca="1" si="34"/>
        <v>0.91796346377707372</v>
      </c>
      <c r="T361" s="29">
        <f t="shared" ca="1" si="52"/>
        <v>152</v>
      </c>
      <c r="V361" s="22">
        <v>44906</v>
      </c>
      <c r="W361" s="26">
        <f t="shared" ca="1" si="35"/>
        <v>0.70405985935545456</v>
      </c>
      <c r="X361" s="29">
        <v>0</v>
      </c>
      <c r="Z361" s="22">
        <v>44906</v>
      </c>
      <c r="AA361" s="26">
        <f t="shared" ca="1" si="36"/>
        <v>0.99780628002634963</v>
      </c>
      <c r="AB361" s="29">
        <v>0</v>
      </c>
      <c r="AC361"/>
      <c r="AD361" s="25"/>
      <c r="AF361" s="22">
        <v>44906</v>
      </c>
      <c r="AG361" s="26">
        <f t="shared" ca="1" si="37"/>
        <v>0.21607467568363337</v>
      </c>
      <c r="AH361" s="29">
        <v>0</v>
      </c>
      <c r="AJ361" s="22">
        <v>44906</v>
      </c>
      <c r="AK361" s="26">
        <f t="shared" ca="1" si="38"/>
        <v>0.59555369532862312</v>
      </c>
      <c r="AL361" s="29">
        <v>0</v>
      </c>
      <c r="AN361" s="22">
        <v>44906</v>
      </c>
      <c r="AO361" s="26">
        <f t="shared" ca="1" si="39"/>
        <v>0.56526653602544319</v>
      </c>
      <c r="AP361" s="29">
        <v>0</v>
      </c>
      <c r="AR361" s="22">
        <v>44906</v>
      </c>
      <c r="AS361" s="26">
        <f t="shared" ca="1" si="40"/>
        <v>0.25960263176016363</v>
      </c>
      <c r="AT361" s="29">
        <v>0</v>
      </c>
      <c r="AV361" s="22">
        <v>44906</v>
      </c>
      <c r="AW361" s="26">
        <f t="shared" ca="1" si="41"/>
        <v>0.31076508292647986</v>
      </c>
      <c r="AX361" s="29">
        <v>0</v>
      </c>
      <c r="AZ361" s="22">
        <v>44906</v>
      </c>
      <c r="BA361" s="26">
        <f t="shared" ca="1" si="42"/>
        <v>0.94881208467826439</v>
      </c>
      <c r="BB361" s="29">
        <v>0</v>
      </c>
      <c r="BC361"/>
      <c r="BD361" s="25"/>
      <c r="BF361" s="22">
        <v>44906</v>
      </c>
      <c r="BG361" s="26">
        <f t="shared" ca="1" si="43"/>
        <v>0.41193914818258159</v>
      </c>
      <c r="BH361" s="29">
        <v>0</v>
      </c>
      <c r="BJ361" s="22">
        <v>44906</v>
      </c>
      <c r="BK361" s="26">
        <f t="shared" ca="1" si="44"/>
        <v>1.5821119749897194E-2</v>
      </c>
      <c r="BL361" s="29">
        <v>0</v>
      </c>
      <c r="BN361" s="22">
        <v>44906</v>
      </c>
      <c r="BO361" s="26">
        <f t="shared" ca="1" si="45"/>
        <v>0.13852578587156295</v>
      </c>
      <c r="BP361" s="29">
        <v>0</v>
      </c>
      <c r="BR361" s="22">
        <v>44906</v>
      </c>
      <c r="BS361" s="26">
        <f t="shared" ca="1" si="46"/>
        <v>0.88936097700454919</v>
      </c>
      <c r="BT361" s="29">
        <v>0</v>
      </c>
      <c r="BV361" s="22">
        <v>44906</v>
      </c>
      <c r="BW361" s="26">
        <f t="shared" ca="1" si="47"/>
        <v>0.31505325952167351</v>
      </c>
      <c r="BX361" s="29">
        <v>0</v>
      </c>
    </row>
    <row r="362" spans="2:76" ht="12.75" x14ac:dyDescent="0.2">
      <c r="B362" s="22">
        <v>44907</v>
      </c>
      <c r="C362" s="26">
        <f t="shared" ca="1" si="0"/>
        <v>0.80192545478655408</v>
      </c>
      <c r="D362" s="29">
        <f t="shared" ca="1" si="53"/>
        <v>92</v>
      </c>
      <c r="F362" s="22">
        <v>44907</v>
      </c>
      <c r="G362" s="26">
        <f t="shared" ca="1" si="31"/>
        <v>1.22018235614616E-2</v>
      </c>
      <c r="H362" s="29">
        <f t="shared" ca="1" si="49"/>
        <v>184</v>
      </c>
      <c r="J362" s="22">
        <v>44907</v>
      </c>
      <c r="K362" s="26">
        <f t="shared" ca="1" si="32"/>
        <v>0.28885320144313731</v>
      </c>
      <c r="L362" s="29">
        <f t="shared" ca="1" si="50"/>
        <v>145</v>
      </c>
      <c r="N362" s="22">
        <v>44907</v>
      </c>
      <c r="O362" s="26">
        <f t="shared" ca="1" si="33"/>
        <v>0.15820335826881937</v>
      </c>
      <c r="P362" s="29">
        <f t="shared" ca="1" si="51"/>
        <v>215</v>
      </c>
      <c r="R362" s="22">
        <v>44907</v>
      </c>
      <c r="S362" s="26">
        <f t="shared" ca="1" si="34"/>
        <v>0.99585881937218823</v>
      </c>
      <c r="T362" s="29">
        <f t="shared" ca="1" si="52"/>
        <v>164</v>
      </c>
      <c r="V362" s="22">
        <v>44907</v>
      </c>
      <c r="W362" s="26">
        <f t="shared" ca="1" si="35"/>
        <v>0.24897909856638278</v>
      </c>
      <c r="X362" s="29">
        <v>0</v>
      </c>
      <c r="Z362" s="22">
        <v>44907</v>
      </c>
      <c r="AA362" s="26">
        <f t="shared" ca="1" si="36"/>
        <v>5.5431044607923141E-5</v>
      </c>
      <c r="AB362" s="29">
        <v>0</v>
      </c>
      <c r="AC362"/>
      <c r="AD362" s="25"/>
      <c r="AF362" s="22">
        <v>44907</v>
      </c>
      <c r="AG362" s="26">
        <f t="shared" ca="1" si="37"/>
        <v>0.57501265035735727</v>
      </c>
      <c r="AH362" s="29">
        <v>0</v>
      </c>
      <c r="AJ362" s="22">
        <v>44907</v>
      </c>
      <c r="AK362" s="26">
        <f t="shared" ca="1" si="38"/>
        <v>7.7892580765010488E-2</v>
      </c>
      <c r="AL362" s="29">
        <v>0</v>
      </c>
      <c r="AN362" s="22">
        <v>44907</v>
      </c>
      <c r="AO362" s="26">
        <f t="shared" ca="1" si="39"/>
        <v>0.20148468956128984</v>
      </c>
      <c r="AP362" s="29">
        <v>0</v>
      </c>
      <c r="AR362" s="22">
        <v>44907</v>
      </c>
      <c r="AS362" s="26">
        <f t="shared" ca="1" si="40"/>
        <v>0.28405448251112342</v>
      </c>
      <c r="AT362" s="29">
        <v>0</v>
      </c>
      <c r="AV362" s="22">
        <v>44907</v>
      </c>
      <c r="AW362" s="26">
        <f t="shared" ca="1" si="41"/>
        <v>7.7631084581208598E-2</v>
      </c>
      <c r="AX362" s="29">
        <v>0</v>
      </c>
      <c r="AZ362" s="22">
        <v>44907</v>
      </c>
      <c r="BA362" s="26">
        <f t="shared" ca="1" si="42"/>
        <v>0.5895563738170907</v>
      </c>
      <c r="BB362" s="29">
        <v>0</v>
      </c>
      <c r="BC362"/>
      <c r="BD362" s="25"/>
      <c r="BF362" s="22">
        <v>44907</v>
      </c>
      <c r="BG362" s="26">
        <f t="shared" ca="1" si="43"/>
        <v>0.77333487958044245</v>
      </c>
      <c r="BH362" s="29">
        <v>0</v>
      </c>
      <c r="BJ362" s="22">
        <v>44907</v>
      </c>
      <c r="BK362" s="26">
        <f t="shared" ca="1" si="44"/>
        <v>8.3934680045303578E-2</v>
      </c>
      <c r="BL362" s="29">
        <v>0</v>
      </c>
      <c r="BN362" s="22">
        <v>44907</v>
      </c>
      <c r="BO362" s="26">
        <f t="shared" ca="1" si="45"/>
        <v>0.86635026267683879</v>
      </c>
      <c r="BP362" s="29">
        <v>0</v>
      </c>
      <c r="BR362" s="22">
        <v>44907</v>
      </c>
      <c r="BS362" s="26">
        <f t="shared" ca="1" si="46"/>
        <v>2.1059772471695881E-2</v>
      </c>
      <c r="BT362" s="29">
        <v>0</v>
      </c>
      <c r="BV362" s="22">
        <v>44907</v>
      </c>
      <c r="BW362" s="26">
        <f t="shared" ca="1" si="47"/>
        <v>0.28959324006088549</v>
      </c>
      <c r="BX362" s="29">
        <v>0</v>
      </c>
    </row>
    <row r="363" spans="2:76" ht="12.75" x14ac:dyDescent="0.2">
      <c r="B363" s="22">
        <v>44908</v>
      </c>
      <c r="C363" s="26">
        <f t="shared" ca="1" si="0"/>
        <v>0.70326469819018478</v>
      </c>
      <c r="D363" s="29">
        <f t="shared" ca="1" si="53"/>
        <v>86</v>
      </c>
      <c r="F363" s="22">
        <v>44908</v>
      </c>
      <c r="G363" s="26">
        <f t="shared" ca="1" si="31"/>
        <v>0.4082724269942527</v>
      </c>
      <c r="H363" s="29">
        <f t="shared" ca="1" si="49"/>
        <v>213</v>
      </c>
      <c r="J363" s="22">
        <v>44908</v>
      </c>
      <c r="K363" s="26">
        <f t="shared" ca="1" si="32"/>
        <v>0.5246495525024728</v>
      </c>
      <c r="L363" s="29">
        <f t="shared" ca="1" si="50"/>
        <v>151</v>
      </c>
      <c r="N363" s="22">
        <v>44908</v>
      </c>
      <c r="O363" s="26">
        <f t="shared" ca="1" si="33"/>
        <v>0.18197038746945482</v>
      </c>
      <c r="P363" s="29">
        <f t="shared" ca="1" si="51"/>
        <v>216</v>
      </c>
      <c r="R363" s="22">
        <v>44908</v>
      </c>
      <c r="S363" s="26">
        <f t="shared" ca="1" si="34"/>
        <v>0.13179230401374509</v>
      </c>
      <c r="T363" s="29">
        <f t="shared" ca="1" si="52"/>
        <v>129</v>
      </c>
      <c r="V363" s="22">
        <v>44908</v>
      </c>
      <c r="W363" s="26">
        <f t="shared" ca="1" si="35"/>
        <v>0.80887555277221723</v>
      </c>
      <c r="X363" s="29">
        <v>0</v>
      </c>
      <c r="Z363" s="22">
        <v>44908</v>
      </c>
      <c r="AA363" s="26">
        <f t="shared" ca="1" si="36"/>
        <v>0.18003770321394641</v>
      </c>
      <c r="AB363" s="29">
        <v>0</v>
      </c>
      <c r="AC363"/>
      <c r="AD363" s="25"/>
      <c r="AF363" s="22">
        <v>44908</v>
      </c>
      <c r="AG363" s="26">
        <f t="shared" ca="1" si="37"/>
        <v>0.76721251308417726</v>
      </c>
      <c r="AH363" s="29">
        <v>0</v>
      </c>
      <c r="AJ363" s="22">
        <v>44908</v>
      </c>
      <c r="AK363" s="26">
        <f t="shared" ca="1" si="38"/>
        <v>0.90259532775994977</v>
      </c>
      <c r="AL363" s="29">
        <v>0</v>
      </c>
      <c r="AN363" s="22">
        <v>44908</v>
      </c>
      <c r="AO363" s="26">
        <f t="shared" ca="1" si="39"/>
        <v>2.5170972980397943E-2</v>
      </c>
      <c r="AP363" s="29">
        <v>0</v>
      </c>
      <c r="AR363" s="22">
        <v>44908</v>
      </c>
      <c r="AS363" s="26">
        <f t="shared" ca="1" si="40"/>
        <v>0.4383857353201247</v>
      </c>
      <c r="AT363" s="29">
        <v>0</v>
      </c>
      <c r="AV363" s="22">
        <v>44908</v>
      </c>
      <c r="AW363" s="26">
        <f t="shared" ca="1" si="41"/>
        <v>0.50578749739004369</v>
      </c>
      <c r="AX363" s="29">
        <v>0</v>
      </c>
      <c r="AZ363" s="22">
        <v>44908</v>
      </c>
      <c r="BA363" s="26">
        <f t="shared" ca="1" si="42"/>
        <v>0.9501662158069849</v>
      </c>
      <c r="BB363" s="29">
        <v>0</v>
      </c>
      <c r="BC363"/>
      <c r="BD363" s="25"/>
      <c r="BF363" s="22">
        <v>44908</v>
      </c>
      <c r="BG363" s="26">
        <f t="shared" ca="1" si="43"/>
        <v>9.977226006753015E-2</v>
      </c>
      <c r="BH363" s="29">
        <v>0</v>
      </c>
      <c r="BJ363" s="22">
        <v>44908</v>
      </c>
      <c r="BK363" s="26">
        <f t="shared" ca="1" si="44"/>
        <v>0.93524757751249543</v>
      </c>
      <c r="BL363" s="29">
        <v>0</v>
      </c>
      <c r="BN363" s="22">
        <v>44908</v>
      </c>
      <c r="BO363" s="26">
        <f t="shared" ca="1" si="45"/>
        <v>0.21634766196281163</v>
      </c>
      <c r="BP363" s="29">
        <v>0</v>
      </c>
      <c r="BR363" s="22">
        <v>44908</v>
      </c>
      <c r="BS363" s="26">
        <f t="shared" ca="1" si="46"/>
        <v>0.56532752745924164</v>
      </c>
      <c r="BT363" s="29">
        <v>0</v>
      </c>
      <c r="BV363" s="22">
        <v>44908</v>
      </c>
      <c r="BW363" s="26">
        <f t="shared" ca="1" si="47"/>
        <v>0.39631329235468449</v>
      </c>
      <c r="BX363" s="29">
        <v>0</v>
      </c>
    </row>
    <row r="364" spans="2:76" ht="12.75" x14ac:dyDescent="0.2">
      <c r="B364" s="22">
        <v>44909</v>
      </c>
      <c r="C364" s="26">
        <f t="shared" ca="1" si="0"/>
        <v>0.57146471225238293</v>
      </c>
      <c r="D364" s="29">
        <f t="shared" ca="1" si="53"/>
        <v>79</v>
      </c>
      <c r="F364" s="22">
        <v>44909</v>
      </c>
      <c r="G364" s="26">
        <f t="shared" ca="1" si="31"/>
        <v>0.73493226256103295</v>
      </c>
      <c r="H364" s="29">
        <f t="shared" ca="1" si="49"/>
        <v>225</v>
      </c>
      <c r="J364" s="22">
        <v>44909</v>
      </c>
      <c r="K364" s="26">
        <f t="shared" ca="1" si="32"/>
        <v>0.57026130683370524</v>
      </c>
      <c r="L364" s="29">
        <f t="shared" ca="1" si="50"/>
        <v>152</v>
      </c>
      <c r="N364" s="22">
        <v>44909</v>
      </c>
      <c r="O364" s="26">
        <f t="shared" ca="1" si="33"/>
        <v>0.78053865511829157</v>
      </c>
      <c r="P364" s="29">
        <f t="shared" ca="1" si="51"/>
        <v>242</v>
      </c>
      <c r="R364" s="22">
        <v>44909</v>
      </c>
      <c r="S364" s="26">
        <f t="shared" ca="1" si="34"/>
        <v>2.5729658226176344E-2</v>
      </c>
      <c r="T364" s="29">
        <f t="shared" ca="1" si="52"/>
        <v>121</v>
      </c>
      <c r="V364" s="22">
        <v>44909</v>
      </c>
      <c r="W364" s="26">
        <f t="shared" ca="1" si="35"/>
        <v>6.1595914944101104E-2</v>
      </c>
      <c r="X364" s="29">
        <v>0</v>
      </c>
      <c r="Z364" s="22">
        <v>44909</v>
      </c>
      <c r="AA364" s="26">
        <f t="shared" ca="1" si="36"/>
        <v>0.92224301245696416</v>
      </c>
      <c r="AB364" s="29">
        <v>0</v>
      </c>
      <c r="AC364"/>
      <c r="AD364" s="25"/>
      <c r="AF364" s="22">
        <v>44909</v>
      </c>
      <c r="AG364" s="26">
        <f t="shared" ca="1" si="37"/>
        <v>0.32567728930691342</v>
      </c>
      <c r="AH364" s="29">
        <v>0</v>
      </c>
      <c r="AJ364" s="22">
        <v>44909</v>
      </c>
      <c r="AK364" s="26">
        <f t="shared" ca="1" si="38"/>
        <v>0.72274592794093084</v>
      </c>
      <c r="AL364" s="29">
        <v>0</v>
      </c>
      <c r="AN364" s="22">
        <v>44909</v>
      </c>
      <c r="AO364" s="26">
        <f t="shared" ca="1" si="39"/>
        <v>0.35091799451009187</v>
      </c>
      <c r="AP364" s="29">
        <v>0</v>
      </c>
      <c r="AR364" s="22">
        <v>44909</v>
      </c>
      <c r="AS364" s="26">
        <f t="shared" ca="1" si="40"/>
        <v>0.59557674986112086</v>
      </c>
      <c r="AT364" s="29">
        <v>0</v>
      </c>
      <c r="AV364" s="22">
        <v>44909</v>
      </c>
      <c r="AW364" s="26">
        <f t="shared" ca="1" si="41"/>
        <v>0.50709095309028229</v>
      </c>
      <c r="AX364" s="29">
        <v>0</v>
      </c>
      <c r="AZ364" s="22">
        <v>44909</v>
      </c>
      <c r="BA364" s="26">
        <f t="shared" ca="1" si="42"/>
        <v>0.91598873714957174</v>
      </c>
      <c r="BB364" s="29">
        <v>0</v>
      </c>
      <c r="BC364"/>
      <c r="BD364" s="25"/>
      <c r="BF364" s="22">
        <v>44909</v>
      </c>
      <c r="BG364" s="26">
        <f t="shared" ca="1" si="43"/>
        <v>0.84823633562189915</v>
      </c>
      <c r="BH364" s="29">
        <v>0</v>
      </c>
      <c r="BJ364" s="22">
        <v>44909</v>
      </c>
      <c r="BK364" s="26">
        <f t="shared" ca="1" si="44"/>
        <v>0.56174981112530864</v>
      </c>
      <c r="BL364" s="29">
        <v>0</v>
      </c>
      <c r="BN364" s="22">
        <v>44909</v>
      </c>
      <c r="BO364" s="26">
        <f t="shared" ca="1" si="45"/>
        <v>0.98346458985825991</v>
      </c>
      <c r="BP364" s="29">
        <v>0</v>
      </c>
      <c r="BR364" s="22">
        <v>44909</v>
      </c>
      <c r="BS364" s="26">
        <f t="shared" ca="1" si="46"/>
        <v>0.44916798239483602</v>
      </c>
      <c r="BT364" s="29">
        <v>0</v>
      </c>
      <c r="BV364" s="22">
        <v>44909</v>
      </c>
      <c r="BW364" s="26">
        <f t="shared" ca="1" si="47"/>
        <v>0.25659518593145469</v>
      </c>
      <c r="BX364" s="29">
        <v>0</v>
      </c>
    </row>
    <row r="365" spans="2:76" ht="12.75" x14ac:dyDescent="0.2">
      <c r="B365" s="22">
        <v>44910</v>
      </c>
      <c r="C365" s="26">
        <f t="shared" ca="1" si="0"/>
        <v>0.86250888105082757</v>
      </c>
      <c r="D365" s="29">
        <f t="shared" ca="1" si="53"/>
        <v>97</v>
      </c>
      <c r="F365" s="22">
        <v>44910</v>
      </c>
      <c r="G365" s="26">
        <f t="shared" ca="1" si="31"/>
        <v>0.64710723343294474</v>
      </c>
      <c r="H365" s="29">
        <f t="shared" ca="1" si="49"/>
        <v>221</v>
      </c>
      <c r="J365" s="22">
        <v>44910</v>
      </c>
      <c r="K365" s="26">
        <f t="shared" ca="1" si="32"/>
        <v>0.32227294344113089</v>
      </c>
      <c r="L365" s="29">
        <f t="shared" ca="1" si="50"/>
        <v>146</v>
      </c>
      <c r="N365" s="22">
        <v>44910</v>
      </c>
      <c r="O365" s="26">
        <f t="shared" ca="1" si="33"/>
        <v>0.71820863466506213</v>
      </c>
      <c r="P365" s="29">
        <f t="shared" ca="1" si="51"/>
        <v>239</v>
      </c>
      <c r="R365" s="22">
        <v>44910</v>
      </c>
      <c r="S365" s="26">
        <f t="shared" ca="1" si="34"/>
        <v>0.27003125479352841</v>
      </c>
      <c r="T365" s="29">
        <f t="shared" ca="1" si="52"/>
        <v>134</v>
      </c>
      <c r="V365" s="22">
        <v>44910</v>
      </c>
      <c r="W365" s="26">
        <f t="shared" ca="1" si="35"/>
        <v>0.22582312414231587</v>
      </c>
      <c r="X365" s="29">
        <v>0</v>
      </c>
      <c r="Z365" s="22">
        <v>44910</v>
      </c>
      <c r="AA365" s="26">
        <f t="shared" ca="1" si="36"/>
        <v>8.2117406817576399E-2</v>
      </c>
      <c r="AB365" s="29">
        <v>0</v>
      </c>
      <c r="AC365"/>
      <c r="AD365" s="25"/>
      <c r="AF365" s="22">
        <v>44910</v>
      </c>
      <c r="AG365" s="26">
        <f t="shared" ca="1" si="37"/>
        <v>0.48225317674666657</v>
      </c>
      <c r="AH365" s="29">
        <v>0</v>
      </c>
      <c r="AJ365" s="22">
        <v>44910</v>
      </c>
      <c r="AK365" s="26">
        <f t="shared" ca="1" si="38"/>
        <v>0.76462086471073842</v>
      </c>
      <c r="AL365" s="29">
        <v>0</v>
      </c>
      <c r="AN365" s="22">
        <v>44910</v>
      </c>
      <c r="AO365" s="26">
        <f t="shared" ca="1" si="39"/>
        <v>0.67179471458378437</v>
      </c>
      <c r="AP365" s="29">
        <v>0</v>
      </c>
      <c r="AR365" s="22">
        <v>44910</v>
      </c>
      <c r="AS365" s="26">
        <f t="shared" ca="1" si="40"/>
        <v>0.86419833555936687</v>
      </c>
      <c r="AT365" s="29">
        <v>0</v>
      </c>
      <c r="AV365" s="22">
        <v>44910</v>
      </c>
      <c r="AW365" s="26">
        <f t="shared" ca="1" si="41"/>
        <v>0.96188624814171619</v>
      </c>
      <c r="AX365" s="29">
        <v>0</v>
      </c>
      <c r="AZ365" s="22">
        <v>44910</v>
      </c>
      <c r="BA365" s="26">
        <f t="shared" ca="1" si="42"/>
        <v>0.81438232195091909</v>
      </c>
      <c r="BB365" s="29">
        <v>0</v>
      </c>
      <c r="BC365"/>
      <c r="BD365" s="25"/>
      <c r="BF365" s="22">
        <v>44910</v>
      </c>
      <c r="BG365" s="26">
        <f t="shared" ca="1" si="43"/>
        <v>0.49285987480043481</v>
      </c>
      <c r="BH365" s="29">
        <v>0</v>
      </c>
      <c r="BJ365" s="22">
        <v>44910</v>
      </c>
      <c r="BK365" s="26">
        <f t="shared" ca="1" si="44"/>
        <v>0.35353098854657139</v>
      </c>
      <c r="BL365" s="29">
        <v>0</v>
      </c>
      <c r="BN365" s="22">
        <v>44910</v>
      </c>
      <c r="BO365" s="26">
        <f t="shared" ca="1" si="45"/>
        <v>0.7935037082976879</v>
      </c>
      <c r="BP365" s="29">
        <v>0</v>
      </c>
      <c r="BR365" s="22">
        <v>44910</v>
      </c>
      <c r="BS365" s="26">
        <f t="shared" ca="1" si="46"/>
        <v>0.85959227487556755</v>
      </c>
      <c r="BT365" s="29">
        <v>0</v>
      </c>
      <c r="BV365" s="22">
        <v>44910</v>
      </c>
      <c r="BW365" s="26">
        <f t="shared" ca="1" si="47"/>
        <v>0.19737251618490059</v>
      </c>
      <c r="BX365" s="29">
        <v>0</v>
      </c>
    </row>
    <row r="366" spans="2:76" ht="12.75" x14ac:dyDescent="0.2">
      <c r="B366" s="22">
        <v>44911</v>
      </c>
      <c r="C366" s="26">
        <f t="shared" ca="1" si="0"/>
        <v>0.28314431386013561</v>
      </c>
      <c r="D366" s="29">
        <f t="shared" ca="1" si="53"/>
        <v>64</v>
      </c>
      <c r="F366" s="22">
        <v>44911</v>
      </c>
      <c r="G366" s="26">
        <f t="shared" ca="1" si="31"/>
        <v>0.94607414668339984</v>
      </c>
      <c r="H366" s="29">
        <f t="shared" ca="1" si="49"/>
        <v>239</v>
      </c>
      <c r="J366" s="22">
        <v>44911</v>
      </c>
      <c r="K366" s="26">
        <f t="shared" ca="1" si="32"/>
        <v>0.91899857103587723</v>
      </c>
      <c r="L366" s="29">
        <f t="shared" ca="1" si="50"/>
        <v>164</v>
      </c>
      <c r="N366" s="22">
        <v>44911</v>
      </c>
      <c r="O366" s="26">
        <f t="shared" ca="1" si="33"/>
        <v>0.95194256558760837</v>
      </c>
      <c r="P366" s="29">
        <f t="shared" ca="1" si="51"/>
        <v>255</v>
      </c>
      <c r="R366" s="22">
        <v>44911</v>
      </c>
      <c r="S366" s="26">
        <f t="shared" ca="1" si="34"/>
        <v>0.79839756829324438</v>
      </c>
      <c r="T366" s="29">
        <f t="shared" ca="1" si="52"/>
        <v>147</v>
      </c>
      <c r="V366" s="22">
        <v>44911</v>
      </c>
      <c r="W366" s="26">
        <f t="shared" ca="1" si="35"/>
        <v>0.15573565191961203</v>
      </c>
      <c r="X366" s="29">
        <v>0</v>
      </c>
      <c r="Z366" s="22">
        <v>44911</v>
      </c>
      <c r="AA366" s="26">
        <f t="shared" ca="1" si="36"/>
        <v>8.8860801040356319E-2</v>
      </c>
      <c r="AB366" s="29">
        <v>0</v>
      </c>
      <c r="AC366"/>
      <c r="AD366" s="25"/>
      <c r="AF366" s="22">
        <v>44911</v>
      </c>
      <c r="AG366" s="26">
        <f t="shared" ca="1" si="37"/>
        <v>0.14949823802898943</v>
      </c>
      <c r="AH366" s="29">
        <v>0</v>
      </c>
      <c r="AJ366" s="22">
        <v>44911</v>
      </c>
      <c r="AK366" s="26">
        <f t="shared" ca="1" si="38"/>
        <v>0.18307694347515646</v>
      </c>
      <c r="AL366" s="29">
        <v>0</v>
      </c>
      <c r="AN366" s="22">
        <v>44911</v>
      </c>
      <c r="AO366" s="26">
        <f t="shared" ca="1" si="39"/>
        <v>0.94876230390799843</v>
      </c>
      <c r="AP366" s="29">
        <v>0</v>
      </c>
      <c r="AR366" s="22">
        <v>44911</v>
      </c>
      <c r="AS366" s="26">
        <f t="shared" ca="1" si="40"/>
        <v>0.4166130788523662</v>
      </c>
      <c r="AT366" s="29">
        <v>0</v>
      </c>
      <c r="AV366" s="22">
        <v>44911</v>
      </c>
      <c r="AW366" s="26">
        <f t="shared" ca="1" si="41"/>
        <v>0.32425486442990725</v>
      </c>
      <c r="AX366" s="29">
        <v>0</v>
      </c>
      <c r="AZ366" s="22">
        <v>44911</v>
      </c>
      <c r="BA366" s="26">
        <f t="shared" ca="1" si="42"/>
        <v>0.67086444488221264</v>
      </c>
      <c r="BB366" s="29">
        <v>0</v>
      </c>
      <c r="BC366"/>
      <c r="BD366" s="25"/>
      <c r="BF366" s="22">
        <v>44911</v>
      </c>
      <c r="BG366" s="26">
        <f t="shared" ca="1" si="43"/>
        <v>0.98761116587518349</v>
      </c>
      <c r="BH366" s="29">
        <v>0</v>
      </c>
      <c r="BJ366" s="22">
        <v>44911</v>
      </c>
      <c r="BK366" s="26">
        <f t="shared" ca="1" si="44"/>
        <v>0.36504537353245459</v>
      </c>
      <c r="BL366" s="29">
        <v>0</v>
      </c>
      <c r="BN366" s="22">
        <v>44911</v>
      </c>
      <c r="BO366" s="26">
        <f t="shared" ca="1" si="45"/>
        <v>0.85322190984835</v>
      </c>
      <c r="BP366" s="29">
        <v>0</v>
      </c>
      <c r="BR366" s="22">
        <v>44911</v>
      </c>
      <c r="BS366" s="26">
        <f t="shared" ca="1" si="46"/>
        <v>0.84229398110791898</v>
      </c>
      <c r="BT366" s="29">
        <v>0</v>
      </c>
      <c r="BV366" s="22">
        <v>44911</v>
      </c>
      <c r="BW366" s="26">
        <f t="shared" ca="1" si="47"/>
        <v>0.70215338014924678</v>
      </c>
      <c r="BX366" s="29">
        <v>0</v>
      </c>
    </row>
    <row r="367" spans="2:76" ht="12.75" x14ac:dyDescent="0.2">
      <c r="B367" s="22">
        <v>44912</v>
      </c>
      <c r="C367" s="26">
        <f t="shared" ca="1" si="0"/>
        <v>0.5893749812848208</v>
      </c>
      <c r="D367" s="29">
        <f t="shared" ca="1" si="53"/>
        <v>80</v>
      </c>
      <c r="F367" s="22">
        <v>44912</v>
      </c>
      <c r="G367" s="26">
        <f t="shared" ca="1" si="31"/>
        <v>0.72071707983320876</v>
      </c>
      <c r="H367" s="29">
        <f t="shared" ca="1" si="49"/>
        <v>224</v>
      </c>
      <c r="J367" s="22">
        <v>44912</v>
      </c>
      <c r="K367" s="26">
        <f t="shared" ca="1" si="32"/>
        <v>0.491351504882372</v>
      </c>
      <c r="L367" s="29">
        <f t="shared" ca="1" si="50"/>
        <v>150</v>
      </c>
      <c r="N367" s="22">
        <v>44912</v>
      </c>
      <c r="O367" s="26">
        <f t="shared" ca="1" si="33"/>
        <v>0.2681166454041024</v>
      </c>
      <c r="P367" s="29">
        <f t="shared" ca="1" si="51"/>
        <v>220</v>
      </c>
      <c r="R367" s="22">
        <v>44912</v>
      </c>
      <c r="S367" s="26">
        <f t="shared" ca="1" si="34"/>
        <v>0.29455999472144667</v>
      </c>
      <c r="T367" s="29">
        <f t="shared" ca="1" si="52"/>
        <v>134</v>
      </c>
      <c r="V367" s="22">
        <v>44912</v>
      </c>
      <c r="W367" s="26">
        <f t="shared" ca="1" si="35"/>
        <v>0.52376882565744409</v>
      </c>
      <c r="X367" s="29">
        <v>0</v>
      </c>
      <c r="Z367" s="22">
        <v>44912</v>
      </c>
      <c r="AA367" s="26">
        <f t="shared" ca="1" si="36"/>
        <v>0.36815751420261644</v>
      </c>
      <c r="AB367" s="29">
        <v>0</v>
      </c>
      <c r="AC367"/>
      <c r="AD367" s="25"/>
      <c r="AF367" s="22">
        <v>44912</v>
      </c>
      <c r="AG367" s="26">
        <f t="shared" ca="1" si="37"/>
        <v>0.18763801134266733</v>
      </c>
      <c r="AH367" s="29">
        <v>0</v>
      </c>
      <c r="AJ367" s="22">
        <v>44912</v>
      </c>
      <c r="AK367" s="26">
        <f t="shared" ca="1" si="38"/>
        <v>0.20457977108991654</v>
      </c>
      <c r="AL367" s="29">
        <v>0</v>
      </c>
      <c r="AN367" s="22">
        <v>44912</v>
      </c>
      <c r="AO367" s="26">
        <f t="shared" ca="1" si="39"/>
        <v>0.93657098961367835</v>
      </c>
      <c r="AP367" s="29">
        <v>0</v>
      </c>
      <c r="AR367" s="22">
        <v>44912</v>
      </c>
      <c r="AS367" s="26">
        <f t="shared" ca="1" si="40"/>
        <v>0.78555699008784274</v>
      </c>
      <c r="AT367" s="29">
        <v>0</v>
      </c>
      <c r="AV367" s="22">
        <v>44912</v>
      </c>
      <c r="AW367" s="26">
        <f t="shared" ca="1" si="41"/>
        <v>0.75620377470362188</v>
      </c>
      <c r="AX367" s="29">
        <v>0</v>
      </c>
      <c r="AZ367" s="22">
        <v>44912</v>
      </c>
      <c r="BA367" s="26">
        <f t="shared" ca="1" si="42"/>
        <v>0.6532428502413119</v>
      </c>
      <c r="BB367" s="29">
        <v>0</v>
      </c>
      <c r="BC367"/>
      <c r="BD367" s="25"/>
      <c r="BF367" s="22">
        <v>44912</v>
      </c>
      <c r="BG367" s="26">
        <f t="shared" ca="1" si="43"/>
        <v>1.0417318510370088E-2</v>
      </c>
      <c r="BH367" s="29">
        <v>0</v>
      </c>
      <c r="BJ367" s="22">
        <v>44912</v>
      </c>
      <c r="BK367" s="26">
        <f t="shared" ca="1" si="44"/>
        <v>2.2609704388550922E-3</v>
      </c>
      <c r="BL367" s="29">
        <v>0</v>
      </c>
      <c r="BN367" s="22">
        <v>44912</v>
      </c>
      <c r="BO367" s="26">
        <f t="shared" ca="1" si="45"/>
        <v>0.90070574196806819</v>
      </c>
      <c r="BP367" s="29">
        <v>0</v>
      </c>
      <c r="BR367" s="22">
        <v>44912</v>
      </c>
      <c r="BS367" s="26">
        <f t="shared" ca="1" si="46"/>
        <v>0.21249792513184529</v>
      </c>
      <c r="BT367" s="29">
        <v>0</v>
      </c>
      <c r="BV367" s="22">
        <v>44912</v>
      </c>
      <c r="BW367" s="26">
        <f t="shared" ca="1" si="47"/>
        <v>0.68142899648096167</v>
      </c>
      <c r="BX367" s="29">
        <v>0</v>
      </c>
    </row>
    <row r="368" spans="2:76" ht="12.75" x14ac:dyDescent="0.2">
      <c r="B368" s="22">
        <v>44913</v>
      </c>
      <c r="C368" s="26">
        <f t="shared" ca="1" si="0"/>
        <v>0.49338722519405409</v>
      </c>
      <c r="D368" s="29">
        <f t="shared" ca="1" si="53"/>
        <v>75</v>
      </c>
      <c r="F368" s="22">
        <v>44913</v>
      </c>
      <c r="G368" s="26">
        <f t="shared" ca="1" si="31"/>
        <v>0.70434562647021381</v>
      </c>
      <c r="H368" s="29">
        <f t="shared" ca="1" si="49"/>
        <v>224</v>
      </c>
      <c r="J368" s="22">
        <v>44913</v>
      </c>
      <c r="K368" s="26">
        <f t="shared" ca="1" si="32"/>
        <v>9.8046700929684372E-2</v>
      </c>
      <c r="L368" s="29">
        <f t="shared" ca="1" si="50"/>
        <v>138</v>
      </c>
      <c r="N368" s="22">
        <v>44913</v>
      </c>
      <c r="O368" s="26">
        <f t="shared" ca="1" si="33"/>
        <v>0.48729840242771794</v>
      </c>
      <c r="P368" s="29">
        <f t="shared" ca="1" si="51"/>
        <v>229</v>
      </c>
      <c r="R368" s="22">
        <v>44913</v>
      </c>
      <c r="S368" s="26">
        <f t="shared" ca="1" si="34"/>
        <v>0.3562749483660268</v>
      </c>
      <c r="T368" s="29">
        <f t="shared" ca="1" si="52"/>
        <v>136</v>
      </c>
      <c r="V368" s="22">
        <v>44913</v>
      </c>
      <c r="W368" s="26">
        <f t="shared" ca="1" si="35"/>
        <v>0.51508660907876425</v>
      </c>
      <c r="X368" s="29">
        <v>0</v>
      </c>
      <c r="Z368" s="22">
        <v>44913</v>
      </c>
      <c r="AA368" s="26">
        <f t="shared" ca="1" si="36"/>
        <v>0.17845970501752306</v>
      </c>
      <c r="AB368" s="29">
        <v>0</v>
      </c>
      <c r="AC368"/>
      <c r="AD368" s="25"/>
      <c r="AF368" s="22">
        <v>44913</v>
      </c>
      <c r="AG368" s="26">
        <f t="shared" ca="1" si="37"/>
        <v>0.38208240146108674</v>
      </c>
      <c r="AH368" s="29">
        <v>0</v>
      </c>
      <c r="AJ368" s="22">
        <v>44913</v>
      </c>
      <c r="AK368" s="26">
        <f t="shared" ca="1" si="38"/>
        <v>0.30389580527455795</v>
      </c>
      <c r="AL368" s="29">
        <v>0</v>
      </c>
      <c r="AN368" s="22">
        <v>44913</v>
      </c>
      <c r="AO368" s="26">
        <f t="shared" ca="1" si="39"/>
        <v>0.14674886001083332</v>
      </c>
      <c r="AP368" s="29">
        <v>0</v>
      </c>
      <c r="AR368" s="22">
        <v>44913</v>
      </c>
      <c r="AS368" s="26">
        <f t="shared" ca="1" si="40"/>
        <v>0.73549481986726717</v>
      </c>
      <c r="AT368" s="29">
        <v>0</v>
      </c>
      <c r="AV368" s="22">
        <v>44913</v>
      </c>
      <c r="AW368" s="26">
        <f t="shared" ca="1" si="41"/>
        <v>0.16797584342528027</v>
      </c>
      <c r="AX368" s="29">
        <v>0</v>
      </c>
      <c r="AZ368" s="22">
        <v>44913</v>
      </c>
      <c r="BA368" s="26">
        <f t="shared" ca="1" si="42"/>
        <v>6.4941513073360602E-2</v>
      </c>
      <c r="BB368" s="29">
        <v>0</v>
      </c>
      <c r="BC368"/>
      <c r="BD368" s="25"/>
      <c r="BF368" s="22">
        <v>44913</v>
      </c>
      <c r="BG368" s="26">
        <f t="shared" ca="1" si="43"/>
        <v>6.9977651753321268E-2</v>
      </c>
      <c r="BH368" s="29">
        <v>0</v>
      </c>
      <c r="BJ368" s="22">
        <v>44913</v>
      </c>
      <c r="BK368" s="26">
        <f t="shared" ca="1" si="44"/>
        <v>9.8253065620511615E-3</v>
      </c>
      <c r="BL368" s="29">
        <v>0</v>
      </c>
      <c r="BN368" s="22">
        <v>44913</v>
      </c>
      <c r="BO368" s="26">
        <f t="shared" ca="1" si="45"/>
        <v>5.8609525570192389E-3</v>
      </c>
      <c r="BP368" s="29">
        <v>0</v>
      </c>
      <c r="BR368" s="22">
        <v>44913</v>
      </c>
      <c r="BS368" s="26">
        <f t="shared" ca="1" si="46"/>
        <v>4.7652572822290185E-2</v>
      </c>
      <c r="BT368" s="29">
        <v>0</v>
      </c>
      <c r="BV368" s="22">
        <v>44913</v>
      </c>
      <c r="BW368" s="26">
        <f t="shared" ca="1" si="47"/>
        <v>9.4521833003119671E-2</v>
      </c>
      <c r="BX368" s="29">
        <v>0</v>
      </c>
    </row>
    <row r="369" spans="2:77" ht="12.75" x14ac:dyDescent="0.2">
      <c r="B369" s="22">
        <v>44914</v>
      </c>
      <c r="C369" s="26">
        <f t="shared" ca="1" si="0"/>
        <v>0.22701841974747505</v>
      </c>
      <c r="D369" s="29">
        <v>0</v>
      </c>
      <c r="F369" s="22">
        <v>44914</v>
      </c>
      <c r="G369" s="26">
        <f t="shared" ca="1" si="31"/>
        <v>0.84016974754068463</v>
      </c>
      <c r="H369" s="29">
        <v>0</v>
      </c>
      <c r="J369" s="22">
        <v>44914</v>
      </c>
      <c r="K369" s="26">
        <f t="shared" ca="1" si="32"/>
        <v>0.71065825484669221</v>
      </c>
      <c r="L369" s="29">
        <v>0</v>
      </c>
      <c r="N369" s="22">
        <v>44914</v>
      </c>
      <c r="O369" s="26">
        <f t="shared" ca="1" si="33"/>
        <v>0.16794193193930773</v>
      </c>
      <c r="P369" s="29">
        <v>0</v>
      </c>
      <c r="R369" s="22">
        <v>44914</v>
      </c>
      <c r="S369" s="26">
        <f t="shared" ca="1" si="34"/>
        <v>0.58282578119308714</v>
      </c>
      <c r="T369" s="29">
        <v>0</v>
      </c>
      <c r="V369" s="22">
        <v>44914</v>
      </c>
      <c r="W369" s="26">
        <f t="shared" ca="1" si="35"/>
        <v>0.42885596265448411</v>
      </c>
      <c r="X369" s="29">
        <v>0</v>
      </c>
      <c r="Z369" s="22">
        <v>44914</v>
      </c>
      <c r="AA369" s="26">
        <f t="shared" ca="1" si="36"/>
        <v>9.9302102290991123E-2</v>
      </c>
      <c r="AB369" s="29">
        <v>0</v>
      </c>
      <c r="AC369"/>
      <c r="AD369" s="25"/>
      <c r="AF369" s="22">
        <v>44914</v>
      </c>
      <c r="AG369" s="26">
        <f t="shared" ca="1" si="37"/>
        <v>0.69708151151286013</v>
      </c>
      <c r="AH369" s="29">
        <v>0</v>
      </c>
      <c r="AJ369" s="22">
        <v>44914</v>
      </c>
      <c r="AK369" s="26">
        <f t="shared" ca="1" si="38"/>
        <v>0.12798982760227273</v>
      </c>
      <c r="AL369" s="29">
        <v>0</v>
      </c>
      <c r="AN369" s="22">
        <v>44914</v>
      </c>
      <c r="AO369" s="26">
        <f t="shared" ca="1" si="39"/>
        <v>0.12235302931342151</v>
      </c>
      <c r="AP369" s="29">
        <v>0</v>
      </c>
      <c r="AR369" s="22">
        <v>44914</v>
      </c>
      <c r="AS369" s="26">
        <f t="shared" ca="1" si="40"/>
        <v>0.93714803003111968</v>
      </c>
      <c r="AT369" s="29">
        <v>0</v>
      </c>
      <c r="AV369" s="22">
        <v>44914</v>
      </c>
      <c r="AW369" s="26">
        <f t="shared" ca="1" si="41"/>
        <v>0.76357710847013982</v>
      </c>
      <c r="AX369" s="29">
        <v>0</v>
      </c>
      <c r="AZ369" s="22">
        <v>44914</v>
      </c>
      <c r="BA369" s="26">
        <f t="shared" ca="1" si="42"/>
        <v>0.8463494788505862</v>
      </c>
      <c r="BB369" s="29">
        <v>0</v>
      </c>
      <c r="BC369"/>
      <c r="BD369" s="25"/>
      <c r="BF369" s="22">
        <v>44914</v>
      </c>
      <c r="BG369" s="26">
        <f t="shared" ca="1" si="43"/>
        <v>0.95053409277955314</v>
      </c>
      <c r="BH369" s="29">
        <v>0</v>
      </c>
      <c r="BJ369" s="22">
        <v>44914</v>
      </c>
      <c r="BK369" s="26">
        <f t="shared" ca="1" si="44"/>
        <v>0.26754041601293477</v>
      </c>
      <c r="BL369" s="29">
        <v>0</v>
      </c>
      <c r="BN369" s="22">
        <v>44914</v>
      </c>
      <c r="BO369" s="26">
        <f t="shared" ca="1" si="45"/>
        <v>0.1026000163695574</v>
      </c>
      <c r="BP369" s="29">
        <v>0</v>
      </c>
      <c r="BR369" s="22">
        <v>44914</v>
      </c>
      <c r="BS369" s="26">
        <f t="shared" ca="1" si="46"/>
        <v>2.0858187763350799E-2</v>
      </c>
      <c r="BT369" s="29">
        <v>0</v>
      </c>
      <c r="BV369" s="22">
        <v>44914</v>
      </c>
      <c r="BW369" s="26">
        <f t="shared" ca="1" si="47"/>
        <v>0.46098797037201078</v>
      </c>
      <c r="BX369" s="29">
        <v>0</v>
      </c>
    </row>
    <row r="370" spans="2:77" ht="12.75" x14ac:dyDescent="0.2">
      <c r="B370" s="22">
        <v>44915</v>
      </c>
      <c r="C370" s="26">
        <f t="shared" ca="1" si="0"/>
        <v>0.77878803256944851</v>
      </c>
      <c r="D370" s="29">
        <v>0</v>
      </c>
      <c r="F370" s="22">
        <v>44915</v>
      </c>
      <c r="G370" s="26">
        <f t="shared" ca="1" si="31"/>
        <v>0.11126994306842219</v>
      </c>
      <c r="H370" s="29">
        <v>0</v>
      </c>
      <c r="J370" s="22">
        <v>44915</v>
      </c>
      <c r="K370" s="26">
        <f t="shared" ca="1" si="32"/>
        <v>0.43518301368665346</v>
      </c>
      <c r="L370" s="29">
        <v>0</v>
      </c>
      <c r="N370" s="22">
        <v>44915</v>
      </c>
      <c r="O370" s="26">
        <f t="shared" ca="1" si="33"/>
        <v>0.55848815236642158</v>
      </c>
      <c r="P370" s="29">
        <v>0</v>
      </c>
      <c r="R370" s="22">
        <v>44915</v>
      </c>
      <c r="S370" s="26">
        <f t="shared" ca="1" si="34"/>
        <v>0.16467543572779564</v>
      </c>
      <c r="T370" s="29">
        <v>0</v>
      </c>
      <c r="V370" s="22">
        <v>44915</v>
      </c>
      <c r="W370" s="26">
        <f t="shared" ca="1" si="35"/>
        <v>0.5325543727390466</v>
      </c>
      <c r="X370" s="29">
        <v>0</v>
      </c>
      <c r="Z370" s="22">
        <v>44915</v>
      </c>
      <c r="AA370" s="26">
        <f t="shared" ca="1" si="36"/>
        <v>0.79336368533109358</v>
      </c>
      <c r="AB370" s="29">
        <v>0</v>
      </c>
      <c r="AC370"/>
      <c r="AD370" s="25"/>
      <c r="AF370" s="22">
        <v>44915</v>
      </c>
      <c r="AG370" s="26">
        <f t="shared" ca="1" si="37"/>
        <v>0.29848854136262715</v>
      </c>
      <c r="AH370" s="29">
        <v>0</v>
      </c>
      <c r="AJ370" s="22">
        <v>44915</v>
      </c>
      <c r="AK370" s="26">
        <f t="shared" ca="1" si="38"/>
        <v>0.89440080856215043</v>
      </c>
      <c r="AL370" s="29">
        <v>0</v>
      </c>
      <c r="AN370" s="22">
        <v>44915</v>
      </c>
      <c r="AO370" s="26">
        <f t="shared" ca="1" si="39"/>
        <v>0.37105213646044333</v>
      </c>
      <c r="AP370" s="29">
        <v>0</v>
      </c>
      <c r="AR370" s="22">
        <v>44915</v>
      </c>
      <c r="AS370" s="26">
        <f t="shared" ca="1" si="40"/>
        <v>0.36298979546168286</v>
      </c>
      <c r="AT370" s="29">
        <v>0</v>
      </c>
      <c r="AV370" s="22">
        <v>44915</v>
      </c>
      <c r="AW370" s="26">
        <f t="shared" ca="1" si="41"/>
        <v>0.55490994099416724</v>
      </c>
      <c r="AX370" s="29">
        <v>0</v>
      </c>
      <c r="AZ370" s="22">
        <v>44915</v>
      </c>
      <c r="BA370" s="26">
        <f t="shared" ca="1" si="42"/>
        <v>0.55783873345557444</v>
      </c>
      <c r="BB370" s="29">
        <v>0</v>
      </c>
      <c r="BC370"/>
      <c r="BD370" s="25"/>
      <c r="BF370" s="22">
        <v>44915</v>
      </c>
      <c r="BG370" s="26">
        <f t="shared" ca="1" si="43"/>
        <v>0.94910661139976238</v>
      </c>
      <c r="BH370" s="29">
        <v>0</v>
      </c>
      <c r="BJ370" s="22">
        <v>44915</v>
      </c>
      <c r="BK370" s="26">
        <f t="shared" ca="1" si="44"/>
        <v>3.1145966945408499E-2</v>
      </c>
      <c r="BL370" s="29">
        <v>0</v>
      </c>
      <c r="BN370" s="22">
        <v>44915</v>
      </c>
      <c r="BO370" s="26">
        <f t="shared" ca="1" si="45"/>
        <v>0.95820993084935446</v>
      </c>
      <c r="BP370" s="29">
        <v>0</v>
      </c>
      <c r="BR370" s="22">
        <v>44915</v>
      </c>
      <c r="BS370" s="26">
        <f t="shared" ca="1" si="46"/>
        <v>0.67663414487811591</v>
      </c>
      <c r="BT370" s="29">
        <v>0</v>
      </c>
      <c r="BV370" s="22">
        <v>44915</v>
      </c>
      <c r="BW370" s="26">
        <f t="shared" ca="1" si="47"/>
        <v>0.28966761310261457</v>
      </c>
      <c r="BX370" s="29">
        <v>0</v>
      </c>
    </row>
    <row r="371" spans="2:77" ht="12.75" x14ac:dyDescent="0.2">
      <c r="B371" s="22">
        <v>44916</v>
      </c>
      <c r="C371" s="26">
        <f t="shared" ca="1" si="0"/>
        <v>0.95187277431318851</v>
      </c>
      <c r="D371" s="29">
        <v>0</v>
      </c>
      <c r="F371" s="22">
        <v>44916</v>
      </c>
      <c r="G371" s="26">
        <f t="shared" ca="1" si="31"/>
        <v>0.11221406010154333</v>
      </c>
      <c r="H371" s="29">
        <v>0</v>
      </c>
      <c r="J371" s="22">
        <v>44916</v>
      </c>
      <c r="K371" s="26">
        <f t="shared" ca="1" si="32"/>
        <v>0.33577422275090707</v>
      </c>
      <c r="L371" s="29">
        <v>0</v>
      </c>
      <c r="N371" s="22">
        <v>44916</v>
      </c>
      <c r="O371" s="26">
        <f t="shared" ca="1" si="33"/>
        <v>0.82775267364434657</v>
      </c>
      <c r="P371" s="29">
        <v>0</v>
      </c>
      <c r="R371" s="22">
        <v>44916</v>
      </c>
      <c r="S371" s="26">
        <f t="shared" ca="1" si="34"/>
        <v>0.11015200613503739</v>
      </c>
      <c r="T371" s="29">
        <v>0</v>
      </c>
      <c r="V371" s="22">
        <v>44916</v>
      </c>
      <c r="W371" s="26">
        <f t="shared" ca="1" si="35"/>
        <v>0.77474781032571427</v>
      </c>
      <c r="X371" s="29">
        <v>0</v>
      </c>
      <c r="Z371" s="22">
        <v>44916</v>
      </c>
      <c r="AA371" s="26">
        <f t="shared" ca="1" si="36"/>
        <v>0.54669262439514776</v>
      </c>
      <c r="AB371" s="29">
        <v>0</v>
      </c>
      <c r="AC371"/>
      <c r="AD371" s="25"/>
      <c r="AF371" s="22">
        <v>44916</v>
      </c>
      <c r="AG371" s="26">
        <f t="shared" ca="1" si="37"/>
        <v>0.98405369680341936</v>
      </c>
      <c r="AH371" s="29">
        <v>0</v>
      </c>
      <c r="AJ371" s="22">
        <v>44916</v>
      </c>
      <c r="AK371" s="26">
        <f t="shared" ca="1" si="38"/>
        <v>0.44638809170084204</v>
      </c>
      <c r="AL371" s="29">
        <v>0</v>
      </c>
      <c r="AN371" s="22">
        <v>44916</v>
      </c>
      <c r="AO371" s="26">
        <f t="shared" ca="1" si="39"/>
        <v>0.95117353205189115</v>
      </c>
      <c r="AP371" s="29">
        <v>0</v>
      </c>
      <c r="AR371" s="22">
        <v>44916</v>
      </c>
      <c r="AS371" s="26">
        <f t="shared" ca="1" si="40"/>
        <v>0.71749333191953335</v>
      </c>
      <c r="AT371" s="29">
        <v>0</v>
      </c>
      <c r="AV371" s="22">
        <v>44916</v>
      </c>
      <c r="AW371" s="26">
        <f t="shared" ca="1" si="41"/>
        <v>0.76353901290266335</v>
      </c>
      <c r="AX371" s="29">
        <v>0</v>
      </c>
      <c r="AZ371" s="22">
        <v>44916</v>
      </c>
      <c r="BA371" s="26">
        <f t="shared" ca="1" si="42"/>
        <v>0.53173413893235111</v>
      </c>
      <c r="BB371" s="29">
        <v>0</v>
      </c>
      <c r="BC371"/>
      <c r="BD371" s="25"/>
      <c r="BF371" s="22">
        <v>44916</v>
      </c>
      <c r="BG371" s="26">
        <f t="shared" ca="1" si="43"/>
        <v>0.97597109853980113</v>
      </c>
      <c r="BH371" s="29">
        <v>0</v>
      </c>
      <c r="BJ371" s="22">
        <v>44916</v>
      </c>
      <c r="BK371" s="26">
        <f t="shared" ca="1" si="44"/>
        <v>0.79196791887714457</v>
      </c>
      <c r="BL371" s="29">
        <v>0</v>
      </c>
      <c r="BN371" s="22">
        <v>44916</v>
      </c>
      <c r="BO371" s="26">
        <f t="shared" ca="1" si="45"/>
        <v>0.76319472022049273</v>
      </c>
      <c r="BP371" s="29">
        <v>0</v>
      </c>
      <c r="BR371" s="22">
        <v>44916</v>
      </c>
      <c r="BS371" s="26">
        <f t="shared" ca="1" si="46"/>
        <v>0.56062687426479485</v>
      </c>
      <c r="BT371" s="29">
        <v>0</v>
      </c>
      <c r="BV371" s="22">
        <v>44916</v>
      </c>
      <c r="BW371" s="26">
        <f t="shared" ca="1" si="47"/>
        <v>0.28720718416269964</v>
      </c>
      <c r="BX371" s="29">
        <v>0</v>
      </c>
    </row>
    <row r="372" spans="2:77" ht="12.75" x14ac:dyDescent="0.2">
      <c r="B372" s="22">
        <v>44917</v>
      </c>
      <c r="C372" s="26">
        <f t="shared" ca="1" si="0"/>
        <v>0.27607773112208323</v>
      </c>
      <c r="D372" s="29">
        <v>0</v>
      </c>
      <c r="F372" s="22">
        <v>44917</v>
      </c>
      <c r="G372" s="26">
        <f t="shared" ca="1" si="31"/>
        <v>0.54205624302187461</v>
      </c>
      <c r="H372" s="29">
        <v>0</v>
      </c>
      <c r="J372" s="22">
        <v>44917</v>
      </c>
      <c r="K372" s="26">
        <f t="shared" ca="1" si="32"/>
        <v>0.74322879018897725</v>
      </c>
      <c r="L372" s="29">
        <v>0</v>
      </c>
      <c r="N372" s="22">
        <v>44917</v>
      </c>
      <c r="O372" s="26">
        <f t="shared" ca="1" si="33"/>
        <v>0.31825765400853145</v>
      </c>
      <c r="P372" s="29">
        <v>0</v>
      </c>
      <c r="R372" s="22">
        <v>44917</v>
      </c>
      <c r="S372" s="26">
        <f t="shared" ca="1" si="34"/>
        <v>0.64849089495442491</v>
      </c>
      <c r="T372" s="29">
        <v>0</v>
      </c>
      <c r="V372" s="22">
        <v>44917</v>
      </c>
      <c r="W372" s="26">
        <f t="shared" ca="1" si="35"/>
        <v>0.66769325856317774</v>
      </c>
      <c r="X372" s="29">
        <v>0</v>
      </c>
      <c r="Z372" s="22">
        <v>44917</v>
      </c>
      <c r="AA372" s="26">
        <f t="shared" ca="1" si="36"/>
        <v>0.58273090713079678</v>
      </c>
      <c r="AB372" s="29">
        <v>0</v>
      </c>
      <c r="AC372"/>
      <c r="AD372" s="25"/>
      <c r="AF372" s="22">
        <v>44917</v>
      </c>
      <c r="AG372" s="26">
        <f t="shared" ca="1" si="37"/>
        <v>0.87310348342289779</v>
      </c>
      <c r="AH372" s="29">
        <v>0</v>
      </c>
      <c r="AJ372" s="22">
        <v>44917</v>
      </c>
      <c r="AK372" s="26">
        <f t="shared" ca="1" si="38"/>
        <v>0.5246026297845765</v>
      </c>
      <c r="AL372" s="29">
        <v>0</v>
      </c>
      <c r="AN372" s="22">
        <v>44917</v>
      </c>
      <c r="AO372" s="26">
        <f t="shared" ca="1" si="39"/>
        <v>0.38620753098044402</v>
      </c>
      <c r="AP372" s="29">
        <v>0</v>
      </c>
      <c r="AR372" s="22">
        <v>44917</v>
      </c>
      <c r="AS372" s="26">
        <f t="shared" ca="1" si="40"/>
        <v>0.65691489459857444</v>
      </c>
      <c r="AT372" s="29">
        <v>0</v>
      </c>
      <c r="AV372" s="22">
        <v>44917</v>
      </c>
      <c r="AW372" s="26">
        <f t="shared" ca="1" si="41"/>
        <v>0.99704924113337745</v>
      </c>
      <c r="AX372" s="29">
        <v>0</v>
      </c>
      <c r="AZ372" s="22">
        <v>44917</v>
      </c>
      <c r="BA372" s="26">
        <f t="shared" ca="1" si="42"/>
        <v>0.43471847905537919</v>
      </c>
      <c r="BB372" s="29">
        <v>0</v>
      </c>
      <c r="BC372"/>
      <c r="BD372" s="25"/>
      <c r="BF372" s="22">
        <v>44917</v>
      </c>
      <c r="BG372" s="26">
        <f t="shared" ca="1" si="43"/>
        <v>0.66424605653364044</v>
      </c>
      <c r="BH372" s="29">
        <v>0</v>
      </c>
      <c r="BJ372" s="22">
        <v>44917</v>
      </c>
      <c r="BK372" s="26">
        <f t="shared" ca="1" si="44"/>
        <v>0.44981113703618214</v>
      </c>
      <c r="BL372" s="29">
        <v>0</v>
      </c>
      <c r="BN372" s="22">
        <v>44917</v>
      </c>
      <c r="BO372" s="26">
        <f t="shared" ca="1" si="45"/>
        <v>0.20984229170625401</v>
      </c>
      <c r="BP372" s="29">
        <v>0</v>
      </c>
      <c r="BR372" s="22">
        <v>44917</v>
      </c>
      <c r="BS372" s="26">
        <f t="shared" ca="1" si="46"/>
        <v>0.50758750358288252</v>
      </c>
      <c r="BT372" s="29">
        <v>0</v>
      </c>
      <c r="BV372" s="22">
        <v>44917</v>
      </c>
      <c r="BW372" s="26">
        <f t="shared" ca="1" si="47"/>
        <v>0.54035365306151306</v>
      </c>
      <c r="BX372" s="29">
        <v>0</v>
      </c>
    </row>
    <row r="373" spans="2:77" ht="12.75" x14ac:dyDescent="0.2">
      <c r="B373" s="22">
        <v>44918</v>
      </c>
      <c r="C373" s="26">
        <f t="shared" ca="1" si="0"/>
        <v>0.88400445943398775</v>
      </c>
      <c r="D373" s="29">
        <v>0</v>
      </c>
      <c r="F373" s="22">
        <v>44918</v>
      </c>
      <c r="G373" s="26">
        <f t="shared" ca="1" si="31"/>
        <v>0.81748038371264264</v>
      </c>
      <c r="H373" s="29">
        <v>0</v>
      </c>
      <c r="J373" s="22">
        <v>44918</v>
      </c>
      <c r="K373" s="26">
        <f t="shared" ca="1" si="32"/>
        <v>0.79412880081256043</v>
      </c>
      <c r="L373" s="29">
        <v>0</v>
      </c>
      <c r="N373" s="22">
        <v>44918</v>
      </c>
      <c r="O373" s="26">
        <f t="shared" ca="1" si="33"/>
        <v>8.7277924620629888E-2</v>
      </c>
      <c r="P373" s="29">
        <v>0</v>
      </c>
      <c r="R373" s="22">
        <v>44918</v>
      </c>
      <c r="S373" s="26">
        <f t="shared" ca="1" si="34"/>
        <v>0.54342812410795094</v>
      </c>
      <c r="T373" s="29">
        <v>0</v>
      </c>
      <c r="V373" s="22">
        <v>44918</v>
      </c>
      <c r="W373" s="26">
        <f t="shared" ca="1" si="35"/>
        <v>0.33918869967539667</v>
      </c>
      <c r="X373" s="29">
        <v>0</v>
      </c>
      <c r="Z373" s="22">
        <v>44918</v>
      </c>
      <c r="AA373" s="26">
        <f t="shared" ca="1" si="36"/>
        <v>1.4129772406725527E-2</v>
      </c>
      <c r="AB373" s="29">
        <v>0</v>
      </c>
      <c r="AC373"/>
      <c r="AD373" s="25"/>
      <c r="AF373" s="22">
        <v>44918</v>
      </c>
      <c r="AG373" s="26">
        <f t="shared" ca="1" si="37"/>
        <v>0.43825074527965835</v>
      </c>
      <c r="AH373" s="29">
        <v>0</v>
      </c>
      <c r="AJ373" s="22">
        <v>44918</v>
      </c>
      <c r="AK373" s="26">
        <f t="shared" ca="1" si="38"/>
        <v>0.92520337494710869</v>
      </c>
      <c r="AL373" s="29">
        <v>0</v>
      </c>
      <c r="AN373" s="22">
        <v>44918</v>
      </c>
      <c r="AO373" s="26">
        <f t="shared" ca="1" si="39"/>
        <v>0.24640901593358611</v>
      </c>
      <c r="AP373" s="29">
        <v>0</v>
      </c>
      <c r="AR373" s="22">
        <v>44918</v>
      </c>
      <c r="AS373" s="26">
        <f t="shared" ca="1" si="40"/>
        <v>0.46689237985378662</v>
      </c>
      <c r="AT373" s="29">
        <v>0</v>
      </c>
      <c r="AV373" s="22">
        <v>44918</v>
      </c>
      <c r="AW373" s="26">
        <f t="shared" ca="1" si="41"/>
        <v>0.44704396425038129</v>
      </c>
      <c r="AX373" s="29">
        <v>0</v>
      </c>
      <c r="AZ373" s="22">
        <v>44918</v>
      </c>
      <c r="BA373" s="26">
        <f t="shared" ca="1" si="42"/>
        <v>8.1137167599290794E-2</v>
      </c>
      <c r="BB373" s="29">
        <v>0</v>
      </c>
      <c r="BC373"/>
      <c r="BD373" s="25"/>
      <c r="BF373" s="22">
        <v>44918</v>
      </c>
      <c r="BG373" s="26">
        <f t="shared" ca="1" si="43"/>
        <v>0.8802135011528196</v>
      </c>
      <c r="BH373" s="29">
        <v>0</v>
      </c>
      <c r="BJ373" s="22">
        <v>44918</v>
      </c>
      <c r="BK373" s="26">
        <f t="shared" ca="1" si="44"/>
        <v>0.42819585378760561</v>
      </c>
      <c r="BL373" s="29">
        <v>0</v>
      </c>
      <c r="BN373" s="22">
        <v>44918</v>
      </c>
      <c r="BO373" s="26">
        <f t="shared" ca="1" si="45"/>
        <v>0.920708382993639</v>
      </c>
      <c r="BP373" s="29">
        <v>0</v>
      </c>
      <c r="BR373" s="22">
        <v>44918</v>
      </c>
      <c r="BS373" s="26">
        <f t="shared" ca="1" si="46"/>
        <v>0.29239546405818784</v>
      </c>
      <c r="BT373" s="29">
        <v>0</v>
      </c>
      <c r="BV373" s="22">
        <v>44918</v>
      </c>
      <c r="BW373" s="26">
        <f t="shared" ca="1" si="47"/>
        <v>0.72864862625574467</v>
      </c>
      <c r="BX373" s="29">
        <v>0</v>
      </c>
    </row>
    <row r="374" spans="2:77" ht="12.75" x14ac:dyDescent="0.2">
      <c r="B374" s="22">
        <v>44919</v>
      </c>
      <c r="C374" s="26">
        <f t="shared" ca="1" si="0"/>
        <v>4.4016652740997753E-2</v>
      </c>
      <c r="D374" s="29">
        <v>0</v>
      </c>
      <c r="F374" s="22">
        <v>44919</v>
      </c>
      <c r="G374" s="26">
        <f t="shared" ca="1" si="31"/>
        <v>0.88676904022371839</v>
      </c>
      <c r="H374" s="29">
        <v>0</v>
      </c>
      <c r="J374" s="22">
        <v>44919</v>
      </c>
      <c r="K374" s="26">
        <f t="shared" ca="1" si="32"/>
        <v>0.25200110114537966</v>
      </c>
      <c r="L374" s="29">
        <v>0</v>
      </c>
      <c r="N374" s="22">
        <v>44919</v>
      </c>
      <c r="O374" s="26">
        <f t="shared" ca="1" si="33"/>
        <v>0.31157707035186633</v>
      </c>
      <c r="P374" s="29">
        <v>0</v>
      </c>
      <c r="R374" s="22">
        <v>44919</v>
      </c>
      <c r="S374" s="26">
        <f t="shared" ca="1" si="34"/>
        <v>0.35071694172990375</v>
      </c>
      <c r="T374" s="29">
        <v>0</v>
      </c>
      <c r="V374" s="22">
        <v>44919</v>
      </c>
      <c r="W374" s="26">
        <f t="shared" ca="1" si="35"/>
        <v>0.21719385296007365</v>
      </c>
      <c r="X374" s="29">
        <v>0</v>
      </c>
      <c r="Z374" s="22">
        <v>44919</v>
      </c>
      <c r="AA374" s="26">
        <f t="shared" ca="1" si="36"/>
        <v>0.86223786075929176</v>
      </c>
      <c r="AB374" s="29">
        <v>0</v>
      </c>
      <c r="AC374"/>
      <c r="AD374" s="25"/>
      <c r="AF374" s="22">
        <v>44919</v>
      </c>
      <c r="AG374" s="26">
        <f t="shared" ca="1" si="37"/>
        <v>9.3490345131000741E-2</v>
      </c>
      <c r="AH374" s="29">
        <v>0</v>
      </c>
      <c r="AJ374" s="22">
        <v>44919</v>
      </c>
      <c r="AK374" s="26">
        <f t="shared" ca="1" si="38"/>
        <v>0.17019913238697337</v>
      </c>
      <c r="AL374" s="29">
        <v>0</v>
      </c>
      <c r="AN374" s="22">
        <v>44919</v>
      </c>
      <c r="AO374" s="26">
        <f t="shared" ca="1" si="39"/>
        <v>0.16024642168937009</v>
      </c>
      <c r="AP374" s="29">
        <v>0</v>
      </c>
      <c r="AR374" s="22">
        <v>44919</v>
      </c>
      <c r="AS374" s="26">
        <f t="shared" ca="1" si="40"/>
        <v>0.41427645422846482</v>
      </c>
      <c r="AT374" s="29">
        <v>0</v>
      </c>
      <c r="AV374" s="22">
        <v>44919</v>
      </c>
      <c r="AW374" s="26">
        <f t="shared" ca="1" si="41"/>
        <v>0.70364779169590586</v>
      </c>
      <c r="AX374" s="29">
        <v>0</v>
      </c>
      <c r="AZ374" s="22">
        <v>44919</v>
      </c>
      <c r="BA374" s="26">
        <f t="shared" ca="1" si="42"/>
        <v>0.28209333166981643</v>
      </c>
      <c r="BB374" s="29">
        <v>0</v>
      </c>
      <c r="BC374"/>
      <c r="BD374" s="25"/>
      <c r="BF374" s="22">
        <v>44919</v>
      </c>
      <c r="BG374" s="26">
        <f t="shared" ca="1" si="43"/>
        <v>3.0364801175792211E-2</v>
      </c>
      <c r="BH374" s="29">
        <v>0</v>
      </c>
      <c r="BJ374" s="22">
        <v>44919</v>
      </c>
      <c r="BK374" s="26">
        <f t="shared" ca="1" si="44"/>
        <v>0.47052065961032585</v>
      </c>
      <c r="BL374" s="29">
        <v>0</v>
      </c>
      <c r="BN374" s="22">
        <v>44919</v>
      </c>
      <c r="BO374" s="26">
        <f t="shared" ca="1" si="45"/>
        <v>0.91814890355108736</v>
      </c>
      <c r="BP374" s="29">
        <v>0</v>
      </c>
      <c r="BR374" s="22">
        <v>44919</v>
      </c>
      <c r="BS374" s="26">
        <f t="shared" ca="1" si="46"/>
        <v>0.40074352980645733</v>
      </c>
      <c r="BT374" s="29">
        <v>0</v>
      </c>
      <c r="BV374" s="22">
        <v>44919</v>
      </c>
      <c r="BW374" s="26">
        <f t="shared" ca="1" si="47"/>
        <v>0.67321982374008371</v>
      </c>
      <c r="BX374" s="29">
        <v>0</v>
      </c>
    </row>
    <row r="375" spans="2:77" ht="12.75" x14ac:dyDescent="0.2">
      <c r="B375" s="22">
        <v>44920</v>
      </c>
      <c r="C375" s="26">
        <f t="shared" ca="1" si="0"/>
        <v>0.84010582127864819</v>
      </c>
      <c r="D375" s="29">
        <v>0</v>
      </c>
      <c r="F375" s="22">
        <v>44920</v>
      </c>
      <c r="G375" s="26">
        <f t="shared" ca="1" si="31"/>
        <v>0.28227712983527697</v>
      </c>
      <c r="H375" s="29">
        <v>0</v>
      </c>
      <c r="J375" s="22">
        <v>44920</v>
      </c>
      <c r="K375" s="26">
        <f t="shared" ca="1" si="32"/>
        <v>0.43434722351864796</v>
      </c>
      <c r="L375" s="29">
        <v>0</v>
      </c>
      <c r="N375" s="22">
        <v>44920</v>
      </c>
      <c r="O375" s="26">
        <f t="shared" ca="1" si="33"/>
        <v>0.6812661723588429</v>
      </c>
      <c r="P375" s="29">
        <v>0</v>
      </c>
      <c r="R375" s="22">
        <v>44920</v>
      </c>
      <c r="S375" s="26">
        <f t="shared" ca="1" si="34"/>
        <v>0.48114348786722017</v>
      </c>
      <c r="T375" s="29">
        <v>0</v>
      </c>
      <c r="V375" s="22">
        <v>44920</v>
      </c>
      <c r="W375" s="26">
        <f t="shared" ca="1" si="35"/>
        <v>0.11186243799187201</v>
      </c>
      <c r="X375" s="29">
        <v>0</v>
      </c>
      <c r="Z375" s="22">
        <v>44920</v>
      </c>
      <c r="AA375" s="26">
        <f t="shared" ca="1" si="36"/>
        <v>0.47019230072083307</v>
      </c>
      <c r="AB375" s="29">
        <v>0</v>
      </c>
      <c r="AC375"/>
      <c r="AD375" s="25"/>
      <c r="AF375" s="22">
        <v>44920</v>
      </c>
      <c r="AG375" s="26">
        <f t="shared" ca="1" si="37"/>
        <v>0.72755412583918255</v>
      </c>
      <c r="AH375" s="29">
        <v>0</v>
      </c>
      <c r="AJ375" s="22">
        <v>44920</v>
      </c>
      <c r="AK375" s="26">
        <f t="shared" ca="1" si="38"/>
        <v>5.3904831834347577E-2</v>
      </c>
      <c r="AL375" s="29">
        <v>0</v>
      </c>
      <c r="AN375" s="22">
        <v>44920</v>
      </c>
      <c r="AO375" s="26">
        <f t="shared" ca="1" si="39"/>
        <v>0.62995761629631764</v>
      </c>
      <c r="AP375" s="29">
        <v>0</v>
      </c>
      <c r="AR375" s="22">
        <v>44920</v>
      </c>
      <c r="AS375" s="26">
        <f t="shared" ca="1" si="40"/>
        <v>0.52636061776400256</v>
      </c>
      <c r="AT375" s="29">
        <v>0</v>
      </c>
      <c r="AV375" s="22">
        <v>44920</v>
      </c>
      <c r="AW375" s="26">
        <f t="shared" ca="1" si="41"/>
        <v>0.74641638138720856</v>
      </c>
      <c r="AX375" s="29">
        <v>0</v>
      </c>
      <c r="AZ375" s="22">
        <v>44920</v>
      </c>
      <c r="BA375" s="26">
        <f t="shared" ca="1" si="42"/>
        <v>0.1685335923647332</v>
      </c>
      <c r="BB375" s="29">
        <v>0</v>
      </c>
      <c r="BC375"/>
      <c r="BD375" s="25"/>
      <c r="BF375" s="22">
        <v>44920</v>
      </c>
      <c r="BG375" s="26">
        <f t="shared" ca="1" si="43"/>
        <v>0.87481656642368644</v>
      </c>
      <c r="BH375" s="29">
        <v>0</v>
      </c>
      <c r="BJ375" s="22">
        <v>44920</v>
      </c>
      <c r="BK375" s="26">
        <f t="shared" ca="1" si="44"/>
        <v>0.88207066805906109</v>
      </c>
      <c r="BL375" s="29">
        <v>0</v>
      </c>
      <c r="BN375" s="22">
        <v>44920</v>
      </c>
      <c r="BO375" s="26">
        <f t="shared" ca="1" si="45"/>
        <v>5.2679034486520004E-2</v>
      </c>
      <c r="BP375" s="29">
        <v>0</v>
      </c>
      <c r="BR375" s="22">
        <v>44920</v>
      </c>
      <c r="BS375" s="26">
        <f t="shared" ca="1" si="46"/>
        <v>0.74620662720543174</v>
      </c>
      <c r="BT375" s="29">
        <v>0</v>
      </c>
      <c r="BV375" s="22">
        <v>44920</v>
      </c>
      <c r="BW375" s="26">
        <f t="shared" ca="1" si="47"/>
        <v>0.6523739632217781</v>
      </c>
      <c r="BX375" s="29">
        <v>0</v>
      </c>
    </row>
    <row r="376" spans="2:77" ht="12.75" x14ac:dyDescent="0.2">
      <c r="B376" s="22">
        <v>44921</v>
      </c>
      <c r="C376" s="26">
        <f t="shared" ca="1" si="0"/>
        <v>0.40448090751841415</v>
      </c>
      <c r="D376" s="29">
        <v>0</v>
      </c>
      <c r="F376" s="22">
        <v>44921</v>
      </c>
      <c r="G376" s="26">
        <f t="shared" ca="1" si="31"/>
        <v>0.62547845773060107</v>
      </c>
      <c r="H376" s="29">
        <v>0</v>
      </c>
      <c r="J376" s="22">
        <v>44921</v>
      </c>
      <c r="K376" s="26">
        <f t="shared" ca="1" si="32"/>
        <v>0.72020240417399606</v>
      </c>
      <c r="L376" s="29">
        <v>0</v>
      </c>
      <c r="N376" s="22">
        <v>44921</v>
      </c>
      <c r="O376" s="26">
        <f t="shared" ca="1" si="33"/>
        <v>0.84926707741437268</v>
      </c>
      <c r="P376" s="29">
        <v>0</v>
      </c>
      <c r="R376" s="22">
        <v>44921</v>
      </c>
      <c r="S376" s="26">
        <f t="shared" ca="1" si="34"/>
        <v>5.9322972103936444E-2</v>
      </c>
      <c r="T376" s="29">
        <v>0</v>
      </c>
      <c r="V376" s="22">
        <v>44921</v>
      </c>
      <c r="W376" s="26">
        <f t="shared" ca="1" si="35"/>
        <v>0.2496878085439006</v>
      </c>
      <c r="X376" s="29">
        <v>0</v>
      </c>
      <c r="Z376" s="22">
        <v>44921</v>
      </c>
      <c r="AA376" s="26">
        <f t="shared" ca="1" si="36"/>
        <v>1.3132103318308497E-3</v>
      </c>
      <c r="AB376" s="29">
        <v>0</v>
      </c>
      <c r="AC376"/>
      <c r="AD376" s="25"/>
      <c r="AF376" s="22">
        <v>44921</v>
      </c>
      <c r="AG376" s="26">
        <f t="shared" ca="1" si="37"/>
        <v>0.42923366982742195</v>
      </c>
      <c r="AH376" s="29">
        <v>0</v>
      </c>
      <c r="AJ376" s="22">
        <v>44921</v>
      </c>
      <c r="AK376" s="26">
        <f t="shared" ca="1" si="38"/>
        <v>5.6810532317423834E-2</v>
      </c>
      <c r="AL376" s="29">
        <v>0</v>
      </c>
      <c r="AN376" s="22">
        <v>44921</v>
      </c>
      <c r="AO376" s="26">
        <f t="shared" ca="1" si="39"/>
        <v>0.80893700230405841</v>
      </c>
      <c r="AP376" s="29">
        <v>0</v>
      </c>
      <c r="AR376" s="22">
        <v>44921</v>
      </c>
      <c r="AS376" s="26">
        <f t="shared" ca="1" si="40"/>
        <v>0.7769391542838846</v>
      </c>
      <c r="AT376" s="29">
        <v>0</v>
      </c>
      <c r="AV376" s="22">
        <v>44921</v>
      </c>
      <c r="AW376" s="26">
        <f t="shared" ca="1" si="41"/>
        <v>0.2050336364188744</v>
      </c>
      <c r="AX376" s="29">
        <v>0</v>
      </c>
      <c r="AZ376" s="22">
        <v>44921</v>
      </c>
      <c r="BA376" s="26">
        <f t="shared" ca="1" si="42"/>
        <v>0.96149755224557032</v>
      </c>
      <c r="BB376" s="29">
        <v>0</v>
      </c>
      <c r="BC376"/>
      <c r="BD376" s="25"/>
      <c r="BF376" s="22">
        <v>44921</v>
      </c>
      <c r="BG376" s="26">
        <f t="shared" ca="1" si="43"/>
        <v>0.49464958132746895</v>
      </c>
      <c r="BH376" s="29">
        <v>0</v>
      </c>
      <c r="BJ376" s="22">
        <v>44921</v>
      </c>
      <c r="BK376" s="26">
        <f t="shared" ca="1" si="44"/>
        <v>0.66394101918417647</v>
      </c>
      <c r="BL376" s="29">
        <v>0</v>
      </c>
      <c r="BN376" s="22">
        <v>44921</v>
      </c>
      <c r="BO376" s="26">
        <f t="shared" ca="1" si="45"/>
        <v>0.14389604462013805</v>
      </c>
      <c r="BP376" s="29">
        <v>0</v>
      </c>
      <c r="BR376" s="22">
        <v>44921</v>
      </c>
      <c r="BS376" s="26">
        <f t="shared" ca="1" si="46"/>
        <v>0.38122743787044</v>
      </c>
      <c r="BT376" s="29">
        <v>0</v>
      </c>
      <c r="BV376" s="22">
        <v>44921</v>
      </c>
      <c r="BW376" s="26">
        <f t="shared" ca="1" si="47"/>
        <v>0.23428640502091658</v>
      </c>
      <c r="BX376" s="29">
        <v>0</v>
      </c>
    </row>
    <row r="377" spans="2:77" ht="12.75" x14ac:dyDescent="0.2">
      <c r="B377" s="22">
        <v>44922</v>
      </c>
      <c r="C377" s="26">
        <f t="shared" ca="1" si="0"/>
        <v>0.64094844557442099</v>
      </c>
      <c r="D377" s="29">
        <v>0</v>
      </c>
      <c r="F377" s="22">
        <v>44922</v>
      </c>
      <c r="G377" s="26">
        <f t="shared" ca="1" si="31"/>
        <v>1.2558322748055795E-2</v>
      </c>
      <c r="H377" s="29">
        <v>0</v>
      </c>
      <c r="J377" s="22">
        <v>44922</v>
      </c>
      <c r="K377" s="26">
        <f t="shared" ca="1" si="32"/>
        <v>0.42651771262751181</v>
      </c>
      <c r="L377" s="29">
        <v>0</v>
      </c>
      <c r="N377" s="22">
        <v>44922</v>
      </c>
      <c r="O377" s="26">
        <f t="shared" ca="1" si="33"/>
        <v>0.20971058164743517</v>
      </c>
      <c r="P377" s="29">
        <v>0</v>
      </c>
      <c r="R377" s="22">
        <v>44922</v>
      </c>
      <c r="S377" s="26">
        <f t="shared" ca="1" si="34"/>
        <v>0.67280080844931656</v>
      </c>
      <c r="T377" s="29">
        <v>0</v>
      </c>
      <c r="V377" s="22">
        <v>44922</v>
      </c>
      <c r="W377" s="26">
        <f t="shared" ca="1" si="35"/>
        <v>0.88562667086650182</v>
      </c>
      <c r="X377" s="29">
        <v>0</v>
      </c>
      <c r="Z377" s="22">
        <v>44922</v>
      </c>
      <c r="AA377" s="26">
        <f t="shared" ca="1" si="36"/>
        <v>0.6261117719848307</v>
      </c>
      <c r="AB377" s="29">
        <v>0</v>
      </c>
      <c r="AC377"/>
      <c r="AD377" s="25"/>
      <c r="AF377" s="22">
        <v>44922</v>
      </c>
      <c r="AG377" s="26">
        <f t="shared" ca="1" si="37"/>
        <v>8.6286488387043891E-2</v>
      </c>
      <c r="AH377" s="29">
        <v>0</v>
      </c>
      <c r="AJ377" s="22">
        <v>44922</v>
      </c>
      <c r="AK377" s="26">
        <f t="shared" ca="1" si="38"/>
        <v>0.20205606259854514</v>
      </c>
      <c r="AL377" s="29">
        <v>0</v>
      </c>
      <c r="AN377" s="22">
        <v>44922</v>
      </c>
      <c r="AO377" s="26">
        <f t="shared" ca="1" si="39"/>
        <v>0.17855268015661618</v>
      </c>
      <c r="AP377" s="29">
        <v>0</v>
      </c>
      <c r="AR377" s="22">
        <v>44922</v>
      </c>
      <c r="AS377" s="26">
        <f t="shared" ca="1" si="40"/>
        <v>0.73313822264264505</v>
      </c>
      <c r="AT377" s="29">
        <v>0</v>
      </c>
      <c r="AV377" s="22">
        <v>44922</v>
      </c>
      <c r="AW377" s="26">
        <f t="shared" ca="1" si="41"/>
        <v>0.57683057070829957</v>
      </c>
      <c r="AX377" s="29">
        <v>0</v>
      </c>
      <c r="AZ377" s="22">
        <v>44922</v>
      </c>
      <c r="BA377" s="26">
        <f t="shared" ca="1" si="42"/>
        <v>0.95621834320427335</v>
      </c>
      <c r="BB377" s="29">
        <v>0</v>
      </c>
      <c r="BC377"/>
      <c r="BD377" s="25"/>
      <c r="BF377" s="22">
        <v>44922</v>
      </c>
      <c r="BG377" s="26">
        <f t="shared" ca="1" si="43"/>
        <v>0.76892125766644503</v>
      </c>
      <c r="BH377" s="29">
        <v>0</v>
      </c>
      <c r="BJ377" s="22">
        <v>44922</v>
      </c>
      <c r="BK377" s="26">
        <f t="shared" ca="1" si="44"/>
        <v>6.0930148416842522E-2</v>
      </c>
      <c r="BL377" s="29">
        <v>0</v>
      </c>
      <c r="BN377" s="22">
        <v>44922</v>
      </c>
      <c r="BO377" s="26">
        <f t="shared" ca="1" si="45"/>
        <v>0.94923876835227994</v>
      </c>
      <c r="BP377" s="29">
        <v>0</v>
      </c>
      <c r="BR377" s="22">
        <v>44922</v>
      </c>
      <c r="BS377" s="26">
        <f t="shared" ca="1" si="46"/>
        <v>0.77938903725036768</v>
      </c>
      <c r="BT377" s="29">
        <v>0</v>
      </c>
      <c r="BV377" s="22">
        <v>44922</v>
      </c>
      <c r="BW377" s="26">
        <f t="shared" ca="1" si="47"/>
        <v>0.68163609956097893</v>
      </c>
      <c r="BX377" s="29">
        <v>0</v>
      </c>
    </row>
    <row r="378" spans="2:77" ht="12.75" x14ac:dyDescent="0.2">
      <c r="B378" s="22">
        <v>44923</v>
      </c>
      <c r="C378" s="26">
        <f t="shared" ca="1" si="0"/>
        <v>0.76519039381202136</v>
      </c>
      <c r="D378" s="29">
        <v>0</v>
      </c>
      <c r="F378" s="22">
        <v>44923</v>
      </c>
      <c r="G378" s="26">
        <f t="shared" ca="1" si="31"/>
        <v>0.382121363475035</v>
      </c>
      <c r="H378" s="29">
        <v>0</v>
      </c>
      <c r="J378" s="22">
        <v>44923</v>
      </c>
      <c r="K378" s="26">
        <f t="shared" ca="1" si="32"/>
        <v>0.88598772836629802</v>
      </c>
      <c r="L378" s="29">
        <v>0</v>
      </c>
      <c r="N378" s="22">
        <v>44923</v>
      </c>
      <c r="O378" s="26">
        <f t="shared" ca="1" si="33"/>
        <v>0.52335516899401013</v>
      </c>
      <c r="P378" s="29">
        <v>0</v>
      </c>
      <c r="R378" s="22">
        <v>44923</v>
      </c>
      <c r="S378" s="26">
        <f t="shared" ca="1" si="34"/>
        <v>0.26888946322716334</v>
      </c>
      <c r="T378" s="29">
        <v>0</v>
      </c>
      <c r="V378" s="22">
        <v>44923</v>
      </c>
      <c r="W378" s="26">
        <f t="shared" ca="1" si="35"/>
        <v>0.80978403959643364</v>
      </c>
      <c r="X378" s="29">
        <v>0</v>
      </c>
      <c r="Z378" s="22">
        <v>44923</v>
      </c>
      <c r="AA378" s="26">
        <f t="shared" ca="1" si="36"/>
        <v>0.47003048675797587</v>
      </c>
      <c r="AB378" s="29">
        <v>0</v>
      </c>
      <c r="AC378"/>
      <c r="AD378" s="25"/>
      <c r="AF378" s="22">
        <v>44923</v>
      </c>
      <c r="AG378" s="26">
        <f t="shared" ca="1" si="37"/>
        <v>0.59229775568170406</v>
      </c>
      <c r="AH378" s="29">
        <v>0</v>
      </c>
      <c r="AJ378" s="22">
        <v>44923</v>
      </c>
      <c r="AK378" s="26">
        <f t="shared" ca="1" si="38"/>
        <v>0.60754396853347659</v>
      </c>
      <c r="AL378" s="29">
        <v>0</v>
      </c>
      <c r="AN378" s="22">
        <v>44923</v>
      </c>
      <c r="AO378" s="26">
        <f t="shared" ca="1" si="39"/>
        <v>0.4854870517764438</v>
      </c>
      <c r="AP378" s="29">
        <v>0</v>
      </c>
      <c r="AR378" s="22">
        <v>44923</v>
      </c>
      <c r="AS378" s="26">
        <f t="shared" ca="1" si="40"/>
        <v>0.13023412678534818</v>
      </c>
      <c r="AT378" s="29">
        <v>0</v>
      </c>
      <c r="AV378" s="22">
        <v>44923</v>
      </c>
      <c r="AW378" s="26">
        <f t="shared" ca="1" si="41"/>
        <v>0.55238398783168374</v>
      </c>
      <c r="AX378" s="29">
        <v>0</v>
      </c>
      <c r="AZ378" s="22">
        <v>44923</v>
      </c>
      <c r="BA378" s="26">
        <f t="shared" ca="1" si="42"/>
        <v>0.77492385849018786</v>
      </c>
      <c r="BB378" s="29">
        <v>0</v>
      </c>
      <c r="BC378"/>
      <c r="BD378" s="25"/>
      <c r="BF378" s="22">
        <v>44923</v>
      </c>
      <c r="BG378" s="26">
        <f t="shared" ca="1" si="43"/>
        <v>0.30844936945012269</v>
      </c>
      <c r="BH378" s="29">
        <v>0</v>
      </c>
      <c r="BJ378" s="22">
        <v>44923</v>
      </c>
      <c r="BK378" s="26">
        <f t="shared" ca="1" si="44"/>
        <v>0.77341958321042126</v>
      </c>
      <c r="BL378" s="29">
        <v>0</v>
      </c>
      <c r="BN378" s="22">
        <v>44923</v>
      </c>
      <c r="BO378" s="26">
        <f t="shared" ca="1" si="45"/>
        <v>0.3517403518588057</v>
      </c>
      <c r="BP378" s="29">
        <v>0</v>
      </c>
      <c r="BR378" s="22">
        <v>44923</v>
      </c>
      <c r="BS378" s="26">
        <f t="shared" ca="1" si="46"/>
        <v>0.81821815088133409</v>
      </c>
      <c r="BT378" s="29">
        <v>0</v>
      </c>
      <c r="BV378" s="22">
        <v>44923</v>
      </c>
      <c r="BW378" s="26">
        <f t="shared" ca="1" si="47"/>
        <v>0.22190131645995714</v>
      </c>
      <c r="BX378" s="29">
        <v>0</v>
      </c>
    </row>
    <row r="379" spans="2:77" ht="12.75" x14ac:dyDescent="0.2">
      <c r="B379" s="22">
        <v>44924</v>
      </c>
      <c r="C379" s="26">
        <f t="shared" ca="1" si="0"/>
        <v>0.25698336085467077</v>
      </c>
      <c r="D379" s="29">
        <v>0</v>
      </c>
      <c r="F379" s="22">
        <v>44924</v>
      </c>
      <c r="G379" s="26">
        <f t="shared" ca="1" si="31"/>
        <v>0.32876518979184288</v>
      </c>
      <c r="H379" s="29">
        <v>0</v>
      </c>
      <c r="J379" s="22">
        <v>44924</v>
      </c>
      <c r="K379" s="26">
        <f t="shared" ca="1" si="32"/>
        <v>0.74483045351391286</v>
      </c>
      <c r="L379" s="29">
        <v>0</v>
      </c>
      <c r="N379" s="22">
        <v>44924</v>
      </c>
      <c r="O379" s="26">
        <f t="shared" ca="1" si="33"/>
        <v>5.5536252328498459E-2</v>
      </c>
      <c r="P379" s="29">
        <v>0</v>
      </c>
      <c r="R379" s="22">
        <v>44924</v>
      </c>
      <c r="S379" s="26">
        <f t="shared" ca="1" si="34"/>
        <v>0.22619302509086425</v>
      </c>
      <c r="T379" s="29">
        <v>0</v>
      </c>
      <c r="V379" s="22">
        <v>44924</v>
      </c>
      <c r="W379" s="26">
        <f t="shared" ca="1" si="35"/>
        <v>0.57928045928388028</v>
      </c>
      <c r="X379" s="29">
        <v>0</v>
      </c>
      <c r="Z379" s="22">
        <v>44924</v>
      </c>
      <c r="AA379" s="26">
        <f t="shared" ca="1" si="36"/>
        <v>0.14815477053136561</v>
      </c>
      <c r="AB379" s="29">
        <v>0</v>
      </c>
      <c r="AC379"/>
      <c r="AD379" s="25"/>
      <c r="AF379" s="22">
        <v>44924</v>
      </c>
      <c r="AG379" s="26">
        <f t="shared" ca="1" si="37"/>
        <v>0.41671335457473424</v>
      </c>
      <c r="AH379" s="29">
        <v>0</v>
      </c>
      <c r="AJ379" s="22">
        <v>44924</v>
      </c>
      <c r="AK379" s="26">
        <f t="shared" ca="1" si="38"/>
        <v>0.20312502659252341</v>
      </c>
      <c r="AL379" s="29">
        <v>0</v>
      </c>
      <c r="AN379" s="22">
        <v>44924</v>
      </c>
      <c r="AO379" s="26">
        <f t="shared" ca="1" si="39"/>
        <v>0.73925595199265148</v>
      </c>
      <c r="AP379" s="29">
        <v>0</v>
      </c>
      <c r="AR379" s="22">
        <v>44924</v>
      </c>
      <c r="AS379" s="26">
        <f t="shared" ca="1" si="40"/>
        <v>0.88810660130002028</v>
      </c>
      <c r="AT379" s="29">
        <v>0</v>
      </c>
      <c r="AV379" s="22">
        <v>44924</v>
      </c>
      <c r="AW379" s="26">
        <f t="shared" ca="1" si="41"/>
        <v>0.83174253841767953</v>
      </c>
      <c r="AX379" s="29">
        <v>0</v>
      </c>
      <c r="AZ379" s="22">
        <v>44924</v>
      </c>
      <c r="BA379" s="26">
        <f t="shared" ca="1" si="42"/>
        <v>0.57879795474154805</v>
      </c>
      <c r="BB379" s="29">
        <v>0</v>
      </c>
      <c r="BC379"/>
      <c r="BD379" s="25"/>
      <c r="BF379" s="22">
        <v>44924</v>
      </c>
      <c r="BG379" s="26">
        <f t="shared" ca="1" si="43"/>
        <v>0.37790504236689371</v>
      </c>
      <c r="BH379" s="29">
        <v>0</v>
      </c>
      <c r="BJ379" s="22">
        <v>44924</v>
      </c>
      <c r="BK379" s="26">
        <f t="shared" ca="1" si="44"/>
        <v>0.39327027910564383</v>
      </c>
      <c r="BL379" s="29">
        <v>0</v>
      </c>
      <c r="BN379" s="22">
        <v>44924</v>
      </c>
      <c r="BO379" s="26">
        <f t="shared" ca="1" si="45"/>
        <v>0.83630500803397245</v>
      </c>
      <c r="BP379" s="29">
        <v>0</v>
      </c>
      <c r="BR379" s="22">
        <v>44924</v>
      </c>
      <c r="BS379" s="26">
        <f t="shared" ca="1" si="46"/>
        <v>0.34392730347406508</v>
      </c>
      <c r="BT379" s="29">
        <v>0</v>
      </c>
      <c r="BV379" s="22">
        <v>44924</v>
      </c>
      <c r="BW379" s="26">
        <f t="shared" ca="1" si="47"/>
        <v>0.71480802587635051</v>
      </c>
      <c r="BX379" s="29">
        <v>0</v>
      </c>
    </row>
    <row r="380" spans="2:77" ht="12.75" x14ac:dyDescent="0.2">
      <c r="B380" s="22">
        <v>44925</v>
      </c>
      <c r="C380" s="26">
        <f t="shared" ca="1" si="0"/>
        <v>0.80084770900712243</v>
      </c>
      <c r="D380" s="29">
        <v>0</v>
      </c>
      <c r="F380" s="22">
        <v>44925</v>
      </c>
      <c r="G380" s="26">
        <f t="shared" ca="1" si="31"/>
        <v>0.13490723439921648</v>
      </c>
      <c r="H380" s="29">
        <v>0</v>
      </c>
      <c r="J380" s="22">
        <v>44925</v>
      </c>
      <c r="K380" s="26">
        <f t="shared" ca="1" si="32"/>
        <v>0.29449644414094767</v>
      </c>
      <c r="L380" s="29">
        <v>0</v>
      </c>
      <c r="N380" s="22">
        <v>44925</v>
      </c>
      <c r="O380" s="26">
        <f t="shared" ca="1" si="33"/>
        <v>0.45968238072699275</v>
      </c>
      <c r="P380" s="29">
        <v>0</v>
      </c>
      <c r="R380" s="22">
        <v>44925</v>
      </c>
      <c r="S380" s="26">
        <f t="shared" ca="1" si="34"/>
        <v>0.81863538084034171</v>
      </c>
      <c r="T380" s="29">
        <v>0</v>
      </c>
      <c r="V380" s="22">
        <v>44925</v>
      </c>
      <c r="W380" s="26">
        <f t="shared" ca="1" si="35"/>
        <v>0.19408517336529973</v>
      </c>
      <c r="X380" s="29">
        <v>0</v>
      </c>
      <c r="Z380" s="22">
        <v>44925</v>
      </c>
      <c r="AA380" s="26">
        <f t="shared" ca="1" si="36"/>
        <v>0.70438307386693289</v>
      </c>
      <c r="AB380" s="29">
        <v>0</v>
      </c>
      <c r="AC380"/>
      <c r="AD380" s="25"/>
      <c r="AF380" s="22">
        <v>44925</v>
      </c>
      <c r="AG380" s="26">
        <f t="shared" ca="1" si="37"/>
        <v>0.71623721746864455</v>
      </c>
      <c r="AH380" s="29">
        <v>0</v>
      </c>
      <c r="AJ380" s="22">
        <v>44925</v>
      </c>
      <c r="AK380" s="26">
        <f t="shared" ca="1" si="38"/>
        <v>0.82235421157686239</v>
      </c>
      <c r="AL380" s="29">
        <v>0</v>
      </c>
      <c r="AN380" s="22">
        <v>44925</v>
      </c>
      <c r="AO380" s="26">
        <f t="shared" ca="1" si="39"/>
        <v>2.2584299440112088E-2</v>
      </c>
      <c r="AP380" s="29">
        <v>0</v>
      </c>
      <c r="AR380" s="22">
        <v>44925</v>
      </c>
      <c r="AS380" s="26">
        <f t="shared" ca="1" si="40"/>
        <v>0.67800375845413496</v>
      </c>
      <c r="AT380" s="29">
        <v>0</v>
      </c>
      <c r="AV380" s="22">
        <v>44925</v>
      </c>
      <c r="AW380" s="26">
        <f t="shared" ca="1" si="41"/>
        <v>6.8480769293223775E-2</v>
      </c>
      <c r="AX380" s="29">
        <v>0</v>
      </c>
      <c r="AZ380" s="22">
        <v>44925</v>
      </c>
      <c r="BA380" s="26">
        <f t="shared" ca="1" si="42"/>
        <v>0.51993648108399104</v>
      </c>
      <c r="BB380" s="29">
        <v>0</v>
      </c>
      <c r="BC380"/>
      <c r="BD380" s="25"/>
      <c r="BF380" s="22">
        <v>44925</v>
      </c>
      <c r="BG380" s="26">
        <f t="shared" ca="1" si="43"/>
        <v>0.72981022750171742</v>
      </c>
      <c r="BH380" s="29">
        <v>0</v>
      </c>
      <c r="BJ380" s="22">
        <v>44925</v>
      </c>
      <c r="BK380" s="26">
        <f t="shared" ca="1" si="44"/>
        <v>7.2053438888583621E-2</v>
      </c>
      <c r="BL380" s="29">
        <v>0</v>
      </c>
      <c r="BN380" s="22">
        <v>44925</v>
      </c>
      <c r="BO380" s="26">
        <f t="shared" ca="1" si="45"/>
        <v>0.42857963548367761</v>
      </c>
      <c r="BP380" s="29">
        <v>0</v>
      </c>
      <c r="BR380" s="22">
        <v>44925</v>
      </c>
      <c r="BS380" s="26">
        <f t="shared" ca="1" si="46"/>
        <v>0.79700287957380811</v>
      </c>
      <c r="BT380" s="29">
        <v>0</v>
      </c>
      <c r="BV380" s="22">
        <v>44925</v>
      </c>
      <c r="BW380" s="26">
        <f t="shared" ca="1" si="47"/>
        <v>0.77033766078678356</v>
      </c>
      <c r="BX380" s="29">
        <v>0</v>
      </c>
    </row>
    <row r="381" spans="2:77" ht="12.75" x14ac:dyDescent="0.2">
      <c r="B381" s="22">
        <v>44926</v>
      </c>
      <c r="C381" s="26">
        <f t="shared" ca="1" si="0"/>
        <v>0.54896446969495838</v>
      </c>
      <c r="D381" s="29">
        <v>0</v>
      </c>
      <c r="E381">
        <v>1334</v>
      </c>
      <c r="F381" s="22">
        <v>44926</v>
      </c>
      <c r="G381" s="26">
        <f t="shared" ca="1" si="31"/>
        <v>0.57594512438111922</v>
      </c>
      <c r="H381" s="29">
        <v>0</v>
      </c>
      <c r="I381">
        <v>3920</v>
      </c>
      <c r="J381" s="22">
        <v>44926</v>
      </c>
      <c r="K381" s="26">
        <f t="shared" ca="1" si="32"/>
        <v>0.4165137065680482</v>
      </c>
      <c r="L381" s="29">
        <v>0</v>
      </c>
      <c r="M381">
        <v>2710</v>
      </c>
      <c r="N381" s="22">
        <v>44926</v>
      </c>
      <c r="O381" s="26">
        <f t="shared" ca="1" si="33"/>
        <v>0.85524550368609775</v>
      </c>
      <c r="P381" s="29">
        <v>0</v>
      </c>
      <c r="Q381">
        <v>4024</v>
      </c>
      <c r="R381" s="22">
        <v>44926</v>
      </c>
      <c r="S381" s="26">
        <f t="shared" ca="1" si="34"/>
        <v>0.84728323022101726</v>
      </c>
      <c r="T381" s="29">
        <v>0</v>
      </c>
      <c r="U381">
        <v>2537</v>
      </c>
      <c r="V381" s="22">
        <v>44926</v>
      </c>
      <c r="W381" s="26">
        <f t="shared" ca="1" si="35"/>
        <v>0.28825994101784802</v>
      </c>
      <c r="X381" s="29">
        <v>0</v>
      </c>
      <c r="Y381">
        <v>0</v>
      </c>
      <c r="Z381" s="22">
        <v>44926</v>
      </c>
      <c r="AA381" s="26">
        <f t="shared" ca="1" si="36"/>
        <v>0.54400754819284902</v>
      </c>
      <c r="AB381" s="29">
        <v>0</v>
      </c>
      <c r="AC381">
        <v>0</v>
      </c>
      <c r="AD381" s="25"/>
      <c r="AF381" s="22">
        <v>44926</v>
      </c>
      <c r="AG381" s="26">
        <f t="shared" ca="1" si="37"/>
        <v>0.1141116759738855</v>
      </c>
      <c r="AH381" s="29">
        <v>0</v>
      </c>
      <c r="AI381">
        <v>0</v>
      </c>
      <c r="AJ381" s="22">
        <v>44926</v>
      </c>
      <c r="AK381" s="26">
        <f t="shared" ca="1" si="38"/>
        <v>0.59588219948065824</v>
      </c>
      <c r="AL381" s="29">
        <v>0</v>
      </c>
      <c r="AM381">
        <v>0</v>
      </c>
      <c r="AN381" s="22">
        <v>44926</v>
      </c>
      <c r="AO381" s="26">
        <f t="shared" ca="1" si="39"/>
        <v>3.0943170606517412E-2</v>
      </c>
      <c r="AP381" s="29">
        <v>0</v>
      </c>
      <c r="AQ381">
        <v>0</v>
      </c>
      <c r="AR381" s="22">
        <v>44926</v>
      </c>
      <c r="AS381" s="26">
        <f t="shared" ca="1" si="40"/>
        <v>0.96713229228863473</v>
      </c>
      <c r="AT381" s="29">
        <v>0</v>
      </c>
      <c r="AU381">
        <v>0</v>
      </c>
      <c r="AV381" s="22">
        <v>44926</v>
      </c>
      <c r="AW381" s="26">
        <f t="shared" ca="1" si="41"/>
        <v>0.68797199113384155</v>
      </c>
      <c r="AX381" s="29">
        <v>0</v>
      </c>
      <c r="AY381">
        <v>0</v>
      </c>
      <c r="AZ381" s="22">
        <v>44926</v>
      </c>
      <c r="BA381" s="26">
        <f t="shared" ca="1" si="42"/>
        <v>0.62901312101932993</v>
      </c>
      <c r="BB381" s="29">
        <v>0</v>
      </c>
      <c r="BC381">
        <v>0</v>
      </c>
      <c r="BD381" s="25"/>
      <c r="BF381" s="22">
        <v>44926</v>
      </c>
      <c r="BG381" s="26">
        <f t="shared" ca="1" si="43"/>
        <v>0.65189670054714</v>
      </c>
      <c r="BH381" s="29">
        <v>0</v>
      </c>
      <c r="BI381">
        <v>0</v>
      </c>
      <c r="BJ381" s="22">
        <v>44926</v>
      </c>
      <c r="BK381" s="26">
        <f t="shared" ca="1" si="44"/>
        <v>0.35108897289747854</v>
      </c>
      <c r="BL381" s="29">
        <v>0</v>
      </c>
      <c r="BM381">
        <v>0</v>
      </c>
      <c r="BN381" s="22">
        <v>44926</v>
      </c>
      <c r="BO381" s="26">
        <f t="shared" ca="1" si="45"/>
        <v>0.16264102397537705</v>
      </c>
      <c r="BP381" s="29">
        <v>0</v>
      </c>
      <c r="BQ381">
        <v>0</v>
      </c>
      <c r="BR381" s="22">
        <v>44926</v>
      </c>
      <c r="BS381" s="26">
        <f t="shared" ca="1" si="46"/>
        <v>0.80723743980569596</v>
      </c>
      <c r="BT381" s="29">
        <v>0</v>
      </c>
      <c r="BU381">
        <v>0</v>
      </c>
      <c r="BV381" s="22">
        <v>44926</v>
      </c>
      <c r="BW381" s="26">
        <f t="shared" ca="1" si="47"/>
        <v>0.86112737790872929</v>
      </c>
      <c r="BX381" s="29">
        <v>0</v>
      </c>
      <c r="BY381">
        <v>0</v>
      </c>
    </row>
    <row r="382" spans="2:77" ht="12.75" x14ac:dyDescent="0.2">
      <c r="B382" s="22">
        <v>44927</v>
      </c>
      <c r="C382" s="26">
        <f t="shared" ca="1" si="0"/>
        <v>0.88615917411355294</v>
      </c>
      <c r="D382" s="29">
        <v>0</v>
      </c>
      <c r="F382" s="22">
        <v>44927</v>
      </c>
      <c r="G382" s="26">
        <f t="shared" ca="1" si="31"/>
        <v>0.85736687861177308</v>
      </c>
      <c r="H382" s="29">
        <v>0</v>
      </c>
      <c r="J382" s="22">
        <v>44927</v>
      </c>
      <c r="K382" s="26">
        <f t="shared" ca="1" si="32"/>
        <v>0.23705413130495145</v>
      </c>
      <c r="L382" s="29">
        <v>0</v>
      </c>
      <c r="N382" s="22">
        <v>44927</v>
      </c>
      <c r="O382" s="26">
        <f t="shared" ca="1" si="33"/>
        <v>0.29362385684371817</v>
      </c>
      <c r="P382" s="29">
        <v>0</v>
      </c>
      <c r="R382" s="22">
        <v>44927</v>
      </c>
      <c r="S382" s="26">
        <f t="shared" ca="1" si="34"/>
        <v>0.46801032019517141</v>
      </c>
      <c r="T382" s="29">
        <v>0</v>
      </c>
      <c r="V382" s="22">
        <v>44927</v>
      </c>
      <c r="W382" s="26">
        <f t="shared" ca="1" si="35"/>
        <v>0.27001943235599857</v>
      </c>
      <c r="X382" s="29">
        <v>0</v>
      </c>
      <c r="Z382" s="22">
        <v>44927</v>
      </c>
      <c r="AA382" s="26">
        <f t="shared" ca="1" si="36"/>
        <v>0.58435525445167724</v>
      </c>
      <c r="AB382" s="29">
        <v>0</v>
      </c>
      <c r="AC382"/>
      <c r="AD382" s="25"/>
      <c r="AF382" s="22">
        <v>44927</v>
      </c>
      <c r="AG382" s="26">
        <f t="shared" ca="1" si="37"/>
        <v>0.55564522555699514</v>
      </c>
      <c r="AH382" s="29">
        <v>0</v>
      </c>
      <c r="AJ382" s="22">
        <v>44927</v>
      </c>
      <c r="AK382" s="26">
        <f t="shared" ca="1" si="38"/>
        <v>0.19654677309830815</v>
      </c>
      <c r="AL382" s="29">
        <v>0</v>
      </c>
      <c r="AN382" s="22">
        <v>44927</v>
      </c>
      <c r="AO382" s="26">
        <f t="shared" ca="1" si="39"/>
        <v>0.4430977438745265</v>
      </c>
      <c r="AP382" s="29">
        <v>0</v>
      </c>
      <c r="AR382" s="22">
        <v>44927</v>
      </c>
      <c r="AS382" s="26">
        <f t="shared" ca="1" si="40"/>
        <v>0.24079862561188314</v>
      </c>
      <c r="AT382" s="29">
        <v>0</v>
      </c>
      <c r="AV382" s="22">
        <v>44927</v>
      </c>
      <c r="AW382" s="26">
        <f t="shared" ca="1" si="41"/>
        <v>0.88173549654007621</v>
      </c>
      <c r="AX382" s="29">
        <v>0</v>
      </c>
      <c r="AZ382" s="22">
        <v>44927</v>
      </c>
      <c r="BA382" s="26">
        <f t="shared" ca="1" si="42"/>
        <v>0.48917626888083476</v>
      </c>
      <c r="BB382" s="29">
        <v>0</v>
      </c>
      <c r="BC382"/>
      <c r="BD382" s="25"/>
      <c r="BF382" s="22">
        <v>44927</v>
      </c>
      <c r="BG382" s="26">
        <f t="shared" ca="1" si="43"/>
        <v>0.65285700514146883</v>
      </c>
      <c r="BH382" s="29">
        <v>0</v>
      </c>
      <c r="BJ382" s="22">
        <v>44927</v>
      </c>
      <c r="BK382" s="26">
        <f t="shared" ca="1" si="44"/>
        <v>0.58176362678924898</v>
      </c>
      <c r="BL382" s="29">
        <v>0</v>
      </c>
      <c r="BN382" s="22">
        <v>44927</v>
      </c>
      <c r="BO382" s="26">
        <f t="shared" ca="1" si="45"/>
        <v>0.21955523284061473</v>
      </c>
      <c r="BP382" s="29">
        <v>0</v>
      </c>
      <c r="BR382" s="22">
        <v>44927</v>
      </c>
      <c r="BS382" s="26">
        <f t="shared" ca="1" si="46"/>
        <v>0.31840439971250056</v>
      </c>
      <c r="BT382" s="29">
        <v>0</v>
      </c>
      <c r="BV382" s="22">
        <v>44927</v>
      </c>
      <c r="BW382" s="26">
        <f t="shared" ca="1" si="47"/>
        <v>0.24554464905878715</v>
      </c>
      <c r="BX382" s="29">
        <v>0</v>
      </c>
    </row>
    <row r="383" spans="2:77" ht="12.75" x14ac:dyDescent="0.2">
      <c r="B383" s="22">
        <v>44928</v>
      </c>
      <c r="C383" s="26">
        <f t="shared" ref="C383" ca="1" si="54">RAND()</f>
        <v>2.6841953393888396E-2</v>
      </c>
      <c r="D383" s="29">
        <v>0</v>
      </c>
      <c r="F383" s="22">
        <v>44928</v>
      </c>
      <c r="G383" s="26">
        <f t="shared" ca="1" si="31"/>
        <v>0.95352986656631034</v>
      </c>
      <c r="H383" s="29">
        <v>0</v>
      </c>
      <c r="J383" s="22">
        <v>44928</v>
      </c>
      <c r="K383" s="26">
        <f t="shared" ca="1" si="32"/>
        <v>0.73190774291361327</v>
      </c>
      <c r="L383" s="29">
        <v>0</v>
      </c>
      <c r="N383" s="22">
        <v>44928</v>
      </c>
      <c r="O383" s="26">
        <f t="shared" ca="1" si="33"/>
        <v>0.9832971368570288</v>
      </c>
      <c r="P383" s="29">
        <v>0</v>
      </c>
      <c r="R383" s="22">
        <v>44928</v>
      </c>
      <c r="S383" s="26">
        <f t="shared" ca="1" si="34"/>
        <v>0.87238492079561747</v>
      </c>
      <c r="T383" s="29">
        <v>0</v>
      </c>
      <c r="V383" s="22">
        <v>44928</v>
      </c>
      <c r="W383" s="26">
        <f t="shared" ca="1" si="35"/>
        <v>0.34863477481654936</v>
      </c>
      <c r="X383" s="29">
        <v>0</v>
      </c>
      <c r="Z383" s="22">
        <v>44928</v>
      </c>
      <c r="AA383" s="26">
        <f t="shared" ca="1" si="36"/>
        <v>0.30349287144014792</v>
      </c>
      <c r="AB383" s="29">
        <v>0</v>
      </c>
      <c r="AC383"/>
      <c r="AD383" s="25"/>
      <c r="AF383" s="22">
        <v>44928</v>
      </c>
      <c r="AG383" s="26">
        <f t="shared" ca="1" si="37"/>
        <v>0.2163855499970313</v>
      </c>
      <c r="AH383" s="29">
        <v>0</v>
      </c>
      <c r="AJ383" s="22">
        <v>44928</v>
      </c>
      <c r="AK383" s="26">
        <f t="shared" ca="1" si="38"/>
        <v>0.42629453711889442</v>
      </c>
      <c r="AL383" s="29">
        <v>0</v>
      </c>
      <c r="AN383" s="22">
        <v>44928</v>
      </c>
      <c r="AO383" s="26">
        <f t="shared" ca="1" si="39"/>
        <v>0.13272138535874567</v>
      </c>
      <c r="AP383" s="29">
        <v>0</v>
      </c>
      <c r="AR383" s="22">
        <v>44928</v>
      </c>
      <c r="AS383" s="26">
        <f t="shared" ca="1" si="40"/>
        <v>0.87860601562404383</v>
      </c>
      <c r="AT383" s="29">
        <v>0</v>
      </c>
      <c r="AV383" s="22">
        <v>44928</v>
      </c>
      <c r="AW383" s="26">
        <f t="shared" ca="1" si="41"/>
        <v>0.99621141909846478</v>
      </c>
      <c r="AX383" s="29">
        <v>0</v>
      </c>
      <c r="AZ383" s="22">
        <v>44928</v>
      </c>
      <c r="BA383" s="26">
        <f t="shared" ca="1" si="42"/>
        <v>0.24519442786603241</v>
      </c>
      <c r="BB383" s="29">
        <v>0</v>
      </c>
      <c r="BC383"/>
      <c r="BD383" s="25"/>
      <c r="BF383" s="22">
        <v>44928</v>
      </c>
      <c r="BG383" s="26">
        <f t="shared" ca="1" si="43"/>
        <v>0.11060307702038463</v>
      </c>
      <c r="BH383" s="29">
        <v>0</v>
      </c>
      <c r="BJ383" s="22">
        <v>44928</v>
      </c>
      <c r="BK383" s="26">
        <f t="shared" ca="1" si="44"/>
        <v>0.16758318022473584</v>
      </c>
      <c r="BL383" s="29">
        <v>0</v>
      </c>
      <c r="BN383" s="22">
        <v>44928</v>
      </c>
      <c r="BO383" s="26">
        <f t="shared" ca="1" si="45"/>
        <v>0.12917268839789853</v>
      </c>
      <c r="BP383" s="29">
        <v>0</v>
      </c>
      <c r="BR383" s="22">
        <v>44928</v>
      </c>
      <c r="BS383" s="26">
        <f t="shared" ca="1" si="46"/>
        <v>0.75568522599747856</v>
      </c>
      <c r="BT383" s="29">
        <v>0</v>
      </c>
      <c r="BV383" s="22">
        <v>44928</v>
      </c>
      <c r="BW383" s="26">
        <f t="shared" ca="1" si="47"/>
        <v>0.68360647691415721</v>
      </c>
      <c r="BX383" s="29">
        <v>0</v>
      </c>
    </row>
    <row r="384" spans="2:77" ht="12.75" x14ac:dyDescent="0.2">
      <c r="B384" s="22">
        <v>44929</v>
      </c>
      <c r="C384" s="26">
        <f t="shared" ca="1" si="0"/>
        <v>0.67526859852693166</v>
      </c>
      <c r="D384" s="29">
        <v>0</v>
      </c>
      <c r="F384" s="22">
        <v>44929</v>
      </c>
      <c r="G384" s="26">
        <f t="shared" ca="1" si="31"/>
        <v>0.77782808801895109</v>
      </c>
      <c r="H384" s="29">
        <v>0</v>
      </c>
      <c r="J384" s="22">
        <v>44929</v>
      </c>
      <c r="K384" s="26">
        <f t="shared" ca="1" si="32"/>
        <v>0.98043873522434477</v>
      </c>
      <c r="L384" s="29">
        <v>0</v>
      </c>
      <c r="N384" s="22">
        <v>44929</v>
      </c>
      <c r="O384" s="26">
        <f t="shared" ca="1" si="33"/>
        <v>0.62779728224950149</v>
      </c>
      <c r="P384" s="29">
        <v>0</v>
      </c>
      <c r="R384" s="22">
        <v>44929</v>
      </c>
      <c r="S384" s="26">
        <f t="shared" ca="1" si="34"/>
        <v>3.4163137356426065E-2</v>
      </c>
      <c r="T384" s="29">
        <v>0</v>
      </c>
      <c r="V384" s="22">
        <v>44929</v>
      </c>
      <c r="W384" s="26">
        <f t="shared" ca="1" si="35"/>
        <v>0.31953999495359497</v>
      </c>
      <c r="X384" s="29">
        <f t="shared" ref="X384:X393" ca="1" si="55">ROUNDUP(_xlfn.NORM.INV(W384,W$10,W$12),0)</f>
        <v>218</v>
      </c>
      <c r="Z384" s="22">
        <v>44929</v>
      </c>
      <c r="AA384" s="26">
        <f t="shared" ca="1" si="36"/>
        <v>0.91585034823243794</v>
      </c>
      <c r="AB384" s="29">
        <v>0</v>
      </c>
      <c r="AC384"/>
      <c r="AD384" s="25"/>
      <c r="AF384" s="22">
        <v>44929</v>
      </c>
      <c r="AG384" s="26">
        <f t="shared" ca="1" si="37"/>
        <v>0.63945673670063585</v>
      </c>
      <c r="AH384" s="29">
        <v>0</v>
      </c>
      <c r="AJ384" s="22">
        <v>44929</v>
      </c>
      <c r="AK384" s="26">
        <f t="shared" ca="1" si="38"/>
        <v>0.41981090962147594</v>
      </c>
      <c r="AL384" s="29">
        <v>0</v>
      </c>
      <c r="AN384" s="22">
        <v>44929</v>
      </c>
      <c r="AO384" s="26">
        <f t="shared" ca="1" si="39"/>
        <v>1.1489251399209643E-2</v>
      </c>
      <c r="AP384" s="29">
        <v>0</v>
      </c>
      <c r="AR384" s="22">
        <v>44929</v>
      </c>
      <c r="AS384" s="26">
        <f t="shared" ca="1" si="40"/>
        <v>0.81762080489229672</v>
      </c>
      <c r="AT384" s="29">
        <v>0</v>
      </c>
      <c r="AV384" s="22">
        <v>44929</v>
      </c>
      <c r="AW384" s="26">
        <f t="shared" ca="1" si="41"/>
        <v>0.725646743726305</v>
      </c>
      <c r="AX384" s="29">
        <v>0</v>
      </c>
      <c r="AZ384" s="22">
        <v>44929</v>
      </c>
      <c r="BA384" s="26">
        <f t="shared" ca="1" si="42"/>
        <v>0.78300808419085011</v>
      </c>
      <c r="BB384" s="29">
        <v>0</v>
      </c>
      <c r="BC384"/>
      <c r="BD384" s="25"/>
      <c r="BF384" s="22">
        <v>44929</v>
      </c>
      <c r="BG384" s="26">
        <f t="shared" ca="1" si="43"/>
        <v>0.7601245105214991</v>
      </c>
      <c r="BH384" s="29">
        <v>0</v>
      </c>
      <c r="BJ384" s="22">
        <v>44929</v>
      </c>
      <c r="BK384" s="26">
        <f t="shared" ca="1" si="44"/>
        <v>0.97652428623029752</v>
      </c>
      <c r="BL384" s="29">
        <v>0</v>
      </c>
      <c r="BN384" s="22">
        <v>44929</v>
      </c>
      <c r="BO384" s="26">
        <f t="shared" ca="1" si="45"/>
        <v>0.4293370270296315</v>
      </c>
      <c r="BP384" s="29">
        <v>0</v>
      </c>
      <c r="BR384" s="22">
        <v>44929</v>
      </c>
      <c r="BS384" s="26">
        <f t="shared" ca="1" si="46"/>
        <v>9.7624158361208635E-2</v>
      </c>
      <c r="BT384" s="29">
        <v>0</v>
      </c>
      <c r="BV384" s="22">
        <v>44929</v>
      </c>
      <c r="BW384" s="26">
        <f t="shared" ca="1" si="47"/>
        <v>0.3352237020908766</v>
      </c>
      <c r="BX384" s="29">
        <v>0</v>
      </c>
    </row>
    <row r="385" spans="2:76" ht="12.75" x14ac:dyDescent="0.2">
      <c r="B385" s="22">
        <v>44930</v>
      </c>
      <c r="C385" s="26">
        <f t="shared" ref="C385:C448" ca="1" si="56">RAND()</f>
        <v>0.56606206017632499</v>
      </c>
      <c r="D385" s="29">
        <f t="shared" ca="1" si="53"/>
        <v>79</v>
      </c>
      <c r="F385" s="22">
        <v>44930</v>
      </c>
      <c r="G385" s="26">
        <f t="shared" ca="1" si="31"/>
        <v>4.0345105906203438E-2</v>
      </c>
      <c r="H385" s="29">
        <f t="shared" ca="1" si="49"/>
        <v>191</v>
      </c>
      <c r="J385" s="22">
        <v>44930</v>
      </c>
      <c r="K385" s="26">
        <f t="shared" ca="1" si="32"/>
        <v>0.35652704188891904</v>
      </c>
      <c r="L385" s="29">
        <f t="shared" ca="1" si="50"/>
        <v>147</v>
      </c>
      <c r="N385" s="22">
        <v>44930</v>
      </c>
      <c r="O385" s="26">
        <f t="shared" ca="1" si="33"/>
        <v>0.80100785580943179</v>
      </c>
      <c r="P385" s="29">
        <f t="shared" ca="1" si="51"/>
        <v>243</v>
      </c>
      <c r="R385" s="22">
        <v>44930</v>
      </c>
      <c r="S385" s="26">
        <f t="shared" ca="1" si="34"/>
        <v>3.2630896899284001E-2</v>
      </c>
      <c r="T385" s="29">
        <f t="shared" ca="1" si="52"/>
        <v>122</v>
      </c>
      <c r="V385" s="22">
        <v>44930</v>
      </c>
      <c r="W385" s="26">
        <f t="shared" ca="1" si="35"/>
        <v>0.3806326560091573</v>
      </c>
      <c r="X385" s="29">
        <f t="shared" ca="1" si="55"/>
        <v>221</v>
      </c>
      <c r="Z385" s="22">
        <v>44930</v>
      </c>
      <c r="AA385" s="26">
        <f t="shared" ca="1" si="36"/>
        <v>0.15776705305385375</v>
      </c>
      <c r="AB385" s="29">
        <f t="shared" ref="AB385:AB387" ca="1" si="57">ROUNDUP(_xlfn.NORM.INV(AA385,AA$10,AA$12),0)</f>
        <v>252</v>
      </c>
      <c r="AC385"/>
      <c r="AD385" s="25"/>
      <c r="AF385" s="22">
        <v>44930</v>
      </c>
      <c r="AG385" s="26">
        <f t="shared" ca="1" si="37"/>
        <v>0.99085498714624387</v>
      </c>
      <c r="AH385" s="29">
        <f t="shared" ref="AH385:AH387" ca="1" si="58">ROUNDUP(_xlfn.NORM.INV(AG385,AG$10,AG$12),0)</f>
        <v>533</v>
      </c>
      <c r="AJ385" s="22">
        <v>44930</v>
      </c>
      <c r="AK385" s="26">
        <f t="shared" ca="1" si="38"/>
        <v>0.37535053177070044</v>
      </c>
      <c r="AL385" s="29">
        <v>0</v>
      </c>
      <c r="AN385" s="22">
        <v>44930</v>
      </c>
      <c r="AO385" s="26">
        <f t="shared" ca="1" si="39"/>
        <v>0.59494427170763942</v>
      </c>
      <c r="AP385" s="29">
        <v>0</v>
      </c>
      <c r="AR385" s="22">
        <v>44930</v>
      </c>
      <c r="AS385" s="26">
        <f t="shared" ca="1" si="40"/>
        <v>0.87684781874185524</v>
      </c>
      <c r="AT385" s="29">
        <v>0</v>
      </c>
      <c r="AV385" s="22">
        <v>44930</v>
      </c>
      <c r="AW385" s="26">
        <f t="shared" ca="1" si="41"/>
        <v>0.67048232526720486</v>
      </c>
      <c r="AX385" s="29">
        <v>0</v>
      </c>
      <c r="AZ385" s="22">
        <v>44930</v>
      </c>
      <c r="BA385" s="26">
        <f t="shared" ca="1" si="42"/>
        <v>0.7474041971433012</v>
      </c>
      <c r="BB385" s="29">
        <v>0</v>
      </c>
      <c r="BC385"/>
      <c r="BD385" s="25"/>
      <c r="BF385" s="22">
        <v>44930</v>
      </c>
      <c r="BG385" s="26">
        <f t="shared" ca="1" si="43"/>
        <v>0.90492125094472309</v>
      </c>
      <c r="BH385" s="29">
        <v>0</v>
      </c>
      <c r="BJ385" s="22">
        <v>44930</v>
      </c>
      <c r="BK385" s="26">
        <f t="shared" ca="1" si="44"/>
        <v>0.34773769461635473</v>
      </c>
      <c r="BL385" s="29">
        <v>0</v>
      </c>
      <c r="BN385" s="22">
        <v>44930</v>
      </c>
      <c r="BO385" s="26">
        <f t="shared" ca="1" si="45"/>
        <v>0.44843733931002694</v>
      </c>
      <c r="BP385" s="29">
        <v>0</v>
      </c>
      <c r="BR385" s="22">
        <v>44930</v>
      </c>
      <c r="BS385" s="26">
        <f t="shared" ca="1" si="46"/>
        <v>0.15975062637118831</v>
      </c>
      <c r="BT385" s="29">
        <v>0</v>
      </c>
      <c r="BV385" s="22">
        <v>44930</v>
      </c>
      <c r="BW385" s="26">
        <f t="shared" ca="1" si="47"/>
        <v>0.91150923351893509</v>
      </c>
      <c r="BX385" s="29">
        <v>0</v>
      </c>
    </row>
    <row r="386" spans="2:76" ht="12.75" x14ac:dyDescent="0.2">
      <c r="B386" s="22">
        <v>44931</v>
      </c>
      <c r="C386" s="26">
        <f t="shared" ca="1" si="56"/>
        <v>0.14182270468695435</v>
      </c>
      <c r="D386" s="29">
        <f t="shared" ca="1" si="53"/>
        <v>54</v>
      </c>
      <c r="F386" s="22">
        <v>44931</v>
      </c>
      <c r="G386" s="26">
        <f t="shared" ca="1" si="31"/>
        <v>0.69449152631285149</v>
      </c>
      <c r="H386" s="29">
        <f t="shared" ca="1" si="49"/>
        <v>223</v>
      </c>
      <c r="J386" s="22">
        <v>44931</v>
      </c>
      <c r="K386" s="26">
        <f t="shared" ca="1" si="32"/>
        <v>0.69773151441997006</v>
      </c>
      <c r="L386" s="29">
        <f t="shared" ca="1" si="50"/>
        <v>156</v>
      </c>
      <c r="N386" s="22">
        <v>44931</v>
      </c>
      <c r="O386" s="26">
        <f t="shared" ca="1" si="33"/>
        <v>0.309186963007966</v>
      </c>
      <c r="P386" s="29">
        <f t="shared" ca="1" si="51"/>
        <v>222</v>
      </c>
      <c r="R386" s="22">
        <v>44931</v>
      </c>
      <c r="S386" s="26">
        <f t="shared" ca="1" si="34"/>
        <v>0.55846373033027352</v>
      </c>
      <c r="T386" s="29">
        <f t="shared" ca="1" si="52"/>
        <v>141</v>
      </c>
      <c r="V386" s="22">
        <v>44931</v>
      </c>
      <c r="W386" s="26">
        <f t="shared" ca="1" si="35"/>
        <v>0.76560904166033705</v>
      </c>
      <c r="X386" s="29">
        <f t="shared" ca="1" si="55"/>
        <v>236</v>
      </c>
      <c r="Z386" s="22">
        <v>44931</v>
      </c>
      <c r="AA386" s="26">
        <f t="shared" ca="1" si="36"/>
        <v>0.57682225819064947</v>
      </c>
      <c r="AB386" s="29">
        <f t="shared" ca="1" si="57"/>
        <v>274</v>
      </c>
      <c r="AC386"/>
      <c r="AD386" s="25"/>
      <c r="AF386" s="22">
        <v>44931</v>
      </c>
      <c r="AG386" s="26">
        <f t="shared" ca="1" si="37"/>
        <v>0.36362887866150906</v>
      </c>
      <c r="AH386" s="29">
        <f t="shared" ca="1" si="58"/>
        <v>297</v>
      </c>
      <c r="AJ386" s="22">
        <v>44931</v>
      </c>
      <c r="AK386" s="26">
        <f t="shared" ca="1" si="38"/>
        <v>0.87538544679745045</v>
      </c>
      <c r="AL386" s="29">
        <v>0</v>
      </c>
      <c r="AN386" s="22">
        <v>44931</v>
      </c>
      <c r="AO386" s="26">
        <f t="shared" ca="1" si="39"/>
        <v>0.37001032993123928</v>
      </c>
      <c r="AP386" s="29">
        <v>0</v>
      </c>
      <c r="AR386" s="22">
        <v>44931</v>
      </c>
      <c r="AS386" s="26">
        <f t="shared" ca="1" si="40"/>
        <v>0.99284656749404876</v>
      </c>
      <c r="AT386" s="29">
        <v>0</v>
      </c>
      <c r="AV386" s="22">
        <v>44931</v>
      </c>
      <c r="AW386" s="26">
        <f t="shared" ca="1" si="41"/>
        <v>0.85702086781815401</v>
      </c>
      <c r="AX386" s="29">
        <v>0</v>
      </c>
      <c r="AZ386" s="22">
        <v>44931</v>
      </c>
      <c r="BA386" s="26">
        <f t="shared" ca="1" si="42"/>
        <v>0.27608534463673873</v>
      </c>
      <c r="BB386" s="29">
        <v>0</v>
      </c>
      <c r="BC386"/>
      <c r="BD386" s="25"/>
      <c r="BF386" s="22">
        <v>44931</v>
      </c>
      <c r="BG386" s="26">
        <f t="shared" ca="1" si="43"/>
        <v>0.12400589676537277</v>
      </c>
      <c r="BH386" s="29">
        <v>0</v>
      </c>
      <c r="BJ386" s="22">
        <v>44931</v>
      </c>
      <c r="BK386" s="26">
        <f t="shared" ca="1" si="44"/>
        <v>8.9779841890039402E-2</v>
      </c>
      <c r="BL386" s="29">
        <v>0</v>
      </c>
      <c r="BN386" s="22">
        <v>44931</v>
      </c>
      <c r="BO386" s="26">
        <f t="shared" ca="1" si="45"/>
        <v>6.5623114476273003E-2</v>
      </c>
      <c r="BP386" s="29">
        <v>0</v>
      </c>
      <c r="BR386" s="22">
        <v>44931</v>
      </c>
      <c r="BS386" s="26">
        <f t="shared" ca="1" si="46"/>
        <v>0.23158733503946605</v>
      </c>
      <c r="BT386" s="29">
        <v>0</v>
      </c>
      <c r="BV386" s="22">
        <v>44931</v>
      </c>
      <c r="BW386" s="26">
        <f t="shared" ca="1" si="47"/>
        <v>0.13271424135674148</v>
      </c>
      <c r="BX386" s="29">
        <v>0</v>
      </c>
    </row>
    <row r="387" spans="2:76" ht="12.75" x14ac:dyDescent="0.2">
      <c r="B387" s="22">
        <v>44932</v>
      </c>
      <c r="C387" s="26">
        <f t="shared" ca="1" si="56"/>
        <v>0.70981095154313567</v>
      </c>
      <c r="D387" s="29">
        <f t="shared" ca="1" si="53"/>
        <v>87</v>
      </c>
      <c r="F387" s="22">
        <v>44932</v>
      </c>
      <c r="G387" s="26">
        <f t="shared" ca="1" si="31"/>
        <v>0.91122058857876365</v>
      </c>
      <c r="H387" s="29">
        <f t="shared" ca="1" si="49"/>
        <v>235</v>
      </c>
      <c r="J387" s="22">
        <v>44932</v>
      </c>
      <c r="K387" s="26">
        <f t="shared" ca="1" si="32"/>
        <v>3.3858125265520456E-2</v>
      </c>
      <c r="L387" s="29">
        <f t="shared" ca="1" si="50"/>
        <v>132</v>
      </c>
      <c r="N387" s="22">
        <v>44932</v>
      </c>
      <c r="O387" s="26">
        <f t="shared" ca="1" si="33"/>
        <v>0.14360914497267507</v>
      </c>
      <c r="P387" s="29">
        <f t="shared" ca="1" si="51"/>
        <v>214</v>
      </c>
      <c r="R387" s="22">
        <v>44932</v>
      </c>
      <c r="S387" s="26">
        <f t="shared" ca="1" si="34"/>
        <v>0.48608260012618276</v>
      </c>
      <c r="T387" s="29">
        <f t="shared" ca="1" si="52"/>
        <v>139</v>
      </c>
      <c r="V387" s="22">
        <v>44932</v>
      </c>
      <c r="W387" s="26">
        <f t="shared" ca="1" si="35"/>
        <v>0.3519191667929521</v>
      </c>
      <c r="X387" s="29">
        <f t="shared" ca="1" si="55"/>
        <v>220</v>
      </c>
      <c r="Z387" s="22">
        <v>44932</v>
      </c>
      <c r="AA387" s="26">
        <f t="shared" ca="1" si="36"/>
        <v>0.3026557916635747</v>
      </c>
      <c r="AB387" s="29">
        <f t="shared" ca="1" si="57"/>
        <v>261</v>
      </c>
      <c r="AC387"/>
      <c r="AD387" s="25"/>
      <c r="AF387" s="22">
        <v>44932</v>
      </c>
      <c r="AG387" s="26">
        <f t="shared" ca="1" si="37"/>
        <v>0.2613640854626712</v>
      </c>
      <c r="AH387" s="29">
        <f t="shared" ca="1" si="58"/>
        <v>272</v>
      </c>
      <c r="AJ387" s="22">
        <v>44932</v>
      </c>
      <c r="AK387" s="26">
        <f t="shared" ca="1" si="38"/>
        <v>0.72917298358914862</v>
      </c>
      <c r="AL387" s="29">
        <v>0</v>
      </c>
      <c r="AN387" s="22">
        <v>44932</v>
      </c>
      <c r="AO387" s="26">
        <f t="shared" ca="1" si="39"/>
        <v>0.76731355657629763</v>
      </c>
      <c r="AP387" s="29">
        <v>0</v>
      </c>
      <c r="AR387" s="22">
        <v>44932</v>
      </c>
      <c r="AS387" s="26">
        <f t="shared" ca="1" si="40"/>
        <v>0.46852092551573854</v>
      </c>
      <c r="AT387" s="29">
        <v>0</v>
      </c>
      <c r="AV387" s="22">
        <v>44932</v>
      </c>
      <c r="AW387" s="26">
        <f t="shared" ca="1" si="41"/>
        <v>0.85803039215001975</v>
      </c>
      <c r="AX387" s="29">
        <v>0</v>
      </c>
      <c r="AZ387" s="22">
        <v>44932</v>
      </c>
      <c r="BA387" s="26">
        <f t="shared" ca="1" si="42"/>
        <v>0.23988993475000586</v>
      </c>
      <c r="BB387" s="29">
        <v>0</v>
      </c>
      <c r="BC387"/>
      <c r="BD387" s="25"/>
      <c r="BF387" s="22">
        <v>44932</v>
      </c>
      <c r="BG387" s="26">
        <f t="shared" ca="1" si="43"/>
        <v>0.27119597714156207</v>
      </c>
      <c r="BH387" s="29">
        <v>0</v>
      </c>
      <c r="BJ387" s="22">
        <v>44932</v>
      </c>
      <c r="BK387" s="26">
        <f t="shared" ca="1" si="44"/>
        <v>0.85475288381196668</v>
      </c>
      <c r="BL387" s="29">
        <v>0</v>
      </c>
      <c r="BN387" s="22">
        <v>44932</v>
      </c>
      <c r="BO387" s="26">
        <f t="shared" ca="1" si="45"/>
        <v>0.42233529237161738</v>
      </c>
      <c r="BP387" s="29">
        <v>0</v>
      </c>
      <c r="BR387" s="22">
        <v>44932</v>
      </c>
      <c r="BS387" s="26">
        <f t="shared" ca="1" si="46"/>
        <v>0.30136601521329498</v>
      </c>
      <c r="BT387" s="29">
        <v>0</v>
      </c>
      <c r="BV387" s="22">
        <v>44932</v>
      </c>
      <c r="BW387" s="26">
        <f t="shared" ca="1" si="47"/>
        <v>0.7877257476585785</v>
      </c>
      <c r="BX387" s="29">
        <v>0</v>
      </c>
    </row>
    <row r="388" spans="2:76" ht="12.75" x14ac:dyDescent="0.2">
      <c r="B388" s="22">
        <v>44933</v>
      </c>
      <c r="C388" s="26">
        <f t="shared" ca="1" si="56"/>
        <v>0.98195435103176643</v>
      </c>
      <c r="D388" s="29">
        <f t="shared" ca="1" si="53"/>
        <v>117</v>
      </c>
      <c r="F388" s="22">
        <v>44933</v>
      </c>
      <c r="G388" s="26">
        <f t="shared" ca="1" si="31"/>
        <v>5.5192444913967686E-2</v>
      </c>
      <c r="H388" s="29">
        <f t="shared" ref="H388:H451" ca="1" si="59">ROUNDUP(_xlfn.NORM.INV(G388,G$10,G$12),0)</f>
        <v>193</v>
      </c>
      <c r="J388" s="22">
        <v>44933</v>
      </c>
      <c r="K388" s="26">
        <f t="shared" ca="1" si="32"/>
        <v>0.1957949599192893</v>
      </c>
      <c r="L388" s="29">
        <f t="shared" ref="L388:L451" ca="1" si="60">ROUNDUP(_xlfn.NORM.INV(K388,K$10,K$12),0)</f>
        <v>142</v>
      </c>
      <c r="N388" s="22">
        <v>44933</v>
      </c>
      <c r="O388" s="26">
        <f t="shared" ca="1" si="33"/>
        <v>0.81260970191767001</v>
      </c>
      <c r="P388" s="29">
        <f t="shared" ref="P388:P451" ca="1" si="61">ROUNDUP(_xlfn.NORM.INV(O388,O$10,O$12),0)</f>
        <v>243</v>
      </c>
      <c r="R388" s="22">
        <v>44933</v>
      </c>
      <c r="S388" s="26">
        <f t="shared" ca="1" si="34"/>
        <v>0.82530618603948769</v>
      </c>
      <c r="T388" s="29">
        <f t="shared" ref="T388:T451" ca="1" si="62">ROUNDUP(_xlfn.NORM.INV(S388,S$10,S$12),0)</f>
        <v>148</v>
      </c>
      <c r="V388" s="22">
        <v>44933</v>
      </c>
      <c r="W388" s="26">
        <f t="shared" ca="1" si="35"/>
        <v>0.77414679000757913</v>
      </c>
      <c r="X388" s="29">
        <f t="shared" ca="1" si="55"/>
        <v>237</v>
      </c>
      <c r="Z388" s="22">
        <v>44933</v>
      </c>
      <c r="AA388" s="26">
        <f t="shared" ca="1" si="36"/>
        <v>0.39933244665405365</v>
      </c>
      <c r="AB388" s="29">
        <f t="shared" ref="AB388:AB451" ca="1" si="63">ROUNDUP(_xlfn.NORM.INV(AA388,AA$10,AA$12),0)</f>
        <v>266</v>
      </c>
      <c r="AC388"/>
      <c r="AD388" s="25"/>
      <c r="AF388" s="22">
        <v>44933</v>
      </c>
      <c r="AG388" s="26">
        <f t="shared" ca="1" si="37"/>
        <v>0.70521434567659658</v>
      </c>
      <c r="AH388" s="29">
        <f t="shared" ref="AH388:AH451" ca="1" si="64">ROUNDUP(_xlfn.NORM.INV(AG388,AG$10,AG$12),0)</f>
        <v>375</v>
      </c>
      <c r="AJ388" s="22">
        <v>44933</v>
      </c>
      <c r="AK388" s="26">
        <f t="shared" ca="1" si="38"/>
        <v>0.77674196772047832</v>
      </c>
      <c r="AL388" s="29">
        <v>0</v>
      </c>
      <c r="AN388" s="22">
        <v>44933</v>
      </c>
      <c r="AO388" s="26">
        <f t="shared" ca="1" si="39"/>
        <v>0.76476228923741219</v>
      </c>
      <c r="AP388" s="29">
        <v>0</v>
      </c>
      <c r="AR388" s="22">
        <v>44933</v>
      </c>
      <c r="AS388" s="26">
        <f t="shared" ca="1" si="40"/>
        <v>0.90832568237980482</v>
      </c>
      <c r="AT388" s="29">
        <v>0</v>
      </c>
      <c r="AV388" s="22">
        <v>44933</v>
      </c>
      <c r="AW388" s="26">
        <f t="shared" ca="1" si="41"/>
        <v>0.89361763528059235</v>
      </c>
      <c r="AX388" s="29">
        <v>0</v>
      </c>
      <c r="AZ388" s="22">
        <v>44933</v>
      </c>
      <c r="BA388" s="26">
        <f t="shared" ca="1" si="42"/>
        <v>0.34368085434115747</v>
      </c>
      <c r="BB388" s="29">
        <v>0</v>
      </c>
      <c r="BC388"/>
      <c r="BD388" s="25"/>
      <c r="BF388" s="22">
        <v>44933</v>
      </c>
      <c r="BG388" s="26">
        <f t="shared" ca="1" si="43"/>
        <v>0.97020272512936712</v>
      </c>
      <c r="BH388" s="29">
        <v>0</v>
      </c>
      <c r="BJ388" s="22">
        <v>44933</v>
      </c>
      <c r="BK388" s="26">
        <f t="shared" ca="1" si="44"/>
        <v>0.14965022080693258</v>
      </c>
      <c r="BL388" s="29">
        <v>0</v>
      </c>
      <c r="BN388" s="22">
        <v>44933</v>
      </c>
      <c r="BO388" s="26">
        <f t="shared" ca="1" si="45"/>
        <v>0.28319135888140168</v>
      </c>
      <c r="BP388" s="29">
        <v>0</v>
      </c>
      <c r="BR388" s="22">
        <v>44933</v>
      </c>
      <c r="BS388" s="26">
        <f t="shared" ca="1" si="46"/>
        <v>0.78972742880772218</v>
      </c>
      <c r="BT388" s="29">
        <v>0</v>
      </c>
      <c r="BV388" s="22">
        <v>44933</v>
      </c>
      <c r="BW388" s="26">
        <f t="shared" ca="1" si="47"/>
        <v>0.73485904194135088</v>
      </c>
      <c r="BX388" s="29">
        <v>0</v>
      </c>
    </row>
    <row r="389" spans="2:76" ht="12.75" x14ac:dyDescent="0.2">
      <c r="B389" s="22">
        <v>44934</v>
      </c>
      <c r="C389" s="26">
        <f t="shared" ca="1" si="56"/>
        <v>0.47670961974392478</v>
      </c>
      <c r="D389" s="29">
        <f t="shared" ca="1" si="53"/>
        <v>74</v>
      </c>
      <c r="F389" s="22">
        <v>44934</v>
      </c>
      <c r="G389" s="26">
        <f t="shared" ca="1" si="31"/>
        <v>0.95224192549325259</v>
      </c>
      <c r="H389" s="29">
        <f t="shared" ca="1" si="59"/>
        <v>240</v>
      </c>
      <c r="J389" s="22">
        <v>44934</v>
      </c>
      <c r="K389" s="26">
        <f t="shared" ca="1" si="32"/>
        <v>0.92810611730257153</v>
      </c>
      <c r="L389" s="29">
        <f t="shared" ca="1" si="60"/>
        <v>165</v>
      </c>
      <c r="N389" s="22">
        <v>44934</v>
      </c>
      <c r="O389" s="26">
        <f t="shared" ca="1" si="33"/>
        <v>3.7413807139003663E-2</v>
      </c>
      <c r="P389" s="29">
        <f t="shared" ca="1" si="61"/>
        <v>203</v>
      </c>
      <c r="R389" s="22">
        <v>44934</v>
      </c>
      <c r="S389" s="26">
        <f t="shared" ca="1" si="34"/>
        <v>0.76750313949425331</v>
      </c>
      <c r="T389" s="29">
        <f t="shared" ca="1" si="62"/>
        <v>146</v>
      </c>
      <c r="V389" s="22">
        <v>44934</v>
      </c>
      <c r="W389" s="26">
        <f t="shared" ca="1" si="35"/>
        <v>0.20105250045998324</v>
      </c>
      <c r="X389" s="29">
        <f t="shared" ca="1" si="55"/>
        <v>213</v>
      </c>
      <c r="Z389" s="22">
        <v>44934</v>
      </c>
      <c r="AA389" s="26">
        <f t="shared" ca="1" si="36"/>
        <v>0.10067192998201901</v>
      </c>
      <c r="AB389" s="29">
        <f t="shared" ca="1" si="63"/>
        <v>248</v>
      </c>
      <c r="AC389"/>
      <c r="AD389" s="25"/>
      <c r="AF389" s="22">
        <v>44934</v>
      </c>
      <c r="AG389" s="26">
        <f t="shared" ca="1" si="37"/>
        <v>0.36629863511889571</v>
      </c>
      <c r="AH389" s="29">
        <f t="shared" ca="1" si="64"/>
        <v>298</v>
      </c>
      <c r="AJ389" s="22">
        <v>44934</v>
      </c>
      <c r="AK389" s="26">
        <f t="shared" ca="1" si="38"/>
        <v>0.70742452100246389</v>
      </c>
      <c r="AL389" s="29">
        <v>0</v>
      </c>
      <c r="AN389" s="22">
        <v>44934</v>
      </c>
      <c r="AO389" s="26">
        <f t="shared" ca="1" si="39"/>
        <v>0.77380642474259975</v>
      </c>
      <c r="AP389" s="29">
        <v>0</v>
      </c>
      <c r="AR389" s="22">
        <v>44934</v>
      </c>
      <c r="AS389" s="26">
        <f t="shared" ca="1" si="40"/>
        <v>0.17116917581530067</v>
      </c>
      <c r="AT389" s="29">
        <v>0</v>
      </c>
      <c r="AV389" s="22">
        <v>44934</v>
      </c>
      <c r="AW389" s="26">
        <f t="shared" ca="1" si="41"/>
        <v>0.40053356279600028</v>
      </c>
      <c r="AX389" s="29">
        <v>0</v>
      </c>
      <c r="AZ389" s="22">
        <v>44934</v>
      </c>
      <c r="BA389" s="26">
        <f t="shared" ca="1" si="42"/>
        <v>0.80200045523188845</v>
      </c>
      <c r="BB389" s="29">
        <v>0</v>
      </c>
      <c r="BC389"/>
      <c r="BD389" s="25"/>
      <c r="BF389" s="22">
        <v>44934</v>
      </c>
      <c r="BG389" s="26">
        <f t="shared" ca="1" si="43"/>
        <v>0.14770041109225585</v>
      </c>
      <c r="BH389" s="29">
        <v>0</v>
      </c>
      <c r="BJ389" s="22">
        <v>44934</v>
      </c>
      <c r="BK389" s="26">
        <f t="shared" ca="1" si="44"/>
        <v>0.71739523898092128</v>
      </c>
      <c r="BL389" s="29">
        <v>0</v>
      </c>
      <c r="BN389" s="22">
        <v>44934</v>
      </c>
      <c r="BO389" s="26">
        <f t="shared" ca="1" si="45"/>
        <v>0.44475405526353007</v>
      </c>
      <c r="BP389" s="29">
        <v>0</v>
      </c>
      <c r="BR389" s="22">
        <v>44934</v>
      </c>
      <c r="BS389" s="26">
        <f t="shared" ca="1" si="46"/>
        <v>0.54342794129138217</v>
      </c>
      <c r="BT389" s="29">
        <v>0</v>
      </c>
      <c r="BV389" s="22">
        <v>44934</v>
      </c>
      <c r="BW389" s="26">
        <f t="shared" ca="1" si="47"/>
        <v>0.4161237535672857</v>
      </c>
      <c r="BX389" s="29">
        <v>0</v>
      </c>
    </row>
    <row r="390" spans="2:76" ht="12.75" x14ac:dyDescent="0.2">
      <c r="B390" s="22">
        <v>44935</v>
      </c>
      <c r="C390" s="26">
        <f t="shared" ca="1" si="56"/>
        <v>0.97222493521503517</v>
      </c>
      <c r="D390" s="29">
        <f t="shared" ca="1" si="53"/>
        <v>114</v>
      </c>
      <c r="F390" s="22">
        <v>44935</v>
      </c>
      <c r="G390" s="26">
        <f t="shared" ca="1" si="31"/>
        <v>0.14183832754569226</v>
      </c>
      <c r="H390" s="29">
        <f t="shared" ca="1" si="59"/>
        <v>201</v>
      </c>
      <c r="J390" s="22">
        <v>44935</v>
      </c>
      <c r="K390" s="26">
        <f t="shared" ca="1" si="32"/>
        <v>0.83095553013719914</v>
      </c>
      <c r="L390" s="29">
        <f t="shared" ca="1" si="60"/>
        <v>160</v>
      </c>
      <c r="N390" s="22">
        <v>44935</v>
      </c>
      <c r="O390" s="26">
        <f t="shared" ca="1" si="33"/>
        <v>0.86541877419917368</v>
      </c>
      <c r="P390" s="29">
        <f t="shared" ca="1" si="61"/>
        <v>247</v>
      </c>
      <c r="R390" s="22">
        <v>44935</v>
      </c>
      <c r="S390" s="26">
        <f t="shared" ca="1" si="34"/>
        <v>0.52015281338981068</v>
      </c>
      <c r="T390" s="29">
        <f t="shared" ca="1" si="62"/>
        <v>140</v>
      </c>
      <c r="V390" s="22">
        <v>44935</v>
      </c>
      <c r="W390" s="26">
        <f t="shared" ca="1" si="35"/>
        <v>0.96220991691705671</v>
      </c>
      <c r="X390" s="29">
        <f t="shared" ca="1" si="55"/>
        <v>252</v>
      </c>
      <c r="Z390" s="22">
        <v>44935</v>
      </c>
      <c r="AA390" s="26">
        <f t="shared" ca="1" si="36"/>
        <v>0.30511755975346422</v>
      </c>
      <c r="AB390" s="29">
        <f t="shared" ca="1" si="63"/>
        <v>261</v>
      </c>
      <c r="AC390"/>
      <c r="AD390" s="25"/>
      <c r="AF390" s="22">
        <v>44935</v>
      </c>
      <c r="AG390" s="26">
        <f t="shared" ca="1" si="37"/>
        <v>0.57079690288906071</v>
      </c>
      <c r="AH390" s="29">
        <f t="shared" ca="1" si="64"/>
        <v>343</v>
      </c>
      <c r="AJ390" s="22">
        <v>44935</v>
      </c>
      <c r="AK390" s="26">
        <f t="shared" ca="1" si="38"/>
        <v>0.83072035804907829</v>
      </c>
      <c r="AL390" s="29">
        <v>0</v>
      </c>
      <c r="AN390" s="22">
        <v>44935</v>
      </c>
      <c r="AO390" s="26">
        <f t="shared" ca="1" si="39"/>
        <v>0.66937166492447764</v>
      </c>
      <c r="AP390" s="29">
        <v>0</v>
      </c>
      <c r="AR390" s="22">
        <v>44935</v>
      </c>
      <c r="AS390" s="26">
        <f t="shared" ca="1" si="40"/>
        <v>0.74239839554263365</v>
      </c>
      <c r="AT390" s="29">
        <v>0</v>
      </c>
      <c r="AV390" s="22">
        <v>44935</v>
      </c>
      <c r="AW390" s="26">
        <f t="shared" ca="1" si="41"/>
        <v>0.62645720693423068</v>
      </c>
      <c r="AX390" s="29">
        <v>0</v>
      </c>
      <c r="AZ390" s="22">
        <v>44935</v>
      </c>
      <c r="BA390" s="26">
        <f t="shared" ca="1" si="42"/>
        <v>0.17419861988510155</v>
      </c>
      <c r="BB390" s="29">
        <v>0</v>
      </c>
      <c r="BC390"/>
      <c r="BD390" s="25"/>
      <c r="BF390" s="22">
        <v>44935</v>
      </c>
      <c r="BG390" s="26">
        <f t="shared" ca="1" si="43"/>
        <v>0.99489792455016302</v>
      </c>
      <c r="BH390" s="29">
        <v>0</v>
      </c>
      <c r="BJ390" s="22">
        <v>44935</v>
      </c>
      <c r="BK390" s="26">
        <f t="shared" ca="1" si="44"/>
        <v>0.77206119523317618</v>
      </c>
      <c r="BL390" s="29">
        <v>0</v>
      </c>
      <c r="BN390" s="22">
        <v>44935</v>
      </c>
      <c r="BO390" s="26">
        <f t="shared" ca="1" si="45"/>
        <v>0.4854612584319804</v>
      </c>
      <c r="BP390" s="29">
        <v>0</v>
      </c>
      <c r="BR390" s="22">
        <v>44935</v>
      </c>
      <c r="BS390" s="26">
        <f t="shared" ca="1" si="46"/>
        <v>0.64797542386708196</v>
      </c>
      <c r="BT390" s="29">
        <v>0</v>
      </c>
      <c r="BV390" s="22">
        <v>44935</v>
      </c>
      <c r="BW390" s="26">
        <f t="shared" ca="1" si="47"/>
        <v>0.61311943844394168</v>
      </c>
      <c r="BX390" s="29">
        <v>0</v>
      </c>
    </row>
    <row r="391" spans="2:76" ht="12.75" x14ac:dyDescent="0.2">
      <c r="B391" s="22">
        <v>44936</v>
      </c>
      <c r="C391" s="26">
        <f t="shared" ca="1" si="56"/>
        <v>0.26058195205908585</v>
      </c>
      <c r="D391" s="29">
        <f t="shared" ca="1" si="53"/>
        <v>63</v>
      </c>
      <c r="F391" s="22">
        <v>44936</v>
      </c>
      <c r="G391" s="26">
        <f t="shared" ca="1" si="31"/>
        <v>0.42714899393321248</v>
      </c>
      <c r="H391" s="29">
        <f t="shared" ca="1" si="59"/>
        <v>213</v>
      </c>
      <c r="J391" s="22">
        <v>44936</v>
      </c>
      <c r="K391" s="26">
        <f t="shared" ca="1" si="32"/>
        <v>0.79875954157797791</v>
      </c>
      <c r="L391" s="29">
        <f t="shared" ca="1" si="60"/>
        <v>159</v>
      </c>
      <c r="N391" s="22">
        <v>44936</v>
      </c>
      <c r="O391" s="26">
        <f t="shared" ca="1" si="33"/>
        <v>0.48217897259314524</v>
      </c>
      <c r="P391" s="29">
        <f t="shared" ca="1" si="61"/>
        <v>229</v>
      </c>
      <c r="R391" s="22">
        <v>44936</v>
      </c>
      <c r="S391" s="26">
        <f t="shared" ca="1" si="34"/>
        <v>0.38269701681913981</v>
      </c>
      <c r="T391" s="29">
        <f t="shared" ca="1" si="62"/>
        <v>136</v>
      </c>
      <c r="V391" s="22">
        <v>44936</v>
      </c>
      <c r="W391" s="26">
        <f t="shared" ca="1" si="35"/>
        <v>0.78342673434238563</v>
      </c>
      <c r="X391" s="29">
        <f t="shared" ca="1" si="55"/>
        <v>237</v>
      </c>
      <c r="Z391" s="22">
        <v>44936</v>
      </c>
      <c r="AA391" s="26">
        <f t="shared" ca="1" si="36"/>
        <v>0.4601356178422098</v>
      </c>
      <c r="AB391" s="29">
        <f t="shared" ca="1" si="63"/>
        <v>269</v>
      </c>
      <c r="AC391"/>
      <c r="AD391" s="25"/>
      <c r="AF391" s="22">
        <v>44936</v>
      </c>
      <c r="AG391" s="26">
        <f t="shared" ca="1" si="37"/>
        <v>0.44485910026195796</v>
      </c>
      <c r="AH391" s="29">
        <f t="shared" ca="1" si="64"/>
        <v>315</v>
      </c>
      <c r="AJ391" s="22">
        <v>44936</v>
      </c>
      <c r="AK391" s="26">
        <f t="shared" ca="1" si="38"/>
        <v>0.42008220848266886</v>
      </c>
      <c r="AL391" s="29">
        <v>0</v>
      </c>
      <c r="AN391" s="22">
        <v>44936</v>
      </c>
      <c r="AO391" s="26">
        <f t="shared" ca="1" si="39"/>
        <v>0.58803034994166636</v>
      </c>
      <c r="AP391" s="29">
        <v>0</v>
      </c>
      <c r="AR391" s="22">
        <v>44936</v>
      </c>
      <c r="AS391" s="26">
        <f t="shared" ca="1" si="40"/>
        <v>0.46110711681180183</v>
      </c>
      <c r="AT391" s="29">
        <v>0</v>
      </c>
      <c r="AV391" s="22">
        <v>44936</v>
      </c>
      <c r="AW391" s="26">
        <f t="shared" ca="1" si="41"/>
        <v>0.89337939035875169</v>
      </c>
      <c r="AX391" s="29">
        <v>0</v>
      </c>
      <c r="AZ391" s="22">
        <v>44936</v>
      </c>
      <c r="BA391" s="26">
        <f t="shared" ca="1" si="42"/>
        <v>0.85301752363406247</v>
      </c>
      <c r="BB391" s="29">
        <v>0</v>
      </c>
      <c r="BC391"/>
      <c r="BD391" s="25"/>
      <c r="BF391" s="22">
        <v>44936</v>
      </c>
      <c r="BG391" s="26">
        <f t="shared" ca="1" si="43"/>
        <v>0.56501309314532444</v>
      </c>
      <c r="BH391" s="29">
        <v>0</v>
      </c>
      <c r="BJ391" s="22">
        <v>44936</v>
      </c>
      <c r="BK391" s="26">
        <f t="shared" ca="1" si="44"/>
        <v>0.69331895166420809</v>
      </c>
      <c r="BL391" s="29">
        <v>0</v>
      </c>
      <c r="BN391" s="22">
        <v>44936</v>
      </c>
      <c r="BO391" s="26">
        <f t="shared" ca="1" si="45"/>
        <v>0.58198046997452302</v>
      </c>
      <c r="BP391" s="29">
        <v>0</v>
      </c>
      <c r="BR391" s="22">
        <v>44936</v>
      </c>
      <c r="BS391" s="26">
        <f t="shared" ca="1" si="46"/>
        <v>0.17620315778489259</v>
      </c>
      <c r="BT391" s="29">
        <v>0</v>
      </c>
      <c r="BV391" s="22">
        <v>44936</v>
      </c>
      <c r="BW391" s="26">
        <f t="shared" ca="1" si="47"/>
        <v>0.31879232634012022</v>
      </c>
      <c r="BX391" s="29">
        <v>0</v>
      </c>
    </row>
    <row r="392" spans="2:76" ht="12.75" x14ac:dyDescent="0.2">
      <c r="B392" s="22">
        <v>44937</v>
      </c>
      <c r="C392" s="26">
        <f t="shared" ca="1" si="56"/>
        <v>0.5690658439601789</v>
      </c>
      <c r="D392" s="29">
        <f t="shared" ca="1" si="53"/>
        <v>79</v>
      </c>
      <c r="F392" s="22">
        <v>44937</v>
      </c>
      <c r="G392" s="26">
        <f t="shared" ca="1" si="31"/>
        <v>0.15512392120358076</v>
      </c>
      <c r="H392" s="29">
        <f t="shared" ca="1" si="59"/>
        <v>201</v>
      </c>
      <c r="J392" s="22">
        <v>44937</v>
      </c>
      <c r="K392" s="26">
        <f t="shared" ca="1" si="32"/>
        <v>0.5916003034372711</v>
      </c>
      <c r="L392" s="29">
        <f t="shared" ca="1" si="60"/>
        <v>153</v>
      </c>
      <c r="N392" s="22">
        <v>44937</v>
      </c>
      <c r="O392" s="26">
        <f t="shared" ca="1" si="33"/>
        <v>0.28833349031475819</v>
      </c>
      <c r="P392" s="29">
        <f t="shared" ca="1" si="61"/>
        <v>221</v>
      </c>
      <c r="R392" s="22">
        <v>44937</v>
      </c>
      <c r="S392" s="26">
        <f t="shared" ca="1" si="34"/>
        <v>0.98284423767053797</v>
      </c>
      <c r="T392" s="29">
        <f t="shared" ca="1" si="62"/>
        <v>159</v>
      </c>
      <c r="V392" s="22">
        <v>44937</v>
      </c>
      <c r="W392" s="26">
        <f t="shared" ca="1" si="35"/>
        <v>0.90759808100761874</v>
      </c>
      <c r="X392" s="29">
        <f t="shared" ca="1" si="55"/>
        <v>245</v>
      </c>
      <c r="Z392" s="22">
        <v>44937</v>
      </c>
      <c r="AA392" s="26">
        <f t="shared" ca="1" si="36"/>
        <v>0.21451372487551201</v>
      </c>
      <c r="AB392" s="29">
        <f t="shared" ca="1" si="63"/>
        <v>256</v>
      </c>
      <c r="AC392"/>
      <c r="AD392" s="25"/>
      <c r="AF392" s="22">
        <v>44937</v>
      </c>
      <c r="AG392" s="26">
        <f t="shared" ca="1" si="37"/>
        <v>0.81246738604039226</v>
      </c>
      <c r="AH392" s="29">
        <f t="shared" ca="1" si="64"/>
        <v>405</v>
      </c>
      <c r="AJ392" s="22">
        <v>44937</v>
      </c>
      <c r="AK392" s="26">
        <f t="shared" ca="1" si="38"/>
        <v>0.32748940787467384</v>
      </c>
      <c r="AL392" s="29">
        <v>0</v>
      </c>
      <c r="AN392" s="22">
        <v>44937</v>
      </c>
      <c r="AO392" s="26">
        <f t="shared" ca="1" si="39"/>
        <v>0.69111335276462982</v>
      </c>
      <c r="AP392" s="29">
        <v>0</v>
      </c>
      <c r="AR392" s="22">
        <v>44937</v>
      </c>
      <c r="AS392" s="26">
        <f t="shared" ca="1" si="40"/>
        <v>0.51776626143567173</v>
      </c>
      <c r="AT392" s="29">
        <v>0</v>
      </c>
      <c r="AV392" s="22">
        <v>44937</v>
      </c>
      <c r="AW392" s="26">
        <f t="shared" ca="1" si="41"/>
        <v>0.92200752178411316</v>
      </c>
      <c r="AX392" s="29">
        <v>0</v>
      </c>
      <c r="AZ392" s="22">
        <v>44937</v>
      </c>
      <c r="BA392" s="26">
        <f t="shared" ca="1" si="42"/>
        <v>6.8194827804217706E-3</v>
      </c>
      <c r="BB392" s="29">
        <v>0</v>
      </c>
      <c r="BC392"/>
      <c r="BD392" s="25"/>
      <c r="BF392" s="22">
        <v>44937</v>
      </c>
      <c r="BG392" s="26">
        <f t="shared" ca="1" si="43"/>
        <v>0.18704094008791128</v>
      </c>
      <c r="BH392" s="29">
        <v>0</v>
      </c>
      <c r="BJ392" s="22">
        <v>44937</v>
      </c>
      <c r="BK392" s="26">
        <f t="shared" ca="1" si="44"/>
        <v>4.2646641888969161E-2</v>
      </c>
      <c r="BL392" s="29">
        <v>0</v>
      </c>
      <c r="BN392" s="22">
        <v>44937</v>
      </c>
      <c r="BO392" s="26">
        <f t="shared" ca="1" si="45"/>
        <v>5.8468263388172348E-2</v>
      </c>
      <c r="BP392" s="29">
        <v>0</v>
      </c>
      <c r="BR392" s="22">
        <v>44937</v>
      </c>
      <c r="BS392" s="26">
        <f t="shared" ca="1" si="46"/>
        <v>0.96133029212995047</v>
      </c>
      <c r="BT392" s="29">
        <v>0</v>
      </c>
      <c r="BV392" s="22">
        <v>44937</v>
      </c>
      <c r="BW392" s="26">
        <f t="shared" ca="1" si="47"/>
        <v>0.26100823110284133</v>
      </c>
      <c r="BX392" s="29">
        <v>0</v>
      </c>
    </row>
    <row r="393" spans="2:76" ht="12.75" x14ac:dyDescent="0.2">
      <c r="B393" s="22">
        <v>44938</v>
      </c>
      <c r="C393" s="26">
        <f t="shared" ca="1" si="56"/>
        <v>0.1138671018874603</v>
      </c>
      <c r="D393" s="29">
        <f t="shared" ca="1" si="53"/>
        <v>51</v>
      </c>
      <c r="F393" s="22">
        <v>44938</v>
      </c>
      <c r="G393" s="26">
        <f t="shared" ca="1" si="31"/>
        <v>0.55492702903512137</v>
      </c>
      <c r="H393" s="29">
        <f t="shared" ca="1" si="59"/>
        <v>218</v>
      </c>
      <c r="J393" s="22">
        <v>44938</v>
      </c>
      <c r="K393" s="26">
        <f t="shared" ca="1" si="32"/>
        <v>0.61354640773153302</v>
      </c>
      <c r="L393" s="29">
        <f t="shared" ca="1" si="60"/>
        <v>153</v>
      </c>
      <c r="N393" s="22">
        <v>44938</v>
      </c>
      <c r="O393" s="26">
        <f t="shared" ca="1" si="33"/>
        <v>0.72553931911573344</v>
      </c>
      <c r="P393" s="29">
        <f t="shared" ca="1" si="61"/>
        <v>239</v>
      </c>
      <c r="R393" s="22">
        <v>44938</v>
      </c>
      <c r="S393" s="26">
        <f t="shared" ca="1" si="34"/>
        <v>0.39046566692697704</v>
      </c>
      <c r="T393" s="29">
        <f t="shared" ca="1" si="62"/>
        <v>137</v>
      </c>
      <c r="V393" s="22">
        <v>44938</v>
      </c>
      <c r="W393" s="26">
        <f t="shared" ca="1" si="35"/>
        <v>0.5135144246439729</v>
      </c>
      <c r="X393" s="29">
        <f t="shared" ca="1" si="55"/>
        <v>226</v>
      </c>
      <c r="Z393" s="22">
        <v>44938</v>
      </c>
      <c r="AA393" s="26">
        <f t="shared" ca="1" si="36"/>
        <v>0.99148026115943499</v>
      </c>
      <c r="AB393" s="29">
        <f t="shared" ca="1" si="63"/>
        <v>313</v>
      </c>
      <c r="AC393"/>
      <c r="AD393" s="25"/>
      <c r="AF393" s="22">
        <v>44938</v>
      </c>
      <c r="AG393" s="26">
        <f t="shared" ca="1" si="37"/>
        <v>0.71914712956547266</v>
      </c>
      <c r="AH393" s="29">
        <f t="shared" ca="1" si="64"/>
        <v>378</v>
      </c>
      <c r="AJ393" s="22">
        <v>44938</v>
      </c>
      <c r="AK393" s="26">
        <f t="shared" ca="1" si="38"/>
        <v>0.87146515190259977</v>
      </c>
      <c r="AL393" s="29">
        <v>0</v>
      </c>
      <c r="AN393" s="22">
        <v>44938</v>
      </c>
      <c r="AO393" s="26">
        <f t="shared" ca="1" si="39"/>
        <v>0.5669960021576308</v>
      </c>
      <c r="AP393" s="29">
        <v>0</v>
      </c>
      <c r="AR393" s="22">
        <v>44938</v>
      </c>
      <c r="AS393" s="26">
        <f t="shared" ca="1" si="40"/>
        <v>0.48591315246421962</v>
      </c>
      <c r="AT393" s="29">
        <v>0</v>
      </c>
      <c r="AV393" s="22">
        <v>44938</v>
      </c>
      <c r="AW393" s="26">
        <f t="shared" ca="1" si="41"/>
        <v>0.10955651290923829</v>
      </c>
      <c r="AX393" s="29">
        <v>0</v>
      </c>
      <c r="AZ393" s="22">
        <v>44938</v>
      </c>
      <c r="BA393" s="26">
        <f t="shared" ca="1" si="42"/>
        <v>0.73144061160555107</v>
      </c>
      <c r="BB393" s="29">
        <v>0</v>
      </c>
      <c r="BC393"/>
      <c r="BD393" s="25"/>
      <c r="BF393" s="22">
        <v>44938</v>
      </c>
      <c r="BG393" s="26">
        <f t="shared" ca="1" si="43"/>
        <v>0.3498812503663653</v>
      </c>
      <c r="BH393" s="29">
        <v>0</v>
      </c>
      <c r="BJ393" s="22">
        <v>44938</v>
      </c>
      <c r="BK393" s="26">
        <f t="shared" ca="1" si="44"/>
        <v>0.71062740672110503</v>
      </c>
      <c r="BL393" s="29">
        <v>0</v>
      </c>
      <c r="BN393" s="22">
        <v>44938</v>
      </c>
      <c r="BO393" s="26">
        <f t="shared" ca="1" si="45"/>
        <v>0.88018136999833452</v>
      </c>
      <c r="BP393" s="29">
        <v>0</v>
      </c>
      <c r="BR393" s="22">
        <v>44938</v>
      </c>
      <c r="BS393" s="26">
        <f t="shared" ca="1" si="46"/>
        <v>0.79726394778936438</v>
      </c>
      <c r="BT393" s="29">
        <v>0</v>
      </c>
      <c r="BV393" s="22">
        <v>44938</v>
      </c>
      <c r="BW393" s="26">
        <f t="shared" ca="1" si="47"/>
        <v>7.0616799186849932E-2</v>
      </c>
      <c r="BX393" s="29">
        <v>0</v>
      </c>
    </row>
    <row r="394" spans="2:76" ht="12.75" x14ac:dyDescent="0.2">
      <c r="B394" s="22">
        <v>44939</v>
      </c>
      <c r="C394" s="26">
        <f t="shared" ca="1" si="56"/>
        <v>0.58521279737582865</v>
      </c>
      <c r="D394" s="29">
        <f t="shared" ca="1" si="53"/>
        <v>80</v>
      </c>
      <c r="F394" s="22">
        <v>44939</v>
      </c>
      <c r="G394" s="26">
        <f t="shared" ca="1" si="31"/>
        <v>0.77420376816244241</v>
      </c>
      <c r="H394" s="29">
        <f t="shared" ca="1" si="59"/>
        <v>227</v>
      </c>
      <c r="J394" s="22">
        <v>44939</v>
      </c>
      <c r="K394" s="26">
        <f t="shared" ca="1" si="32"/>
        <v>0.48396400771613901</v>
      </c>
      <c r="L394" s="29">
        <f t="shared" ca="1" si="60"/>
        <v>150</v>
      </c>
      <c r="N394" s="22">
        <v>44939</v>
      </c>
      <c r="O394" s="26">
        <f t="shared" ca="1" si="33"/>
        <v>0.81354353291783776</v>
      </c>
      <c r="P394" s="29">
        <f t="shared" ca="1" si="61"/>
        <v>243</v>
      </c>
      <c r="R394" s="22">
        <v>44939</v>
      </c>
      <c r="S394" s="26">
        <f t="shared" ca="1" si="34"/>
        <v>0.81853250239341802</v>
      </c>
      <c r="T394" s="29">
        <f t="shared" ca="1" si="62"/>
        <v>148</v>
      </c>
      <c r="V394" s="22">
        <v>44939</v>
      </c>
      <c r="W394" s="26">
        <f t="shared" ca="1" si="35"/>
        <v>0.17390999751408998</v>
      </c>
      <c r="X394" s="29">
        <f t="shared" ref="X394:X451" ca="1" si="65">ROUNDUP(_xlfn.NORM.INV(W394,W$10,W$12),0)</f>
        <v>211</v>
      </c>
      <c r="Z394" s="22">
        <v>44939</v>
      </c>
      <c r="AA394" s="26">
        <f t="shared" ca="1" si="36"/>
        <v>0.63219523726617055</v>
      </c>
      <c r="AB394" s="29">
        <f t="shared" ca="1" si="63"/>
        <v>277</v>
      </c>
      <c r="AC394"/>
      <c r="AD394" s="25"/>
      <c r="AF394" s="22">
        <v>44939</v>
      </c>
      <c r="AG394" s="26">
        <f t="shared" ca="1" si="37"/>
        <v>0.57149538107434339</v>
      </c>
      <c r="AH394" s="29">
        <f t="shared" ca="1" si="64"/>
        <v>343</v>
      </c>
      <c r="AJ394" s="22">
        <v>44939</v>
      </c>
      <c r="AK394" s="26">
        <f t="shared" ca="1" si="38"/>
        <v>0.18473457044926644</v>
      </c>
      <c r="AL394" s="29">
        <v>0</v>
      </c>
      <c r="AN394" s="22">
        <v>44939</v>
      </c>
      <c r="AO394" s="26">
        <f t="shared" ca="1" si="39"/>
        <v>0.8668190469683813</v>
      </c>
      <c r="AP394" s="29">
        <v>0</v>
      </c>
      <c r="AR394" s="22">
        <v>44939</v>
      </c>
      <c r="AS394" s="26">
        <f t="shared" ca="1" si="40"/>
        <v>0.44231601458118674</v>
      </c>
      <c r="AT394" s="29">
        <v>0</v>
      </c>
      <c r="AV394" s="22">
        <v>44939</v>
      </c>
      <c r="AW394" s="26">
        <f t="shared" ca="1" si="41"/>
        <v>0.82629995578544102</v>
      </c>
      <c r="AX394" s="29">
        <v>0</v>
      </c>
      <c r="AZ394" s="22">
        <v>44939</v>
      </c>
      <c r="BA394" s="26">
        <f t="shared" ca="1" si="42"/>
        <v>0.10233635551693265</v>
      </c>
      <c r="BB394" s="29">
        <v>0</v>
      </c>
      <c r="BC394"/>
      <c r="BD394" s="25"/>
      <c r="BF394" s="22">
        <v>44939</v>
      </c>
      <c r="BG394" s="26">
        <f t="shared" ca="1" si="43"/>
        <v>0.54838068152772101</v>
      </c>
      <c r="BH394" s="29">
        <v>0</v>
      </c>
      <c r="BJ394" s="22">
        <v>44939</v>
      </c>
      <c r="BK394" s="26">
        <f t="shared" ca="1" si="44"/>
        <v>0.20541005125558154</v>
      </c>
      <c r="BL394" s="29">
        <v>0</v>
      </c>
      <c r="BN394" s="22">
        <v>44939</v>
      </c>
      <c r="BO394" s="26">
        <f t="shared" ca="1" si="45"/>
        <v>0.30339960577325897</v>
      </c>
      <c r="BP394" s="29">
        <v>0</v>
      </c>
      <c r="BR394" s="22">
        <v>44939</v>
      </c>
      <c r="BS394" s="26">
        <f t="shared" ca="1" si="46"/>
        <v>0.569451599620444</v>
      </c>
      <c r="BT394" s="29">
        <v>0</v>
      </c>
      <c r="BV394" s="22">
        <v>44939</v>
      </c>
      <c r="BW394" s="26">
        <f t="shared" ca="1" si="47"/>
        <v>0.71269308150411714</v>
      </c>
      <c r="BX394" s="29">
        <v>0</v>
      </c>
    </row>
    <row r="395" spans="2:76" ht="12.75" x14ac:dyDescent="0.2">
      <c r="B395" s="22">
        <v>44940</v>
      </c>
      <c r="C395" s="26">
        <f t="shared" ca="1" si="56"/>
        <v>0.89927311624479733</v>
      </c>
      <c r="D395" s="29">
        <f t="shared" ca="1" si="53"/>
        <v>101</v>
      </c>
      <c r="F395" s="22">
        <v>44940</v>
      </c>
      <c r="G395" s="26">
        <f t="shared" ca="1" si="31"/>
        <v>0.14498414933132164</v>
      </c>
      <c r="H395" s="29">
        <f t="shared" ca="1" si="59"/>
        <v>201</v>
      </c>
      <c r="J395" s="22">
        <v>44940</v>
      </c>
      <c r="K395" s="26">
        <f t="shared" ca="1" si="32"/>
        <v>0.10564350580815762</v>
      </c>
      <c r="L395" s="29">
        <f t="shared" ca="1" si="60"/>
        <v>138</v>
      </c>
      <c r="N395" s="22">
        <v>44940</v>
      </c>
      <c r="O395" s="26">
        <f t="shared" ca="1" si="33"/>
        <v>0.25292033370817435</v>
      </c>
      <c r="P395" s="29">
        <f t="shared" ca="1" si="61"/>
        <v>220</v>
      </c>
      <c r="R395" s="22">
        <v>44940</v>
      </c>
      <c r="S395" s="26">
        <f t="shared" ca="1" si="34"/>
        <v>0.86627855998854619</v>
      </c>
      <c r="T395" s="29">
        <f t="shared" ca="1" si="62"/>
        <v>150</v>
      </c>
      <c r="V395" s="22">
        <v>44940</v>
      </c>
      <c r="W395" s="26">
        <f t="shared" ca="1" si="35"/>
        <v>0.83786382576514651</v>
      </c>
      <c r="X395" s="29">
        <f t="shared" ca="1" si="65"/>
        <v>240</v>
      </c>
      <c r="Z395" s="22">
        <v>44940</v>
      </c>
      <c r="AA395" s="26">
        <f t="shared" ca="1" si="36"/>
        <v>0.48884334381802064</v>
      </c>
      <c r="AB395" s="29">
        <f t="shared" ca="1" si="63"/>
        <v>270</v>
      </c>
      <c r="AC395"/>
      <c r="AD395" s="25"/>
      <c r="AF395" s="22">
        <v>44940</v>
      </c>
      <c r="AG395" s="26">
        <f t="shared" ca="1" si="37"/>
        <v>0.92645605134767706</v>
      </c>
      <c r="AH395" s="29">
        <f t="shared" ca="1" si="64"/>
        <v>454</v>
      </c>
      <c r="AJ395" s="22">
        <v>44940</v>
      </c>
      <c r="AK395" s="26">
        <f t="shared" ca="1" si="38"/>
        <v>0.76928525741488984</v>
      </c>
      <c r="AL395" s="29">
        <v>0</v>
      </c>
      <c r="AN395" s="22">
        <v>44940</v>
      </c>
      <c r="AO395" s="26">
        <f t="shared" ca="1" si="39"/>
        <v>0.50876812868979893</v>
      </c>
      <c r="AP395" s="29">
        <v>0</v>
      </c>
      <c r="AR395" s="22">
        <v>44940</v>
      </c>
      <c r="AS395" s="26">
        <f t="shared" ca="1" si="40"/>
        <v>0.80253754671908972</v>
      </c>
      <c r="AT395" s="29">
        <v>0</v>
      </c>
      <c r="AV395" s="22">
        <v>44940</v>
      </c>
      <c r="AW395" s="26">
        <f t="shared" ca="1" si="41"/>
        <v>9.2040563235232908E-2</v>
      </c>
      <c r="AX395" s="29">
        <v>0</v>
      </c>
      <c r="AZ395" s="22">
        <v>44940</v>
      </c>
      <c r="BA395" s="26">
        <f t="shared" ca="1" si="42"/>
        <v>0.67245753026854738</v>
      </c>
      <c r="BB395" s="29">
        <v>0</v>
      </c>
      <c r="BC395"/>
      <c r="BD395" s="25"/>
      <c r="BF395" s="22">
        <v>44940</v>
      </c>
      <c r="BG395" s="26">
        <f t="shared" ca="1" si="43"/>
        <v>0.78783111830944075</v>
      </c>
      <c r="BH395" s="29">
        <v>0</v>
      </c>
      <c r="BJ395" s="22">
        <v>44940</v>
      </c>
      <c r="BK395" s="26">
        <f t="shared" ca="1" si="44"/>
        <v>0.8109395846045695</v>
      </c>
      <c r="BL395" s="29">
        <v>0</v>
      </c>
      <c r="BN395" s="22">
        <v>44940</v>
      </c>
      <c r="BO395" s="26">
        <f t="shared" ca="1" si="45"/>
        <v>6.9963367433311663E-2</v>
      </c>
      <c r="BP395" s="29">
        <v>0</v>
      </c>
      <c r="BR395" s="22">
        <v>44940</v>
      </c>
      <c r="BS395" s="26">
        <f t="shared" ca="1" si="46"/>
        <v>0.95530701987389111</v>
      </c>
      <c r="BT395" s="29">
        <v>0</v>
      </c>
      <c r="BV395" s="22">
        <v>44940</v>
      </c>
      <c r="BW395" s="26">
        <f t="shared" ca="1" si="47"/>
        <v>0.92210629017849655</v>
      </c>
      <c r="BX395" s="29">
        <v>0</v>
      </c>
    </row>
    <row r="396" spans="2:76" ht="12.75" x14ac:dyDescent="0.2">
      <c r="B396" s="22">
        <v>44941</v>
      </c>
      <c r="C396" s="26">
        <f t="shared" ca="1" si="56"/>
        <v>0.11635213740413919</v>
      </c>
      <c r="D396" s="29">
        <f t="shared" ca="1" si="53"/>
        <v>52</v>
      </c>
      <c r="F396" s="22">
        <v>44941</v>
      </c>
      <c r="G396" s="26">
        <f t="shared" ca="1" si="31"/>
        <v>0.20027779904145682</v>
      </c>
      <c r="H396" s="29">
        <f t="shared" ca="1" si="59"/>
        <v>204</v>
      </c>
      <c r="J396" s="22">
        <v>44941</v>
      </c>
      <c r="K396" s="26">
        <f t="shared" ca="1" si="32"/>
        <v>0.65198850937539266</v>
      </c>
      <c r="L396" s="29">
        <f t="shared" ca="1" si="60"/>
        <v>154</v>
      </c>
      <c r="N396" s="22">
        <v>44941</v>
      </c>
      <c r="O396" s="26">
        <f t="shared" ca="1" si="33"/>
        <v>0.55079790084988933</v>
      </c>
      <c r="P396" s="29">
        <f t="shared" ca="1" si="61"/>
        <v>232</v>
      </c>
      <c r="R396" s="22">
        <v>44941</v>
      </c>
      <c r="S396" s="26">
        <f t="shared" ca="1" si="34"/>
        <v>0.89670109558054634</v>
      </c>
      <c r="T396" s="29">
        <f t="shared" ca="1" si="62"/>
        <v>151</v>
      </c>
      <c r="V396" s="22">
        <v>44941</v>
      </c>
      <c r="W396" s="26">
        <f t="shared" ca="1" si="35"/>
        <v>0.27437202374393854</v>
      </c>
      <c r="X396" s="29">
        <f t="shared" ca="1" si="65"/>
        <v>217</v>
      </c>
      <c r="Z396" s="22">
        <v>44941</v>
      </c>
      <c r="AA396" s="26">
        <f t="shared" ca="1" si="36"/>
        <v>0.5624552923609254</v>
      </c>
      <c r="AB396" s="29">
        <f t="shared" ca="1" si="63"/>
        <v>273</v>
      </c>
      <c r="AC396"/>
      <c r="AD396" s="25"/>
      <c r="AF396" s="22">
        <v>44941</v>
      </c>
      <c r="AG396" s="26">
        <f t="shared" ca="1" si="37"/>
        <v>0.45134548452918077</v>
      </c>
      <c r="AH396" s="29">
        <f t="shared" ca="1" si="64"/>
        <v>317</v>
      </c>
      <c r="AJ396" s="22">
        <v>44941</v>
      </c>
      <c r="AK396" s="26">
        <f t="shared" ca="1" si="38"/>
        <v>0.63420061131357308</v>
      </c>
      <c r="AL396" s="29">
        <v>0</v>
      </c>
      <c r="AN396" s="22">
        <v>44941</v>
      </c>
      <c r="AO396" s="26">
        <f t="shared" ca="1" si="39"/>
        <v>0.6664316195984471</v>
      </c>
      <c r="AP396" s="29">
        <v>0</v>
      </c>
      <c r="AR396" s="22">
        <v>44941</v>
      </c>
      <c r="AS396" s="26">
        <f t="shared" ca="1" si="40"/>
        <v>0.63700402911553056</v>
      </c>
      <c r="AT396" s="29">
        <v>0</v>
      </c>
      <c r="AV396" s="22">
        <v>44941</v>
      </c>
      <c r="AW396" s="26">
        <f t="shared" ca="1" si="41"/>
        <v>0.33940770539486143</v>
      </c>
      <c r="AX396" s="29">
        <v>0</v>
      </c>
      <c r="AZ396" s="22">
        <v>44941</v>
      </c>
      <c r="BA396" s="26">
        <f t="shared" ca="1" si="42"/>
        <v>0.84389504903056145</v>
      </c>
      <c r="BB396" s="29">
        <v>0</v>
      </c>
      <c r="BC396"/>
      <c r="BD396" s="25"/>
      <c r="BF396" s="22">
        <v>44941</v>
      </c>
      <c r="BG396" s="26">
        <f t="shared" ca="1" si="43"/>
        <v>0.85984385145811804</v>
      </c>
      <c r="BH396" s="29">
        <v>0</v>
      </c>
      <c r="BJ396" s="22">
        <v>44941</v>
      </c>
      <c r="BK396" s="26">
        <f t="shared" ca="1" si="44"/>
        <v>0.85970831125213054</v>
      </c>
      <c r="BL396" s="29">
        <v>0</v>
      </c>
      <c r="BN396" s="22">
        <v>44941</v>
      </c>
      <c r="BO396" s="26">
        <f t="shared" ca="1" si="45"/>
        <v>0.1244933493825443</v>
      </c>
      <c r="BP396" s="29">
        <v>0</v>
      </c>
      <c r="BR396" s="22">
        <v>44941</v>
      </c>
      <c r="BS396" s="26">
        <f t="shared" ca="1" si="46"/>
        <v>0.6570107169229189</v>
      </c>
      <c r="BT396" s="29">
        <v>0</v>
      </c>
      <c r="BV396" s="22">
        <v>44941</v>
      </c>
      <c r="BW396" s="26">
        <f t="shared" ca="1" si="47"/>
        <v>0.76479158137552328</v>
      </c>
      <c r="BX396" s="29">
        <v>0</v>
      </c>
    </row>
    <row r="397" spans="2:76" ht="12.75" x14ac:dyDescent="0.2">
      <c r="B397" s="22">
        <v>44942</v>
      </c>
      <c r="C397" s="26">
        <f t="shared" ca="1" si="56"/>
        <v>0.22579636148691773</v>
      </c>
      <c r="D397" s="29">
        <f t="shared" ca="1" si="53"/>
        <v>60</v>
      </c>
      <c r="F397" s="22">
        <v>44942</v>
      </c>
      <c r="G397" s="26">
        <f t="shared" ca="1" si="31"/>
        <v>0.97891177398600604</v>
      </c>
      <c r="H397" s="29">
        <f t="shared" ca="1" si="59"/>
        <v>245</v>
      </c>
      <c r="J397" s="22">
        <v>44942</v>
      </c>
      <c r="K397" s="26">
        <f t="shared" ca="1" si="32"/>
        <v>0.45785877702350475</v>
      </c>
      <c r="L397" s="29">
        <f t="shared" ca="1" si="60"/>
        <v>149</v>
      </c>
      <c r="N397" s="22">
        <v>44942</v>
      </c>
      <c r="O397" s="26">
        <f t="shared" ca="1" si="33"/>
        <v>0.38651552948305812</v>
      </c>
      <c r="P397" s="29">
        <f t="shared" ca="1" si="61"/>
        <v>225</v>
      </c>
      <c r="R397" s="22">
        <v>44942</v>
      </c>
      <c r="S397" s="26">
        <f t="shared" ca="1" si="34"/>
        <v>0.69089781321147059</v>
      </c>
      <c r="T397" s="29">
        <f t="shared" ca="1" si="62"/>
        <v>144</v>
      </c>
      <c r="V397" s="22">
        <v>44942</v>
      </c>
      <c r="W397" s="26">
        <f t="shared" ca="1" si="35"/>
        <v>0.5351020065334906</v>
      </c>
      <c r="X397" s="29">
        <f t="shared" ca="1" si="65"/>
        <v>227</v>
      </c>
      <c r="Z397" s="22">
        <v>44942</v>
      </c>
      <c r="AA397" s="26">
        <f t="shared" ca="1" si="36"/>
        <v>0.33535900067164492</v>
      </c>
      <c r="AB397" s="29">
        <f t="shared" ca="1" si="63"/>
        <v>263</v>
      </c>
      <c r="AC397"/>
      <c r="AD397" s="25"/>
      <c r="AF397" s="22">
        <v>44942</v>
      </c>
      <c r="AG397" s="26">
        <f t="shared" ca="1" si="37"/>
        <v>0.24956210967851766</v>
      </c>
      <c r="AH397" s="29">
        <f t="shared" ca="1" si="64"/>
        <v>269</v>
      </c>
      <c r="AJ397" s="22">
        <v>44942</v>
      </c>
      <c r="AK397" s="26">
        <f t="shared" ca="1" si="38"/>
        <v>0.53915940563758935</v>
      </c>
      <c r="AL397" s="29">
        <v>0</v>
      </c>
      <c r="AN397" s="22">
        <v>44942</v>
      </c>
      <c r="AO397" s="26">
        <f t="shared" ca="1" si="39"/>
        <v>0.49145277280682931</v>
      </c>
      <c r="AP397" s="29">
        <v>0</v>
      </c>
      <c r="AR397" s="22">
        <v>44942</v>
      </c>
      <c r="AS397" s="26">
        <f t="shared" ca="1" si="40"/>
        <v>0.86466336756401629</v>
      </c>
      <c r="AT397" s="29">
        <v>0</v>
      </c>
      <c r="AV397" s="22">
        <v>44942</v>
      </c>
      <c r="AW397" s="26">
        <f t="shared" ca="1" si="41"/>
        <v>0.16578049685803631</v>
      </c>
      <c r="AX397" s="29">
        <v>0</v>
      </c>
      <c r="AZ397" s="22">
        <v>44942</v>
      </c>
      <c r="BA397" s="26">
        <f t="shared" ca="1" si="42"/>
        <v>0.27832480782694635</v>
      </c>
      <c r="BB397" s="29">
        <v>0</v>
      </c>
      <c r="BC397"/>
      <c r="BD397" s="25"/>
      <c r="BF397" s="22">
        <v>44942</v>
      </c>
      <c r="BG397" s="26">
        <f t="shared" ca="1" si="43"/>
        <v>0.73879541405126414</v>
      </c>
      <c r="BH397" s="29">
        <v>0</v>
      </c>
      <c r="BJ397" s="22">
        <v>44942</v>
      </c>
      <c r="BK397" s="26">
        <f t="shared" ca="1" si="44"/>
        <v>0.13939216444704916</v>
      </c>
      <c r="BL397" s="29">
        <v>0</v>
      </c>
      <c r="BN397" s="22">
        <v>44942</v>
      </c>
      <c r="BO397" s="26">
        <f t="shared" ca="1" si="45"/>
        <v>0.36159977013976352</v>
      </c>
      <c r="BP397" s="29">
        <v>0</v>
      </c>
      <c r="BR397" s="22">
        <v>44942</v>
      </c>
      <c r="BS397" s="26">
        <f t="shared" ca="1" si="46"/>
        <v>0.49136662344039306</v>
      </c>
      <c r="BT397" s="29">
        <v>0</v>
      </c>
      <c r="BV397" s="22">
        <v>44942</v>
      </c>
      <c r="BW397" s="26">
        <f t="shared" ca="1" si="47"/>
        <v>0.25702095786183166</v>
      </c>
      <c r="BX397" s="29">
        <v>0</v>
      </c>
    </row>
    <row r="398" spans="2:76" ht="12.75" x14ac:dyDescent="0.2">
      <c r="B398" s="22">
        <v>44943</v>
      </c>
      <c r="C398" s="26">
        <f t="shared" ca="1" si="56"/>
        <v>0.27369915299127023</v>
      </c>
      <c r="D398" s="29">
        <f t="shared" ca="1" si="53"/>
        <v>63</v>
      </c>
      <c r="F398" s="22">
        <v>44943</v>
      </c>
      <c r="G398" s="26">
        <f t="shared" ca="1" si="31"/>
        <v>0.36779227578208662</v>
      </c>
      <c r="H398" s="29">
        <f t="shared" ca="1" si="59"/>
        <v>211</v>
      </c>
      <c r="J398" s="22">
        <v>44943</v>
      </c>
      <c r="K398" s="26">
        <f t="shared" ca="1" si="32"/>
        <v>0.51848680286723792</v>
      </c>
      <c r="L398" s="29">
        <f t="shared" ca="1" si="60"/>
        <v>151</v>
      </c>
      <c r="N398" s="22">
        <v>44943</v>
      </c>
      <c r="O398" s="26">
        <f t="shared" ca="1" si="33"/>
        <v>0.72973958544798601</v>
      </c>
      <c r="P398" s="29">
        <f t="shared" ca="1" si="61"/>
        <v>239</v>
      </c>
      <c r="R398" s="22">
        <v>44943</v>
      </c>
      <c r="S398" s="26">
        <f t="shared" ca="1" si="34"/>
        <v>0.81271228409817542</v>
      </c>
      <c r="T398" s="29">
        <f t="shared" ca="1" si="62"/>
        <v>147</v>
      </c>
      <c r="V398" s="22">
        <v>44943</v>
      </c>
      <c r="W398" s="26">
        <f t="shared" ca="1" si="35"/>
        <v>0.91663457436691953</v>
      </c>
      <c r="X398" s="29">
        <f t="shared" ca="1" si="65"/>
        <v>246</v>
      </c>
      <c r="Z398" s="22">
        <v>44943</v>
      </c>
      <c r="AA398" s="26">
        <f t="shared" ca="1" si="36"/>
        <v>0.87006775273750592</v>
      </c>
      <c r="AB398" s="29">
        <f t="shared" ca="1" si="63"/>
        <v>291</v>
      </c>
      <c r="AC398"/>
      <c r="AD398" s="25"/>
      <c r="AF398" s="22">
        <v>44943</v>
      </c>
      <c r="AG398" s="26">
        <f t="shared" ca="1" si="37"/>
        <v>0.9585717405375912</v>
      </c>
      <c r="AH398" s="29">
        <f t="shared" ca="1" si="64"/>
        <v>479</v>
      </c>
      <c r="AJ398" s="22">
        <v>44943</v>
      </c>
      <c r="AK398" s="26">
        <f t="shared" ca="1" si="38"/>
        <v>0.49590466364505825</v>
      </c>
      <c r="AL398" s="29">
        <v>0</v>
      </c>
      <c r="AN398" s="22">
        <v>44943</v>
      </c>
      <c r="AO398" s="26">
        <f t="shared" ca="1" si="39"/>
        <v>0.3298014751953745</v>
      </c>
      <c r="AP398" s="29">
        <v>0</v>
      </c>
      <c r="AR398" s="22">
        <v>44943</v>
      </c>
      <c r="AS398" s="26">
        <f t="shared" ca="1" si="40"/>
        <v>0.75198414490647836</v>
      </c>
      <c r="AT398" s="29">
        <v>0</v>
      </c>
      <c r="AV398" s="22">
        <v>44943</v>
      </c>
      <c r="AW398" s="26">
        <f t="shared" ca="1" si="41"/>
        <v>0.70327568852379119</v>
      </c>
      <c r="AX398" s="29">
        <v>0</v>
      </c>
      <c r="AZ398" s="22">
        <v>44943</v>
      </c>
      <c r="BA398" s="26">
        <f t="shared" ca="1" si="42"/>
        <v>0.97606046812299907</v>
      </c>
      <c r="BB398" s="29">
        <v>0</v>
      </c>
      <c r="BC398"/>
      <c r="BD398" s="25"/>
      <c r="BF398" s="22">
        <v>44943</v>
      </c>
      <c r="BG398" s="26">
        <f t="shared" ca="1" si="43"/>
        <v>0.44451222482606789</v>
      </c>
      <c r="BH398" s="29">
        <v>0</v>
      </c>
      <c r="BJ398" s="22">
        <v>44943</v>
      </c>
      <c r="BK398" s="26">
        <f t="shared" ca="1" si="44"/>
        <v>0.74640444772026482</v>
      </c>
      <c r="BL398" s="29">
        <v>0</v>
      </c>
      <c r="BN398" s="22">
        <v>44943</v>
      </c>
      <c r="BO398" s="26">
        <f t="shared" ca="1" si="45"/>
        <v>7.5569681835268576E-2</v>
      </c>
      <c r="BP398" s="29">
        <v>0</v>
      </c>
      <c r="BR398" s="22">
        <v>44943</v>
      </c>
      <c r="BS398" s="26">
        <f t="shared" ca="1" si="46"/>
        <v>0.58019021630918488</v>
      </c>
      <c r="BT398" s="29">
        <v>0</v>
      </c>
      <c r="BV398" s="22">
        <v>44943</v>
      </c>
      <c r="BW398" s="26">
        <f t="shared" ca="1" si="47"/>
        <v>0.63676292298851767</v>
      </c>
      <c r="BX398" s="29">
        <v>0</v>
      </c>
    </row>
    <row r="399" spans="2:76" ht="12.75" x14ac:dyDescent="0.2">
      <c r="B399" s="22">
        <v>44944</v>
      </c>
      <c r="C399" s="26">
        <f t="shared" ca="1" si="56"/>
        <v>0.52422536478536796</v>
      </c>
      <c r="D399" s="29">
        <f t="shared" ca="1" si="53"/>
        <v>77</v>
      </c>
      <c r="F399" s="22">
        <v>44944</v>
      </c>
      <c r="G399" s="26">
        <f t="shared" ca="1" si="31"/>
        <v>0.85466010312127627</v>
      </c>
      <c r="H399" s="29">
        <f t="shared" ca="1" si="59"/>
        <v>231</v>
      </c>
      <c r="J399" s="22">
        <v>44944</v>
      </c>
      <c r="K399" s="26">
        <f t="shared" ca="1" si="32"/>
        <v>0.24916491541395047</v>
      </c>
      <c r="L399" s="29">
        <f t="shared" ca="1" si="60"/>
        <v>144</v>
      </c>
      <c r="N399" s="22">
        <v>44944</v>
      </c>
      <c r="O399" s="26">
        <f t="shared" ca="1" si="33"/>
        <v>0.81801084350303754</v>
      </c>
      <c r="P399" s="29">
        <f t="shared" ca="1" si="61"/>
        <v>244</v>
      </c>
      <c r="R399" s="22">
        <v>44944</v>
      </c>
      <c r="S399" s="26">
        <f t="shared" ca="1" si="34"/>
        <v>0.67631358799838104</v>
      </c>
      <c r="T399" s="29">
        <f t="shared" ca="1" si="62"/>
        <v>143</v>
      </c>
      <c r="V399" s="22">
        <v>44944</v>
      </c>
      <c r="W399" s="26">
        <f t="shared" ca="1" si="35"/>
        <v>0.79172372041033423</v>
      </c>
      <c r="X399" s="29">
        <f t="shared" ca="1" si="65"/>
        <v>238</v>
      </c>
      <c r="Z399" s="22">
        <v>44944</v>
      </c>
      <c r="AA399" s="26">
        <f t="shared" ca="1" si="36"/>
        <v>0.41455219330714455</v>
      </c>
      <c r="AB399" s="29">
        <f t="shared" ca="1" si="63"/>
        <v>267</v>
      </c>
      <c r="AC399"/>
      <c r="AD399" s="25"/>
      <c r="AF399" s="22">
        <v>44944</v>
      </c>
      <c r="AG399" s="26">
        <f t="shared" ca="1" si="37"/>
        <v>0.17061929723679159</v>
      </c>
      <c r="AH399" s="29">
        <f t="shared" ca="1" si="64"/>
        <v>245</v>
      </c>
      <c r="AJ399" s="22">
        <v>44944</v>
      </c>
      <c r="AK399" s="26">
        <f t="shared" ca="1" si="38"/>
        <v>0.52346801273940402</v>
      </c>
      <c r="AL399" s="29">
        <v>0</v>
      </c>
      <c r="AN399" s="22">
        <v>44944</v>
      </c>
      <c r="AO399" s="26">
        <f t="shared" ca="1" si="39"/>
        <v>9.4956201316433009E-2</v>
      </c>
      <c r="AP399" s="29">
        <v>0</v>
      </c>
      <c r="AR399" s="22">
        <v>44944</v>
      </c>
      <c r="AS399" s="26">
        <f t="shared" ca="1" si="40"/>
        <v>0.25730691909452341</v>
      </c>
      <c r="AT399" s="29">
        <v>0</v>
      </c>
      <c r="AV399" s="22">
        <v>44944</v>
      </c>
      <c r="AW399" s="26">
        <f t="shared" ca="1" si="41"/>
        <v>0.27957450034947928</v>
      </c>
      <c r="AX399" s="29">
        <v>0</v>
      </c>
      <c r="AZ399" s="22">
        <v>44944</v>
      </c>
      <c r="BA399" s="26">
        <f t="shared" ca="1" si="42"/>
        <v>0.34604187440856149</v>
      </c>
      <c r="BB399" s="29">
        <v>0</v>
      </c>
      <c r="BC399"/>
      <c r="BD399" s="25"/>
      <c r="BF399" s="22">
        <v>44944</v>
      </c>
      <c r="BG399" s="26">
        <f t="shared" ca="1" si="43"/>
        <v>0.65423728979016915</v>
      </c>
      <c r="BH399" s="29">
        <v>0</v>
      </c>
      <c r="BJ399" s="22">
        <v>44944</v>
      </c>
      <c r="BK399" s="26">
        <f t="shared" ca="1" si="44"/>
        <v>0.19628541979244662</v>
      </c>
      <c r="BL399" s="29">
        <v>0</v>
      </c>
      <c r="BN399" s="22">
        <v>44944</v>
      </c>
      <c r="BO399" s="26">
        <f t="shared" ca="1" si="45"/>
        <v>0.59157907737270421</v>
      </c>
      <c r="BP399" s="29">
        <v>0</v>
      </c>
      <c r="BR399" s="22">
        <v>44944</v>
      </c>
      <c r="BS399" s="26">
        <f t="shared" ca="1" si="46"/>
        <v>0.44119811776530637</v>
      </c>
      <c r="BT399" s="29">
        <v>0</v>
      </c>
      <c r="BV399" s="22">
        <v>44944</v>
      </c>
      <c r="BW399" s="26">
        <f t="shared" ca="1" si="47"/>
        <v>0.19409776962593439</v>
      </c>
      <c r="BX399" s="29">
        <v>0</v>
      </c>
    </row>
    <row r="400" spans="2:76" ht="12.75" x14ac:dyDescent="0.2">
      <c r="B400" s="22">
        <v>44945</v>
      </c>
      <c r="C400" s="26">
        <f t="shared" ca="1" si="56"/>
        <v>1.2414864656753344E-2</v>
      </c>
      <c r="D400" s="29">
        <f t="shared" ca="1" si="53"/>
        <v>31</v>
      </c>
      <c r="F400" s="22">
        <v>44945</v>
      </c>
      <c r="G400" s="26">
        <f t="shared" ca="1" si="31"/>
        <v>0.47896897979456599</v>
      </c>
      <c r="H400" s="29">
        <f t="shared" ca="1" si="59"/>
        <v>215</v>
      </c>
      <c r="J400" s="22">
        <v>44945</v>
      </c>
      <c r="K400" s="26">
        <f t="shared" ca="1" si="32"/>
        <v>0.88100240539191466</v>
      </c>
      <c r="L400" s="29">
        <f t="shared" ca="1" si="60"/>
        <v>162</v>
      </c>
      <c r="N400" s="22">
        <v>44945</v>
      </c>
      <c r="O400" s="26">
        <f t="shared" ca="1" si="33"/>
        <v>0.49168634125182464</v>
      </c>
      <c r="P400" s="29">
        <f t="shared" ca="1" si="61"/>
        <v>230</v>
      </c>
      <c r="R400" s="22">
        <v>44945</v>
      </c>
      <c r="S400" s="26">
        <f t="shared" ca="1" si="34"/>
        <v>0.10773264143970651</v>
      </c>
      <c r="T400" s="29">
        <f t="shared" ca="1" si="62"/>
        <v>128</v>
      </c>
      <c r="V400" s="22">
        <v>44945</v>
      </c>
      <c r="W400" s="26">
        <f t="shared" ca="1" si="35"/>
        <v>0.47083876304398053</v>
      </c>
      <c r="X400" s="29">
        <f t="shared" ca="1" si="65"/>
        <v>224</v>
      </c>
      <c r="Z400" s="22">
        <v>44945</v>
      </c>
      <c r="AA400" s="26">
        <f t="shared" ca="1" si="36"/>
        <v>0.23904173928220962</v>
      </c>
      <c r="AB400" s="29">
        <f t="shared" ca="1" si="63"/>
        <v>258</v>
      </c>
      <c r="AC400"/>
      <c r="AD400" s="25"/>
      <c r="AF400" s="22">
        <v>44945</v>
      </c>
      <c r="AG400" s="26">
        <f t="shared" ca="1" si="37"/>
        <v>0.48583001421422289</v>
      </c>
      <c r="AH400" s="29">
        <f t="shared" ca="1" si="64"/>
        <v>324</v>
      </c>
      <c r="AJ400" s="22">
        <v>44945</v>
      </c>
      <c r="AK400" s="26">
        <f t="shared" ca="1" si="38"/>
        <v>0.54713164382312307</v>
      </c>
      <c r="AL400" s="29">
        <v>0</v>
      </c>
      <c r="AN400" s="22">
        <v>44945</v>
      </c>
      <c r="AO400" s="26">
        <f t="shared" ca="1" si="39"/>
        <v>0.84802344235879934</v>
      </c>
      <c r="AP400" s="29">
        <v>0</v>
      </c>
      <c r="AR400" s="22">
        <v>44945</v>
      </c>
      <c r="AS400" s="26">
        <f t="shared" ca="1" si="40"/>
        <v>0.14279523620589651</v>
      </c>
      <c r="AT400" s="29">
        <v>0</v>
      </c>
      <c r="AV400" s="22">
        <v>44945</v>
      </c>
      <c r="AW400" s="26">
        <f t="shared" ca="1" si="41"/>
        <v>0.5722162200002916</v>
      </c>
      <c r="AX400" s="29">
        <v>0</v>
      </c>
      <c r="AZ400" s="22">
        <v>44945</v>
      </c>
      <c r="BA400" s="26">
        <f t="shared" ca="1" si="42"/>
        <v>0.35866563625796499</v>
      </c>
      <c r="BB400" s="29">
        <v>0</v>
      </c>
      <c r="BC400"/>
      <c r="BD400" s="25"/>
      <c r="BF400" s="22">
        <v>44945</v>
      </c>
      <c r="BG400" s="26">
        <f t="shared" ca="1" si="43"/>
        <v>0.49489732822549293</v>
      </c>
      <c r="BH400" s="29">
        <v>0</v>
      </c>
      <c r="BJ400" s="22">
        <v>44945</v>
      </c>
      <c r="BK400" s="26">
        <f t="shared" ca="1" si="44"/>
        <v>0.66058062050378985</v>
      </c>
      <c r="BL400" s="29">
        <v>0</v>
      </c>
      <c r="BN400" s="22">
        <v>44945</v>
      </c>
      <c r="BO400" s="26">
        <f t="shared" ca="1" si="45"/>
        <v>0.10712849987810802</v>
      </c>
      <c r="BP400" s="29">
        <v>0</v>
      </c>
      <c r="BR400" s="22">
        <v>44945</v>
      </c>
      <c r="BS400" s="26">
        <f t="shared" ca="1" si="46"/>
        <v>5.0041638106368302E-2</v>
      </c>
      <c r="BT400" s="29">
        <v>0</v>
      </c>
      <c r="BV400" s="22">
        <v>44945</v>
      </c>
      <c r="BW400" s="26">
        <f t="shared" ca="1" si="47"/>
        <v>0.14252067544157088</v>
      </c>
      <c r="BX400" s="29">
        <v>0</v>
      </c>
    </row>
    <row r="401" spans="2:77" ht="12.75" x14ac:dyDescent="0.2">
      <c r="B401" s="22">
        <v>44946</v>
      </c>
      <c r="C401" s="26">
        <f t="shared" ca="1" si="56"/>
        <v>0.60095849196150308</v>
      </c>
      <c r="D401" s="29">
        <f t="shared" ca="1" si="53"/>
        <v>81</v>
      </c>
      <c r="F401" s="22">
        <v>44946</v>
      </c>
      <c r="G401" s="26">
        <f t="shared" ca="1" si="31"/>
        <v>7.1716684372717943E-2</v>
      </c>
      <c r="H401" s="29">
        <f t="shared" ca="1" si="59"/>
        <v>195</v>
      </c>
      <c r="J401" s="22">
        <v>44946</v>
      </c>
      <c r="K401" s="26">
        <f t="shared" ca="1" si="32"/>
        <v>0.27309187003970625</v>
      </c>
      <c r="L401" s="29">
        <f t="shared" ca="1" si="60"/>
        <v>144</v>
      </c>
      <c r="N401" s="22">
        <v>44946</v>
      </c>
      <c r="O401" s="26">
        <f t="shared" ca="1" si="33"/>
        <v>0.85219775230564676</v>
      </c>
      <c r="P401" s="29">
        <f t="shared" ca="1" si="61"/>
        <v>246</v>
      </c>
      <c r="R401" s="22">
        <v>44946</v>
      </c>
      <c r="S401" s="26">
        <f t="shared" ca="1" si="34"/>
        <v>0.4091384130530723</v>
      </c>
      <c r="T401" s="29">
        <f t="shared" ca="1" si="62"/>
        <v>137</v>
      </c>
      <c r="V401" s="22">
        <v>44946</v>
      </c>
      <c r="W401" s="26">
        <f t="shared" ca="1" si="35"/>
        <v>0.49470064113545797</v>
      </c>
      <c r="X401" s="29">
        <f t="shared" ca="1" si="65"/>
        <v>225</v>
      </c>
      <c r="Z401" s="22">
        <v>44946</v>
      </c>
      <c r="AA401" s="26">
        <f t="shared" ca="1" si="36"/>
        <v>0.14422209037372313</v>
      </c>
      <c r="AB401" s="29">
        <f t="shared" ca="1" si="63"/>
        <v>251</v>
      </c>
      <c r="AC401"/>
      <c r="AD401" s="25"/>
      <c r="AF401" s="22">
        <v>44946</v>
      </c>
      <c r="AG401" s="26">
        <f t="shared" ca="1" si="37"/>
        <v>0.62456593172682451</v>
      </c>
      <c r="AH401" s="29">
        <f t="shared" ca="1" si="64"/>
        <v>355</v>
      </c>
      <c r="AJ401" s="22">
        <v>44946</v>
      </c>
      <c r="AK401" s="26">
        <f t="shared" ca="1" si="38"/>
        <v>0.7812258998010001</v>
      </c>
      <c r="AL401" s="29">
        <v>0</v>
      </c>
      <c r="AN401" s="22">
        <v>44946</v>
      </c>
      <c r="AO401" s="26">
        <f t="shared" ca="1" si="39"/>
        <v>0.41385332235511796</v>
      </c>
      <c r="AP401" s="29">
        <v>0</v>
      </c>
      <c r="AR401" s="22">
        <v>44946</v>
      </c>
      <c r="AS401" s="26">
        <f t="shared" ca="1" si="40"/>
        <v>0.80406776098357302</v>
      </c>
      <c r="AT401" s="29">
        <v>0</v>
      </c>
      <c r="AV401" s="22">
        <v>44946</v>
      </c>
      <c r="AW401" s="26">
        <f t="shared" ca="1" si="41"/>
        <v>0.67657731938322274</v>
      </c>
      <c r="AX401" s="29">
        <v>0</v>
      </c>
      <c r="AZ401" s="22">
        <v>44946</v>
      </c>
      <c r="BA401" s="26">
        <f t="shared" ca="1" si="42"/>
        <v>6.2694245780694713E-2</v>
      </c>
      <c r="BB401" s="29">
        <v>0</v>
      </c>
      <c r="BC401"/>
      <c r="BD401" s="25"/>
      <c r="BF401" s="22">
        <v>44946</v>
      </c>
      <c r="BG401" s="26">
        <f t="shared" ca="1" si="43"/>
        <v>0.42880697009509028</v>
      </c>
      <c r="BH401" s="29">
        <v>0</v>
      </c>
      <c r="BJ401" s="22">
        <v>44946</v>
      </c>
      <c r="BK401" s="26">
        <f t="shared" ca="1" si="44"/>
        <v>0.13292609236625841</v>
      </c>
      <c r="BL401" s="29">
        <v>0</v>
      </c>
      <c r="BN401" s="22">
        <v>44946</v>
      </c>
      <c r="BO401" s="26">
        <f t="shared" ca="1" si="45"/>
        <v>0.48016521967099246</v>
      </c>
      <c r="BP401" s="29">
        <v>0</v>
      </c>
      <c r="BR401" s="22">
        <v>44946</v>
      </c>
      <c r="BS401" s="26">
        <f t="shared" ca="1" si="46"/>
        <v>0.85504938976208911</v>
      </c>
      <c r="BT401" s="29">
        <v>0</v>
      </c>
      <c r="BV401" s="22">
        <v>44946</v>
      </c>
      <c r="BW401" s="26">
        <f t="shared" ca="1" si="47"/>
        <v>0.52569650112511224</v>
      </c>
      <c r="BX401" s="29">
        <v>0</v>
      </c>
    </row>
    <row r="402" spans="2:77" ht="12.75" x14ac:dyDescent="0.2">
      <c r="B402" s="22">
        <v>44947</v>
      </c>
      <c r="C402" s="26">
        <f t="shared" ca="1" si="56"/>
        <v>0.89151335270849041</v>
      </c>
      <c r="D402" s="29">
        <f t="shared" ref="D402:D465" ca="1" si="66">ROUNDUP(_xlfn.NORM.INV(C402,C$10,C$12),0)</f>
        <v>100</v>
      </c>
      <c r="F402" s="22">
        <v>44947</v>
      </c>
      <c r="G402" s="26">
        <f t="shared" ca="1" si="31"/>
        <v>0.97299205668333255</v>
      </c>
      <c r="H402" s="29">
        <f t="shared" ca="1" si="59"/>
        <v>244</v>
      </c>
      <c r="J402" s="22">
        <v>44947</v>
      </c>
      <c r="K402" s="26">
        <f t="shared" ca="1" si="32"/>
        <v>0.22228107806044051</v>
      </c>
      <c r="L402" s="29">
        <f t="shared" ca="1" si="60"/>
        <v>143</v>
      </c>
      <c r="N402" s="22">
        <v>44947</v>
      </c>
      <c r="O402" s="26">
        <f t="shared" ca="1" si="33"/>
        <v>0.39965773176521524</v>
      </c>
      <c r="P402" s="29">
        <f t="shared" ca="1" si="61"/>
        <v>226</v>
      </c>
      <c r="R402" s="22">
        <v>44947</v>
      </c>
      <c r="S402" s="26">
        <f t="shared" ca="1" si="34"/>
        <v>0.61794506476244493</v>
      </c>
      <c r="T402" s="29">
        <f t="shared" ca="1" si="62"/>
        <v>142</v>
      </c>
      <c r="V402" s="22">
        <v>44947</v>
      </c>
      <c r="W402" s="26">
        <f t="shared" ca="1" si="35"/>
        <v>0.38429960620200254</v>
      </c>
      <c r="X402" s="29">
        <f t="shared" ca="1" si="65"/>
        <v>221</v>
      </c>
      <c r="Z402" s="22">
        <v>44947</v>
      </c>
      <c r="AA402" s="26">
        <f t="shared" ca="1" si="36"/>
        <v>0.81358188070381599</v>
      </c>
      <c r="AB402" s="29">
        <f t="shared" ca="1" si="63"/>
        <v>287</v>
      </c>
      <c r="AC402"/>
      <c r="AD402" s="25"/>
      <c r="AF402" s="22">
        <v>44947</v>
      </c>
      <c r="AG402" s="26">
        <f t="shared" ca="1" si="37"/>
        <v>0.84155421776730421</v>
      </c>
      <c r="AH402" s="29">
        <f t="shared" ca="1" si="64"/>
        <v>415</v>
      </c>
      <c r="AJ402" s="22">
        <v>44947</v>
      </c>
      <c r="AK402" s="26">
        <f t="shared" ca="1" si="38"/>
        <v>0.64605181096489017</v>
      </c>
      <c r="AL402" s="29">
        <v>0</v>
      </c>
      <c r="AN402" s="22">
        <v>44947</v>
      </c>
      <c r="AO402" s="26">
        <f t="shared" ca="1" si="39"/>
        <v>1.878586404289273E-2</v>
      </c>
      <c r="AP402" s="29">
        <v>0</v>
      </c>
      <c r="AR402" s="22">
        <v>44947</v>
      </c>
      <c r="AS402" s="26">
        <f t="shared" ca="1" si="40"/>
        <v>0.55461001789059972</v>
      </c>
      <c r="AT402" s="29">
        <v>0</v>
      </c>
      <c r="AV402" s="22">
        <v>44947</v>
      </c>
      <c r="AW402" s="26">
        <f t="shared" ca="1" si="41"/>
        <v>0.20092828894162928</v>
      </c>
      <c r="AX402" s="29">
        <v>0</v>
      </c>
      <c r="AZ402" s="22">
        <v>44947</v>
      </c>
      <c r="BA402" s="26">
        <f t="shared" ca="1" si="42"/>
        <v>0.28752505043115439</v>
      </c>
      <c r="BB402" s="29">
        <v>0</v>
      </c>
      <c r="BC402"/>
      <c r="BD402" s="25"/>
      <c r="BF402" s="22">
        <v>44947</v>
      </c>
      <c r="BG402" s="26">
        <f t="shared" ca="1" si="43"/>
        <v>0.89637140058219678</v>
      </c>
      <c r="BH402" s="29">
        <v>0</v>
      </c>
      <c r="BJ402" s="22">
        <v>44947</v>
      </c>
      <c r="BK402" s="26">
        <f t="shared" ca="1" si="44"/>
        <v>0.89427789039162398</v>
      </c>
      <c r="BL402" s="29">
        <v>0</v>
      </c>
      <c r="BN402" s="22">
        <v>44947</v>
      </c>
      <c r="BO402" s="26">
        <f t="shared" ca="1" si="45"/>
        <v>0.64480366099552866</v>
      </c>
      <c r="BP402" s="29">
        <v>0</v>
      </c>
      <c r="BR402" s="22">
        <v>44947</v>
      </c>
      <c r="BS402" s="26">
        <f t="shared" ca="1" si="46"/>
        <v>0.44194690046081841</v>
      </c>
      <c r="BT402" s="29">
        <v>0</v>
      </c>
      <c r="BV402" s="22">
        <v>44947</v>
      </c>
      <c r="BW402" s="26">
        <f t="shared" ca="1" si="47"/>
        <v>0.83829543472911794</v>
      </c>
      <c r="BX402" s="29">
        <v>0</v>
      </c>
    </row>
    <row r="403" spans="2:77" ht="12.75" x14ac:dyDescent="0.2">
      <c r="B403" s="22">
        <v>44948</v>
      </c>
      <c r="C403" s="26">
        <f t="shared" ca="1" si="56"/>
        <v>0.48950857399545333</v>
      </c>
      <c r="D403" s="29">
        <f t="shared" ca="1" si="66"/>
        <v>75</v>
      </c>
      <c r="F403" s="22">
        <v>44948</v>
      </c>
      <c r="G403" s="26">
        <f t="shared" ca="1" si="31"/>
        <v>0.87758315732602721</v>
      </c>
      <c r="H403" s="29">
        <f t="shared" ca="1" si="59"/>
        <v>233</v>
      </c>
      <c r="J403" s="22">
        <v>44948</v>
      </c>
      <c r="K403" s="26">
        <f t="shared" ca="1" si="32"/>
        <v>3.5843906522665669E-2</v>
      </c>
      <c r="L403" s="29">
        <f t="shared" ca="1" si="60"/>
        <v>132</v>
      </c>
      <c r="N403" s="22">
        <v>44948</v>
      </c>
      <c r="O403" s="26">
        <f t="shared" ca="1" si="33"/>
        <v>0.24982020874232835</v>
      </c>
      <c r="P403" s="29">
        <f t="shared" ca="1" si="61"/>
        <v>220</v>
      </c>
      <c r="R403" s="22">
        <v>44948</v>
      </c>
      <c r="S403" s="26">
        <f t="shared" ca="1" si="34"/>
        <v>0.42373166598286383</v>
      </c>
      <c r="T403" s="29">
        <f t="shared" ca="1" si="62"/>
        <v>137</v>
      </c>
      <c r="V403" s="22">
        <v>44948</v>
      </c>
      <c r="W403" s="26">
        <f t="shared" ca="1" si="35"/>
        <v>0.1532012867320065</v>
      </c>
      <c r="X403" s="29">
        <f t="shared" ca="1" si="65"/>
        <v>210</v>
      </c>
      <c r="Z403" s="22">
        <v>44948</v>
      </c>
      <c r="AA403" s="26">
        <f t="shared" ca="1" si="36"/>
        <v>0.52287097923986103</v>
      </c>
      <c r="AB403" s="29">
        <f t="shared" ca="1" si="63"/>
        <v>272</v>
      </c>
      <c r="AC403"/>
      <c r="AD403" s="25"/>
      <c r="AF403" s="22">
        <v>44948</v>
      </c>
      <c r="AG403" s="26">
        <f t="shared" ca="1" si="37"/>
        <v>0.97318889360415994</v>
      </c>
      <c r="AH403" s="29">
        <f t="shared" ca="1" si="64"/>
        <v>496</v>
      </c>
      <c r="AJ403" s="22">
        <v>44948</v>
      </c>
      <c r="AK403" s="26">
        <f t="shared" ca="1" si="38"/>
        <v>0.86832656259888719</v>
      </c>
      <c r="AL403" s="29">
        <v>0</v>
      </c>
      <c r="AN403" s="22">
        <v>44948</v>
      </c>
      <c r="AO403" s="26">
        <f t="shared" ca="1" si="39"/>
        <v>0.48581946575895563</v>
      </c>
      <c r="AP403" s="29">
        <v>0</v>
      </c>
      <c r="AR403" s="22">
        <v>44948</v>
      </c>
      <c r="AS403" s="26">
        <f t="shared" ca="1" si="40"/>
        <v>0.26366093334276997</v>
      </c>
      <c r="AT403" s="29">
        <v>0</v>
      </c>
      <c r="AV403" s="22">
        <v>44948</v>
      </c>
      <c r="AW403" s="26">
        <f t="shared" ca="1" si="41"/>
        <v>3.4701636064136676E-2</v>
      </c>
      <c r="AX403" s="29">
        <v>0</v>
      </c>
      <c r="AZ403" s="22">
        <v>44948</v>
      </c>
      <c r="BA403" s="26">
        <f t="shared" ca="1" si="42"/>
        <v>0.91888770409115261</v>
      </c>
      <c r="BB403" s="29">
        <v>0</v>
      </c>
      <c r="BC403"/>
      <c r="BD403" s="25"/>
      <c r="BF403" s="22">
        <v>44948</v>
      </c>
      <c r="BG403" s="26">
        <f t="shared" ca="1" si="43"/>
        <v>0.90551080989968635</v>
      </c>
      <c r="BH403" s="29">
        <v>0</v>
      </c>
      <c r="BJ403" s="22">
        <v>44948</v>
      </c>
      <c r="BK403" s="26">
        <f t="shared" ca="1" si="44"/>
        <v>8.4831273626213455E-2</v>
      </c>
      <c r="BL403" s="29">
        <v>0</v>
      </c>
      <c r="BN403" s="22">
        <v>44948</v>
      </c>
      <c r="BO403" s="26">
        <f t="shared" ca="1" si="45"/>
        <v>0.95181254964687256</v>
      </c>
      <c r="BP403" s="29">
        <v>0</v>
      </c>
      <c r="BR403" s="22">
        <v>44948</v>
      </c>
      <c r="BS403" s="26">
        <f t="shared" ca="1" si="46"/>
        <v>0.1364353538007943</v>
      </c>
      <c r="BT403" s="29">
        <v>0</v>
      </c>
      <c r="BV403" s="22">
        <v>44948</v>
      </c>
      <c r="BW403" s="26">
        <f t="shared" ca="1" si="47"/>
        <v>0.43871832506742803</v>
      </c>
      <c r="BX403" s="29">
        <v>0</v>
      </c>
    </row>
    <row r="404" spans="2:77" ht="12.75" x14ac:dyDescent="0.2">
      <c r="B404" s="22">
        <v>44949</v>
      </c>
      <c r="C404" s="26">
        <f t="shared" ca="1" si="56"/>
        <v>0.69042619828487561</v>
      </c>
      <c r="D404" s="29">
        <f t="shared" ca="1" si="66"/>
        <v>85</v>
      </c>
      <c r="F404" s="22">
        <v>44949</v>
      </c>
      <c r="G404" s="26">
        <f t="shared" ca="1" si="31"/>
        <v>0.77506260843121499</v>
      </c>
      <c r="H404" s="29">
        <f t="shared" ca="1" si="59"/>
        <v>227</v>
      </c>
      <c r="J404" s="22">
        <v>44949</v>
      </c>
      <c r="K404" s="26">
        <f t="shared" ca="1" si="32"/>
        <v>0.24890470290862921</v>
      </c>
      <c r="L404" s="29">
        <f t="shared" ca="1" si="60"/>
        <v>144</v>
      </c>
      <c r="N404" s="22">
        <v>44949</v>
      </c>
      <c r="O404" s="26">
        <f t="shared" ca="1" si="33"/>
        <v>0.20275616918918238</v>
      </c>
      <c r="P404" s="29">
        <f t="shared" ca="1" si="61"/>
        <v>217</v>
      </c>
      <c r="R404" s="22">
        <v>44949</v>
      </c>
      <c r="S404" s="26">
        <f t="shared" ca="1" si="34"/>
        <v>0.60547435959526585</v>
      </c>
      <c r="T404" s="29">
        <f t="shared" ca="1" si="62"/>
        <v>142</v>
      </c>
      <c r="V404" s="22">
        <v>44949</v>
      </c>
      <c r="W404" s="26">
        <f t="shared" ca="1" si="35"/>
        <v>0.53989065936863323</v>
      </c>
      <c r="X404" s="29">
        <f t="shared" ca="1" si="65"/>
        <v>227</v>
      </c>
      <c r="Z404" s="22">
        <v>44949</v>
      </c>
      <c r="AA404" s="26">
        <f t="shared" ca="1" si="36"/>
        <v>5.3086432329670696E-2</v>
      </c>
      <c r="AB404" s="29">
        <f t="shared" ca="1" si="63"/>
        <v>241</v>
      </c>
      <c r="AC404"/>
      <c r="AD404" s="25"/>
      <c r="AF404" s="22">
        <v>44949</v>
      </c>
      <c r="AG404" s="26">
        <f t="shared" ca="1" si="37"/>
        <v>0.53034955596472311</v>
      </c>
      <c r="AH404" s="29">
        <f t="shared" ca="1" si="64"/>
        <v>334</v>
      </c>
      <c r="AJ404" s="22">
        <v>44949</v>
      </c>
      <c r="AK404" s="26">
        <f t="shared" ca="1" si="38"/>
        <v>0.37703724611986222</v>
      </c>
      <c r="AL404" s="29">
        <v>0</v>
      </c>
      <c r="AN404" s="22">
        <v>44949</v>
      </c>
      <c r="AO404" s="26">
        <f t="shared" ca="1" si="39"/>
        <v>0.54100768737056415</v>
      </c>
      <c r="AP404" s="29">
        <v>0</v>
      </c>
      <c r="AR404" s="22">
        <v>44949</v>
      </c>
      <c r="AS404" s="26">
        <f t="shared" ca="1" si="40"/>
        <v>0.49840666656833499</v>
      </c>
      <c r="AT404" s="29">
        <v>0</v>
      </c>
      <c r="AV404" s="22">
        <v>44949</v>
      </c>
      <c r="AW404" s="26">
        <f t="shared" ca="1" si="41"/>
        <v>0.10079234463365105</v>
      </c>
      <c r="AX404" s="29">
        <v>0</v>
      </c>
      <c r="AZ404" s="22">
        <v>44949</v>
      </c>
      <c r="BA404" s="26">
        <f t="shared" ca="1" si="42"/>
        <v>0.81218402176306226</v>
      </c>
      <c r="BB404" s="29">
        <v>0</v>
      </c>
      <c r="BC404"/>
      <c r="BD404" s="25"/>
      <c r="BF404" s="22">
        <v>44949</v>
      </c>
      <c r="BG404" s="26">
        <f t="shared" ca="1" si="43"/>
        <v>0.93986114175027036</v>
      </c>
      <c r="BH404" s="29">
        <v>0</v>
      </c>
      <c r="BJ404" s="22">
        <v>44949</v>
      </c>
      <c r="BK404" s="26">
        <f t="shared" ca="1" si="44"/>
        <v>0.9350510549921619</v>
      </c>
      <c r="BL404" s="29">
        <v>0</v>
      </c>
      <c r="BN404" s="22">
        <v>44949</v>
      </c>
      <c r="BO404" s="26">
        <f t="shared" ca="1" si="45"/>
        <v>0.81667900249957237</v>
      </c>
      <c r="BP404" s="29">
        <v>0</v>
      </c>
      <c r="BR404" s="22">
        <v>44949</v>
      </c>
      <c r="BS404" s="26">
        <f t="shared" ca="1" si="46"/>
        <v>0.22038302622645078</v>
      </c>
      <c r="BT404" s="29">
        <v>0</v>
      </c>
      <c r="BV404" s="22">
        <v>44949</v>
      </c>
      <c r="BW404" s="26">
        <f t="shared" ca="1" si="47"/>
        <v>0.54008830571790645</v>
      </c>
      <c r="BX404" s="29">
        <v>0</v>
      </c>
    </row>
    <row r="405" spans="2:77" ht="12.75" x14ac:dyDescent="0.2">
      <c r="B405" s="22">
        <v>44950</v>
      </c>
      <c r="C405" s="26">
        <f t="shared" ca="1" si="56"/>
        <v>0.15022552135103173</v>
      </c>
      <c r="D405" s="29">
        <f t="shared" ca="1" si="66"/>
        <v>55</v>
      </c>
      <c r="F405" s="22">
        <v>44950</v>
      </c>
      <c r="G405" s="26">
        <f t="shared" ca="1" si="31"/>
        <v>0.71979837176291339</v>
      </c>
      <c r="H405" s="29">
        <f t="shared" ca="1" si="59"/>
        <v>224</v>
      </c>
      <c r="J405" s="22">
        <v>44950</v>
      </c>
      <c r="K405" s="26">
        <f t="shared" ca="1" si="32"/>
        <v>2.2240403264213171E-3</v>
      </c>
      <c r="L405" s="29">
        <f t="shared" ca="1" si="60"/>
        <v>122</v>
      </c>
      <c r="N405" s="22">
        <v>44950</v>
      </c>
      <c r="O405" s="26">
        <f t="shared" ca="1" si="33"/>
        <v>0.58498985862270181</v>
      </c>
      <c r="P405" s="29">
        <f t="shared" ca="1" si="61"/>
        <v>233</v>
      </c>
      <c r="R405" s="22">
        <v>44950</v>
      </c>
      <c r="S405" s="26">
        <f t="shared" ca="1" si="34"/>
        <v>0.17077202418710702</v>
      </c>
      <c r="T405" s="29">
        <f t="shared" ca="1" si="62"/>
        <v>130</v>
      </c>
      <c r="V405" s="22">
        <v>44950</v>
      </c>
      <c r="W405" s="26">
        <f t="shared" ca="1" si="35"/>
        <v>0.73917460438511751</v>
      </c>
      <c r="X405" s="29">
        <f t="shared" ca="1" si="65"/>
        <v>235</v>
      </c>
      <c r="Z405" s="22">
        <v>44950</v>
      </c>
      <c r="AA405" s="26">
        <f t="shared" ca="1" si="36"/>
        <v>0.59253070273214492</v>
      </c>
      <c r="AB405" s="29">
        <f t="shared" ca="1" si="63"/>
        <v>275</v>
      </c>
      <c r="AC405"/>
      <c r="AD405" s="25"/>
      <c r="AF405" s="22">
        <v>44950</v>
      </c>
      <c r="AG405" s="26">
        <f t="shared" ca="1" si="37"/>
        <v>0.71146028756173052</v>
      </c>
      <c r="AH405" s="29">
        <f t="shared" ca="1" si="64"/>
        <v>376</v>
      </c>
      <c r="AJ405" s="22">
        <v>44950</v>
      </c>
      <c r="AK405" s="26">
        <f t="shared" ca="1" si="38"/>
        <v>0.10666999742427363</v>
      </c>
      <c r="AL405" s="29">
        <v>0</v>
      </c>
      <c r="AN405" s="22">
        <v>44950</v>
      </c>
      <c r="AO405" s="26">
        <f t="shared" ca="1" si="39"/>
        <v>0.67092186489432892</v>
      </c>
      <c r="AP405" s="29">
        <v>0</v>
      </c>
      <c r="AR405" s="22">
        <v>44950</v>
      </c>
      <c r="AS405" s="26">
        <f t="shared" ca="1" si="40"/>
        <v>0.56125273481787052</v>
      </c>
      <c r="AT405" s="29">
        <v>0</v>
      </c>
      <c r="AV405" s="22">
        <v>44950</v>
      </c>
      <c r="AW405" s="26">
        <f t="shared" ca="1" si="41"/>
        <v>0.26929484952962557</v>
      </c>
      <c r="AX405" s="29">
        <v>0</v>
      </c>
      <c r="AZ405" s="22">
        <v>44950</v>
      </c>
      <c r="BA405" s="26">
        <f t="shared" ca="1" si="42"/>
        <v>0.32110394838870449</v>
      </c>
      <c r="BB405" s="29">
        <v>0</v>
      </c>
      <c r="BC405"/>
      <c r="BD405" s="25"/>
      <c r="BF405" s="22">
        <v>44950</v>
      </c>
      <c r="BG405" s="26">
        <f t="shared" ca="1" si="43"/>
        <v>0.55019336786460282</v>
      </c>
      <c r="BH405" s="29">
        <v>0</v>
      </c>
      <c r="BJ405" s="22">
        <v>44950</v>
      </c>
      <c r="BK405" s="26">
        <f t="shared" ca="1" si="44"/>
        <v>0.83805609285136418</v>
      </c>
      <c r="BL405" s="29">
        <v>0</v>
      </c>
      <c r="BN405" s="22">
        <v>44950</v>
      </c>
      <c r="BO405" s="26">
        <f t="shared" ca="1" si="45"/>
        <v>0.80429867038542024</v>
      </c>
      <c r="BP405" s="29">
        <v>0</v>
      </c>
      <c r="BR405" s="22">
        <v>44950</v>
      </c>
      <c r="BS405" s="26">
        <f t="shared" ca="1" si="46"/>
        <v>0.27120007176222349</v>
      </c>
      <c r="BT405" s="29">
        <v>0</v>
      </c>
      <c r="BV405" s="22">
        <v>44950</v>
      </c>
      <c r="BW405" s="26">
        <f t="shared" ca="1" si="47"/>
        <v>0.85833006435247428</v>
      </c>
      <c r="BX405" s="29">
        <v>0</v>
      </c>
    </row>
    <row r="406" spans="2:77" ht="12.75" x14ac:dyDescent="0.2">
      <c r="B406" s="22">
        <v>44951</v>
      </c>
      <c r="C406" s="26">
        <f t="shared" ca="1" si="56"/>
        <v>0.66500761233757866</v>
      </c>
      <c r="D406" s="29">
        <f t="shared" ca="1" si="66"/>
        <v>84</v>
      </c>
      <c r="F406" s="22">
        <v>44951</v>
      </c>
      <c r="G406" s="26">
        <f t="shared" ca="1" si="31"/>
        <v>0.39950888331695522</v>
      </c>
      <c r="H406" s="29">
        <f t="shared" ca="1" si="59"/>
        <v>212</v>
      </c>
      <c r="J406" s="22">
        <v>44951</v>
      </c>
      <c r="K406" s="26">
        <f t="shared" ca="1" si="32"/>
        <v>0.89706552298866771</v>
      </c>
      <c r="L406" s="29">
        <f t="shared" ca="1" si="60"/>
        <v>163</v>
      </c>
      <c r="N406" s="22">
        <v>44951</v>
      </c>
      <c r="O406" s="26">
        <f t="shared" ca="1" si="33"/>
        <v>3.5527908326544955E-2</v>
      </c>
      <c r="P406" s="29">
        <f t="shared" ca="1" si="61"/>
        <v>202</v>
      </c>
      <c r="R406" s="22">
        <v>44951</v>
      </c>
      <c r="S406" s="26">
        <f t="shared" ca="1" si="34"/>
        <v>0.98153974911034669</v>
      </c>
      <c r="T406" s="29">
        <f t="shared" ca="1" si="62"/>
        <v>159</v>
      </c>
      <c r="V406" s="22">
        <v>44951</v>
      </c>
      <c r="W406" s="26">
        <f t="shared" ca="1" si="35"/>
        <v>0.38121299791617702</v>
      </c>
      <c r="X406" s="29">
        <f t="shared" ca="1" si="65"/>
        <v>221</v>
      </c>
      <c r="Z406" s="22">
        <v>44951</v>
      </c>
      <c r="AA406" s="26">
        <f t="shared" ca="1" si="36"/>
        <v>0.25715453995770021</v>
      </c>
      <c r="AB406" s="29">
        <f t="shared" ca="1" si="63"/>
        <v>259</v>
      </c>
      <c r="AC406"/>
      <c r="AD406" s="25"/>
      <c r="AF406" s="22">
        <v>44951</v>
      </c>
      <c r="AG406" s="26">
        <f t="shared" ca="1" si="37"/>
        <v>0.11162951446455383</v>
      </c>
      <c r="AH406" s="29">
        <f t="shared" ca="1" si="64"/>
        <v>221</v>
      </c>
      <c r="AJ406" s="22">
        <v>44951</v>
      </c>
      <c r="AK406" s="26">
        <f t="shared" ca="1" si="38"/>
        <v>0.15927879370161568</v>
      </c>
      <c r="AL406" s="29">
        <v>0</v>
      </c>
      <c r="AN406" s="22">
        <v>44951</v>
      </c>
      <c r="AO406" s="26">
        <f t="shared" ca="1" si="39"/>
        <v>0.1744346309718996</v>
      </c>
      <c r="AP406" s="29">
        <v>0</v>
      </c>
      <c r="AR406" s="22">
        <v>44951</v>
      </c>
      <c r="AS406" s="26">
        <f t="shared" ca="1" si="40"/>
        <v>0.84890750424851136</v>
      </c>
      <c r="AT406" s="29">
        <v>0</v>
      </c>
      <c r="AV406" s="22">
        <v>44951</v>
      </c>
      <c r="AW406" s="26">
        <f t="shared" ca="1" si="41"/>
        <v>0.34898258729296627</v>
      </c>
      <c r="AX406" s="29">
        <v>0</v>
      </c>
      <c r="AZ406" s="22">
        <v>44951</v>
      </c>
      <c r="BA406" s="26">
        <f t="shared" ca="1" si="42"/>
        <v>0.86420020667330866</v>
      </c>
      <c r="BB406" s="29">
        <v>0</v>
      </c>
      <c r="BC406"/>
      <c r="BD406" s="25"/>
      <c r="BF406" s="22">
        <v>44951</v>
      </c>
      <c r="BG406" s="26">
        <f t="shared" ca="1" si="43"/>
        <v>0.75164260448383924</v>
      </c>
      <c r="BH406" s="29">
        <v>0</v>
      </c>
      <c r="BJ406" s="22">
        <v>44951</v>
      </c>
      <c r="BK406" s="26">
        <f t="shared" ca="1" si="44"/>
        <v>2.7653258566270544E-2</v>
      </c>
      <c r="BL406" s="29">
        <v>0</v>
      </c>
      <c r="BN406" s="22">
        <v>44951</v>
      </c>
      <c r="BO406" s="26">
        <f t="shared" ca="1" si="45"/>
        <v>0.2558501625474513</v>
      </c>
      <c r="BP406" s="29">
        <v>0</v>
      </c>
      <c r="BR406" s="22">
        <v>44951</v>
      </c>
      <c r="BS406" s="26">
        <f t="shared" ca="1" si="46"/>
        <v>0.70862559031584138</v>
      </c>
      <c r="BT406" s="29">
        <v>0</v>
      </c>
      <c r="BV406" s="22">
        <v>44951</v>
      </c>
      <c r="BW406" s="26">
        <f t="shared" ca="1" si="47"/>
        <v>0.21015999148905462</v>
      </c>
      <c r="BX406" s="29">
        <v>0</v>
      </c>
    </row>
    <row r="407" spans="2:77" ht="12.75" x14ac:dyDescent="0.2">
      <c r="B407" s="22">
        <v>44952</v>
      </c>
      <c r="C407" s="26">
        <f t="shared" ca="1" si="56"/>
        <v>0.99788284436207497</v>
      </c>
      <c r="D407" s="29">
        <f t="shared" ca="1" si="66"/>
        <v>133</v>
      </c>
      <c r="F407" s="22">
        <v>44952</v>
      </c>
      <c r="G407" s="26">
        <f t="shared" ca="1" si="31"/>
        <v>0.65073543633077302</v>
      </c>
      <c r="H407" s="29">
        <f t="shared" ca="1" si="59"/>
        <v>221</v>
      </c>
      <c r="J407" s="22">
        <v>44952</v>
      </c>
      <c r="K407" s="26">
        <f t="shared" ca="1" si="32"/>
        <v>0.46018840607449207</v>
      </c>
      <c r="L407" s="29">
        <f t="shared" ca="1" si="60"/>
        <v>150</v>
      </c>
      <c r="N407" s="22">
        <v>44952</v>
      </c>
      <c r="O407" s="26">
        <f t="shared" ca="1" si="33"/>
        <v>0.37061822875306005</v>
      </c>
      <c r="P407" s="29">
        <f t="shared" ca="1" si="61"/>
        <v>225</v>
      </c>
      <c r="R407" s="22">
        <v>44952</v>
      </c>
      <c r="S407" s="26">
        <f t="shared" ca="1" si="34"/>
        <v>0.15812209842800529</v>
      </c>
      <c r="T407" s="29">
        <f t="shared" ca="1" si="62"/>
        <v>130</v>
      </c>
      <c r="V407" s="22">
        <v>44952</v>
      </c>
      <c r="W407" s="26">
        <f t="shared" ca="1" si="35"/>
        <v>0.12174676080167568</v>
      </c>
      <c r="X407" s="29">
        <f t="shared" ca="1" si="65"/>
        <v>208</v>
      </c>
      <c r="Z407" s="22">
        <v>44952</v>
      </c>
      <c r="AA407" s="26">
        <f t="shared" ca="1" si="36"/>
        <v>0.51205299725944853</v>
      </c>
      <c r="AB407" s="29">
        <f t="shared" ca="1" si="63"/>
        <v>271</v>
      </c>
      <c r="AC407"/>
      <c r="AD407" s="25"/>
      <c r="AF407" s="22">
        <v>44952</v>
      </c>
      <c r="AG407" s="26">
        <f t="shared" ca="1" si="37"/>
        <v>0.40533727857984969</v>
      </c>
      <c r="AH407" s="29">
        <f t="shared" ca="1" si="64"/>
        <v>307</v>
      </c>
      <c r="AJ407" s="22">
        <v>44952</v>
      </c>
      <c r="AK407" s="26">
        <f t="shared" ca="1" si="38"/>
        <v>0.45446764385614735</v>
      </c>
      <c r="AL407" s="29">
        <v>0</v>
      </c>
      <c r="AN407" s="22">
        <v>44952</v>
      </c>
      <c r="AO407" s="26">
        <f t="shared" ca="1" si="39"/>
        <v>1.1611017921920763E-2</v>
      </c>
      <c r="AP407" s="29">
        <v>0</v>
      </c>
      <c r="AR407" s="22">
        <v>44952</v>
      </c>
      <c r="AS407" s="26">
        <f t="shared" ca="1" si="40"/>
        <v>0.79550433623146788</v>
      </c>
      <c r="AT407" s="29">
        <v>0</v>
      </c>
      <c r="AV407" s="22">
        <v>44952</v>
      </c>
      <c r="AW407" s="26">
        <f t="shared" ca="1" si="41"/>
        <v>0.15445660658833393</v>
      </c>
      <c r="AX407" s="29">
        <v>0</v>
      </c>
      <c r="AZ407" s="22">
        <v>44952</v>
      </c>
      <c r="BA407" s="26">
        <f t="shared" ca="1" si="42"/>
        <v>0.90764691631380723</v>
      </c>
      <c r="BB407" s="29">
        <v>0</v>
      </c>
      <c r="BC407"/>
      <c r="BD407" s="25"/>
      <c r="BF407" s="22">
        <v>44952</v>
      </c>
      <c r="BG407" s="26">
        <f t="shared" ca="1" si="43"/>
        <v>0.26771418229979727</v>
      </c>
      <c r="BH407" s="29">
        <v>0</v>
      </c>
      <c r="BJ407" s="22">
        <v>44952</v>
      </c>
      <c r="BK407" s="26">
        <f t="shared" ca="1" si="44"/>
        <v>0.6030877479567438</v>
      </c>
      <c r="BL407" s="29">
        <v>0</v>
      </c>
      <c r="BN407" s="22">
        <v>44952</v>
      </c>
      <c r="BO407" s="26">
        <f t="shared" ca="1" si="45"/>
        <v>0.42443005186864724</v>
      </c>
      <c r="BP407" s="29">
        <v>0</v>
      </c>
      <c r="BR407" s="22">
        <v>44952</v>
      </c>
      <c r="BS407" s="26">
        <f t="shared" ca="1" si="46"/>
        <v>0.49012083931195549</v>
      </c>
      <c r="BT407" s="29">
        <v>0</v>
      </c>
      <c r="BV407" s="22">
        <v>44952</v>
      </c>
      <c r="BW407" s="26">
        <f t="shared" ca="1" si="47"/>
        <v>0.44237620145120127</v>
      </c>
      <c r="BX407" s="29">
        <v>0</v>
      </c>
    </row>
    <row r="408" spans="2:77" ht="12.75" x14ac:dyDescent="0.2">
      <c r="B408" s="22">
        <v>44953</v>
      </c>
      <c r="C408" s="26">
        <f t="shared" ca="1" si="56"/>
        <v>0.59410959896217586</v>
      </c>
      <c r="D408" s="29">
        <f t="shared" ca="1" si="66"/>
        <v>80</v>
      </c>
      <c r="F408" s="22">
        <v>44953</v>
      </c>
      <c r="G408" s="26">
        <f t="shared" ca="1" si="31"/>
        <v>0.36129827486789723</v>
      </c>
      <c r="H408" s="29">
        <f t="shared" ca="1" si="59"/>
        <v>211</v>
      </c>
      <c r="J408" s="22">
        <v>44953</v>
      </c>
      <c r="K408" s="26">
        <f t="shared" ca="1" si="32"/>
        <v>0.44142981836303818</v>
      </c>
      <c r="L408" s="29">
        <f t="shared" ca="1" si="60"/>
        <v>149</v>
      </c>
      <c r="N408" s="22">
        <v>44953</v>
      </c>
      <c r="O408" s="26">
        <f t="shared" ca="1" si="33"/>
        <v>0.25786784089212356</v>
      </c>
      <c r="P408" s="29">
        <f t="shared" ca="1" si="61"/>
        <v>220</v>
      </c>
      <c r="R408" s="22">
        <v>44953</v>
      </c>
      <c r="S408" s="26">
        <f t="shared" ca="1" si="34"/>
        <v>0.99683411858750237</v>
      </c>
      <c r="T408" s="29">
        <f t="shared" ca="1" si="62"/>
        <v>165</v>
      </c>
      <c r="V408" s="22">
        <v>44953</v>
      </c>
      <c r="W408" s="26">
        <f t="shared" ca="1" si="35"/>
        <v>0.63020151589608742</v>
      </c>
      <c r="X408" s="29">
        <f t="shared" ca="1" si="65"/>
        <v>230</v>
      </c>
      <c r="Z408" s="22">
        <v>44953</v>
      </c>
      <c r="AA408" s="26">
        <f t="shared" ca="1" si="36"/>
        <v>0.41857668278010407</v>
      </c>
      <c r="AB408" s="29">
        <f t="shared" ca="1" si="63"/>
        <v>267</v>
      </c>
      <c r="AC408"/>
      <c r="AD408" s="25"/>
      <c r="AF408" s="22">
        <v>44953</v>
      </c>
      <c r="AG408" s="26">
        <f t="shared" ca="1" si="37"/>
        <v>0.24242413108617311</v>
      </c>
      <c r="AH408" s="29">
        <f t="shared" ca="1" si="64"/>
        <v>267</v>
      </c>
      <c r="AJ408" s="22">
        <v>44953</v>
      </c>
      <c r="AK408" s="26">
        <f t="shared" ca="1" si="38"/>
        <v>8.1716219464338935E-2</v>
      </c>
      <c r="AL408" s="29">
        <v>0</v>
      </c>
      <c r="AN408" s="22">
        <v>44953</v>
      </c>
      <c r="AO408" s="26">
        <f t="shared" ca="1" si="39"/>
        <v>4.5132207798815771E-2</v>
      </c>
      <c r="AP408" s="29">
        <v>0</v>
      </c>
      <c r="AR408" s="22">
        <v>44953</v>
      </c>
      <c r="AS408" s="26">
        <f t="shared" ca="1" si="40"/>
        <v>0.10222399621309797</v>
      </c>
      <c r="AT408" s="29">
        <v>0</v>
      </c>
      <c r="AV408" s="22">
        <v>44953</v>
      </c>
      <c r="AW408" s="26">
        <f t="shared" ca="1" si="41"/>
        <v>0.70662268766945358</v>
      </c>
      <c r="AX408" s="29">
        <v>0</v>
      </c>
      <c r="AZ408" s="22">
        <v>44953</v>
      </c>
      <c r="BA408" s="26">
        <f t="shared" ca="1" si="42"/>
        <v>0.27066298205015105</v>
      </c>
      <c r="BB408" s="29">
        <v>0</v>
      </c>
      <c r="BC408"/>
      <c r="BD408" s="25"/>
      <c r="BF408" s="22">
        <v>44953</v>
      </c>
      <c r="BG408" s="26">
        <f t="shared" ca="1" si="43"/>
        <v>0.1964522940249418</v>
      </c>
      <c r="BH408" s="29">
        <v>0</v>
      </c>
      <c r="BJ408" s="22">
        <v>44953</v>
      </c>
      <c r="BK408" s="26">
        <f t="shared" ca="1" si="44"/>
        <v>0.3829730057443882</v>
      </c>
      <c r="BL408" s="29">
        <v>0</v>
      </c>
      <c r="BN408" s="22">
        <v>44953</v>
      </c>
      <c r="BO408" s="26">
        <f t="shared" ca="1" si="45"/>
        <v>0.94843084740737094</v>
      </c>
      <c r="BP408" s="29">
        <v>0</v>
      </c>
      <c r="BR408" s="22">
        <v>44953</v>
      </c>
      <c r="BS408" s="26">
        <f t="shared" ca="1" si="46"/>
        <v>0.54204070520478587</v>
      </c>
      <c r="BT408" s="29">
        <v>0</v>
      </c>
      <c r="BV408" s="22">
        <v>44953</v>
      </c>
      <c r="BW408" s="26">
        <f t="shared" ca="1" si="47"/>
        <v>0.62693134127986083</v>
      </c>
      <c r="BX408" s="29">
        <v>0</v>
      </c>
    </row>
    <row r="409" spans="2:77" ht="12.75" x14ac:dyDescent="0.2">
      <c r="B409" s="22">
        <v>44954</v>
      </c>
      <c r="C409" s="26">
        <f t="shared" ca="1" si="56"/>
        <v>0.970475309783565</v>
      </c>
      <c r="D409" s="29">
        <f t="shared" ca="1" si="66"/>
        <v>113</v>
      </c>
      <c r="F409" s="22">
        <v>44954</v>
      </c>
      <c r="G409" s="26">
        <f t="shared" ca="1" si="31"/>
        <v>0.43733838269383685</v>
      </c>
      <c r="H409" s="29">
        <f t="shared" ca="1" si="59"/>
        <v>214</v>
      </c>
      <c r="J409" s="22">
        <v>44954</v>
      </c>
      <c r="K409" s="26">
        <f t="shared" ca="1" si="32"/>
        <v>0.12276260921278503</v>
      </c>
      <c r="L409" s="29">
        <f t="shared" ca="1" si="60"/>
        <v>139</v>
      </c>
      <c r="N409" s="22">
        <v>44954</v>
      </c>
      <c r="O409" s="26">
        <f t="shared" ca="1" si="33"/>
        <v>0.542760399703484</v>
      </c>
      <c r="P409" s="29">
        <f t="shared" ca="1" si="61"/>
        <v>231</v>
      </c>
      <c r="R409" s="22">
        <v>44954</v>
      </c>
      <c r="S409" s="26">
        <f t="shared" ca="1" si="34"/>
        <v>0.18873929789331523</v>
      </c>
      <c r="T409" s="29">
        <f t="shared" ca="1" si="62"/>
        <v>131</v>
      </c>
      <c r="V409" s="22">
        <v>44954</v>
      </c>
      <c r="W409" s="26">
        <f t="shared" ca="1" si="35"/>
        <v>0.28780652529691053</v>
      </c>
      <c r="X409" s="29">
        <f t="shared" ca="1" si="65"/>
        <v>217</v>
      </c>
      <c r="Z409" s="22">
        <v>44954</v>
      </c>
      <c r="AA409" s="26">
        <f t="shared" ca="1" si="36"/>
        <v>0.96688925621433564</v>
      </c>
      <c r="AB409" s="29">
        <f t="shared" ca="1" si="63"/>
        <v>304</v>
      </c>
      <c r="AC409"/>
      <c r="AD409" s="25"/>
      <c r="AF409" s="22">
        <v>44954</v>
      </c>
      <c r="AG409" s="26">
        <f t="shared" ca="1" si="37"/>
        <v>0.61563370828486907</v>
      </c>
      <c r="AH409" s="29">
        <f t="shared" ca="1" si="64"/>
        <v>353</v>
      </c>
      <c r="AJ409" s="22">
        <v>44954</v>
      </c>
      <c r="AK409" s="26">
        <f t="shared" ca="1" si="38"/>
        <v>0.90824691873371</v>
      </c>
      <c r="AL409" s="29">
        <v>0</v>
      </c>
      <c r="AN409" s="22">
        <v>44954</v>
      </c>
      <c r="AO409" s="26">
        <f t="shared" ca="1" si="39"/>
        <v>0.49091585028827289</v>
      </c>
      <c r="AP409" s="29">
        <v>0</v>
      </c>
      <c r="AR409" s="22">
        <v>44954</v>
      </c>
      <c r="AS409" s="26">
        <f t="shared" ca="1" si="40"/>
        <v>0.65613016338918606</v>
      </c>
      <c r="AT409" s="29">
        <v>0</v>
      </c>
      <c r="AV409" s="22">
        <v>44954</v>
      </c>
      <c r="AW409" s="26">
        <f t="shared" ca="1" si="41"/>
        <v>0.36798491678881362</v>
      </c>
      <c r="AX409" s="29">
        <v>0</v>
      </c>
      <c r="AZ409" s="22">
        <v>44954</v>
      </c>
      <c r="BA409" s="26">
        <f t="shared" ca="1" si="42"/>
        <v>0.87101738782720506</v>
      </c>
      <c r="BB409" s="29">
        <v>0</v>
      </c>
      <c r="BC409"/>
      <c r="BD409" s="25"/>
      <c r="BF409" s="22">
        <v>44954</v>
      </c>
      <c r="BG409" s="26">
        <f t="shared" ca="1" si="43"/>
        <v>0.73075087381064818</v>
      </c>
      <c r="BH409" s="29">
        <v>0</v>
      </c>
      <c r="BJ409" s="22">
        <v>44954</v>
      </c>
      <c r="BK409" s="26">
        <f t="shared" ca="1" si="44"/>
        <v>0.63110152063397695</v>
      </c>
      <c r="BL409" s="29">
        <v>0</v>
      </c>
      <c r="BN409" s="22">
        <v>44954</v>
      </c>
      <c r="BO409" s="26">
        <f t="shared" ca="1" si="45"/>
        <v>0.83307297789377599</v>
      </c>
      <c r="BP409" s="29">
        <v>0</v>
      </c>
      <c r="BR409" s="22">
        <v>44954</v>
      </c>
      <c r="BS409" s="26">
        <f t="shared" ca="1" si="46"/>
        <v>0.9303948335860448</v>
      </c>
      <c r="BT409" s="29">
        <v>0</v>
      </c>
      <c r="BV409" s="22">
        <v>44954</v>
      </c>
      <c r="BW409" s="26">
        <f t="shared" ca="1" si="47"/>
        <v>0.13786785779356803</v>
      </c>
      <c r="BX409" s="29">
        <v>0</v>
      </c>
    </row>
    <row r="410" spans="2:77" ht="12.75" x14ac:dyDescent="0.2">
      <c r="B410" s="22">
        <v>44955</v>
      </c>
      <c r="C410" s="26">
        <f t="shared" ca="1" si="56"/>
        <v>0.67618826099757934</v>
      </c>
      <c r="D410" s="29">
        <f t="shared" ca="1" si="66"/>
        <v>85</v>
      </c>
      <c r="F410" s="22">
        <v>44955</v>
      </c>
      <c r="G410" s="26">
        <f t="shared" ca="1" si="31"/>
        <v>0.87897304621902317</v>
      </c>
      <c r="H410" s="29">
        <f t="shared" ca="1" si="59"/>
        <v>233</v>
      </c>
      <c r="J410" s="22">
        <v>44955</v>
      </c>
      <c r="K410" s="26">
        <f t="shared" ca="1" si="32"/>
        <v>0.80287293803183146</v>
      </c>
      <c r="L410" s="29">
        <f t="shared" ca="1" si="60"/>
        <v>159</v>
      </c>
      <c r="N410" s="22">
        <v>44955</v>
      </c>
      <c r="O410" s="26">
        <f t="shared" ca="1" si="33"/>
        <v>6.0193613657307798E-2</v>
      </c>
      <c r="P410" s="29">
        <f t="shared" ca="1" si="61"/>
        <v>206</v>
      </c>
      <c r="R410" s="22">
        <v>44955</v>
      </c>
      <c r="S410" s="26">
        <f t="shared" ca="1" si="34"/>
        <v>0.82971399521839762</v>
      </c>
      <c r="T410" s="29">
        <f t="shared" ca="1" si="62"/>
        <v>148</v>
      </c>
      <c r="V410" s="22">
        <v>44955</v>
      </c>
      <c r="W410" s="26">
        <f t="shared" ca="1" si="35"/>
        <v>0.49265939393254266</v>
      </c>
      <c r="X410" s="29">
        <f t="shared" ca="1" si="65"/>
        <v>225</v>
      </c>
      <c r="Z410" s="22">
        <v>44955</v>
      </c>
      <c r="AA410" s="26">
        <f t="shared" ca="1" si="36"/>
        <v>0.23336836179152076</v>
      </c>
      <c r="AB410" s="29">
        <f t="shared" ca="1" si="63"/>
        <v>257</v>
      </c>
      <c r="AC410"/>
      <c r="AD410" s="25"/>
      <c r="AF410" s="22">
        <v>44955</v>
      </c>
      <c r="AG410" s="26">
        <f t="shared" ca="1" si="37"/>
        <v>5.2765504974464195E-2</v>
      </c>
      <c r="AH410" s="29">
        <f t="shared" ca="1" si="64"/>
        <v>186</v>
      </c>
      <c r="AJ410" s="22">
        <v>44955</v>
      </c>
      <c r="AK410" s="26">
        <f t="shared" ca="1" si="38"/>
        <v>0.2437449191923633</v>
      </c>
      <c r="AL410" s="29">
        <v>0</v>
      </c>
      <c r="AN410" s="22">
        <v>44955</v>
      </c>
      <c r="AO410" s="26">
        <f t="shared" ca="1" si="39"/>
        <v>2.9611585809809826E-2</v>
      </c>
      <c r="AP410" s="29">
        <v>0</v>
      </c>
      <c r="AR410" s="22">
        <v>44955</v>
      </c>
      <c r="AS410" s="26">
        <f t="shared" ca="1" si="40"/>
        <v>0.6759887032280415</v>
      </c>
      <c r="AT410" s="29">
        <v>0</v>
      </c>
      <c r="AV410" s="22">
        <v>44955</v>
      </c>
      <c r="AW410" s="26">
        <f t="shared" ca="1" si="41"/>
        <v>0.55613044270374423</v>
      </c>
      <c r="AX410" s="29">
        <v>0</v>
      </c>
      <c r="AZ410" s="22">
        <v>44955</v>
      </c>
      <c r="BA410" s="26">
        <f t="shared" ca="1" si="42"/>
        <v>0.44818495253104718</v>
      </c>
      <c r="BB410" s="29">
        <v>0</v>
      </c>
      <c r="BC410"/>
      <c r="BD410" s="25"/>
      <c r="BF410" s="22">
        <v>44955</v>
      </c>
      <c r="BG410" s="26">
        <f t="shared" ca="1" si="43"/>
        <v>1.4632737936455142E-2</v>
      </c>
      <c r="BH410" s="29">
        <v>0</v>
      </c>
      <c r="BJ410" s="22">
        <v>44955</v>
      </c>
      <c r="BK410" s="26">
        <f t="shared" ca="1" si="44"/>
        <v>0.71079126268596637</v>
      </c>
      <c r="BL410" s="29">
        <v>0</v>
      </c>
      <c r="BN410" s="22">
        <v>44955</v>
      </c>
      <c r="BO410" s="26">
        <f t="shared" ca="1" si="45"/>
        <v>0.89753562895935646</v>
      </c>
      <c r="BP410" s="29">
        <v>0</v>
      </c>
      <c r="BR410" s="22">
        <v>44955</v>
      </c>
      <c r="BS410" s="26">
        <f t="shared" ca="1" si="46"/>
        <v>6.8741079240713487E-2</v>
      </c>
      <c r="BT410" s="29">
        <v>0</v>
      </c>
      <c r="BV410" s="22">
        <v>44955</v>
      </c>
      <c r="BW410" s="26">
        <f t="shared" ca="1" si="47"/>
        <v>0.68941914289896988</v>
      </c>
      <c r="BX410" s="29">
        <v>0</v>
      </c>
    </row>
    <row r="411" spans="2:77" ht="12.75" x14ac:dyDescent="0.2">
      <c r="B411" s="22">
        <v>44956</v>
      </c>
      <c r="C411" s="26">
        <f t="shared" ca="1" si="56"/>
        <v>0.6792159744425732</v>
      </c>
      <c r="D411" s="29">
        <f t="shared" ca="1" si="66"/>
        <v>85</v>
      </c>
      <c r="F411" s="22">
        <v>44956</v>
      </c>
      <c r="G411" s="26">
        <f t="shared" ca="1" si="31"/>
        <v>0.33271149742081962</v>
      </c>
      <c r="H411" s="29">
        <f t="shared" ca="1" si="59"/>
        <v>210</v>
      </c>
      <c r="J411" s="22">
        <v>44956</v>
      </c>
      <c r="K411" s="26">
        <f t="shared" ca="1" si="32"/>
        <v>0.98760831363088297</v>
      </c>
      <c r="L411" s="29">
        <f t="shared" ca="1" si="60"/>
        <v>173</v>
      </c>
      <c r="N411" s="22">
        <v>44956</v>
      </c>
      <c r="O411" s="26">
        <f t="shared" ca="1" si="33"/>
        <v>0.51231713106513743</v>
      </c>
      <c r="P411" s="29">
        <f t="shared" ca="1" si="61"/>
        <v>230</v>
      </c>
      <c r="R411" s="22">
        <v>44956</v>
      </c>
      <c r="S411" s="26">
        <f t="shared" ca="1" si="34"/>
        <v>0.87256337452411881</v>
      </c>
      <c r="T411" s="29">
        <f t="shared" ca="1" si="62"/>
        <v>150</v>
      </c>
      <c r="V411" s="22">
        <v>44956</v>
      </c>
      <c r="W411" s="26">
        <f t="shared" ca="1" si="35"/>
        <v>0.97155233753272618</v>
      </c>
      <c r="X411" s="29">
        <f t="shared" ca="1" si="65"/>
        <v>254</v>
      </c>
      <c r="Z411" s="22">
        <v>44956</v>
      </c>
      <c r="AA411" s="26">
        <f t="shared" ca="1" si="36"/>
        <v>0.51297605068070551</v>
      </c>
      <c r="AB411" s="29">
        <f t="shared" ca="1" si="63"/>
        <v>271</v>
      </c>
      <c r="AC411"/>
      <c r="AD411" s="25"/>
      <c r="AF411" s="22">
        <v>44956</v>
      </c>
      <c r="AG411" s="26">
        <f t="shared" ca="1" si="37"/>
        <v>0.13221917533157945</v>
      </c>
      <c r="AH411" s="29">
        <f t="shared" ca="1" si="64"/>
        <v>230</v>
      </c>
      <c r="AJ411" s="22">
        <v>44956</v>
      </c>
      <c r="AK411" s="26">
        <f t="shared" ca="1" si="38"/>
        <v>0.66414216983491892</v>
      </c>
      <c r="AL411" s="29">
        <v>0</v>
      </c>
      <c r="AN411" s="22">
        <v>44956</v>
      </c>
      <c r="AO411" s="26">
        <f t="shared" ca="1" si="39"/>
        <v>0.81755213478267497</v>
      </c>
      <c r="AP411" s="29">
        <v>0</v>
      </c>
      <c r="AR411" s="22">
        <v>44956</v>
      </c>
      <c r="AS411" s="26">
        <f t="shared" ca="1" si="40"/>
        <v>0.15788525755373506</v>
      </c>
      <c r="AT411" s="29">
        <v>0</v>
      </c>
      <c r="AV411" s="22">
        <v>44956</v>
      </c>
      <c r="AW411" s="26">
        <f t="shared" ca="1" si="41"/>
        <v>0.79411701400978285</v>
      </c>
      <c r="AX411" s="29">
        <v>0</v>
      </c>
      <c r="AZ411" s="22">
        <v>44956</v>
      </c>
      <c r="BA411" s="26">
        <f t="shared" ca="1" si="42"/>
        <v>0.45721755402935005</v>
      </c>
      <c r="BB411" s="29">
        <v>0</v>
      </c>
      <c r="BC411"/>
      <c r="BD411" s="25"/>
      <c r="BF411" s="22">
        <v>44956</v>
      </c>
      <c r="BG411" s="26">
        <f t="shared" ca="1" si="43"/>
        <v>0.62408439827551454</v>
      </c>
      <c r="BH411" s="29">
        <v>0</v>
      </c>
      <c r="BJ411" s="22">
        <v>44956</v>
      </c>
      <c r="BK411" s="26">
        <f t="shared" ca="1" si="44"/>
        <v>0.36167678935645142</v>
      </c>
      <c r="BL411" s="29">
        <v>0</v>
      </c>
      <c r="BN411" s="22">
        <v>44956</v>
      </c>
      <c r="BO411" s="26">
        <f t="shared" ca="1" si="45"/>
        <v>0.90981547184480915</v>
      </c>
      <c r="BP411" s="29">
        <v>0</v>
      </c>
      <c r="BR411" s="22">
        <v>44956</v>
      </c>
      <c r="BS411" s="26">
        <f t="shared" ca="1" si="46"/>
        <v>0.28487190705129972</v>
      </c>
      <c r="BT411" s="29">
        <v>0</v>
      </c>
      <c r="BV411" s="22">
        <v>44956</v>
      </c>
      <c r="BW411" s="26">
        <f t="shared" ca="1" si="47"/>
        <v>0.42620812837738298</v>
      </c>
      <c r="BX411" s="29">
        <v>0</v>
      </c>
    </row>
    <row r="412" spans="2:77" ht="12.75" x14ac:dyDescent="0.2">
      <c r="B412" s="22">
        <v>44957</v>
      </c>
      <c r="C412" s="26">
        <f t="shared" ca="1" si="56"/>
        <v>2.2115278425729468E-2</v>
      </c>
      <c r="D412" s="29">
        <f t="shared" ca="1" si="66"/>
        <v>35</v>
      </c>
      <c r="E412">
        <v>2047</v>
      </c>
      <c r="F412" s="22">
        <v>44957</v>
      </c>
      <c r="G412" s="26">
        <f t="shared" ca="1" si="31"/>
        <v>0.10406020219327583</v>
      </c>
      <c r="H412" s="29">
        <f t="shared" ca="1" si="59"/>
        <v>198</v>
      </c>
      <c r="I412">
        <v>5892</v>
      </c>
      <c r="J412" s="22">
        <v>44957</v>
      </c>
      <c r="K412" s="26">
        <f t="shared" ca="1" si="32"/>
        <v>0.12435448567061158</v>
      </c>
      <c r="L412" s="29">
        <f t="shared" ca="1" si="60"/>
        <v>139</v>
      </c>
      <c r="M412">
        <v>4244</v>
      </c>
      <c r="N412" s="22">
        <v>44957</v>
      </c>
      <c r="O412" s="26">
        <f t="shared" ca="1" si="33"/>
        <v>0.83654677055690441</v>
      </c>
      <c r="P412" s="29">
        <f t="shared" ca="1" si="61"/>
        <v>245</v>
      </c>
      <c r="Q412">
        <v>6260</v>
      </c>
      <c r="R412" s="22">
        <v>44957</v>
      </c>
      <c r="S412" s="26">
        <f t="shared" ca="1" si="34"/>
        <v>0.8367178972595164</v>
      </c>
      <c r="T412" s="29">
        <f t="shared" ca="1" si="62"/>
        <v>148</v>
      </c>
      <c r="U412">
        <v>3828</v>
      </c>
      <c r="V412" s="22">
        <v>44957</v>
      </c>
      <c r="W412" s="26">
        <f t="shared" ca="1" si="35"/>
        <v>0.7938697878823886</v>
      </c>
      <c r="X412" s="29">
        <f t="shared" ca="1" si="65"/>
        <v>238</v>
      </c>
      <c r="Y412">
        <v>6727</v>
      </c>
      <c r="Z412" s="22">
        <v>44957</v>
      </c>
      <c r="AA412" s="26">
        <f t="shared" ca="1" si="36"/>
        <v>0.94795042099695426</v>
      </c>
      <c r="AB412" s="29">
        <f t="shared" ca="1" si="63"/>
        <v>300</v>
      </c>
      <c r="AC412">
        <v>7432</v>
      </c>
      <c r="AD412" s="25"/>
      <c r="AF412" s="22">
        <v>44957</v>
      </c>
      <c r="AG412" s="26">
        <f t="shared" ca="1" si="37"/>
        <v>0.32513816715236898</v>
      </c>
      <c r="AH412" s="29">
        <f t="shared" ca="1" si="64"/>
        <v>288</v>
      </c>
      <c r="AI412">
        <v>8548</v>
      </c>
      <c r="AJ412" s="22">
        <v>44957</v>
      </c>
      <c r="AK412" s="26">
        <f t="shared" ca="1" si="38"/>
        <v>0.14478492456276393</v>
      </c>
      <c r="AL412" s="29">
        <v>0</v>
      </c>
      <c r="AM412">
        <v>0</v>
      </c>
      <c r="AN412" s="22">
        <v>44957</v>
      </c>
      <c r="AO412" s="26">
        <f t="shared" ca="1" si="39"/>
        <v>0.34730984755358607</v>
      </c>
      <c r="AP412" s="29">
        <v>0</v>
      </c>
      <c r="AQ412">
        <v>0</v>
      </c>
      <c r="AR412" s="22">
        <v>44957</v>
      </c>
      <c r="AS412" s="26">
        <f t="shared" ca="1" si="40"/>
        <v>0.43387380407533216</v>
      </c>
      <c r="AT412" s="29">
        <v>0</v>
      </c>
      <c r="AU412">
        <v>0</v>
      </c>
      <c r="AV412" s="22">
        <v>44957</v>
      </c>
      <c r="AW412" s="26">
        <f t="shared" ca="1" si="41"/>
        <v>0.2897340639623267</v>
      </c>
      <c r="AX412" s="29">
        <v>0</v>
      </c>
      <c r="AY412">
        <v>0</v>
      </c>
      <c r="AZ412" s="22">
        <v>44957</v>
      </c>
      <c r="BA412" s="26">
        <f t="shared" ca="1" si="42"/>
        <v>0.18796083864743351</v>
      </c>
      <c r="BB412" s="29">
        <v>0</v>
      </c>
      <c r="BC412">
        <v>0</v>
      </c>
      <c r="BD412" s="25"/>
      <c r="BF412" s="22">
        <v>44957</v>
      </c>
      <c r="BG412" s="26">
        <f t="shared" ca="1" si="43"/>
        <v>0.52389768034308393</v>
      </c>
      <c r="BH412" s="29">
        <v>0</v>
      </c>
      <c r="BI412">
        <v>0</v>
      </c>
      <c r="BJ412" s="22">
        <v>44957</v>
      </c>
      <c r="BK412" s="26">
        <f t="shared" ca="1" si="44"/>
        <v>0.80475020101748773</v>
      </c>
      <c r="BL412" s="29">
        <v>0</v>
      </c>
      <c r="BM412">
        <v>0</v>
      </c>
      <c r="BN412" s="22">
        <v>44957</v>
      </c>
      <c r="BO412" s="26">
        <f t="shared" ca="1" si="45"/>
        <v>0.90327272166046058</v>
      </c>
      <c r="BP412" s="29">
        <v>0</v>
      </c>
      <c r="BQ412">
        <v>0</v>
      </c>
      <c r="BR412" s="22">
        <v>44957</v>
      </c>
      <c r="BS412" s="26">
        <f t="shared" ca="1" si="46"/>
        <v>0.4139880862937424</v>
      </c>
      <c r="BT412" s="29">
        <v>0</v>
      </c>
      <c r="BU412">
        <v>0</v>
      </c>
      <c r="BV412" s="22">
        <v>44957</v>
      </c>
      <c r="BW412" s="26">
        <f t="shared" ca="1" si="47"/>
        <v>0.81229292987180512</v>
      </c>
      <c r="BX412" s="29">
        <v>0</v>
      </c>
      <c r="BY412">
        <v>0</v>
      </c>
    </row>
    <row r="413" spans="2:77" ht="12.75" x14ac:dyDescent="0.2">
      <c r="B413" s="22">
        <v>44958</v>
      </c>
      <c r="C413" s="26">
        <f t="shared" ca="1" si="56"/>
        <v>0.18830965306927561</v>
      </c>
      <c r="D413" s="29">
        <f ca="1">ROUNDUP(_xlfn.NORM.INV(C412,C$10,C$12),0)</f>
        <v>35</v>
      </c>
      <c r="F413" s="22">
        <v>44958</v>
      </c>
      <c r="G413" s="26">
        <f t="shared" ca="1" si="31"/>
        <v>0.11725992670343166</v>
      </c>
      <c r="H413" s="29">
        <f ca="1">ROUNDUP(_xlfn.NORM.INV(G412,G$10,G$12),0)</f>
        <v>198</v>
      </c>
      <c r="J413" s="22">
        <v>44958</v>
      </c>
      <c r="K413" s="26">
        <f t="shared" ca="1" si="32"/>
        <v>0.53911141418501918</v>
      </c>
      <c r="L413" s="29">
        <f ca="1">ROUNDUP(_xlfn.NORM.INV(K412,K$10,K$12),0)</f>
        <v>139</v>
      </c>
      <c r="N413" s="22">
        <v>44958</v>
      </c>
      <c r="O413" s="26">
        <f t="shared" ca="1" si="33"/>
        <v>7.0004438452203277E-2</v>
      </c>
      <c r="P413" s="29">
        <f ca="1">ROUNDUP(_xlfn.NORM.INV(O412,O$10,O$12),0)</f>
        <v>245</v>
      </c>
      <c r="R413" s="22">
        <v>44958</v>
      </c>
      <c r="S413" s="26">
        <f t="shared" ca="1" si="34"/>
        <v>0.78504899062946087</v>
      </c>
      <c r="T413" s="29">
        <f ca="1">ROUNDUP(_xlfn.NORM.INV(S412,S$10,S$12),0)</f>
        <v>148</v>
      </c>
      <c r="V413" s="22">
        <v>44958</v>
      </c>
      <c r="W413" s="26">
        <f t="shared" ca="1" si="35"/>
        <v>0.24339870527340512</v>
      </c>
      <c r="X413" s="29">
        <f ca="1">ROUNDUP(_xlfn.NORM.INV(W412,W$10,W$12),0)</f>
        <v>238</v>
      </c>
      <c r="Z413" s="22">
        <v>44958</v>
      </c>
      <c r="AA413" s="26">
        <f t="shared" ca="1" si="36"/>
        <v>0.5379387520398331</v>
      </c>
      <c r="AB413" s="29">
        <f ca="1">ROUNDUP(_xlfn.NORM.INV(AA412,AA$10,AA$12),0)</f>
        <v>300</v>
      </c>
      <c r="AC413"/>
      <c r="AD413" s="25"/>
      <c r="AF413" s="22">
        <v>44958</v>
      </c>
      <c r="AG413" s="26">
        <f t="shared" ca="1" si="37"/>
        <v>0.54263267492950851</v>
      </c>
      <c r="AH413" s="29">
        <f ca="1">ROUNDUP(_xlfn.NORM.INV(AG412,AG$10,AG$12),0)</f>
        <v>288</v>
      </c>
      <c r="AJ413" s="22">
        <v>44958</v>
      </c>
      <c r="AK413" s="26">
        <f t="shared" ca="1" si="38"/>
        <v>0.60817407777801569</v>
      </c>
      <c r="AL413" s="29">
        <v>0</v>
      </c>
      <c r="AN413" s="22">
        <v>44958</v>
      </c>
      <c r="AO413" s="26">
        <f t="shared" ca="1" si="39"/>
        <v>0.65344610274817538</v>
      </c>
      <c r="AP413" s="29">
        <v>0</v>
      </c>
      <c r="AR413" s="22">
        <v>44958</v>
      </c>
      <c r="AS413" s="26">
        <f t="shared" ca="1" si="40"/>
        <v>3.4519955215377762E-2</v>
      </c>
      <c r="AT413" s="29">
        <v>0</v>
      </c>
      <c r="AV413" s="22">
        <v>44958</v>
      </c>
      <c r="AW413" s="26">
        <f t="shared" ca="1" si="41"/>
        <v>0.23491989769848709</v>
      </c>
      <c r="AX413" s="29">
        <v>0</v>
      </c>
      <c r="AZ413" s="22">
        <v>44958</v>
      </c>
      <c r="BA413" s="26">
        <f t="shared" ca="1" si="42"/>
        <v>0.85972074431326262</v>
      </c>
      <c r="BB413" s="29">
        <v>0</v>
      </c>
      <c r="BC413"/>
      <c r="BD413" s="25"/>
      <c r="BF413" s="22">
        <v>44958</v>
      </c>
      <c r="BG413" s="26">
        <f t="shared" ca="1" si="43"/>
        <v>0.85286429514782836</v>
      </c>
      <c r="BH413" s="29">
        <v>0</v>
      </c>
      <c r="BJ413" s="22">
        <v>44958</v>
      </c>
      <c r="BK413" s="26">
        <f t="shared" ca="1" si="44"/>
        <v>0.28359262842799293</v>
      </c>
      <c r="BL413" s="29">
        <v>0</v>
      </c>
      <c r="BN413" s="22">
        <v>44958</v>
      </c>
      <c r="BO413" s="26">
        <f t="shared" ca="1" si="45"/>
        <v>0.28214706167375947</v>
      </c>
      <c r="BP413" s="29">
        <v>0</v>
      </c>
      <c r="BR413" s="22">
        <v>44958</v>
      </c>
      <c r="BS413" s="26">
        <f t="shared" ca="1" si="46"/>
        <v>0.90514665571225139</v>
      </c>
      <c r="BT413" s="29">
        <v>0</v>
      </c>
      <c r="BV413" s="22">
        <v>44958</v>
      </c>
      <c r="BW413" s="26">
        <f t="shared" ca="1" si="47"/>
        <v>0.42544216889908981</v>
      </c>
      <c r="BX413" s="29">
        <v>0</v>
      </c>
    </row>
    <row r="414" spans="2:77" ht="12.75" x14ac:dyDescent="0.2">
      <c r="B414" s="22">
        <v>44959</v>
      </c>
      <c r="C414" s="26">
        <f t="shared" ca="1" si="56"/>
        <v>0.33452951877529769</v>
      </c>
      <c r="D414" s="29">
        <f t="shared" ca="1" si="66"/>
        <v>67</v>
      </c>
      <c r="F414" s="22">
        <v>44959</v>
      </c>
      <c r="G414" s="26">
        <f t="shared" ca="1" si="31"/>
        <v>0.96732036125737064</v>
      </c>
      <c r="H414" s="29">
        <f t="shared" ca="1" si="59"/>
        <v>242</v>
      </c>
      <c r="J414" s="22">
        <v>44959</v>
      </c>
      <c r="K414" s="26">
        <f t="shared" ca="1" si="32"/>
        <v>0.75091472367118361</v>
      </c>
      <c r="L414" s="29">
        <f t="shared" ca="1" si="60"/>
        <v>157</v>
      </c>
      <c r="N414" s="22">
        <v>44959</v>
      </c>
      <c r="O414" s="26">
        <f t="shared" ca="1" si="33"/>
        <v>1.603856737582332E-2</v>
      </c>
      <c r="P414" s="29">
        <f t="shared" ca="1" si="61"/>
        <v>197</v>
      </c>
      <c r="R414" s="22">
        <v>44959</v>
      </c>
      <c r="S414" s="26">
        <f t="shared" ca="1" si="34"/>
        <v>0.1357336891990798</v>
      </c>
      <c r="T414" s="29">
        <f t="shared" ca="1" si="62"/>
        <v>129</v>
      </c>
      <c r="V414" s="22">
        <v>44959</v>
      </c>
      <c r="W414" s="26">
        <f t="shared" ca="1" si="35"/>
        <v>0.86994369957717632</v>
      </c>
      <c r="X414" s="29">
        <f t="shared" ca="1" si="65"/>
        <v>242</v>
      </c>
      <c r="Z414" s="22">
        <v>44959</v>
      </c>
      <c r="AA414" s="26">
        <f t="shared" ca="1" si="36"/>
        <v>0.3140482526049404</v>
      </c>
      <c r="AB414" s="29">
        <f t="shared" ca="1" si="63"/>
        <v>262</v>
      </c>
      <c r="AC414"/>
      <c r="AD414" s="25"/>
      <c r="AF414" s="22">
        <v>44959</v>
      </c>
      <c r="AG414" s="26">
        <f t="shared" ca="1" si="37"/>
        <v>0.77475668397150332</v>
      </c>
      <c r="AH414" s="29">
        <f t="shared" ca="1" si="64"/>
        <v>393</v>
      </c>
      <c r="AJ414" s="22">
        <v>44959</v>
      </c>
      <c r="AK414" s="26">
        <f t="shared" ca="1" si="38"/>
        <v>9.5628053534987711E-2</v>
      </c>
      <c r="AL414" s="29">
        <v>0</v>
      </c>
      <c r="AN414" s="22">
        <v>44959</v>
      </c>
      <c r="AO414" s="26">
        <f t="shared" ca="1" si="39"/>
        <v>0.62054119158953236</v>
      </c>
      <c r="AP414" s="29">
        <v>0</v>
      </c>
      <c r="AR414" s="22">
        <v>44959</v>
      </c>
      <c r="AS414" s="26">
        <f t="shared" ca="1" si="40"/>
        <v>0.64008413476531723</v>
      </c>
      <c r="AT414" s="29">
        <v>0</v>
      </c>
      <c r="AV414" s="22">
        <v>44959</v>
      </c>
      <c r="AW414" s="26">
        <f t="shared" ca="1" si="41"/>
        <v>0.23821152300818027</v>
      </c>
      <c r="AX414" s="29">
        <v>0</v>
      </c>
      <c r="AZ414" s="22">
        <v>44959</v>
      </c>
      <c r="BA414" s="26">
        <f t="shared" ca="1" si="42"/>
        <v>0.73726476947642128</v>
      </c>
      <c r="BB414" s="29">
        <v>0</v>
      </c>
      <c r="BC414"/>
      <c r="BD414" s="25"/>
      <c r="BF414" s="22">
        <v>44959</v>
      </c>
      <c r="BG414" s="26">
        <f t="shared" ca="1" si="43"/>
        <v>7.7878064568230876E-2</v>
      </c>
      <c r="BH414" s="29">
        <v>0</v>
      </c>
      <c r="BJ414" s="22">
        <v>44959</v>
      </c>
      <c r="BK414" s="26">
        <f t="shared" ca="1" si="44"/>
        <v>0.88069408465078658</v>
      </c>
      <c r="BL414" s="29">
        <v>0</v>
      </c>
      <c r="BN414" s="22">
        <v>44959</v>
      </c>
      <c r="BO414" s="26">
        <f t="shared" ca="1" si="45"/>
        <v>0.18303518625921089</v>
      </c>
      <c r="BP414" s="29">
        <v>0</v>
      </c>
      <c r="BR414" s="22">
        <v>44959</v>
      </c>
      <c r="BS414" s="26">
        <f t="shared" ca="1" si="46"/>
        <v>0.93827156558573055</v>
      </c>
      <c r="BT414" s="29">
        <v>0</v>
      </c>
      <c r="BV414" s="22">
        <v>44959</v>
      </c>
      <c r="BW414" s="26">
        <f t="shared" ca="1" si="47"/>
        <v>0.66363952206491639</v>
      </c>
      <c r="BX414" s="29">
        <v>0</v>
      </c>
    </row>
    <row r="415" spans="2:77" ht="12.75" x14ac:dyDescent="0.2">
      <c r="B415" s="22">
        <v>44960</v>
      </c>
      <c r="C415" s="26">
        <f t="shared" ca="1" si="56"/>
        <v>0.59620264078694951</v>
      </c>
      <c r="D415" s="29">
        <f t="shared" ca="1" si="66"/>
        <v>80</v>
      </c>
      <c r="F415" s="22">
        <v>44960</v>
      </c>
      <c r="G415" s="26">
        <f t="shared" ca="1" si="31"/>
        <v>0.55482897251853103</v>
      </c>
      <c r="H415" s="29">
        <f t="shared" ca="1" si="59"/>
        <v>218</v>
      </c>
      <c r="J415" s="22">
        <v>44960</v>
      </c>
      <c r="K415" s="26">
        <f t="shared" ca="1" si="32"/>
        <v>3.2304685166534064E-2</v>
      </c>
      <c r="L415" s="29">
        <f t="shared" ca="1" si="60"/>
        <v>132</v>
      </c>
      <c r="N415" s="22">
        <v>44960</v>
      </c>
      <c r="O415" s="26">
        <f t="shared" ca="1" si="33"/>
        <v>0.46557567062418526</v>
      </c>
      <c r="P415" s="29">
        <f t="shared" ca="1" si="61"/>
        <v>229</v>
      </c>
      <c r="R415" s="22">
        <v>44960</v>
      </c>
      <c r="S415" s="26">
        <f t="shared" ca="1" si="34"/>
        <v>8.7402559210731479E-2</v>
      </c>
      <c r="T415" s="29">
        <f t="shared" ca="1" si="62"/>
        <v>127</v>
      </c>
      <c r="V415" s="22">
        <v>44960</v>
      </c>
      <c r="W415" s="26">
        <f t="shared" ca="1" si="35"/>
        <v>3.4605345555689504E-2</v>
      </c>
      <c r="X415" s="29">
        <f t="shared" ca="1" si="65"/>
        <v>198</v>
      </c>
      <c r="Z415" s="22">
        <v>44960</v>
      </c>
      <c r="AA415" s="26">
        <f t="shared" ca="1" si="36"/>
        <v>0.62243385806488627</v>
      </c>
      <c r="AB415" s="29">
        <f t="shared" ca="1" si="63"/>
        <v>276</v>
      </c>
      <c r="AC415"/>
      <c r="AD415" s="25"/>
      <c r="AF415" s="22">
        <v>44960</v>
      </c>
      <c r="AG415" s="26">
        <f t="shared" ca="1" si="37"/>
        <v>0.28659827998874043</v>
      </c>
      <c r="AH415" s="29">
        <f t="shared" ca="1" si="64"/>
        <v>278</v>
      </c>
      <c r="AJ415" s="22">
        <v>44960</v>
      </c>
      <c r="AK415" s="26">
        <f t="shared" ca="1" si="38"/>
        <v>0.37924800368965483</v>
      </c>
      <c r="AL415" s="29">
        <v>0</v>
      </c>
      <c r="AN415" s="22">
        <v>44960</v>
      </c>
      <c r="AO415" s="26">
        <f t="shared" ca="1" si="39"/>
        <v>0.32437335186548477</v>
      </c>
      <c r="AP415" s="29">
        <v>0</v>
      </c>
      <c r="AR415" s="22">
        <v>44960</v>
      </c>
      <c r="AS415" s="26">
        <f t="shared" ca="1" si="40"/>
        <v>0.76958835096863776</v>
      </c>
      <c r="AT415" s="29">
        <v>0</v>
      </c>
      <c r="AV415" s="22">
        <v>44960</v>
      </c>
      <c r="AW415" s="26">
        <f t="shared" ca="1" si="41"/>
        <v>0.28764846390788668</v>
      </c>
      <c r="AX415" s="29">
        <v>0</v>
      </c>
      <c r="AZ415" s="22">
        <v>44960</v>
      </c>
      <c r="BA415" s="26">
        <f t="shared" ca="1" si="42"/>
        <v>0.45290272181762525</v>
      </c>
      <c r="BB415" s="29">
        <v>0</v>
      </c>
      <c r="BC415"/>
      <c r="BD415" s="25"/>
      <c r="BF415" s="22">
        <v>44960</v>
      </c>
      <c r="BG415" s="26">
        <f t="shared" ca="1" si="43"/>
        <v>0.60445248101655147</v>
      </c>
      <c r="BH415" s="29">
        <v>0</v>
      </c>
      <c r="BJ415" s="22">
        <v>44960</v>
      </c>
      <c r="BK415" s="26">
        <f t="shared" ca="1" si="44"/>
        <v>2.1421233372517001E-2</v>
      </c>
      <c r="BL415" s="29">
        <v>0</v>
      </c>
      <c r="BN415" s="22">
        <v>44960</v>
      </c>
      <c r="BO415" s="26">
        <f t="shared" ca="1" si="45"/>
        <v>0.36511151878967929</v>
      </c>
      <c r="BP415" s="29">
        <v>0</v>
      </c>
      <c r="BR415" s="22">
        <v>44960</v>
      </c>
      <c r="BS415" s="26">
        <f t="shared" ca="1" si="46"/>
        <v>0.55873662706402294</v>
      </c>
      <c r="BT415" s="29">
        <v>0</v>
      </c>
      <c r="BV415" s="22">
        <v>44960</v>
      </c>
      <c r="BW415" s="26">
        <f t="shared" ca="1" si="47"/>
        <v>0.89636820066037992</v>
      </c>
      <c r="BX415" s="29">
        <v>0</v>
      </c>
    </row>
    <row r="416" spans="2:77" ht="12.75" x14ac:dyDescent="0.2">
      <c r="B416" s="22">
        <v>44961</v>
      </c>
      <c r="C416" s="26">
        <f t="shared" ca="1" si="56"/>
        <v>0.72697194180345492</v>
      </c>
      <c r="D416" s="29">
        <f t="shared" ca="1" si="66"/>
        <v>88</v>
      </c>
      <c r="F416" s="22">
        <v>44961</v>
      </c>
      <c r="G416" s="26">
        <f t="shared" ca="1" si="31"/>
        <v>0.1879159010690955</v>
      </c>
      <c r="H416" s="29">
        <f t="shared" ca="1" si="59"/>
        <v>203</v>
      </c>
      <c r="J416" s="22">
        <v>44961</v>
      </c>
      <c r="K416" s="26">
        <f t="shared" ca="1" si="32"/>
        <v>0.26473185539057509</v>
      </c>
      <c r="L416" s="29">
        <f t="shared" ca="1" si="60"/>
        <v>144</v>
      </c>
      <c r="N416" s="22">
        <v>44961</v>
      </c>
      <c r="O416" s="26">
        <f t="shared" ca="1" si="33"/>
        <v>0.67946583491238077</v>
      </c>
      <c r="P416" s="29">
        <f t="shared" ca="1" si="61"/>
        <v>237</v>
      </c>
      <c r="R416" s="22">
        <v>44961</v>
      </c>
      <c r="S416" s="26">
        <f t="shared" ca="1" si="34"/>
        <v>0.820289184105084</v>
      </c>
      <c r="T416" s="29">
        <f t="shared" ca="1" si="62"/>
        <v>148</v>
      </c>
      <c r="V416" s="22">
        <v>44961</v>
      </c>
      <c r="W416" s="26">
        <f t="shared" ca="1" si="35"/>
        <v>0.71853938853904786</v>
      </c>
      <c r="X416" s="29">
        <f t="shared" ca="1" si="65"/>
        <v>234</v>
      </c>
      <c r="Z416" s="22">
        <v>44961</v>
      </c>
      <c r="AA416" s="26">
        <f t="shared" ca="1" si="36"/>
        <v>0.69797739336596809</v>
      </c>
      <c r="AB416" s="29">
        <f t="shared" ca="1" si="63"/>
        <v>280</v>
      </c>
      <c r="AC416"/>
      <c r="AD416" s="25"/>
      <c r="AF416" s="22">
        <v>44961</v>
      </c>
      <c r="AG416" s="26">
        <f t="shared" ca="1" si="37"/>
        <v>0.49243380299634176</v>
      </c>
      <c r="AH416" s="29">
        <f t="shared" ca="1" si="64"/>
        <v>326</v>
      </c>
      <c r="AJ416" s="22">
        <v>44961</v>
      </c>
      <c r="AK416" s="26">
        <f t="shared" ca="1" si="38"/>
        <v>0.97114472934228036</v>
      </c>
      <c r="AL416" s="29">
        <v>0</v>
      </c>
      <c r="AN416" s="22">
        <v>44961</v>
      </c>
      <c r="AO416" s="26">
        <f t="shared" ca="1" si="39"/>
        <v>0.50273955502499501</v>
      </c>
      <c r="AP416" s="29">
        <v>0</v>
      </c>
      <c r="AR416" s="22">
        <v>44961</v>
      </c>
      <c r="AS416" s="26">
        <f t="shared" ca="1" si="40"/>
        <v>0.36626903709684211</v>
      </c>
      <c r="AT416" s="29">
        <v>0</v>
      </c>
      <c r="AV416" s="22">
        <v>44961</v>
      </c>
      <c r="AW416" s="26">
        <f t="shared" ca="1" si="41"/>
        <v>0.23290280703998267</v>
      </c>
      <c r="AX416" s="29">
        <v>0</v>
      </c>
      <c r="AZ416" s="22">
        <v>44961</v>
      </c>
      <c r="BA416" s="26">
        <f t="shared" ca="1" si="42"/>
        <v>6.6392150823089913E-2</v>
      </c>
      <c r="BB416" s="29">
        <v>0</v>
      </c>
      <c r="BC416"/>
      <c r="BD416" s="25"/>
      <c r="BF416" s="22">
        <v>44961</v>
      </c>
      <c r="BG416" s="26">
        <f t="shared" ca="1" si="43"/>
        <v>0.85638171916798689</v>
      </c>
      <c r="BH416" s="29">
        <v>0</v>
      </c>
      <c r="BJ416" s="22">
        <v>44961</v>
      </c>
      <c r="BK416" s="26">
        <f t="shared" ca="1" si="44"/>
        <v>0.34034058888878049</v>
      </c>
      <c r="BL416" s="29">
        <v>0</v>
      </c>
      <c r="BN416" s="22">
        <v>44961</v>
      </c>
      <c r="BO416" s="26">
        <f t="shared" ca="1" si="45"/>
        <v>0.3545384614914433</v>
      </c>
      <c r="BP416" s="29">
        <v>0</v>
      </c>
      <c r="BR416" s="22">
        <v>44961</v>
      </c>
      <c r="BS416" s="26">
        <f t="shared" ca="1" si="46"/>
        <v>0.63761658340401239</v>
      </c>
      <c r="BT416" s="29">
        <v>0</v>
      </c>
      <c r="BV416" s="22">
        <v>44961</v>
      </c>
      <c r="BW416" s="26">
        <f t="shared" ca="1" si="47"/>
        <v>7.3826150550969527E-2</v>
      </c>
      <c r="BX416" s="29">
        <v>0</v>
      </c>
    </row>
    <row r="417" spans="2:76" ht="12.75" x14ac:dyDescent="0.2">
      <c r="B417" s="22">
        <v>44962</v>
      </c>
      <c r="C417" s="26">
        <f t="shared" ca="1" si="56"/>
        <v>0.2010404718070985</v>
      </c>
      <c r="D417" s="29">
        <f t="shared" ca="1" si="66"/>
        <v>59</v>
      </c>
      <c r="F417" s="22">
        <v>44962</v>
      </c>
      <c r="G417" s="26">
        <f t="shared" ca="1" si="31"/>
        <v>0.71627809480326232</v>
      </c>
      <c r="H417" s="29">
        <f t="shared" ca="1" si="59"/>
        <v>224</v>
      </c>
      <c r="J417" s="22">
        <v>44962</v>
      </c>
      <c r="K417" s="26">
        <f t="shared" ca="1" si="32"/>
        <v>7.4569012595396944E-2</v>
      </c>
      <c r="L417" s="29">
        <f t="shared" ca="1" si="60"/>
        <v>136</v>
      </c>
      <c r="N417" s="22">
        <v>44962</v>
      </c>
      <c r="O417" s="26">
        <f t="shared" ca="1" si="33"/>
        <v>0.60110730913280386</v>
      </c>
      <c r="P417" s="29">
        <f t="shared" ca="1" si="61"/>
        <v>234</v>
      </c>
      <c r="R417" s="22">
        <v>44962</v>
      </c>
      <c r="S417" s="26">
        <f t="shared" ca="1" si="34"/>
        <v>0.98694711717414885</v>
      </c>
      <c r="T417" s="29">
        <f t="shared" ca="1" si="62"/>
        <v>160</v>
      </c>
      <c r="V417" s="22">
        <v>44962</v>
      </c>
      <c r="W417" s="26">
        <f t="shared" ca="1" si="35"/>
        <v>9.8304647202533069E-2</v>
      </c>
      <c r="X417" s="29">
        <f t="shared" ca="1" si="65"/>
        <v>206</v>
      </c>
      <c r="Z417" s="22">
        <v>44962</v>
      </c>
      <c r="AA417" s="26">
        <f t="shared" ca="1" si="36"/>
        <v>0.68515658284439596</v>
      </c>
      <c r="AB417" s="29">
        <f t="shared" ca="1" si="63"/>
        <v>279</v>
      </c>
      <c r="AC417"/>
      <c r="AD417" s="25"/>
      <c r="AF417" s="22">
        <v>44962</v>
      </c>
      <c r="AG417" s="26">
        <f t="shared" ca="1" si="37"/>
        <v>0.5823656057942912</v>
      </c>
      <c r="AH417" s="29">
        <f t="shared" ca="1" si="64"/>
        <v>346</v>
      </c>
      <c r="AJ417" s="22">
        <v>44962</v>
      </c>
      <c r="AK417" s="26">
        <f t="shared" ca="1" si="38"/>
        <v>0.67234982083367578</v>
      </c>
      <c r="AL417" s="29">
        <v>0</v>
      </c>
      <c r="AN417" s="22">
        <v>44962</v>
      </c>
      <c r="AO417" s="26">
        <f t="shared" ca="1" si="39"/>
        <v>0.28408290981842244</v>
      </c>
      <c r="AP417" s="29">
        <v>0</v>
      </c>
      <c r="AR417" s="22">
        <v>44962</v>
      </c>
      <c r="AS417" s="26">
        <f t="shared" ca="1" si="40"/>
        <v>0.32469021263040243</v>
      </c>
      <c r="AT417" s="29">
        <v>0</v>
      </c>
      <c r="AV417" s="22">
        <v>44962</v>
      </c>
      <c r="AW417" s="26">
        <f t="shared" ca="1" si="41"/>
        <v>0.55115453481037624</v>
      </c>
      <c r="AX417" s="29">
        <v>0</v>
      </c>
      <c r="AZ417" s="22">
        <v>44962</v>
      </c>
      <c r="BA417" s="26">
        <f t="shared" ca="1" si="42"/>
        <v>0.65866031637497513</v>
      </c>
      <c r="BB417" s="29">
        <v>0</v>
      </c>
      <c r="BC417"/>
      <c r="BD417" s="25"/>
      <c r="BF417" s="22">
        <v>44962</v>
      </c>
      <c r="BG417" s="26">
        <f t="shared" ca="1" si="43"/>
        <v>0.74767631418153546</v>
      </c>
      <c r="BH417" s="29">
        <v>0</v>
      </c>
      <c r="BJ417" s="22">
        <v>44962</v>
      </c>
      <c r="BK417" s="26">
        <f t="shared" ca="1" si="44"/>
        <v>3.1248263779816265E-2</v>
      </c>
      <c r="BL417" s="29">
        <v>0</v>
      </c>
      <c r="BN417" s="22">
        <v>44962</v>
      </c>
      <c r="BO417" s="26">
        <f t="shared" ca="1" si="45"/>
        <v>0.23458602114765736</v>
      </c>
      <c r="BP417" s="29">
        <v>0</v>
      </c>
      <c r="BR417" s="22">
        <v>44962</v>
      </c>
      <c r="BS417" s="26">
        <f t="shared" ca="1" si="46"/>
        <v>0.82668043154148907</v>
      </c>
      <c r="BT417" s="29">
        <v>0</v>
      </c>
      <c r="BV417" s="22">
        <v>44962</v>
      </c>
      <c r="BW417" s="26">
        <f t="shared" ca="1" si="47"/>
        <v>0.48996670083983374</v>
      </c>
      <c r="BX417" s="29">
        <v>0</v>
      </c>
    </row>
    <row r="418" spans="2:76" ht="12.75" x14ac:dyDescent="0.2">
      <c r="B418" s="22">
        <v>44963</v>
      </c>
      <c r="C418" s="26">
        <f t="shared" ca="1" si="56"/>
        <v>0.47795243214191097</v>
      </c>
      <c r="D418" s="29">
        <v>0</v>
      </c>
      <c r="F418" s="22">
        <v>44963</v>
      </c>
      <c r="G418" s="26">
        <f t="shared" ca="1" si="31"/>
        <v>0.90531351264505133</v>
      </c>
      <c r="H418" s="29">
        <v>0</v>
      </c>
      <c r="J418" s="22">
        <v>44963</v>
      </c>
      <c r="K418" s="26">
        <f t="shared" ca="1" si="32"/>
        <v>0.65693463749564396</v>
      </c>
      <c r="L418" s="29">
        <v>0</v>
      </c>
      <c r="N418" s="22">
        <v>44963</v>
      </c>
      <c r="O418" s="26">
        <f t="shared" ca="1" si="33"/>
        <v>0.45105861724127794</v>
      </c>
      <c r="P418" s="29">
        <v>0</v>
      </c>
      <c r="R418" s="22">
        <v>44963</v>
      </c>
      <c r="S418" s="26">
        <f t="shared" ca="1" si="34"/>
        <v>0.45258649191885214</v>
      </c>
      <c r="T418" s="29">
        <v>0</v>
      </c>
      <c r="V418" s="22">
        <v>44963</v>
      </c>
      <c r="W418" s="26">
        <f t="shared" ca="1" si="35"/>
        <v>0.31591430268088583</v>
      </c>
      <c r="X418" s="29">
        <v>0</v>
      </c>
      <c r="Z418" s="22">
        <v>44963</v>
      </c>
      <c r="AA418" s="26">
        <f t="shared" ca="1" si="36"/>
        <v>0.40973108386790136</v>
      </c>
      <c r="AB418" s="29">
        <v>0</v>
      </c>
      <c r="AC418"/>
      <c r="AD418" s="25"/>
      <c r="AF418" s="22">
        <v>44963</v>
      </c>
      <c r="AG418" s="26">
        <f t="shared" ca="1" si="37"/>
        <v>7.6447289036899235E-2</v>
      </c>
      <c r="AH418" s="29">
        <v>0</v>
      </c>
      <c r="AJ418" s="22">
        <v>44963</v>
      </c>
      <c r="AK418" s="26">
        <f t="shared" ca="1" si="38"/>
        <v>0.65469697940858873</v>
      </c>
      <c r="AL418" s="29">
        <v>0</v>
      </c>
      <c r="AN418" s="22">
        <v>44963</v>
      </c>
      <c r="AO418" s="26">
        <f t="shared" ca="1" si="39"/>
        <v>4.6379484793949932E-2</v>
      </c>
      <c r="AP418" s="29">
        <v>0</v>
      </c>
      <c r="AR418" s="22">
        <v>44963</v>
      </c>
      <c r="AS418" s="26">
        <f t="shared" ca="1" si="40"/>
        <v>0.41840031989880899</v>
      </c>
      <c r="AT418" s="29">
        <v>0</v>
      </c>
      <c r="AV418" s="22">
        <v>44963</v>
      </c>
      <c r="AW418" s="26">
        <f t="shared" ca="1" si="41"/>
        <v>0.1501406081427662</v>
      </c>
      <c r="AX418" s="29">
        <v>0</v>
      </c>
      <c r="AZ418" s="22">
        <v>44963</v>
      </c>
      <c r="BA418" s="26">
        <f t="shared" ca="1" si="42"/>
        <v>0.75888959623934704</v>
      </c>
      <c r="BB418" s="29">
        <v>0</v>
      </c>
      <c r="BC418"/>
      <c r="BD418" s="25"/>
      <c r="BF418" s="22">
        <v>44963</v>
      </c>
      <c r="BG418" s="26">
        <f t="shared" ca="1" si="43"/>
        <v>0.77778083736570647</v>
      </c>
      <c r="BH418" s="29">
        <v>0</v>
      </c>
      <c r="BJ418" s="22">
        <v>44963</v>
      </c>
      <c r="BK418" s="26">
        <f t="shared" ca="1" si="44"/>
        <v>0.74460081136332723</v>
      </c>
      <c r="BL418" s="29">
        <v>0</v>
      </c>
      <c r="BN418" s="22">
        <v>44963</v>
      </c>
      <c r="BO418" s="26">
        <f t="shared" ca="1" si="45"/>
        <v>0.41505072026845302</v>
      </c>
      <c r="BP418" s="29">
        <v>0</v>
      </c>
      <c r="BR418" s="22">
        <v>44963</v>
      </c>
      <c r="BS418" s="26">
        <f t="shared" ca="1" si="46"/>
        <v>0.21036835824849276</v>
      </c>
      <c r="BT418" s="29">
        <v>0</v>
      </c>
      <c r="BV418" s="22">
        <v>44963</v>
      </c>
      <c r="BW418" s="26">
        <f t="shared" ca="1" si="47"/>
        <v>0.37754459679851993</v>
      </c>
      <c r="BX418" s="29">
        <v>0</v>
      </c>
    </row>
    <row r="419" spans="2:76" ht="12.75" x14ac:dyDescent="0.2">
      <c r="B419" s="22">
        <v>44964</v>
      </c>
      <c r="C419" s="26">
        <f t="shared" ca="1" si="56"/>
        <v>0.24472669449527784</v>
      </c>
      <c r="D419" s="29">
        <v>0</v>
      </c>
      <c r="F419" s="22">
        <v>44964</v>
      </c>
      <c r="G419" s="26">
        <f t="shared" ca="1" si="31"/>
        <v>0.50554997521262424</v>
      </c>
      <c r="H419" s="29">
        <v>0</v>
      </c>
      <c r="J419" s="22">
        <v>44964</v>
      </c>
      <c r="K419" s="26">
        <f t="shared" ca="1" si="32"/>
        <v>0.15401183133455909</v>
      </c>
      <c r="L419" s="29">
        <v>0</v>
      </c>
      <c r="N419" s="22">
        <v>44964</v>
      </c>
      <c r="O419" s="26">
        <f t="shared" ca="1" si="33"/>
        <v>0.82070566477726525</v>
      </c>
      <c r="P419" s="29">
        <v>0</v>
      </c>
      <c r="R419" s="22">
        <v>44964</v>
      </c>
      <c r="S419" s="26">
        <f t="shared" ca="1" si="34"/>
        <v>0.26162330777692311</v>
      </c>
      <c r="T419" s="29">
        <v>0</v>
      </c>
      <c r="V419" s="22">
        <v>44964</v>
      </c>
      <c r="W419" s="26">
        <f t="shared" ca="1" si="35"/>
        <v>0.76044088651653663</v>
      </c>
      <c r="X419" s="29">
        <v>0</v>
      </c>
      <c r="Z419" s="22">
        <v>44964</v>
      </c>
      <c r="AA419" s="26">
        <f t="shared" ca="1" si="36"/>
        <v>0.20144300265258008</v>
      </c>
      <c r="AB419" s="29">
        <v>0</v>
      </c>
      <c r="AC419"/>
      <c r="AD419" s="25"/>
      <c r="AF419" s="22">
        <v>44964</v>
      </c>
      <c r="AG419" s="26">
        <f t="shared" ca="1" si="37"/>
        <v>7.2767151778105665E-2</v>
      </c>
      <c r="AH419" s="29">
        <v>0</v>
      </c>
      <c r="AJ419" s="22">
        <v>44964</v>
      </c>
      <c r="AK419" s="26">
        <f t="shared" ca="1" si="38"/>
        <v>0.30121140215141196</v>
      </c>
      <c r="AL419" s="29">
        <v>0</v>
      </c>
      <c r="AN419" s="22">
        <v>44964</v>
      </c>
      <c r="AO419" s="26">
        <f t="shared" ca="1" si="39"/>
        <v>1.0809017299246992E-3</v>
      </c>
      <c r="AP419" s="29">
        <v>0</v>
      </c>
      <c r="AR419" s="22">
        <v>44964</v>
      </c>
      <c r="AS419" s="26">
        <f t="shared" ca="1" si="40"/>
        <v>0.58695076888459707</v>
      </c>
      <c r="AT419" s="29">
        <v>0</v>
      </c>
      <c r="AV419" s="22">
        <v>44964</v>
      </c>
      <c r="AW419" s="26">
        <f t="shared" ca="1" si="41"/>
        <v>0.51713551846278716</v>
      </c>
      <c r="AX419" s="29">
        <v>0</v>
      </c>
      <c r="AZ419" s="22">
        <v>44964</v>
      </c>
      <c r="BA419" s="26">
        <f t="shared" ca="1" si="42"/>
        <v>0.35655041496381468</v>
      </c>
      <c r="BB419" s="29">
        <v>0</v>
      </c>
      <c r="BC419"/>
      <c r="BD419" s="25"/>
      <c r="BF419" s="22">
        <v>44964</v>
      </c>
      <c r="BG419" s="26">
        <f t="shared" ca="1" si="43"/>
        <v>0.65710397570152534</v>
      </c>
      <c r="BH419" s="29">
        <v>0</v>
      </c>
      <c r="BJ419" s="22">
        <v>44964</v>
      </c>
      <c r="BK419" s="26">
        <f t="shared" ca="1" si="44"/>
        <v>0.40405027838114971</v>
      </c>
      <c r="BL419" s="29">
        <v>0</v>
      </c>
      <c r="BN419" s="22">
        <v>44964</v>
      </c>
      <c r="BO419" s="26">
        <f t="shared" ca="1" si="45"/>
        <v>0.58347860553442388</v>
      </c>
      <c r="BP419" s="29">
        <v>0</v>
      </c>
      <c r="BR419" s="22">
        <v>44964</v>
      </c>
      <c r="BS419" s="26">
        <f t="shared" ca="1" si="46"/>
        <v>0.5578998518306546</v>
      </c>
      <c r="BT419" s="29">
        <v>0</v>
      </c>
      <c r="BV419" s="22">
        <v>44964</v>
      </c>
      <c r="BW419" s="26">
        <f t="shared" ca="1" si="47"/>
        <v>0.89242825913909984</v>
      </c>
      <c r="BX419" s="29">
        <v>0</v>
      </c>
    </row>
    <row r="420" spans="2:76" ht="12.75" x14ac:dyDescent="0.2">
      <c r="B420" s="22">
        <v>44965</v>
      </c>
      <c r="C420" s="26">
        <f t="shared" ca="1" si="56"/>
        <v>0.489099121935059</v>
      </c>
      <c r="D420" s="29">
        <v>0</v>
      </c>
      <c r="F420" s="22">
        <v>44965</v>
      </c>
      <c r="G420" s="26">
        <f t="shared" ca="1" si="31"/>
        <v>0.19584845920036731</v>
      </c>
      <c r="H420" s="29">
        <v>0</v>
      </c>
      <c r="J420" s="22">
        <v>44965</v>
      </c>
      <c r="K420" s="26">
        <f t="shared" ca="1" si="32"/>
        <v>7.8487683827067611E-3</v>
      </c>
      <c r="L420" s="29">
        <v>0</v>
      </c>
      <c r="N420" s="22">
        <v>44965</v>
      </c>
      <c r="O420" s="26">
        <f t="shared" ca="1" si="33"/>
        <v>0.84719988447720307</v>
      </c>
      <c r="P420" s="29">
        <v>0</v>
      </c>
      <c r="R420" s="22">
        <v>44965</v>
      </c>
      <c r="S420" s="26">
        <f t="shared" ca="1" si="34"/>
        <v>0.96962595382801253</v>
      </c>
      <c r="T420" s="29">
        <v>0</v>
      </c>
      <c r="V420" s="22">
        <v>44965</v>
      </c>
      <c r="W420" s="26">
        <f t="shared" ca="1" si="35"/>
        <v>0.9445036599396508</v>
      </c>
      <c r="X420" s="29">
        <v>0</v>
      </c>
      <c r="Z420" s="22">
        <v>44965</v>
      </c>
      <c r="AA420" s="26">
        <f t="shared" ca="1" si="36"/>
        <v>0.22727620631241097</v>
      </c>
      <c r="AB420" s="29">
        <v>0</v>
      </c>
      <c r="AC420"/>
      <c r="AD420" s="25"/>
      <c r="AF420" s="22">
        <v>44965</v>
      </c>
      <c r="AG420" s="26">
        <f t="shared" ca="1" si="37"/>
        <v>0.36461184869278829</v>
      </c>
      <c r="AH420" s="29">
        <v>0</v>
      </c>
      <c r="AJ420" s="22">
        <v>44965</v>
      </c>
      <c r="AK420" s="26">
        <f t="shared" ca="1" si="38"/>
        <v>0.73755251484900886</v>
      </c>
      <c r="AL420" s="29">
        <v>0</v>
      </c>
      <c r="AN420" s="22">
        <v>44965</v>
      </c>
      <c r="AO420" s="26">
        <f t="shared" ca="1" si="39"/>
        <v>0.21056459313784726</v>
      </c>
      <c r="AP420" s="29">
        <v>0</v>
      </c>
      <c r="AR420" s="22">
        <v>44965</v>
      </c>
      <c r="AS420" s="26">
        <f t="shared" ca="1" si="40"/>
        <v>0.6977066589803097</v>
      </c>
      <c r="AT420" s="29">
        <v>0</v>
      </c>
      <c r="AV420" s="22">
        <v>44965</v>
      </c>
      <c r="AW420" s="26">
        <f t="shared" ca="1" si="41"/>
        <v>0.50256824631956454</v>
      </c>
      <c r="AX420" s="29">
        <v>0</v>
      </c>
      <c r="AZ420" s="22">
        <v>44965</v>
      </c>
      <c r="BA420" s="26">
        <f t="shared" ca="1" si="42"/>
        <v>0.50873330803518158</v>
      </c>
      <c r="BB420" s="29">
        <v>0</v>
      </c>
      <c r="BC420"/>
      <c r="BD420" s="25"/>
      <c r="BF420" s="22">
        <v>44965</v>
      </c>
      <c r="BG420" s="26">
        <f t="shared" ca="1" si="43"/>
        <v>0.60109289081504447</v>
      </c>
      <c r="BH420" s="29">
        <v>0</v>
      </c>
      <c r="BJ420" s="22">
        <v>44965</v>
      </c>
      <c r="BK420" s="26">
        <f t="shared" ca="1" si="44"/>
        <v>0.54798435013401703</v>
      </c>
      <c r="BL420" s="29">
        <v>0</v>
      </c>
      <c r="BN420" s="22">
        <v>44965</v>
      </c>
      <c r="BO420" s="26">
        <f t="shared" ca="1" si="45"/>
        <v>0.63981491767394361</v>
      </c>
      <c r="BP420" s="29">
        <v>0</v>
      </c>
      <c r="BR420" s="22">
        <v>44965</v>
      </c>
      <c r="BS420" s="26">
        <f t="shared" ca="1" si="46"/>
        <v>0.26693209738290524</v>
      </c>
      <c r="BT420" s="29">
        <v>0</v>
      </c>
      <c r="BV420" s="22">
        <v>44965</v>
      </c>
      <c r="BW420" s="26">
        <f t="shared" ca="1" si="47"/>
        <v>0.71044300139165639</v>
      </c>
      <c r="BX420" s="29">
        <v>0</v>
      </c>
    </row>
    <row r="421" spans="2:76" ht="12.75" x14ac:dyDescent="0.2">
      <c r="B421" s="22">
        <v>44966</v>
      </c>
      <c r="C421" s="26">
        <f t="shared" ca="1" si="56"/>
        <v>0.53227599400786829</v>
      </c>
      <c r="D421" s="29">
        <v>0</v>
      </c>
      <c r="F421" s="22">
        <v>44966</v>
      </c>
      <c r="G421" s="26">
        <f t="shared" ca="1" si="31"/>
        <v>0.68897924519101006</v>
      </c>
      <c r="H421" s="29">
        <v>0</v>
      </c>
      <c r="J421" s="22">
        <v>44966</v>
      </c>
      <c r="K421" s="26">
        <f t="shared" ca="1" si="32"/>
        <v>6.8041223624700664E-2</v>
      </c>
      <c r="L421" s="29">
        <v>0</v>
      </c>
      <c r="N421" s="22">
        <v>44966</v>
      </c>
      <c r="O421" s="26">
        <f t="shared" ca="1" si="33"/>
        <v>0.1503459258050942</v>
      </c>
      <c r="P421" s="29">
        <v>0</v>
      </c>
      <c r="R421" s="22">
        <v>44966</v>
      </c>
      <c r="S421" s="26">
        <f t="shared" ca="1" si="34"/>
        <v>0.96218140398932162</v>
      </c>
      <c r="T421" s="29">
        <v>0</v>
      </c>
      <c r="V421" s="22">
        <v>44966</v>
      </c>
      <c r="W421" s="26">
        <f t="shared" ca="1" si="35"/>
        <v>0.40469310008686166</v>
      </c>
      <c r="X421" s="29">
        <v>0</v>
      </c>
      <c r="Z421" s="22">
        <v>44966</v>
      </c>
      <c r="AA421" s="26">
        <f t="shared" ca="1" si="36"/>
        <v>0.43243309258498808</v>
      </c>
      <c r="AB421" s="29">
        <v>0</v>
      </c>
      <c r="AC421"/>
      <c r="AD421" s="25"/>
      <c r="AF421" s="22">
        <v>44966</v>
      </c>
      <c r="AG421" s="26">
        <f t="shared" ca="1" si="37"/>
        <v>0.1877771592020121</v>
      </c>
      <c r="AH421" s="29">
        <v>0</v>
      </c>
      <c r="AJ421" s="22">
        <v>44966</v>
      </c>
      <c r="AK421" s="26">
        <f t="shared" ca="1" si="38"/>
        <v>0.38119446095144871</v>
      </c>
      <c r="AL421" s="29">
        <v>0</v>
      </c>
      <c r="AN421" s="22">
        <v>44966</v>
      </c>
      <c r="AO421" s="26">
        <f t="shared" ca="1" si="39"/>
        <v>0.744126323520647</v>
      </c>
      <c r="AP421" s="29">
        <v>0</v>
      </c>
      <c r="AR421" s="22">
        <v>44966</v>
      </c>
      <c r="AS421" s="26">
        <f t="shared" ca="1" si="40"/>
        <v>0.93880585239952019</v>
      </c>
      <c r="AT421" s="29">
        <v>0</v>
      </c>
      <c r="AV421" s="22">
        <v>44966</v>
      </c>
      <c r="AW421" s="26">
        <f t="shared" ca="1" si="41"/>
        <v>0.51026988036012899</v>
      </c>
      <c r="AX421" s="29">
        <v>0</v>
      </c>
      <c r="AZ421" s="22">
        <v>44966</v>
      </c>
      <c r="BA421" s="26">
        <f t="shared" ca="1" si="42"/>
        <v>0.99610233796219605</v>
      </c>
      <c r="BB421" s="29">
        <v>0</v>
      </c>
      <c r="BC421"/>
      <c r="BD421" s="25"/>
      <c r="BF421" s="22">
        <v>44966</v>
      </c>
      <c r="BG421" s="26">
        <f t="shared" ca="1" si="43"/>
        <v>0.86107071234299948</v>
      </c>
      <c r="BH421" s="29">
        <v>0</v>
      </c>
      <c r="BJ421" s="22">
        <v>44966</v>
      </c>
      <c r="BK421" s="26">
        <f t="shared" ca="1" si="44"/>
        <v>4.5503782336843157E-3</v>
      </c>
      <c r="BL421" s="29">
        <v>0</v>
      </c>
      <c r="BN421" s="22">
        <v>44966</v>
      </c>
      <c r="BO421" s="26">
        <f t="shared" ca="1" si="45"/>
        <v>0.29079244137441285</v>
      </c>
      <c r="BP421" s="29">
        <v>0</v>
      </c>
      <c r="BR421" s="22">
        <v>44966</v>
      </c>
      <c r="BS421" s="26">
        <f t="shared" ca="1" si="46"/>
        <v>9.0671527933052776E-2</v>
      </c>
      <c r="BT421" s="29">
        <v>0</v>
      </c>
      <c r="BV421" s="22">
        <v>44966</v>
      </c>
      <c r="BW421" s="26">
        <f t="shared" ca="1" si="47"/>
        <v>0.11743450981641457</v>
      </c>
      <c r="BX421" s="29">
        <v>0</v>
      </c>
    </row>
    <row r="422" spans="2:76" ht="12.75" x14ac:dyDescent="0.2">
      <c r="B422" s="22">
        <v>44967</v>
      </c>
      <c r="C422" s="26">
        <f t="shared" ca="1" si="56"/>
        <v>0.66099003256550115</v>
      </c>
      <c r="D422" s="29">
        <v>0</v>
      </c>
      <c r="F422" s="22">
        <v>44967</v>
      </c>
      <c r="G422" s="26">
        <f t="shared" ca="1" si="31"/>
        <v>0.82277671129097996</v>
      </c>
      <c r="H422" s="29">
        <v>0</v>
      </c>
      <c r="J422" s="22">
        <v>44967</v>
      </c>
      <c r="K422" s="26">
        <f t="shared" ca="1" si="32"/>
        <v>0.74702156205038739</v>
      </c>
      <c r="L422" s="29">
        <v>0</v>
      </c>
      <c r="N422" s="22">
        <v>44967</v>
      </c>
      <c r="O422" s="26">
        <f t="shared" ca="1" si="33"/>
        <v>0.77906748955644223</v>
      </c>
      <c r="P422" s="29">
        <v>0</v>
      </c>
      <c r="R422" s="22">
        <v>44967</v>
      </c>
      <c r="S422" s="26">
        <f t="shared" ca="1" si="34"/>
        <v>0.78650771379776085</v>
      </c>
      <c r="T422" s="29">
        <v>0</v>
      </c>
      <c r="V422" s="22">
        <v>44967</v>
      </c>
      <c r="W422" s="26">
        <f t="shared" ca="1" si="35"/>
        <v>0.52864449014796433</v>
      </c>
      <c r="X422" s="29">
        <v>0</v>
      </c>
      <c r="Z422" s="22">
        <v>44967</v>
      </c>
      <c r="AA422" s="26">
        <f t="shared" ca="1" si="36"/>
        <v>0.17781559078224574</v>
      </c>
      <c r="AB422" s="29">
        <v>0</v>
      </c>
      <c r="AC422"/>
      <c r="AD422" s="25"/>
      <c r="AF422" s="22">
        <v>44967</v>
      </c>
      <c r="AG422" s="26">
        <f t="shared" ca="1" si="37"/>
        <v>0.97684400389137138</v>
      </c>
      <c r="AH422" s="29">
        <v>0</v>
      </c>
      <c r="AJ422" s="22">
        <v>44967</v>
      </c>
      <c r="AK422" s="26">
        <f t="shared" ca="1" si="38"/>
        <v>0.91091175035864436</v>
      </c>
      <c r="AL422" s="29">
        <v>0</v>
      </c>
      <c r="AN422" s="22">
        <v>44967</v>
      </c>
      <c r="AO422" s="26">
        <f t="shared" ca="1" si="39"/>
        <v>0.55126153011635282</v>
      </c>
      <c r="AP422" s="29">
        <v>0</v>
      </c>
      <c r="AR422" s="22">
        <v>44967</v>
      </c>
      <c r="AS422" s="26">
        <f t="shared" ca="1" si="40"/>
        <v>0.78046320374229727</v>
      </c>
      <c r="AT422" s="29">
        <v>0</v>
      </c>
      <c r="AV422" s="22">
        <v>44967</v>
      </c>
      <c r="AW422" s="26">
        <f t="shared" ca="1" si="41"/>
        <v>0.1830271029768209</v>
      </c>
      <c r="AX422" s="29">
        <v>0</v>
      </c>
      <c r="AZ422" s="22">
        <v>44967</v>
      </c>
      <c r="BA422" s="26">
        <f t="shared" ca="1" si="42"/>
        <v>0.61241319968843966</v>
      </c>
      <c r="BB422" s="29">
        <v>0</v>
      </c>
      <c r="BC422"/>
      <c r="BD422" s="25"/>
      <c r="BF422" s="22">
        <v>44967</v>
      </c>
      <c r="BG422" s="26">
        <f t="shared" ca="1" si="43"/>
        <v>0.3439434319127388</v>
      </c>
      <c r="BH422" s="29">
        <v>0</v>
      </c>
      <c r="BJ422" s="22">
        <v>44967</v>
      </c>
      <c r="BK422" s="26">
        <f t="shared" ca="1" si="44"/>
        <v>0.8780341236891922</v>
      </c>
      <c r="BL422" s="29">
        <v>0</v>
      </c>
      <c r="BN422" s="22">
        <v>44967</v>
      </c>
      <c r="BO422" s="26">
        <f t="shared" ca="1" si="45"/>
        <v>0.44032302589369765</v>
      </c>
      <c r="BP422" s="29">
        <v>0</v>
      </c>
      <c r="BR422" s="22">
        <v>44967</v>
      </c>
      <c r="BS422" s="26">
        <f t="shared" ca="1" si="46"/>
        <v>0.74663319093503355</v>
      </c>
      <c r="BT422" s="29">
        <v>0</v>
      </c>
      <c r="BV422" s="22">
        <v>44967</v>
      </c>
      <c r="BW422" s="26">
        <f t="shared" ca="1" si="47"/>
        <v>0.70441830478960554</v>
      </c>
      <c r="BX422" s="29">
        <v>0</v>
      </c>
    </row>
    <row r="423" spans="2:76" ht="12.75" x14ac:dyDescent="0.2">
      <c r="B423" s="22">
        <v>44968</v>
      </c>
      <c r="C423" s="26">
        <f t="shared" ca="1" si="56"/>
        <v>0.17234298889102295</v>
      </c>
      <c r="D423" s="29">
        <v>0</v>
      </c>
      <c r="F423" s="22">
        <v>44968</v>
      </c>
      <c r="G423" s="26">
        <f t="shared" ca="1" si="31"/>
        <v>0.16210649008916733</v>
      </c>
      <c r="H423" s="29">
        <v>0</v>
      </c>
      <c r="J423" s="22">
        <v>44968</v>
      </c>
      <c r="K423" s="26">
        <f t="shared" ca="1" si="32"/>
        <v>0.59735183994161412</v>
      </c>
      <c r="L423" s="29">
        <v>0</v>
      </c>
      <c r="N423" s="22">
        <v>44968</v>
      </c>
      <c r="O423" s="26">
        <f t="shared" ca="1" si="33"/>
        <v>0.79479985889320937</v>
      </c>
      <c r="P423" s="29">
        <v>0</v>
      </c>
      <c r="R423" s="22">
        <v>44968</v>
      </c>
      <c r="S423" s="26">
        <f t="shared" ca="1" si="34"/>
        <v>0.11438674258313974</v>
      </c>
      <c r="T423" s="29">
        <v>0</v>
      </c>
      <c r="V423" s="22">
        <v>44968</v>
      </c>
      <c r="W423" s="26">
        <f t="shared" ca="1" si="35"/>
        <v>0.21614439743687375</v>
      </c>
      <c r="X423" s="29">
        <v>0</v>
      </c>
      <c r="Z423" s="22">
        <v>44968</v>
      </c>
      <c r="AA423" s="26">
        <f t="shared" ca="1" si="36"/>
        <v>0.89061613333560385</v>
      </c>
      <c r="AB423" s="29">
        <v>0</v>
      </c>
      <c r="AC423"/>
      <c r="AD423" s="25"/>
      <c r="AF423" s="22">
        <v>44968</v>
      </c>
      <c r="AG423" s="26">
        <f t="shared" ca="1" si="37"/>
        <v>2.6105416016894645E-2</v>
      </c>
      <c r="AH423" s="29">
        <v>0</v>
      </c>
      <c r="AJ423" s="22">
        <v>44968</v>
      </c>
      <c r="AK423" s="26">
        <f t="shared" ca="1" si="38"/>
        <v>3.4881458054915049E-3</v>
      </c>
      <c r="AL423" s="29">
        <v>0</v>
      </c>
      <c r="AN423" s="22">
        <v>44968</v>
      </c>
      <c r="AO423" s="26">
        <f t="shared" ca="1" si="39"/>
        <v>0.49558339559075815</v>
      </c>
      <c r="AP423" s="29">
        <v>0</v>
      </c>
      <c r="AR423" s="22">
        <v>44968</v>
      </c>
      <c r="AS423" s="26">
        <f t="shared" ca="1" si="40"/>
        <v>0.9092303303239635</v>
      </c>
      <c r="AT423" s="29">
        <v>0</v>
      </c>
      <c r="AV423" s="22">
        <v>44968</v>
      </c>
      <c r="AW423" s="26">
        <f t="shared" ca="1" si="41"/>
        <v>0.5162120890701084</v>
      </c>
      <c r="AX423" s="29">
        <v>0</v>
      </c>
      <c r="AZ423" s="22">
        <v>44968</v>
      </c>
      <c r="BA423" s="26">
        <f t="shared" ca="1" si="42"/>
        <v>0.96564732443686019</v>
      </c>
      <c r="BB423" s="29">
        <v>0</v>
      </c>
      <c r="BC423"/>
      <c r="BD423" s="25"/>
      <c r="BF423" s="22">
        <v>44968</v>
      </c>
      <c r="BG423" s="26">
        <f t="shared" ca="1" si="43"/>
        <v>0.17361741964511923</v>
      </c>
      <c r="BH423" s="29">
        <v>0</v>
      </c>
      <c r="BJ423" s="22">
        <v>44968</v>
      </c>
      <c r="BK423" s="26">
        <f t="shared" ca="1" si="44"/>
        <v>0.32029227869610122</v>
      </c>
      <c r="BL423" s="29">
        <v>0</v>
      </c>
      <c r="BN423" s="22">
        <v>44968</v>
      </c>
      <c r="BO423" s="26">
        <f t="shared" ca="1" si="45"/>
        <v>0.97408088453649766</v>
      </c>
      <c r="BP423" s="29">
        <v>0</v>
      </c>
      <c r="BR423" s="22">
        <v>44968</v>
      </c>
      <c r="BS423" s="26">
        <f t="shared" ca="1" si="46"/>
        <v>0.82615657702801848</v>
      </c>
      <c r="BT423" s="29">
        <v>0</v>
      </c>
      <c r="BV423" s="22">
        <v>44968</v>
      </c>
      <c r="BW423" s="26">
        <f t="shared" ca="1" si="47"/>
        <v>0.2418250466759202</v>
      </c>
      <c r="BX423" s="29">
        <v>0</v>
      </c>
    </row>
    <row r="424" spans="2:76" ht="12.75" x14ac:dyDescent="0.2">
      <c r="B424" s="22">
        <v>44969</v>
      </c>
      <c r="C424" s="26">
        <f t="shared" ca="1" si="56"/>
        <v>0.30628031088995122</v>
      </c>
      <c r="D424" s="29">
        <v>0</v>
      </c>
      <c r="F424" s="22">
        <v>44969</v>
      </c>
      <c r="G424" s="26">
        <f t="shared" ca="1" si="31"/>
        <v>0.58441235265292835</v>
      </c>
      <c r="H424" s="29">
        <v>0</v>
      </c>
      <c r="J424" s="22">
        <v>44969</v>
      </c>
      <c r="K424" s="26">
        <f t="shared" ca="1" si="32"/>
        <v>0.13666007973049488</v>
      </c>
      <c r="L424" s="29">
        <v>0</v>
      </c>
      <c r="N424" s="22">
        <v>44969</v>
      </c>
      <c r="O424" s="26">
        <f t="shared" ca="1" si="33"/>
        <v>0.88599585604336106</v>
      </c>
      <c r="P424" s="29">
        <v>0</v>
      </c>
      <c r="R424" s="22">
        <v>44969</v>
      </c>
      <c r="S424" s="26">
        <f t="shared" ca="1" si="34"/>
        <v>0.19043334110572252</v>
      </c>
      <c r="T424" s="29">
        <v>0</v>
      </c>
      <c r="V424" s="22">
        <v>44969</v>
      </c>
      <c r="W424" s="26">
        <f t="shared" ca="1" si="35"/>
        <v>0.56890819006561877</v>
      </c>
      <c r="X424" s="29">
        <v>0</v>
      </c>
      <c r="Z424" s="22">
        <v>44969</v>
      </c>
      <c r="AA424" s="26">
        <f t="shared" ca="1" si="36"/>
        <v>0.79614990889962989</v>
      </c>
      <c r="AB424" s="29">
        <v>0</v>
      </c>
      <c r="AC424"/>
      <c r="AD424" s="25"/>
      <c r="AF424" s="22">
        <v>44969</v>
      </c>
      <c r="AG424" s="26">
        <f t="shared" ca="1" si="37"/>
        <v>0.71008815479219456</v>
      </c>
      <c r="AH424" s="29">
        <v>0</v>
      </c>
      <c r="AJ424" s="22">
        <v>44969</v>
      </c>
      <c r="AK424" s="26">
        <f t="shared" ca="1" si="38"/>
        <v>7.6741705671376614E-2</v>
      </c>
      <c r="AL424" s="29">
        <v>0</v>
      </c>
      <c r="AN424" s="22">
        <v>44969</v>
      </c>
      <c r="AO424" s="26">
        <f t="shared" ca="1" si="39"/>
        <v>0.55016532823864117</v>
      </c>
      <c r="AP424" s="29">
        <v>0</v>
      </c>
      <c r="AR424" s="22">
        <v>44969</v>
      </c>
      <c r="AS424" s="26">
        <f t="shared" ca="1" si="40"/>
        <v>0.95078054146211055</v>
      </c>
      <c r="AT424" s="29">
        <v>0</v>
      </c>
      <c r="AV424" s="22">
        <v>44969</v>
      </c>
      <c r="AW424" s="26">
        <f t="shared" ca="1" si="41"/>
        <v>1.4160584797705766E-2</v>
      </c>
      <c r="AX424" s="29">
        <v>0</v>
      </c>
      <c r="AZ424" s="22">
        <v>44969</v>
      </c>
      <c r="BA424" s="26">
        <f t="shared" ca="1" si="42"/>
        <v>0.58866821989477502</v>
      </c>
      <c r="BB424" s="29">
        <v>0</v>
      </c>
      <c r="BC424"/>
      <c r="BD424" s="25"/>
      <c r="BF424" s="22">
        <v>44969</v>
      </c>
      <c r="BG424" s="26">
        <f t="shared" ca="1" si="43"/>
        <v>0.67593172116303823</v>
      </c>
      <c r="BH424" s="29">
        <v>0</v>
      </c>
      <c r="BJ424" s="22">
        <v>44969</v>
      </c>
      <c r="BK424" s="26">
        <f t="shared" ca="1" si="44"/>
        <v>0.94836155154900525</v>
      </c>
      <c r="BL424" s="29">
        <v>0</v>
      </c>
      <c r="BN424" s="22">
        <v>44969</v>
      </c>
      <c r="BO424" s="26">
        <f t="shared" ca="1" si="45"/>
        <v>0.61537755822614826</v>
      </c>
      <c r="BP424" s="29">
        <v>0</v>
      </c>
      <c r="BR424" s="22">
        <v>44969</v>
      </c>
      <c r="BS424" s="26">
        <f t="shared" ca="1" si="46"/>
        <v>7.9664712529728399E-2</v>
      </c>
      <c r="BT424" s="29">
        <v>0</v>
      </c>
      <c r="BV424" s="22">
        <v>44969</v>
      </c>
      <c r="BW424" s="26">
        <f t="shared" ca="1" si="47"/>
        <v>0.72971313930437776</v>
      </c>
      <c r="BX424" s="29">
        <v>0</v>
      </c>
    </row>
    <row r="425" spans="2:76" ht="12.75" x14ac:dyDescent="0.2">
      <c r="B425" s="22">
        <v>44970</v>
      </c>
      <c r="C425" s="26">
        <f t="shared" ca="1" si="56"/>
        <v>0.89346032282369692</v>
      </c>
      <c r="D425" s="29">
        <v>0</v>
      </c>
      <c r="F425" s="22">
        <v>44970</v>
      </c>
      <c r="G425" s="26">
        <f t="shared" ca="1" si="31"/>
        <v>0.8892859903132101</v>
      </c>
      <c r="H425" s="29">
        <v>0</v>
      </c>
      <c r="J425" s="22">
        <v>44970</v>
      </c>
      <c r="K425" s="26">
        <f t="shared" ca="1" si="32"/>
        <v>0.65623431262993481</v>
      </c>
      <c r="L425" s="29">
        <v>0</v>
      </c>
      <c r="N425" s="22">
        <v>44970</v>
      </c>
      <c r="O425" s="26">
        <f t="shared" ca="1" si="33"/>
        <v>0.2919705983244556</v>
      </c>
      <c r="P425" s="29">
        <v>0</v>
      </c>
      <c r="R425" s="22">
        <v>44970</v>
      </c>
      <c r="S425" s="26">
        <f t="shared" ca="1" si="34"/>
        <v>0.77052035409690312</v>
      </c>
      <c r="T425" s="29">
        <v>0</v>
      </c>
      <c r="V425" s="22">
        <v>44970</v>
      </c>
      <c r="W425" s="26">
        <f t="shared" ca="1" si="35"/>
        <v>0.7991465848706496</v>
      </c>
      <c r="X425" s="29">
        <v>0</v>
      </c>
      <c r="Z425" s="22">
        <v>44970</v>
      </c>
      <c r="AA425" s="26">
        <f t="shared" ca="1" si="36"/>
        <v>0.1781719349542733</v>
      </c>
      <c r="AB425" s="29">
        <v>0</v>
      </c>
      <c r="AC425"/>
      <c r="AD425" s="25"/>
      <c r="AF425" s="22">
        <v>44970</v>
      </c>
      <c r="AG425" s="26">
        <f t="shared" ca="1" si="37"/>
        <v>0.7028981436662145</v>
      </c>
      <c r="AH425" s="29">
        <v>0</v>
      </c>
      <c r="AJ425" s="22">
        <v>44970</v>
      </c>
      <c r="AK425" s="26">
        <f t="shared" ca="1" si="38"/>
        <v>1.3992648141496478E-2</v>
      </c>
      <c r="AL425" s="29">
        <v>0</v>
      </c>
      <c r="AN425" s="22">
        <v>44970</v>
      </c>
      <c r="AO425" s="26">
        <f t="shared" ca="1" si="39"/>
        <v>0.92702000591604983</v>
      </c>
      <c r="AP425" s="29">
        <v>0</v>
      </c>
      <c r="AR425" s="22">
        <v>44970</v>
      </c>
      <c r="AS425" s="26">
        <f t="shared" ca="1" si="40"/>
        <v>4.8381219429511679E-2</v>
      </c>
      <c r="AT425" s="29">
        <v>0</v>
      </c>
      <c r="AV425" s="22">
        <v>44970</v>
      </c>
      <c r="AW425" s="26">
        <f t="shared" ca="1" si="41"/>
        <v>0.32406151735966393</v>
      </c>
      <c r="AX425" s="29">
        <v>0</v>
      </c>
      <c r="AZ425" s="22">
        <v>44970</v>
      </c>
      <c r="BA425" s="26">
        <f t="shared" ca="1" si="42"/>
        <v>0.67452091763549671</v>
      </c>
      <c r="BB425" s="29">
        <v>0</v>
      </c>
      <c r="BC425"/>
      <c r="BD425" s="25"/>
      <c r="BF425" s="22">
        <v>44970</v>
      </c>
      <c r="BG425" s="26">
        <f t="shared" ca="1" si="43"/>
        <v>0.56124009060063584</v>
      </c>
      <c r="BH425" s="29">
        <v>0</v>
      </c>
      <c r="BJ425" s="22">
        <v>44970</v>
      </c>
      <c r="BK425" s="26">
        <f t="shared" ca="1" si="44"/>
        <v>0.69435223714310312</v>
      </c>
      <c r="BL425" s="29">
        <v>0</v>
      </c>
      <c r="BN425" s="22">
        <v>44970</v>
      </c>
      <c r="BO425" s="26">
        <f t="shared" ca="1" si="45"/>
        <v>8.7925305748601357E-2</v>
      </c>
      <c r="BP425" s="29">
        <v>0</v>
      </c>
      <c r="BR425" s="22">
        <v>44970</v>
      </c>
      <c r="BS425" s="26">
        <f t="shared" ca="1" si="46"/>
        <v>8.0010101827087454E-2</v>
      </c>
      <c r="BT425" s="29">
        <v>0</v>
      </c>
      <c r="BV425" s="22">
        <v>44970</v>
      </c>
      <c r="BW425" s="26">
        <f t="shared" ca="1" si="47"/>
        <v>3.5148154643162455E-2</v>
      </c>
      <c r="BX425" s="29">
        <v>0</v>
      </c>
    </row>
    <row r="426" spans="2:76" ht="12.75" x14ac:dyDescent="0.2">
      <c r="B426" s="22">
        <v>44971</v>
      </c>
      <c r="C426" s="26">
        <f t="shared" ca="1" si="56"/>
        <v>0.35028411601260434</v>
      </c>
      <c r="D426" s="29">
        <v>0</v>
      </c>
      <c r="F426" s="22">
        <v>44971</v>
      </c>
      <c r="G426" s="26">
        <f t="shared" ca="1" si="31"/>
        <v>0.66464670341514676</v>
      </c>
      <c r="H426" s="29">
        <v>0</v>
      </c>
      <c r="J426" s="22">
        <v>44971</v>
      </c>
      <c r="K426" s="26">
        <f t="shared" ca="1" si="32"/>
        <v>0.97146632378022268</v>
      </c>
      <c r="L426" s="29">
        <v>0</v>
      </c>
      <c r="N426" s="22">
        <v>44971</v>
      </c>
      <c r="O426" s="26">
        <f t="shared" ca="1" si="33"/>
        <v>0.45882166519505363</v>
      </c>
      <c r="P426" s="29">
        <v>0</v>
      </c>
      <c r="R426" s="22">
        <v>44971</v>
      </c>
      <c r="S426" s="26">
        <f t="shared" ca="1" si="34"/>
        <v>0.87796755743182653</v>
      </c>
      <c r="T426" s="29">
        <v>0</v>
      </c>
      <c r="V426" s="22">
        <v>44971</v>
      </c>
      <c r="W426" s="26">
        <f t="shared" ca="1" si="35"/>
        <v>0.74954201452577029</v>
      </c>
      <c r="X426" s="29">
        <v>0</v>
      </c>
      <c r="Z426" s="22">
        <v>44971</v>
      </c>
      <c r="AA426" s="26">
        <f t="shared" ca="1" si="36"/>
        <v>0.40925275037359121</v>
      </c>
      <c r="AB426" s="29">
        <v>0</v>
      </c>
      <c r="AC426"/>
      <c r="AD426" s="25"/>
      <c r="AF426" s="22">
        <v>44971</v>
      </c>
      <c r="AG426" s="26">
        <f t="shared" ca="1" si="37"/>
        <v>0.82007650396380449</v>
      </c>
      <c r="AH426" s="29">
        <v>0</v>
      </c>
      <c r="AJ426" s="22">
        <v>44971</v>
      </c>
      <c r="AK426" s="26">
        <f t="shared" ca="1" si="38"/>
        <v>0.15284222455109175</v>
      </c>
      <c r="AL426" s="29">
        <v>0</v>
      </c>
      <c r="AN426" s="22">
        <v>44971</v>
      </c>
      <c r="AO426" s="26">
        <f t="shared" ca="1" si="39"/>
        <v>0.63543954531262159</v>
      </c>
      <c r="AP426" s="29">
        <v>0</v>
      </c>
      <c r="AR426" s="22">
        <v>44971</v>
      </c>
      <c r="AS426" s="26">
        <f t="shared" ca="1" si="40"/>
        <v>0.81854525449519544</v>
      </c>
      <c r="AT426" s="29">
        <v>0</v>
      </c>
      <c r="AV426" s="22">
        <v>44971</v>
      </c>
      <c r="AW426" s="26">
        <f t="shared" ca="1" si="41"/>
        <v>0.16625998379867579</v>
      </c>
      <c r="AX426" s="29">
        <v>0</v>
      </c>
      <c r="AZ426" s="22">
        <v>44971</v>
      </c>
      <c r="BA426" s="26">
        <f t="shared" ca="1" si="42"/>
        <v>0.93642515156156969</v>
      </c>
      <c r="BB426" s="29">
        <v>0</v>
      </c>
      <c r="BC426"/>
      <c r="BD426" s="25"/>
      <c r="BF426" s="22">
        <v>44971</v>
      </c>
      <c r="BG426" s="26">
        <f t="shared" ca="1" si="43"/>
        <v>0.84496556854691396</v>
      </c>
      <c r="BH426" s="29">
        <v>0</v>
      </c>
      <c r="BJ426" s="22">
        <v>44971</v>
      </c>
      <c r="BK426" s="26">
        <f t="shared" ca="1" si="44"/>
        <v>0.54881794434134146</v>
      </c>
      <c r="BL426" s="29">
        <v>0</v>
      </c>
      <c r="BN426" s="22">
        <v>44971</v>
      </c>
      <c r="BO426" s="26">
        <f t="shared" ca="1" si="45"/>
        <v>0.89937915117550693</v>
      </c>
      <c r="BP426" s="29">
        <v>0</v>
      </c>
      <c r="BR426" s="22">
        <v>44971</v>
      </c>
      <c r="BS426" s="26">
        <f t="shared" ca="1" si="46"/>
        <v>0.19281998077275764</v>
      </c>
      <c r="BT426" s="29">
        <v>0</v>
      </c>
      <c r="BV426" s="22">
        <v>44971</v>
      </c>
      <c r="BW426" s="26">
        <f t="shared" ca="1" si="47"/>
        <v>0.10204782317178485</v>
      </c>
      <c r="BX426" s="29">
        <v>0</v>
      </c>
    </row>
    <row r="427" spans="2:76" ht="12.75" x14ac:dyDescent="0.2">
      <c r="B427" s="22">
        <v>44972</v>
      </c>
      <c r="C427" s="26">
        <f t="shared" ca="1" si="56"/>
        <v>0.67032661309118491</v>
      </c>
      <c r="D427" s="29">
        <f t="shared" ca="1" si="66"/>
        <v>84</v>
      </c>
      <c r="F427" s="22">
        <v>44972</v>
      </c>
      <c r="G427" s="26">
        <f t="shared" ca="1" si="31"/>
        <v>0.13771102550572267</v>
      </c>
      <c r="H427" s="29">
        <f t="shared" ca="1" si="59"/>
        <v>200</v>
      </c>
      <c r="J427" s="22">
        <v>44972</v>
      </c>
      <c r="K427" s="26">
        <f t="shared" ca="1" si="32"/>
        <v>0.23424580782772952</v>
      </c>
      <c r="L427" s="29">
        <f t="shared" ca="1" si="60"/>
        <v>143</v>
      </c>
      <c r="N427" s="22">
        <v>44972</v>
      </c>
      <c r="O427" s="26">
        <f t="shared" ca="1" si="33"/>
        <v>0.49883241561713354</v>
      </c>
      <c r="P427" s="29">
        <f t="shared" ca="1" si="61"/>
        <v>230</v>
      </c>
      <c r="R427" s="22">
        <v>44972</v>
      </c>
      <c r="S427" s="26">
        <f t="shared" ca="1" si="34"/>
        <v>0.98826355620153894</v>
      </c>
      <c r="T427" s="29">
        <f t="shared" ca="1" si="62"/>
        <v>160</v>
      </c>
      <c r="V427" s="22">
        <v>44972</v>
      </c>
      <c r="W427" s="26">
        <f t="shared" ca="1" si="35"/>
        <v>0.4601811342660832</v>
      </c>
      <c r="X427" s="29">
        <f t="shared" ca="1" si="65"/>
        <v>224</v>
      </c>
      <c r="Z427" s="22">
        <v>44972</v>
      </c>
      <c r="AA427" s="26">
        <f t="shared" ca="1" si="36"/>
        <v>2.9161995146969932E-2</v>
      </c>
      <c r="AB427" s="29">
        <f t="shared" ca="1" si="63"/>
        <v>236</v>
      </c>
      <c r="AC427"/>
      <c r="AD427" s="25"/>
      <c r="AF427" s="22">
        <v>44972</v>
      </c>
      <c r="AG427" s="26">
        <f t="shared" ca="1" si="37"/>
        <v>0.15000618025347112</v>
      </c>
      <c r="AH427" s="29">
        <f t="shared" ca="1" si="64"/>
        <v>237</v>
      </c>
      <c r="AJ427" s="22">
        <v>44972</v>
      </c>
      <c r="AK427" s="26">
        <f t="shared" ca="1" si="38"/>
        <v>0.56650155444051331</v>
      </c>
      <c r="AL427" s="29">
        <v>0</v>
      </c>
      <c r="AN427" s="22">
        <v>44972</v>
      </c>
      <c r="AO427" s="26">
        <f t="shared" ca="1" si="39"/>
        <v>0.72923472335887818</v>
      </c>
      <c r="AP427" s="29">
        <v>0</v>
      </c>
      <c r="AR427" s="22">
        <v>44972</v>
      </c>
      <c r="AS427" s="26">
        <f t="shared" ca="1" si="40"/>
        <v>0.33663566439722836</v>
      </c>
      <c r="AT427" s="29">
        <v>0</v>
      </c>
      <c r="AV427" s="22">
        <v>44972</v>
      </c>
      <c r="AW427" s="26">
        <f t="shared" ca="1" si="41"/>
        <v>0.3277056490775101</v>
      </c>
      <c r="AX427" s="29">
        <v>0</v>
      </c>
      <c r="AZ427" s="22">
        <v>44972</v>
      </c>
      <c r="BA427" s="26">
        <f t="shared" ca="1" si="42"/>
        <v>0.78507725868591915</v>
      </c>
      <c r="BB427" s="29">
        <v>0</v>
      </c>
      <c r="BC427"/>
      <c r="BD427" s="25"/>
      <c r="BF427" s="22">
        <v>44972</v>
      </c>
      <c r="BG427" s="26">
        <f t="shared" ca="1" si="43"/>
        <v>0.33778952910044091</v>
      </c>
      <c r="BH427" s="29">
        <v>0</v>
      </c>
      <c r="BJ427" s="22">
        <v>44972</v>
      </c>
      <c r="BK427" s="26">
        <f t="shared" ca="1" si="44"/>
        <v>0.80156657312931734</v>
      </c>
      <c r="BL427" s="29">
        <v>0</v>
      </c>
      <c r="BN427" s="22">
        <v>44972</v>
      </c>
      <c r="BO427" s="26">
        <f t="shared" ca="1" si="45"/>
        <v>0.45536096370437429</v>
      </c>
      <c r="BP427" s="29">
        <v>0</v>
      </c>
      <c r="BR427" s="22">
        <v>44972</v>
      </c>
      <c r="BS427" s="26">
        <f t="shared" ca="1" si="46"/>
        <v>0.15783587549023803</v>
      </c>
      <c r="BT427" s="29">
        <v>0</v>
      </c>
      <c r="BV427" s="22">
        <v>44972</v>
      </c>
      <c r="BW427" s="26">
        <f t="shared" ca="1" si="47"/>
        <v>0.61017033862922243</v>
      </c>
      <c r="BX427" s="29">
        <v>0</v>
      </c>
    </row>
    <row r="428" spans="2:76" ht="12.75" x14ac:dyDescent="0.2">
      <c r="B428" s="22">
        <v>44973</v>
      </c>
      <c r="C428" s="26">
        <f t="shared" ca="1" si="56"/>
        <v>0.56825958050498493</v>
      </c>
      <c r="D428" s="29">
        <f t="shared" ca="1" si="66"/>
        <v>79</v>
      </c>
      <c r="F428" s="22">
        <v>44973</v>
      </c>
      <c r="G428" s="26">
        <f t="shared" ca="1" si="31"/>
        <v>0.6771090158511982</v>
      </c>
      <c r="H428" s="29">
        <f t="shared" ca="1" si="59"/>
        <v>223</v>
      </c>
      <c r="J428" s="22">
        <v>44973</v>
      </c>
      <c r="K428" s="26">
        <f t="shared" ca="1" si="32"/>
        <v>0.72741507477896084</v>
      </c>
      <c r="L428" s="29">
        <f t="shared" ca="1" si="60"/>
        <v>157</v>
      </c>
      <c r="N428" s="22">
        <v>44973</v>
      </c>
      <c r="O428" s="26">
        <f t="shared" ca="1" si="33"/>
        <v>0.40224531523690943</v>
      </c>
      <c r="P428" s="29">
        <f t="shared" ca="1" si="61"/>
        <v>226</v>
      </c>
      <c r="R428" s="22">
        <v>44973</v>
      </c>
      <c r="S428" s="26">
        <f t="shared" ca="1" si="34"/>
        <v>0.87468668462842269</v>
      </c>
      <c r="T428" s="29">
        <f t="shared" ca="1" si="62"/>
        <v>150</v>
      </c>
      <c r="V428" s="22">
        <v>44973</v>
      </c>
      <c r="W428" s="26">
        <f t="shared" ca="1" si="35"/>
        <v>0.78309289675645333</v>
      </c>
      <c r="X428" s="29">
        <f t="shared" ca="1" si="65"/>
        <v>237</v>
      </c>
      <c r="Z428" s="22">
        <v>44973</v>
      </c>
      <c r="AA428" s="26">
        <f t="shared" ca="1" si="36"/>
        <v>0.50129017839733159</v>
      </c>
      <c r="AB428" s="29">
        <f t="shared" ca="1" si="63"/>
        <v>271</v>
      </c>
      <c r="AC428"/>
      <c r="AD428" s="25"/>
      <c r="AF428" s="22">
        <v>44973</v>
      </c>
      <c r="AG428" s="26">
        <f t="shared" ca="1" si="37"/>
        <v>0.41238542365753927</v>
      </c>
      <c r="AH428" s="29">
        <f t="shared" ca="1" si="64"/>
        <v>308</v>
      </c>
      <c r="AJ428" s="22">
        <v>44973</v>
      </c>
      <c r="AK428" s="26">
        <f t="shared" ca="1" si="38"/>
        <v>0.80604822237407781</v>
      </c>
      <c r="AL428" s="29">
        <v>0</v>
      </c>
      <c r="AN428" s="22">
        <v>44973</v>
      </c>
      <c r="AO428" s="26">
        <f t="shared" ca="1" si="39"/>
        <v>0.25001102205148229</v>
      </c>
      <c r="AP428" s="29">
        <v>0</v>
      </c>
      <c r="AR428" s="22">
        <v>44973</v>
      </c>
      <c r="AS428" s="26">
        <f t="shared" ca="1" si="40"/>
        <v>6.8218079001939103E-2</v>
      </c>
      <c r="AT428" s="29">
        <v>0</v>
      </c>
      <c r="AV428" s="22">
        <v>44973</v>
      </c>
      <c r="AW428" s="26">
        <f t="shared" ca="1" si="41"/>
        <v>0.4859787979472181</v>
      </c>
      <c r="AX428" s="29">
        <v>0</v>
      </c>
      <c r="AZ428" s="22">
        <v>44973</v>
      </c>
      <c r="BA428" s="26">
        <f t="shared" ca="1" si="42"/>
        <v>0.73758243045830585</v>
      </c>
      <c r="BB428" s="29">
        <v>0</v>
      </c>
      <c r="BC428"/>
      <c r="BD428" s="25"/>
      <c r="BF428" s="22">
        <v>44973</v>
      </c>
      <c r="BG428" s="26">
        <f t="shared" ca="1" si="43"/>
        <v>0.40255664980209305</v>
      </c>
      <c r="BH428" s="29">
        <v>0</v>
      </c>
      <c r="BJ428" s="22">
        <v>44973</v>
      </c>
      <c r="BK428" s="26">
        <f t="shared" ca="1" si="44"/>
        <v>0.71636500689353444</v>
      </c>
      <c r="BL428" s="29">
        <v>0</v>
      </c>
      <c r="BN428" s="22">
        <v>44973</v>
      </c>
      <c r="BO428" s="26">
        <f t="shared" ca="1" si="45"/>
        <v>0.60764859143172423</v>
      </c>
      <c r="BP428" s="29">
        <v>0</v>
      </c>
      <c r="BR428" s="22">
        <v>44973</v>
      </c>
      <c r="BS428" s="26">
        <f t="shared" ca="1" si="46"/>
        <v>0.13474570402724662</v>
      </c>
      <c r="BT428" s="29">
        <v>0</v>
      </c>
      <c r="BV428" s="22">
        <v>44973</v>
      </c>
      <c r="BW428" s="26">
        <f t="shared" ca="1" si="47"/>
        <v>0.21780313303164744</v>
      </c>
      <c r="BX428" s="29">
        <v>0</v>
      </c>
    </row>
    <row r="429" spans="2:76" ht="12.75" x14ac:dyDescent="0.2">
      <c r="B429" s="22">
        <v>44974</v>
      </c>
      <c r="C429" s="26">
        <f t="shared" ca="1" si="56"/>
        <v>0.93082635943993697</v>
      </c>
      <c r="D429" s="29">
        <f t="shared" ca="1" si="66"/>
        <v>105</v>
      </c>
      <c r="F429" s="22">
        <v>44974</v>
      </c>
      <c r="G429" s="26">
        <f t="shared" ca="1" si="31"/>
        <v>0.64320818794864609</v>
      </c>
      <c r="H429" s="29">
        <f t="shared" ca="1" si="59"/>
        <v>221</v>
      </c>
      <c r="J429" s="22">
        <v>44974</v>
      </c>
      <c r="K429" s="26">
        <f t="shared" ca="1" si="32"/>
        <v>0.7746637798347823</v>
      </c>
      <c r="L429" s="29">
        <f t="shared" ca="1" si="60"/>
        <v>158</v>
      </c>
      <c r="N429" s="22">
        <v>44974</v>
      </c>
      <c r="O429" s="26">
        <f t="shared" ca="1" si="33"/>
        <v>0.22459943638414137</v>
      </c>
      <c r="P429" s="29">
        <f t="shared" ca="1" si="61"/>
        <v>218</v>
      </c>
      <c r="R429" s="22">
        <v>44974</v>
      </c>
      <c r="S429" s="26">
        <f t="shared" ca="1" si="34"/>
        <v>0.1943949893660758</v>
      </c>
      <c r="T429" s="29">
        <f t="shared" ca="1" si="62"/>
        <v>131</v>
      </c>
      <c r="V429" s="22">
        <v>44974</v>
      </c>
      <c r="W429" s="26">
        <f t="shared" ca="1" si="35"/>
        <v>0.87646296281707214</v>
      </c>
      <c r="X429" s="29">
        <f t="shared" ca="1" si="65"/>
        <v>243</v>
      </c>
      <c r="Z429" s="22">
        <v>44974</v>
      </c>
      <c r="AA429" s="26">
        <f t="shared" ca="1" si="36"/>
        <v>0.73976755970952546</v>
      </c>
      <c r="AB429" s="29">
        <f t="shared" ca="1" si="63"/>
        <v>282</v>
      </c>
      <c r="AC429"/>
      <c r="AD429" s="25"/>
      <c r="AF429" s="22">
        <v>44974</v>
      </c>
      <c r="AG429" s="26">
        <f t="shared" ca="1" si="37"/>
        <v>0.42109459531010973</v>
      </c>
      <c r="AH429" s="29">
        <f t="shared" ca="1" si="64"/>
        <v>310</v>
      </c>
      <c r="AJ429" s="22">
        <v>44974</v>
      </c>
      <c r="AK429" s="26">
        <f t="shared" ca="1" si="38"/>
        <v>0.94148187800567362</v>
      </c>
      <c r="AL429" s="29">
        <v>0</v>
      </c>
      <c r="AN429" s="22">
        <v>44974</v>
      </c>
      <c r="AO429" s="26">
        <f t="shared" ca="1" si="39"/>
        <v>0.50700362968541346</v>
      </c>
      <c r="AP429" s="29">
        <v>0</v>
      </c>
      <c r="AR429" s="22">
        <v>44974</v>
      </c>
      <c r="AS429" s="26">
        <f t="shared" ca="1" si="40"/>
        <v>0.26421397897227383</v>
      </c>
      <c r="AT429" s="29">
        <v>0</v>
      </c>
      <c r="AV429" s="22">
        <v>44974</v>
      </c>
      <c r="AW429" s="26">
        <f t="shared" ca="1" si="41"/>
        <v>0.65246755772509646</v>
      </c>
      <c r="AX429" s="29">
        <v>0</v>
      </c>
      <c r="AZ429" s="22">
        <v>44974</v>
      </c>
      <c r="BA429" s="26">
        <f t="shared" ca="1" si="42"/>
        <v>0.85089813326910102</v>
      </c>
      <c r="BB429" s="29">
        <v>0</v>
      </c>
      <c r="BC429"/>
      <c r="BD429" s="25"/>
      <c r="BF429" s="22">
        <v>44974</v>
      </c>
      <c r="BG429" s="26">
        <f t="shared" ca="1" si="43"/>
        <v>0.61189177982624599</v>
      </c>
      <c r="BH429" s="29">
        <v>0</v>
      </c>
      <c r="BJ429" s="22">
        <v>44974</v>
      </c>
      <c r="BK429" s="26">
        <f t="shared" ca="1" si="44"/>
        <v>0.55184564491281163</v>
      </c>
      <c r="BL429" s="29">
        <v>0</v>
      </c>
      <c r="BN429" s="22">
        <v>44974</v>
      </c>
      <c r="BO429" s="26">
        <f t="shared" ca="1" si="45"/>
        <v>0.96896807900600224</v>
      </c>
      <c r="BP429" s="29">
        <v>0</v>
      </c>
      <c r="BR429" s="22">
        <v>44974</v>
      </c>
      <c r="BS429" s="26">
        <f t="shared" ca="1" si="46"/>
        <v>0.8949213692766228</v>
      </c>
      <c r="BT429" s="29">
        <v>0</v>
      </c>
      <c r="BV429" s="22">
        <v>44974</v>
      </c>
      <c r="BW429" s="26">
        <f t="shared" ca="1" si="47"/>
        <v>0.21120417907816669</v>
      </c>
      <c r="BX429" s="29">
        <v>0</v>
      </c>
    </row>
    <row r="430" spans="2:76" ht="12.75" x14ac:dyDescent="0.2">
      <c r="B430" s="22">
        <v>44975</v>
      </c>
      <c r="C430" s="26">
        <f t="shared" ca="1" si="56"/>
        <v>0.33123027023639706</v>
      </c>
      <c r="D430" s="29">
        <f t="shared" ca="1" si="66"/>
        <v>67</v>
      </c>
      <c r="F430" s="22">
        <v>44975</v>
      </c>
      <c r="G430" s="26">
        <f t="shared" ca="1" si="31"/>
        <v>0.47851044699159739</v>
      </c>
      <c r="H430" s="29">
        <f t="shared" ca="1" si="59"/>
        <v>215</v>
      </c>
      <c r="J430" s="22">
        <v>44975</v>
      </c>
      <c r="K430" s="26">
        <f t="shared" ca="1" si="32"/>
        <v>0.14773394028136033</v>
      </c>
      <c r="L430" s="29">
        <f t="shared" ca="1" si="60"/>
        <v>140</v>
      </c>
      <c r="N430" s="22">
        <v>44975</v>
      </c>
      <c r="O430" s="26">
        <f t="shared" ca="1" si="33"/>
        <v>0.11370560378984107</v>
      </c>
      <c r="P430" s="29">
        <f t="shared" ca="1" si="61"/>
        <v>211</v>
      </c>
      <c r="R430" s="22">
        <v>44975</v>
      </c>
      <c r="S430" s="26">
        <f t="shared" ca="1" si="34"/>
        <v>0.19315935703632114</v>
      </c>
      <c r="T430" s="29">
        <f t="shared" ca="1" si="62"/>
        <v>131</v>
      </c>
      <c r="V430" s="22">
        <v>44975</v>
      </c>
      <c r="W430" s="26">
        <f t="shared" ca="1" si="35"/>
        <v>0.30055430320520593</v>
      </c>
      <c r="X430" s="29">
        <f t="shared" ca="1" si="65"/>
        <v>218</v>
      </c>
      <c r="Z430" s="22">
        <v>44975</v>
      </c>
      <c r="AA430" s="26">
        <f t="shared" ca="1" si="36"/>
        <v>0.53772501881933321</v>
      </c>
      <c r="AB430" s="29">
        <f t="shared" ca="1" si="63"/>
        <v>272</v>
      </c>
      <c r="AC430"/>
      <c r="AD430" s="25"/>
      <c r="AF430" s="22">
        <v>44975</v>
      </c>
      <c r="AG430" s="26">
        <f t="shared" ca="1" si="37"/>
        <v>0.40479931121266277</v>
      </c>
      <c r="AH430" s="29">
        <f t="shared" ca="1" si="64"/>
        <v>306</v>
      </c>
      <c r="AJ430" s="22">
        <v>44975</v>
      </c>
      <c r="AK430" s="26">
        <f t="shared" ca="1" si="38"/>
        <v>0.86140826187063368</v>
      </c>
      <c r="AL430" s="29">
        <v>0</v>
      </c>
      <c r="AN430" s="22">
        <v>44975</v>
      </c>
      <c r="AO430" s="26">
        <f t="shared" ca="1" si="39"/>
        <v>0.79213355691302512</v>
      </c>
      <c r="AP430" s="29">
        <v>0</v>
      </c>
      <c r="AR430" s="22">
        <v>44975</v>
      </c>
      <c r="AS430" s="26">
        <f t="shared" ca="1" si="40"/>
        <v>9.9855476467617943E-2</v>
      </c>
      <c r="AT430" s="29">
        <v>0</v>
      </c>
      <c r="AV430" s="22">
        <v>44975</v>
      </c>
      <c r="AW430" s="26">
        <f t="shared" ca="1" si="41"/>
        <v>3.9138159759613655E-2</v>
      </c>
      <c r="AX430" s="29">
        <v>0</v>
      </c>
      <c r="AZ430" s="22">
        <v>44975</v>
      </c>
      <c r="BA430" s="26">
        <f t="shared" ca="1" si="42"/>
        <v>7.8611271674562055E-2</v>
      </c>
      <c r="BB430" s="29">
        <v>0</v>
      </c>
      <c r="BC430"/>
      <c r="BD430" s="25"/>
      <c r="BF430" s="22">
        <v>44975</v>
      </c>
      <c r="BG430" s="26">
        <f t="shared" ca="1" si="43"/>
        <v>0.36302190163561154</v>
      </c>
      <c r="BH430" s="29">
        <v>0</v>
      </c>
      <c r="BJ430" s="22">
        <v>44975</v>
      </c>
      <c r="BK430" s="26">
        <f t="shared" ca="1" si="44"/>
        <v>0.77739806910971898</v>
      </c>
      <c r="BL430" s="29">
        <v>0</v>
      </c>
      <c r="BN430" s="22">
        <v>44975</v>
      </c>
      <c r="BO430" s="26">
        <f t="shared" ca="1" si="45"/>
        <v>0.27834640193246274</v>
      </c>
      <c r="BP430" s="29">
        <v>0</v>
      </c>
      <c r="BR430" s="22">
        <v>44975</v>
      </c>
      <c r="BS430" s="26">
        <f t="shared" ca="1" si="46"/>
        <v>0.53402885794378208</v>
      </c>
      <c r="BT430" s="29">
        <v>0</v>
      </c>
      <c r="BV430" s="22">
        <v>44975</v>
      </c>
      <c r="BW430" s="26">
        <f t="shared" ca="1" si="47"/>
        <v>0.75807719485316338</v>
      </c>
      <c r="BX430" s="29">
        <v>0</v>
      </c>
    </row>
    <row r="431" spans="2:76" ht="12.75" x14ac:dyDescent="0.2">
      <c r="B431" s="22">
        <v>44976</v>
      </c>
      <c r="C431" s="26">
        <f t="shared" ca="1" si="56"/>
        <v>0.29916836850279271</v>
      </c>
      <c r="D431" s="29">
        <f t="shared" ca="1" si="66"/>
        <v>65</v>
      </c>
      <c r="F431" s="22">
        <v>44976</v>
      </c>
      <c r="G431" s="26">
        <f t="shared" ca="1" si="31"/>
        <v>2.7685122703240861E-2</v>
      </c>
      <c r="H431" s="29">
        <f t="shared" ca="1" si="59"/>
        <v>188</v>
      </c>
      <c r="J431" s="22">
        <v>44976</v>
      </c>
      <c r="K431" s="26">
        <f t="shared" ca="1" si="32"/>
        <v>0.85548731653249488</v>
      </c>
      <c r="L431" s="29">
        <f t="shared" ca="1" si="60"/>
        <v>161</v>
      </c>
      <c r="N431" s="22">
        <v>44976</v>
      </c>
      <c r="O431" s="26">
        <f t="shared" ca="1" si="33"/>
        <v>0.18532588257819538</v>
      </c>
      <c r="P431" s="29">
        <f t="shared" ca="1" si="61"/>
        <v>216</v>
      </c>
      <c r="R431" s="22">
        <v>44976</v>
      </c>
      <c r="S431" s="26">
        <f t="shared" ca="1" si="34"/>
        <v>0.13152695433305639</v>
      </c>
      <c r="T431" s="29">
        <f t="shared" ca="1" si="62"/>
        <v>129</v>
      </c>
      <c r="V431" s="22">
        <v>44976</v>
      </c>
      <c r="W431" s="26">
        <f t="shared" ca="1" si="35"/>
        <v>0.64066745111574697</v>
      </c>
      <c r="X431" s="29">
        <f t="shared" ca="1" si="65"/>
        <v>231</v>
      </c>
      <c r="Z431" s="22">
        <v>44976</v>
      </c>
      <c r="AA431" s="26">
        <f t="shared" ca="1" si="36"/>
        <v>0.37260751979678575</v>
      </c>
      <c r="AB431" s="29">
        <f t="shared" ca="1" si="63"/>
        <v>265</v>
      </c>
      <c r="AC431"/>
      <c r="AD431" s="25"/>
      <c r="AF431" s="22">
        <v>44976</v>
      </c>
      <c r="AG431" s="26">
        <f t="shared" ca="1" si="37"/>
        <v>6.5557920485553756E-2</v>
      </c>
      <c r="AH431" s="29">
        <f t="shared" ca="1" si="64"/>
        <v>196</v>
      </c>
      <c r="AJ431" s="22">
        <v>44976</v>
      </c>
      <c r="AK431" s="26">
        <f t="shared" ca="1" si="38"/>
        <v>0.63525628793170708</v>
      </c>
      <c r="AL431" s="29">
        <v>0</v>
      </c>
      <c r="AN431" s="22">
        <v>44976</v>
      </c>
      <c r="AO431" s="26">
        <f t="shared" ca="1" si="39"/>
        <v>0.75672086620649626</v>
      </c>
      <c r="AP431" s="29">
        <v>0</v>
      </c>
      <c r="AR431" s="22">
        <v>44976</v>
      </c>
      <c r="AS431" s="26">
        <f t="shared" ca="1" si="40"/>
        <v>0.60443722266578681</v>
      </c>
      <c r="AT431" s="29">
        <v>0</v>
      </c>
      <c r="AV431" s="22">
        <v>44976</v>
      </c>
      <c r="AW431" s="26">
        <f t="shared" ca="1" si="41"/>
        <v>0.77800976696627366</v>
      </c>
      <c r="AX431" s="29">
        <v>0</v>
      </c>
      <c r="AZ431" s="22">
        <v>44976</v>
      </c>
      <c r="BA431" s="26">
        <f t="shared" ca="1" si="42"/>
        <v>0.1155629543449328</v>
      </c>
      <c r="BB431" s="29">
        <v>0</v>
      </c>
      <c r="BC431"/>
      <c r="BD431" s="25"/>
      <c r="BF431" s="22">
        <v>44976</v>
      </c>
      <c r="BG431" s="26">
        <f t="shared" ca="1" si="43"/>
        <v>0.30038831684008815</v>
      </c>
      <c r="BH431" s="29">
        <v>0</v>
      </c>
      <c r="BJ431" s="22">
        <v>44976</v>
      </c>
      <c r="BK431" s="26">
        <f t="shared" ca="1" si="44"/>
        <v>0.86006016724256384</v>
      </c>
      <c r="BL431" s="29">
        <v>0</v>
      </c>
      <c r="BN431" s="22">
        <v>44976</v>
      </c>
      <c r="BO431" s="26">
        <f t="shared" ca="1" si="45"/>
        <v>0.18841879886621593</v>
      </c>
      <c r="BP431" s="29">
        <v>0</v>
      </c>
      <c r="BR431" s="22">
        <v>44976</v>
      </c>
      <c r="BS431" s="26">
        <f t="shared" ca="1" si="46"/>
        <v>0.2282283680277406</v>
      </c>
      <c r="BT431" s="29">
        <v>0</v>
      </c>
      <c r="BV431" s="22">
        <v>44976</v>
      </c>
      <c r="BW431" s="26">
        <f t="shared" ca="1" si="47"/>
        <v>0.41939678642237366</v>
      </c>
      <c r="BX431" s="29">
        <v>0</v>
      </c>
    </row>
    <row r="432" spans="2:76" ht="12.75" x14ac:dyDescent="0.2">
      <c r="B432" s="22">
        <v>44977</v>
      </c>
      <c r="C432" s="26">
        <f t="shared" ca="1" si="56"/>
        <v>0.57909030406068707</v>
      </c>
      <c r="D432" s="29">
        <f t="shared" ca="1" si="66"/>
        <v>79</v>
      </c>
      <c r="F432" s="22">
        <v>44977</v>
      </c>
      <c r="G432" s="26">
        <f t="shared" ca="1" si="31"/>
        <v>0.59233715914147267</v>
      </c>
      <c r="H432" s="29">
        <f t="shared" ca="1" si="59"/>
        <v>219</v>
      </c>
      <c r="J432" s="22">
        <v>44977</v>
      </c>
      <c r="K432" s="26">
        <f t="shared" ca="1" si="32"/>
        <v>0.88736743490849102</v>
      </c>
      <c r="L432" s="29">
        <f t="shared" ca="1" si="60"/>
        <v>163</v>
      </c>
      <c r="N432" s="22">
        <v>44977</v>
      </c>
      <c r="O432" s="26">
        <f t="shared" ca="1" si="33"/>
        <v>0.43411465477201694</v>
      </c>
      <c r="P432" s="29">
        <f t="shared" ca="1" si="61"/>
        <v>227</v>
      </c>
      <c r="R432" s="22">
        <v>44977</v>
      </c>
      <c r="S432" s="26">
        <f t="shared" ca="1" si="34"/>
        <v>0.98096313176882211</v>
      </c>
      <c r="T432" s="29">
        <f t="shared" ca="1" si="62"/>
        <v>158</v>
      </c>
      <c r="V432" s="22">
        <v>44977</v>
      </c>
      <c r="W432" s="26">
        <f t="shared" ca="1" si="35"/>
        <v>1.7484984439301354E-2</v>
      </c>
      <c r="X432" s="29">
        <f t="shared" ca="1" si="65"/>
        <v>194</v>
      </c>
      <c r="Z432" s="22">
        <v>44977</v>
      </c>
      <c r="AA432" s="26">
        <f t="shared" ca="1" si="36"/>
        <v>0.85810644105430556</v>
      </c>
      <c r="AB432" s="29">
        <f t="shared" ca="1" si="63"/>
        <v>290</v>
      </c>
      <c r="AC432"/>
      <c r="AD432" s="25"/>
      <c r="AF432" s="22">
        <v>44977</v>
      </c>
      <c r="AG432" s="26">
        <f t="shared" ca="1" si="37"/>
        <v>0.47563761539604521</v>
      </c>
      <c r="AH432" s="29">
        <f t="shared" ca="1" si="64"/>
        <v>322</v>
      </c>
      <c r="AJ432" s="22">
        <v>44977</v>
      </c>
      <c r="AK432" s="26">
        <f t="shared" ca="1" si="38"/>
        <v>0.240590460252047</v>
      </c>
      <c r="AL432" s="29">
        <v>0</v>
      </c>
      <c r="AN432" s="22">
        <v>44977</v>
      </c>
      <c r="AO432" s="26">
        <f t="shared" ca="1" si="39"/>
        <v>0.83651290978490001</v>
      </c>
      <c r="AP432" s="29">
        <v>0</v>
      </c>
      <c r="AR432" s="22">
        <v>44977</v>
      </c>
      <c r="AS432" s="26">
        <f t="shared" ca="1" si="40"/>
        <v>0.95390133728915616</v>
      </c>
      <c r="AT432" s="29">
        <v>0</v>
      </c>
      <c r="AV432" s="22">
        <v>44977</v>
      </c>
      <c r="AW432" s="26">
        <f t="shared" ca="1" si="41"/>
        <v>0.18985643642532002</v>
      </c>
      <c r="AX432" s="29">
        <v>0</v>
      </c>
      <c r="AZ432" s="22">
        <v>44977</v>
      </c>
      <c r="BA432" s="26">
        <f t="shared" ca="1" si="42"/>
        <v>0.93024630493381799</v>
      </c>
      <c r="BB432" s="29">
        <v>0</v>
      </c>
      <c r="BC432"/>
      <c r="BD432" s="25"/>
      <c r="BF432" s="22">
        <v>44977</v>
      </c>
      <c r="BG432" s="26">
        <f t="shared" ca="1" si="43"/>
        <v>9.8412911049217011E-2</v>
      </c>
      <c r="BH432" s="29">
        <v>0</v>
      </c>
      <c r="BJ432" s="22">
        <v>44977</v>
      </c>
      <c r="BK432" s="26">
        <f t="shared" ca="1" si="44"/>
        <v>0.59374948258826177</v>
      </c>
      <c r="BL432" s="29">
        <v>0</v>
      </c>
      <c r="BN432" s="22">
        <v>44977</v>
      </c>
      <c r="BO432" s="26">
        <f t="shared" ca="1" si="45"/>
        <v>0.4216617400546282</v>
      </c>
      <c r="BP432" s="29">
        <v>0</v>
      </c>
      <c r="BR432" s="22">
        <v>44977</v>
      </c>
      <c r="BS432" s="26">
        <f t="shared" ca="1" si="46"/>
        <v>0.11161302549953944</v>
      </c>
      <c r="BT432" s="29">
        <v>0</v>
      </c>
      <c r="BV432" s="22">
        <v>44977</v>
      </c>
      <c r="BW432" s="26">
        <f t="shared" ca="1" si="47"/>
        <v>0.84903547576363481</v>
      </c>
      <c r="BX432" s="29">
        <v>0</v>
      </c>
    </row>
    <row r="433" spans="2:77" ht="12.75" x14ac:dyDescent="0.2">
      <c r="B433" s="22">
        <v>44978</v>
      </c>
      <c r="C433" s="26">
        <f t="shared" ca="1" si="56"/>
        <v>8.8992132608748831E-2</v>
      </c>
      <c r="D433" s="29">
        <f t="shared" ca="1" si="66"/>
        <v>49</v>
      </c>
      <c r="F433" s="22">
        <v>44978</v>
      </c>
      <c r="G433" s="26">
        <f t="shared" ca="1" si="31"/>
        <v>0.13816043134133071</v>
      </c>
      <c r="H433" s="29">
        <f t="shared" ca="1" si="59"/>
        <v>200</v>
      </c>
      <c r="J433" s="22">
        <v>44978</v>
      </c>
      <c r="K433" s="26">
        <f t="shared" ca="1" si="32"/>
        <v>0.51148951411685994</v>
      </c>
      <c r="L433" s="29">
        <f t="shared" ca="1" si="60"/>
        <v>151</v>
      </c>
      <c r="N433" s="22">
        <v>44978</v>
      </c>
      <c r="O433" s="26">
        <f t="shared" ca="1" si="33"/>
        <v>3.3633525894136818E-2</v>
      </c>
      <c r="P433" s="29">
        <f t="shared" ca="1" si="61"/>
        <v>202</v>
      </c>
      <c r="R433" s="22">
        <v>44978</v>
      </c>
      <c r="S433" s="26">
        <f t="shared" ca="1" si="34"/>
        <v>0.17546393899661816</v>
      </c>
      <c r="T433" s="29">
        <f t="shared" ca="1" si="62"/>
        <v>131</v>
      </c>
      <c r="V433" s="22">
        <v>44978</v>
      </c>
      <c r="W433" s="26">
        <f t="shared" ca="1" si="35"/>
        <v>0.51617467528417849</v>
      </c>
      <c r="X433" s="29">
        <f t="shared" ca="1" si="65"/>
        <v>226</v>
      </c>
      <c r="Z433" s="22">
        <v>44978</v>
      </c>
      <c r="AA433" s="26">
        <f t="shared" ca="1" si="36"/>
        <v>0.51944200531758267</v>
      </c>
      <c r="AB433" s="29">
        <f t="shared" ca="1" si="63"/>
        <v>271</v>
      </c>
      <c r="AC433"/>
      <c r="AD433" s="25"/>
      <c r="AF433" s="22">
        <v>44978</v>
      </c>
      <c r="AG433" s="26">
        <f t="shared" ca="1" si="37"/>
        <v>0.16281867456374322</v>
      </c>
      <c r="AH433" s="29">
        <f t="shared" ca="1" si="64"/>
        <v>242</v>
      </c>
      <c r="AJ433" s="22">
        <v>44978</v>
      </c>
      <c r="AK433" s="26">
        <f t="shared" ca="1" si="38"/>
        <v>0.83498065650364794</v>
      </c>
      <c r="AL433" s="29">
        <v>0</v>
      </c>
      <c r="AN433" s="22">
        <v>44978</v>
      </c>
      <c r="AO433" s="26">
        <f t="shared" ca="1" si="39"/>
        <v>0.94589730873420819</v>
      </c>
      <c r="AP433" s="29">
        <v>0</v>
      </c>
      <c r="AR433" s="22">
        <v>44978</v>
      </c>
      <c r="AS433" s="26">
        <f t="shared" ca="1" si="40"/>
        <v>0.34391134445612204</v>
      </c>
      <c r="AT433" s="29">
        <v>0</v>
      </c>
      <c r="AV433" s="22">
        <v>44978</v>
      </c>
      <c r="AW433" s="26">
        <f t="shared" ca="1" si="41"/>
        <v>0.45085564964032199</v>
      </c>
      <c r="AX433" s="29">
        <v>0</v>
      </c>
      <c r="AZ433" s="22">
        <v>44978</v>
      </c>
      <c r="BA433" s="26">
        <f t="shared" ca="1" si="42"/>
        <v>0.42374020581355465</v>
      </c>
      <c r="BB433" s="29">
        <v>0</v>
      </c>
      <c r="BC433"/>
      <c r="BD433" s="25"/>
      <c r="BF433" s="22">
        <v>44978</v>
      </c>
      <c r="BG433" s="26">
        <f t="shared" ca="1" si="43"/>
        <v>0.23235276872134281</v>
      </c>
      <c r="BH433" s="29">
        <v>0</v>
      </c>
      <c r="BJ433" s="22">
        <v>44978</v>
      </c>
      <c r="BK433" s="26">
        <f t="shared" ca="1" si="44"/>
        <v>0.46402249588650835</v>
      </c>
      <c r="BL433" s="29">
        <v>0</v>
      </c>
      <c r="BN433" s="22">
        <v>44978</v>
      </c>
      <c r="BO433" s="26">
        <f t="shared" ca="1" si="45"/>
        <v>0.93854140643358619</v>
      </c>
      <c r="BP433" s="29">
        <v>0</v>
      </c>
      <c r="BR433" s="22">
        <v>44978</v>
      </c>
      <c r="BS433" s="26">
        <f t="shared" ca="1" si="46"/>
        <v>0.17477535184935977</v>
      </c>
      <c r="BT433" s="29">
        <v>0</v>
      </c>
      <c r="BV433" s="22">
        <v>44978</v>
      </c>
      <c r="BW433" s="26">
        <f t="shared" ca="1" si="47"/>
        <v>5.9819788012313135E-2</v>
      </c>
      <c r="BX433" s="29">
        <v>0</v>
      </c>
    </row>
    <row r="434" spans="2:77" ht="12.75" x14ac:dyDescent="0.2">
      <c r="B434" s="22">
        <v>44979</v>
      </c>
      <c r="C434" s="26">
        <f t="shared" ca="1" si="56"/>
        <v>3.2602243803724784E-2</v>
      </c>
      <c r="D434" s="29">
        <f t="shared" ca="1" si="66"/>
        <v>39</v>
      </c>
      <c r="F434" s="22">
        <v>44979</v>
      </c>
      <c r="G434" s="26">
        <f t="shared" ca="1" si="31"/>
        <v>0.21936091761613141</v>
      </c>
      <c r="H434" s="29">
        <f t="shared" ca="1" si="59"/>
        <v>205</v>
      </c>
      <c r="J434" s="22">
        <v>44979</v>
      </c>
      <c r="K434" s="26">
        <f t="shared" ca="1" si="32"/>
        <v>0.70676173933025643</v>
      </c>
      <c r="L434" s="29">
        <f t="shared" ca="1" si="60"/>
        <v>156</v>
      </c>
      <c r="N434" s="22">
        <v>44979</v>
      </c>
      <c r="O434" s="26">
        <f t="shared" ca="1" si="33"/>
        <v>0.58326807378525503</v>
      </c>
      <c r="P434" s="29">
        <f t="shared" ca="1" si="61"/>
        <v>233</v>
      </c>
      <c r="R434" s="22">
        <v>44979</v>
      </c>
      <c r="S434" s="26">
        <f t="shared" ca="1" si="34"/>
        <v>4.6164707732053722E-3</v>
      </c>
      <c r="T434" s="29">
        <f t="shared" ca="1" si="62"/>
        <v>115</v>
      </c>
      <c r="V434" s="22">
        <v>44979</v>
      </c>
      <c r="W434" s="26">
        <f t="shared" ca="1" si="35"/>
        <v>0.88394069376443341</v>
      </c>
      <c r="X434" s="29">
        <f t="shared" ca="1" si="65"/>
        <v>243</v>
      </c>
      <c r="Z434" s="22">
        <v>44979</v>
      </c>
      <c r="AA434" s="26">
        <f t="shared" ca="1" si="36"/>
        <v>0.13921288219636441</v>
      </c>
      <c r="AB434" s="29">
        <f t="shared" ca="1" si="63"/>
        <v>251</v>
      </c>
      <c r="AC434"/>
      <c r="AD434" s="25"/>
      <c r="AF434" s="22">
        <v>44979</v>
      </c>
      <c r="AG434" s="26">
        <f t="shared" ca="1" si="37"/>
        <v>0.51899004232188417</v>
      </c>
      <c r="AH434" s="29">
        <f t="shared" ca="1" si="64"/>
        <v>332</v>
      </c>
      <c r="AJ434" s="22">
        <v>44979</v>
      </c>
      <c r="AK434" s="26">
        <f t="shared" ca="1" si="38"/>
        <v>0.10466735676923011</v>
      </c>
      <c r="AL434" s="29">
        <v>0</v>
      </c>
      <c r="AN434" s="22">
        <v>44979</v>
      </c>
      <c r="AO434" s="26">
        <f t="shared" ca="1" si="39"/>
        <v>0.57230697597427627</v>
      </c>
      <c r="AP434" s="29">
        <v>0</v>
      </c>
      <c r="AR434" s="22">
        <v>44979</v>
      </c>
      <c r="AS434" s="26">
        <f t="shared" ca="1" si="40"/>
        <v>0.14696697439136841</v>
      </c>
      <c r="AT434" s="29">
        <v>0</v>
      </c>
      <c r="AV434" s="22">
        <v>44979</v>
      </c>
      <c r="AW434" s="26">
        <f t="shared" ca="1" si="41"/>
        <v>0.3247804319705393</v>
      </c>
      <c r="AX434" s="29">
        <v>0</v>
      </c>
      <c r="AZ434" s="22">
        <v>44979</v>
      </c>
      <c r="BA434" s="26">
        <f t="shared" ca="1" si="42"/>
        <v>4.9174068583508701E-2</v>
      </c>
      <c r="BB434" s="29">
        <v>0</v>
      </c>
      <c r="BC434"/>
      <c r="BD434" s="25"/>
      <c r="BF434" s="22">
        <v>44979</v>
      </c>
      <c r="BG434" s="26">
        <f t="shared" ca="1" si="43"/>
        <v>0.24558011797145596</v>
      </c>
      <c r="BH434" s="29">
        <v>0</v>
      </c>
      <c r="BJ434" s="22">
        <v>44979</v>
      </c>
      <c r="BK434" s="26">
        <f t="shared" ca="1" si="44"/>
        <v>0.51676116293867835</v>
      </c>
      <c r="BL434" s="29">
        <v>0</v>
      </c>
      <c r="BN434" s="22">
        <v>44979</v>
      </c>
      <c r="BO434" s="26">
        <f t="shared" ca="1" si="45"/>
        <v>0.46560893393405078</v>
      </c>
      <c r="BP434" s="29">
        <v>0</v>
      </c>
      <c r="BR434" s="22">
        <v>44979</v>
      </c>
      <c r="BS434" s="26">
        <f t="shared" ca="1" si="46"/>
        <v>0.143561679732088</v>
      </c>
      <c r="BT434" s="29">
        <v>0</v>
      </c>
      <c r="BV434" s="22">
        <v>44979</v>
      </c>
      <c r="BW434" s="26">
        <f t="shared" ca="1" si="47"/>
        <v>0.36202205906228169</v>
      </c>
      <c r="BX434" s="29">
        <v>0</v>
      </c>
    </row>
    <row r="435" spans="2:77" ht="12.75" x14ac:dyDescent="0.2">
      <c r="B435" s="22">
        <v>44980</v>
      </c>
      <c r="C435" s="26">
        <f t="shared" ca="1" si="56"/>
        <v>7.6583437067065829E-2</v>
      </c>
      <c r="D435" s="29">
        <f t="shared" ca="1" si="66"/>
        <v>47</v>
      </c>
      <c r="F435" s="22">
        <v>44980</v>
      </c>
      <c r="G435" s="26">
        <f t="shared" ca="1" si="31"/>
        <v>0.52596289163721754</v>
      </c>
      <c r="H435" s="29">
        <f t="shared" ca="1" si="59"/>
        <v>217</v>
      </c>
      <c r="J435" s="22">
        <v>44980</v>
      </c>
      <c r="K435" s="26">
        <f t="shared" ca="1" si="32"/>
        <v>0.65951374710825172</v>
      </c>
      <c r="L435" s="29">
        <f t="shared" ca="1" si="60"/>
        <v>155</v>
      </c>
      <c r="N435" s="22">
        <v>44980</v>
      </c>
      <c r="O435" s="26">
        <f t="shared" ca="1" si="33"/>
        <v>0.15348856786547649</v>
      </c>
      <c r="P435" s="29">
        <f t="shared" ca="1" si="61"/>
        <v>214</v>
      </c>
      <c r="R435" s="22">
        <v>44980</v>
      </c>
      <c r="S435" s="26">
        <f t="shared" ca="1" si="34"/>
        <v>0.36150383755704552</v>
      </c>
      <c r="T435" s="29">
        <f t="shared" ca="1" si="62"/>
        <v>136</v>
      </c>
      <c r="V435" s="22">
        <v>44980</v>
      </c>
      <c r="W435" s="26">
        <f t="shared" ca="1" si="35"/>
        <v>0.30435580053106281</v>
      </c>
      <c r="X435" s="29">
        <f t="shared" ca="1" si="65"/>
        <v>218</v>
      </c>
      <c r="Z435" s="22">
        <v>44980</v>
      </c>
      <c r="AA435" s="26">
        <f t="shared" ca="1" si="36"/>
        <v>8.874232222391909E-2</v>
      </c>
      <c r="AB435" s="29">
        <f t="shared" ca="1" si="63"/>
        <v>246</v>
      </c>
      <c r="AC435"/>
      <c r="AD435" s="25"/>
      <c r="AF435" s="22">
        <v>44980</v>
      </c>
      <c r="AG435" s="26">
        <f t="shared" ca="1" si="37"/>
        <v>6.0714075594801131E-2</v>
      </c>
      <c r="AH435" s="29">
        <f t="shared" ca="1" si="64"/>
        <v>192</v>
      </c>
      <c r="AJ435" s="22">
        <v>44980</v>
      </c>
      <c r="AK435" s="26">
        <f t="shared" ca="1" si="38"/>
        <v>0.51949394170404639</v>
      </c>
      <c r="AL435" s="29">
        <v>0</v>
      </c>
      <c r="AN435" s="22">
        <v>44980</v>
      </c>
      <c r="AO435" s="26">
        <f t="shared" ca="1" si="39"/>
        <v>0.46915571356937757</v>
      </c>
      <c r="AP435" s="29">
        <v>0</v>
      </c>
      <c r="AR435" s="22">
        <v>44980</v>
      </c>
      <c r="AS435" s="26">
        <f t="shared" ca="1" si="40"/>
        <v>0.47033644399194718</v>
      </c>
      <c r="AT435" s="29">
        <v>0</v>
      </c>
      <c r="AV435" s="22">
        <v>44980</v>
      </c>
      <c r="AW435" s="26">
        <f t="shared" ca="1" si="41"/>
        <v>0.4465742926498647</v>
      </c>
      <c r="AX435" s="29">
        <v>0</v>
      </c>
      <c r="AZ435" s="22">
        <v>44980</v>
      </c>
      <c r="BA435" s="26">
        <f t="shared" ca="1" si="42"/>
        <v>0.20780087777487999</v>
      </c>
      <c r="BB435" s="29">
        <v>0</v>
      </c>
      <c r="BC435"/>
      <c r="BD435" s="25"/>
      <c r="BF435" s="22">
        <v>44980</v>
      </c>
      <c r="BG435" s="26">
        <f t="shared" ca="1" si="43"/>
        <v>0.63734932032054481</v>
      </c>
      <c r="BH435" s="29">
        <v>0</v>
      </c>
      <c r="BJ435" s="22">
        <v>44980</v>
      </c>
      <c r="BK435" s="26">
        <f t="shared" ca="1" si="44"/>
        <v>0.12145581705065112</v>
      </c>
      <c r="BL435" s="29">
        <v>0</v>
      </c>
      <c r="BN435" s="22">
        <v>44980</v>
      </c>
      <c r="BO435" s="26">
        <f t="shared" ca="1" si="45"/>
        <v>0.63510644600713284</v>
      </c>
      <c r="BP435" s="29">
        <v>0</v>
      </c>
      <c r="BR435" s="22">
        <v>44980</v>
      </c>
      <c r="BS435" s="26">
        <f t="shared" ca="1" si="46"/>
        <v>0.28170530359103185</v>
      </c>
      <c r="BT435" s="29">
        <v>0</v>
      </c>
      <c r="BV435" s="22">
        <v>44980</v>
      </c>
      <c r="BW435" s="26">
        <f t="shared" ca="1" si="47"/>
        <v>0.34632121502527136</v>
      </c>
      <c r="BX435" s="29">
        <v>0</v>
      </c>
    </row>
    <row r="436" spans="2:77" ht="12.75" x14ac:dyDescent="0.2">
      <c r="B436" s="22">
        <v>44981</v>
      </c>
      <c r="C436" s="26">
        <f t="shared" ca="1" si="56"/>
        <v>0.29796324617302261</v>
      </c>
      <c r="D436" s="29">
        <f t="shared" ca="1" si="66"/>
        <v>65</v>
      </c>
      <c r="F436" s="22">
        <v>44981</v>
      </c>
      <c r="G436" s="26">
        <f t="shared" ca="1" si="31"/>
        <v>6.9277076340440225E-2</v>
      </c>
      <c r="H436" s="29">
        <f t="shared" ca="1" si="59"/>
        <v>195</v>
      </c>
      <c r="J436" s="22">
        <v>44981</v>
      </c>
      <c r="K436" s="26">
        <f t="shared" ca="1" si="32"/>
        <v>0.72448929728722489</v>
      </c>
      <c r="L436" s="29">
        <f t="shared" ca="1" si="60"/>
        <v>156</v>
      </c>
      <c r="N436" s="22">
        <v>44981</v>
      </c>
      <c r="O436" s="26">
        <f t="shared" ca="1" si="33"/>
        <v>0.61986914146649452</v>
      </c>
      <c r="P436" s="29">
        <f t="shared" ca="1" si="61"/>
        <v>235</v>
      </c>
      <c r="R436" s="22">
        <v>44981</v>
      </c>
      <c r="S436" s="26">
        <f t="shared" ca="1" si="34"/>
        <v>0.47898862843062395</v>
      </c>
      <c r="T436" s="29">
        <f t="shared" ca="1" si="62"/>
        <v>139</v>
      </c>
      <c r="V436" s="22">
        <v>44981</v>
      </c>
      <c r="W436" s="26">
        <f t="shared" ca="1" si="35"/>
        <v>0.9937028464037434</v>
      </c>
      <c r="X436" s="29">
        <f t="shared" ca="1" si="65"/>
        <v>263</v>
      </c>
      <c r="Z436" s="22">
        <v>44981</v>
      </c>
      <c r="AA436" s="26">
        <f t="shared" ca="1" si="36"/>
        <v>0.33352723065746182</v>
      </c>
      <c r="AB436" s="29">
        <f t="shared" ca="1" si="63"/>
        <v>263</v>
      </c>
      <c r="AC436"/>
      <c r="AD436" s="25"/>
      <c r="AF436" s="22">
        <v>44981</v>
      </c>
      <c r="AG436" s="26">
        <f t="shared" ca="1" si="37"/>
        <v>0.247111947140777</v>
      </c>
      <c r="AH436" s="29">
        <f t="shared" ca="1" si="64"/>
        <v>268</v>
      </c>
      <c r="AJ436" s="22">
        <v>44981</v>
      </c>
      <c r="AK436" s="26">
        <f t="shared" ca="1" si="38"/>
        <v>7.8577232281655363E-2</v>
      </c>
      <c r="AL436" s="29">
        <v>0</v>
      </c>
      <c r="AN436" s="22">
        <v>44981</v>
      </c>
      <c r="AO436" s="26">
        <f t="shared" ca="1" si="39"/>
        <v>0.94394122988436657</v>
      </c>
      <c r="AP436" s="29">
        <v>0</v>
      </c>
      <c r="AR436" s="22">
        <v>44981</v>
      </c>
      <c r="AS436" s="26">
        <f t="shared" ca="1" si="40"/>
        <v>0.93688568017616014</v>
      </c>
      <c r="AT436" s="29">
        <v>0</v>
      </c>
      <c r="AV436" s="22">
        <v>44981</v>
      </c>
      <c r="AW436" s="26">
        <f t="shared" ca="1" si="41"/>
        <v>0.2472701957886686</v>
      </c>
      <c r="AX436" s="29">
        <v>0</v>
      </c>
      <c r="AZ436" s="22">
        <v>44981</v>
      </c>
      <c r="BA436" s="26">
        <f t="shared" ca="1" si="42"/>
        <v>0.89437771825017065</v>
      </c>
      <c r="BB436" s="29">
        <v>0</v>
      </c>
      <c r="BC436"/>
      <c r="BD436" s="25"/>
      <c r="BF436" s="22">
        <v>44981</v>
      </c>
      <c r="BG436" s="26">
        <f t="shared" ca="1" si="43"/>
        <v>0.20605766335535891</v>
      </c>
      <c r="BH436" s="29">
        <v>0</v>
      </c>
      <c r="BJ436" s="22">
        <v>44981</v>
      </c>
      <c r="BK436" s="26">
        <f t="shared" ca="1" si="44"/>
        <v>0.35082110159903201</v>
      </c>
      <c r="BL436" s="29">
        <v>0</v>
      </c>
      <c r="BN436" s="22">
        <v>44981</v>
      </c>
      <c r="BO436" s="26">
        <f t="shared" ca="1" si="45"/>
        <v>0.41114722937458192</v>
      </c>
      <c r="BP436" s="29">
        <v>0</v>
      </c>
      <c r="BR436" s="22">
        <v>44981</v>
      </c>
      <c r="BS436" s="26">
        <f t="shared" ca="1" si="46"/>
        <v>0.34796318217324407</v>
      </c>
      <c r="BT436" s="29">
        <v>0</v>
      </c>
      <c r="BV436" s="22">
        <v>44981</v>
      </c>
      <c r="BW436" s="26">
        <f t="shared" ca="1" si="47"/>
        <v>0.77643154536642989</v>
      </c>
      <c r="BX436" s="29">
        <v>0</v>
      </c>
    </row>
    <row r="437" spans="2:77" ht="12.75" x14ac:dyDescent="0.2">
      <c r="B437" s="22">
        <v>44982</v>
      </c>
      <c r="C437" s="26">
        <f t="shared" ca="1" si="56"/>
        <v>0.16414820244547013</v>
      </c>
      <c r="D437" s="29">
        <f t="shared" ca="1" si="66"/>
        <v>56</v>
      </c>
      <c r="F437" s="22">
        <v>44982</v>
      </c>
      <c r="G437" s="26">
        <f t="shared" ca="1" si="31"/>
        <v>0.92051239391556694</v>
      </c>
      <c r="H437" s="29">
        <f t="shared" ca="1" si="59"/>
        <v>236</v>
      </c>
      <c r="J437" s="22">
        <v>44982</v>
      </c>
      <c r="K437" s="26">
        <f t="shared" ca="1" si="32"/>
        <v>0.51371206333669184</v>
      </c>
      <c r="L437" s="29">
        <f t="shared" ca="1" si="60"/>
        <v>151</v>
      </c>
      <c r="N437" s="22">
        <v>44982</v>
      </c>
      <c r="O437" s="26">
        <f t="shared" ca="1" si="33"/>
        <v>0.44342826154106163</v>
      </c>
      <c r="P437" s="29">
        <f t="shared" ca="1" si="61"/>
        <v>228</v>
      </c>
      <c r="R437" s="22">
        <v>44982</v>
      </c>
      <c r="S437" s="26">
        <f t="shared" ca="1" si="34"/>
        <v>0.92369196500969586</v>
      </c>
      <c r="T437" s="29">
        <f t="shared" ca="1" si="62"/>
        <v>152</v>
      </c>
      <c r="V437" s="22">
        <v>44982</v>
      </c>
      <c r="W437" s="26">
        <f t="shared" ca="1" si="35"/>
        <v>0.71691533895571957</v>
      </c>
      <c r="X437" s="29">
        <f t="shared" ca="1" si="65"/>
        <v>234</v>
      </c>
      <c r="Z437" s="22">
        <v>44982</v>
      </c>
      <c r="AA437" s="26">
        <f t="shared" ca="1" si="36"/>
        <v>0.38780034609475089</v>
      </c>
      <c r="AB437" s="29">
        <f t="shared" ca="1" si="63"/>
        <v>265</v>
      </c>
      <c r="AC437"/>
      <c r="AD437" s="25"/>
      <c r="AF437" s="22">
        <v>44982</v>
      </c>
      <c r="AG437" s="26">
        <f t="shared" ca="1" si="37"/>
        <v>0.94271773780380719</v>
      </c>
      <c r="AH437" s="29">
        <f t="shared" ca="1" si="64"/>
        <v>465</v>
      </c>
      <c r="AJ437" s="22">
        <v>44982</v>
      </c>
      <c r="AK437" s="26">
        <f t="shared" ca="1" si="38"/>
        <v>0.32775185629142922</v>
      </c>
      <c r="AL437" s="29">
        <v>0</v>
      </c>
      <c r="AN437" s="22">
        <v>44982</v>
      </c>
      <c r="AO437" s="26">
        <f t="shared" ca="1" si="39"/>
        <v>0.13024369791863966</v>
      </c>
      <c r="AP437" s="29">
        <v>0</v>
      </c>
      <c r="AR437" s="22">
        <v>44982</v>
      </c>
      <c r="AS437" s="26">
        <f t="shared" ca="1" si="40"/>
        <v>0.11608823735228269</v>
      </c>
      <c r="AT437" s="29">
        <v>0</v>
      </c>
      <c r="AV437" s="22">
        <v>44982</v>
      </c>
      <c r="AW437" s="26">
        <f t="shared" ca="1" si="41"/>
        <v>0.333631253842257</v>
      </c>
      <c r="AX437" s="29">
        <v>0</v>
      </c>
      <c r="AZ437" s="22">
        <v>44982</v>
      </c>
      <c r="BA437" s="26">
        <f t="shared" ca="1" si="42"/>
        <v>0.28822508630122257</v>
      </c>
      <c r="BB437" s="29">
        <v>0</v>
      </c>
      <c r="BC437"/>
      <c r="BD437" s="25"/>
      <c r="BF437" s="22">
        <v>44982</v>
      </c>
      <c r="BG437" s="26">
        <f t="shared" ca="1" si="43"/>
        <v>0.57459802494546408</v>
      </c>
      <c r="BH437" s="29">
        <v>0</v>
      </c>
      <c r="BJ437" s="22">
        <v>44982</v>
      </c>
      <c r="BK437" s="26">
        <f t="shared" ca="1" si="44"/>
        <v>0.69065987618615998</v>
      </c>
      <c r="BL437" s="29">
        <v>0</v>
      </c>
      <c r="BN437" s="22">
        <v>44982</v>
      </c>
      <c r="BO437" s="26">
        <f t="shared" ca="1" si="45"/>
        <v>0.82144790347518903</v>
      </c>
      <c r="BP437" s="29">
        <v>0</v>
      </c>
      <c r="BR437" s="22">
        <v>44982</v>
      </c>
      <c r="BS437" s="26">
        <f t="shared" ca="1" si="46"/>
        <v>9.7030478925359764E-2</v>
      </c>
      <c r="BT437" s="29">
        <v>0</v>
      </c>
      <c r="BV437" s="22">
        <v>44982</v>
      </c>
      <c r="BW437" s="26">
        <f t="shared" ca="1" si="47"/>
        <v>0.60450565461994543</v>
      </c>
      <c r="BX437" s="29">
        <v>0</v>
      </c>
    </row>
    <row r="438" spans="2:77" ht="12.75" x14ac:dyDescent="0.2">
      <c r="B438" s="22">
        <v>44983</v>
      </c>
      <c r="C438" s="26">
        <f t="shared" ca="1" si="56"/>
        <v>0.45619026468497426</v>
      </c>
      <c r="D438" s="29">
        <f t="shared" ca="1" si="66"/>
        <v>73</v>
      </c>
      <c r="F438" s="22">
        <v>44983</v>
      </c>
      <c r="G438" s="26">
        <f t="shared" ca="1" si="31"/>
        <v>0.88055782549219275</v>
      </c>
      <c r="H438" s="29">
        <f t="shared" ca="1" si="59"/>
        <v>233</v>
      </c>
      <c r="J438" s="22">
        <v>44983</v>
      </c>
      <c r="K438" s="26">
        <f t="shared" ca="1" si="32"/>
        <v>0.60642406314608632</v>
      </c>
      <c r="L438" s="29">
        <f t="shared" ca="1" si="60"/>
        <v>153</v>
      </c>
      <c r="N438" s="22">
        <v>44983</v>
      </c>
      <c r="O438" s="26">
        <f t="shared" ca="1" si="33"/>
        <v>0.57762207346996652</v>
      </c>
      <c r="P438" s="29">
        <f t="shared" ca="1" si="61"/>
        <v>233</v>
      </c>
      <c r="R438" s="22">
        <v>44983</v>
      </c>
      <c r="S438" s="26">
        <f t="shared" ca="1" si="34"/>
        <v>0.43481917008667914</v>
      </c>
      <c r="T438" s="29">
        <f t="shared" ca="1" si="62"/>
        <v>138</v>
      </c>
      <c r="V438" s="22">
        <v>44983</v>
      </c>
      <c r="W438" s="26">
        <f t="shared" ca="1" si="35"/>
        <v>0.80995611012253665</v>
      </c>
      <c r="X438" s="29">
        <f t="shared" ca="1" si="65"/>
        <v>239</v>
      </c>
      <c r="Z438" s="22">
        <v>44983</v>
      </c>
      <c r="AA438" s="26">
        <f t="shared" ca="1" si="36"/>
        <v>0.79462009923896171</v>
      </c>
      <c r="AB438" s="29">
        <f t="shared" ca="1" si="63"/>
        <v>285</v>
      </c>
      <c r="AC438"/>
      <c r="AD438" s="25"/>
      <c r="AF438" s="22">
        <v>44983</v>
      </c>
      <c r="AG438" s="26">
        <f t="shared" ca="1" si="37"/>
        <v>0.89711620708460005</v>
      </c>
      <c r="AH438" s="29">
        <f t="shared" ca="1" si="64"/>
        <v>438</v>
      </c>
      <c r="AJ438" s="22">
        <v>44983</v>
      </c>
      <c r="AK438" s="26">
        <f t="shared" ca="1" si="38"/>
        <v>0.42510815870796637</v>
      </c>
      <c r="AL438" s="29">
        <v>0</v>
      </c>
      <c r="AN438" s="22">
        <v>44983</v>
      </c>
      <c r="AO438" s="26">
        <f t="shared" ca="1" si="39"/>
        <v>0.77812818163992215</v>
      </c>
      <c r="AP438" s="29">
        <v>0</v>
      </c>
      <c r="AR438" s="22">
        <v>44983</v>
      </c>
      <c r="AS438" s="26">
        <f t="shared" ca="1" si="40"/>
        <v>0.92820705040853024</v>
      </c>
      <c r="AT438" s="29">
        <v>0</v>
      </c>
      <c r="AV438" s="22">
        <v>44983</v>
      </c>
      <c r="AW438" s="26">
        <f t="shared" ca="1" si="41"/>
        <v>0.21285983636967232</v>
      </c>
      <c r="AX438" s="29">
        <v>0</v>
      </c>
      <c r="AZ438" s="22">
        <v>44983</v>
      </c>
      <c r="BA438" s="26">
        <f t="shared" ca="1" si="42"/>
        <v>0.85951399465072431</v>
      </c>
      <c r="BB438" s="29">
        <v>0</v>
      </c>
      <c r="BC438"/>
      <c r="BD438" s="25"/>
      <c r="BF438" s="22">
        <v>44983</v>
      </c>
      <c r="BG438" s="26">
        <f t="shared" ca="1" si="43"/>
        <v>0.43170549157404137</v>
      </c>
      <c r="BH438" s="29">
        <v>0</v>
      </c>
      <c r="BJ438" s="22">
        <v>44983</v>
      </c>
      <c r="BK438" s="26">
        <f t="shared" ca="1" si="44"/>
        <v>4.9160115740804589E-2</v>
      </c>
      <c r="BL438" s="29">
        <v>0</v>
      </c>
      <c r="BN438" s="22">
        <v>44983</v>
      </c>
      <c r="BO438" s="26">
        <f t="shared" ca="1" si="45"/>
        <v>0.62287625789804868</v>
      </c>
      <c r="BP438" s="29">
        <v>0</v>
      </c>
      <c r="BR438" s="22">
        <v>44983</v>
      </c>
      <c r="BS438" s="26">
        <f t="shared" ca="1" si="46"/>
        <v>0.15254425196415511</v>
      </c>
      <c r="BT438" s="29">
        <v>0</v>
      </c>
      <c r="BV438" s="22">
        <v>44983</v>
      </c>
      <c r="BW438" s="26">
        <f t="shared" ca="1" si="47"/>
        <v>0.32022111213102977</v>
      </c>
      <c r="BX438" s="29">
        <v>0</v>
      </c>
    </row>
    <row r="439" spans="2:77" ht="12.75" x14ac:dyDescent="0.2">
      <c r="B439" s="22">
        <v>44984</v>
      </c>
      <c r="C439" s="26">
        <f t="shared" ca="1" si="56"/>
        <v>0.23390750241273095</v>
      </c>
      <c r="D439" s="29">
        <f t="shared" ca="1" si="66"/>
        <v>61</v>
      </c>
      <c r="F439" s="22">
        <v>44984</v>
      </c>
      <c r="G439" s="26">
        <f t="shared" ca="1" si="31"/>
        <v>0.96650930631025234</v>
      </c>
      <c r="H439" s="29">
        <f t="shared" ca="1" si="59"/>
        <v>242</v>
      </c>
      <c r="J439" s="22">
        <v>44984</v>
      </c>
      <c r="K439" s="26">
        <f t="shared" ca="1" si="32"/>
        <v>0.3625084697088693</v>
      </c>
      <c r="L439" s="29">
        <f t="shared" ca="1" si="60"/>
        <v>147</v>
      </c>
      <c r="N439" s="22">
        <v>44984</v>
      </c>
      <c r="O439" s="26">
        <f t="shared" ca="1" si="33"/>
        <v>0.59505230934885944</v>
      </c>
      <c r="P439" s="29">
        <f t="shared" ca="1" si="61"/>
        <v>234</v>
      </c>
      <c r="R439" s="22">
        <v>44984</v>
      </c>
      <c r="S439" s="26">
        <f t="shared" ca="1" si="34"/>
        <v>0.66501304867272615</v>
      </c>
      <c r="T439" s="29">
        <f t="shared" ca="1" si="62"/>
        <v>143</v>
      </c>
      <c r="V439" s="22">
        <v>44984</v>
      </c>
      <c r="W439" s="26">
        <f t="shared" ca="1" si="35"/>
        <v>0.12946530918421162</v>
      </c>
      <c r="X439" s="29">
        <f t="shared" ca="1" si="65"/>
        <v>209</v>
      </c>
      <c r="Z439" s="22">
        <v>44984</v>
      </c>
      <c r="AA439" s="26">
        <f t="shared" ca="1" si="36"/>
        <v>0.55952809174264584</v>
      </c>
      <c r="AB439" s="29">
        <f t="shared" ca="1" si="63"/>
        <v>273</v>
      </c>
      <c r="AC439"/>
      <c r="AD439" s="25"/>
      <c r="AF439" s="22">
        <v>44984</v>
      </c>
      <c r="AG439" s="26">
        <f t="shared" ca="1" si="37"/>
        <v>0.91349397497888774</v>
      </c>
      <c r="AH439" s="29">
        <f t="shared" ca="1" si="64"/>
        <v>446</v>
      </c>
      <c r="AJ439" s="22">
        <v>44984</v>
      </c>
      <c r="AK439" s="26">
        <f t="shared" ca="1" si="38"/>
        <v>0.23166244339408282</v>
      </c>
      <c r="AL439" s="29">
        <v>0</v>
      </c>
      <c r="AN439" s="22">
        <v>44984</v>
      </c>
      <c r="AO439" s="26">
        <f t="shared" ca="1" si="39"/>
        <v>0.4739215459962246</v>
      </c>
      <c r="AP439" s="29">
        <v>0</v>
      </c>
      <c r="AR439" s="22">
        <v>44984</v>
      </c>
      <c r="AS439" s="26">
        <f t="shared" ca="1" si="40"/>
        <v>0.42934338950343132</v>
      </c>
      <c r="AT439" s="29">
        <v>0</v>
      </c>
      <c r="AV439" s="22">
        <v>44984</v>
      </c>
      <c r="AW439" s="26">
        <f t="shared" ca="1" si="41"/>
        <v>0.11964800220481375</v>
      </c>
      <c r="AX439" s="29">
        <v>0</v>
      </c>
      <c r="AZ439" s="22">
        <v>44984</v>
      </c>
      <c r="BA439" s="26">
        <f t="shared" ca="1" si="42"/>
        <v>0.97704544044336028</v>
      </c>
      <c r="BB439" s="29">
        <v>0</v>
      </c>
      <c r="BC439"/>
      <c r="BD439" s="25"/>
      <c r="BF439" s="22">
        <v>44984</v>
      </c>
      <c r="BG439" s="26">
        <f t="shared" ca="1" si="43"/>
        <v>0.4715212457386333</v>
      </c>
      <c r="BH439" s="29">
        <v>0</v>
      </c>
      <c r="BJ439" s="22">
        <v>44984</v>
      </c>
      <c r="BK439" s="26">
        <f t="shared" ca="1" si="44"/>
        <v>0.71819803755324718</v>
      </c>
      <c r="BL439" s="29">
        <v>0</v>
      </c>
      <c r="BN439" s="22">
        <v>44984</v>
      </c>
      <c r="BO439" s="26">
        <f t="shared" ca="1" si="45"/>
        <v>0.73311754231760473</v>
      </c>
      <c r="BP439" s="29">
        <v>0</v>
      </c>
      <c r="BR439" s="22">
        <v>44984</v>
      </c>
      <c r="BS439" s="26">
        <f t="shared" ca="1" si="46"/>
        <v>0.69494979279410196</v>
      </c>
      <c r="BT439" s="29">
        <v>0</v>
      </c>
      <c r="BV439" s="22">
        <v>44984</v>
      </c>
      <c r="BW439" s="26">
        <f t="shared" ca="1" si="47"/>
        <v>0.79873628973638933</v>
      </c>
      <c r="BX439" s="29">
        <v>0</v>
      </c>
    </row>
    <row r="440" spans="2:77" ht="12.75" x14ac:dyDescent="0.2">
      <c r="B440" s="22">
        <v>44985</v>
      </c>
      <c r="C440" s="26">
        <f t="shared" ca="1" si="56"/>
        <v>0.66541543194962549</v>
      </c>
      <c r="D440" s="29">
        <f t="shared" ca="1" si="66"/>
        <v>84</v>
      </c>
      <c r="E440">
        <v>1214</v>
      </c>
      <c r="F440" s="22">
        <v>44985</v>
      </c>
      <c r="G440" s="26">
        <f t="shared" ca="1" si="31"/>
        <v>0.48891107190291139</v>
      </c>
      <c r="H440" s="29">
        <f t="shared" ca="1" si="59"/>
        <v>216</v>
      </c>
      <c r="I440">
        <v>4173</v>
      </c>
      <c r="J440" s="22">
        <v>44985</v>
      </c>
      <c r="K440" s="26">
        <f t="shared" ca="1" si="32"/>
        <v>0.56460520343021026</v>
      </c>
      <c r="L440" s="29">
        <f t="shared" ca="1" si="60"/>
        <v>152</v>
      </c>
      <c r="M440">
        <v>2829</v>
      </c>
      <c r="N440" s="22">
        <v>44985</v>
      </c>
      <c r="O440" s="26">
        <f t="shared" ca="1" si="33"/>
        <v>0.85242561009768092</v>
      </c>
      <c r="P440" s="29">
        <f t="shared" ca="1" si="61"/>
        <v>246</v>
      </c>
      <c r="Q440">
        <v>4454</v>
      </c>
      <c r="R440" s="22">
        <v>44985</v>
      </c>
      <c r="S440" s="26">
        <f t="shared" ca="1" si="34"/>
        <v>0.54305113059273125</v>
      </c>
      <c r="T440" s="29">
        <f t="shared" ca="1" si="62"/>
        <v>140</v>
      </c>
      <c r="U440">
        <v>2691</v>
      </c>
      <c r="V440" s="22">
        <v>44985</v>
      </c>
      <c r="W440" s="26">
        <f t="shared" ca="1" si="35"/>
        <v>0.11268730417861605</v>
      </c>
      <c r="X440" s="29">
        <f t="shared" ca="1" si="65"/>
        <v>207</v>
      </c>
      <c r="Y440">
        <v>4212</v>
      </c>
      <c r="Z440" s="22">
        <v>44985</v>
      </c>
      <c r="AA440" s="26">
        <f t="shared" ca="1" si="36"/>
        <v>0.52994669131090999</v>
      </c>
      <c r="AB440" s="29">
        <f t="shared" ca="1" si="63"/>
        <v>272</v>
      </c>
      <c r="AC440">
        <v>5059</v>
      </c>
      <c r="AD440" s="25"/>
      <c r="AF440" s="22">
        <v>44985</v>
      </c>
      <c r="AG440" s="26">
        <f t="shared" ca="1" si="37"/>
        <v>0.8436754280150186</v>
      </c>
      <c r="AH440" s="29">
        <f t="shared" ca="1" si="64"/>
        <v>416</v>
      </c>
      <c r="AI440">
        <v>6317</v>
      </c>
      <c r="AJ440" s="22">
        <v>44985</v>
      </c>
      <c r="AK440" s="26">
        <f t="shared" ca="1" si="38"/>
        <v>0.21611211596124524</v>
      </c>
      <c r="AL440" s="29">
        <v>0</v>
      </c>
      <c r="AM440">
        <v>0</v>
      </c>
      <c r="AN440" s="22">
        <v>44985</v>
      </c>
      <c r="AO440" s="26">
        <f t="shared" ca="1" si="39"/>
        <v>0.88925378914484887</v>
      </c>
      <c r="AP440" s="29">
        <v>0</v>
      </c>
      <c r="AQ440">
        <v>0</v>
      </c>
      <c r="AR440" s="22">
        <v>44985</v>
      </c>
      <c r="AS440" s="26">
        <f t="shared" ca="1" si="40"/>
        <v>0.55982859544220209</v>
      </c>
      <c r="AT440" s="29">
        <v>0</v>
      </c>
      <c r="AU440">
        <v>0</v>
      </c>
      <c r="AV440" s="22">
        <v>44985</v>
      </c>
      <c r="AW440" s="26">
        <f t="shared" ca="1" si="41"/>
        <v>0.14076938883100942</v>
      </c>
      <c r="AX440" s="29">
        <v>0</v>
      </c>
      <c r="AY440">
        <v>0</v>
      </c>
      <c r="AZ440" s="22">
        <v>44985</v>
      </c>
      <c r="BA440" s="26">
        <f t="shared" ca="1" si="42"/>
        <v>0.37127713483137503</v>
      </c>
      <c r="BB440" s="29">
        <v>0</v>
      </c>
      <c r="BC440">
        <v>0</v>
      </c>
      <c r="BD440" s="25"/>
      <c r="BF440" s="22">
        <v>44985</v>
      </c>
      <c r="BG440" s="26">
        <f t="shared" ca="1" si="43"/>
        <v>0.55953320189428657</v>
      </c>
      <c r="BH440" s="29">
        <v>0</v>
      </c>
      <c r="BI440">
        <v>0</v>
      </c>
      <c r="BJ440" s="22">
        <v>44985</v>
      </c>
      <c r="BK440" s="26">
        <f t="shared" ca="1" si="44"/>
        <v>0.94484851989248408</v>
      </c>
      <c r="BL440" s="29">
        <v>0</v>
      </c>
      <c r="BM440">
        <v>0</v>
      </c>
      <c r="BN440" s="22">
        <v>44985</v>
      </c>
      <c r="BO440" s="26">
        <f t="shared" ca="1" si="45"/>
        <v>0.50795985898589568</v>
      </c>
      <c r="BP440" s="29">
        <v>0</v>
      </c>
      <c r="BQ440">
        <v>0</v>
      </c>
      <c r="BR440" s="22">
        <v>44985</v>
      </c>
      <c r="BS440" s="26">
        <f t="shared" ca="1" si="46"/>
        <v>0.17230965778162932</v>
      </c>
      <c r="BT440" s="29">
        <v>0</v>
      </c>
      <c r="BU440">
        <v>0</v>
      </c>
      <c r="BV440" s="22">
        <v>44985</v>
      </c>
      <c r="BW440" s="26">
        <f t="shared" ca="1" si="47"/>
        <v>0.21982399500787142</v>
      </c>
      <c r="BX440" s="29">
        <v>0</v>
      </c>
      <c r="BY440">
        <v>0</v>
      </c>
    </row>
    <row r="441" spans="2:77" ht="12.75" x14ac:dyDescent="0.2">
      <c r="B441" s="22">
        <v>44986</v>
      </c>
      <c r="C441" s="26">
        <f t="shared" ca="1" si="56"/>
        <v>0.28719331128438363</v>
      </c>
      <c r="D441" s="29">
        <f ca="1">ROUNDUP(_xlfn.NORM.INV(C440,C$10,C$12),0)</f>
        <v>84</v>
      </c>
      <c r="F441" s="22">
        <v>44986</v>
      </c>
      <c r="G441" s="26">
        <f t="shared" ca="1" si="31"/>
        <v>9.5468241788885244E-2</v>
      </c>
      <c r="H441" s="29">
        <f ca="1">ROUNDUP(_xlfn.NORM.INV(G440,G$10,G$12),0)</f>
        <v>216</v>
      </c>
      <c r="J441" s="22">
        <v>44986</v>
      </c>
      <c r="K441" s="26">
        <f t="shared" ca="1" si="32"/>
        <v>0.84307318039161261</v>
      </c>
      <c r="L441" s="29">
        <f ca="1">ROUNDUP(_xlfn.NORM.INV(K440,K$10,K$12),0)</f>
        <v>152</v>
      </c>
      <c r="N441" s="22">
        <v>44986</v>
      </c>
      <c r="O441" s="26">
        <f t="shared" ca="1" si="33"/>
        <v>3.5513686788026688E-2</v>
      </c>
      <c r="P441" s="29">
        <f ca="1">ROUNDUP(_xlfn.NORM.INV(O440,O$10,O$12),0)</f>
        <v>246</v>
      </c>
      <c r="R441" s="22">
        <v>44986</v>
      </c>
      <c r="S441" s="26">
        <f t="shared" ca="1" si="34"/>
        <v>0.8456898131876569</v>
      </c>
      <c r="T441" s="29">
        <f ca="1">ROUNDUP(_xlfn.NORM.INV(S440,S$10,S$12),0)</f>
        <v>140</v>
      </c>
      <c r="V441" s="22">
        <v>44986</v>
      </c>
      <c r="W441" s="26">
        <f t="shared" ca="1" si="35"/>
        <v>0.9754802244262688</v>
      </c>
      <c r="X441" s="29">
        <f ca="1">ROUNDUP(_xlfn.NORM.INV(W440,W$10,W$12),0)</f>
        <v>207</v>
      </c>
      <c r="Z441" s="22">
        <v>44986</v>
      </c>
      <c r="AA441" s="26">
        <f t="shared" ca="1" si="36"/>
        <v>0.57064921496835574</v>
      </c>
      <c r="AB441" s="29">
        <f ca="1">ROUNDUP(_xlfn.NORM.INV(AA440,AA$10,AA$12),0)</f>
        <v>272</v>
      </c>
      <c r="AC441"/>
      <c r="AD441" s="25"/>
      <c r="AF441" s="22">
        <v>44986</v>
      </c>
      <c r="AG441" s="26">
        <f t="shared" ca="1" si="37"/>
        <v>0.7970146968158548</v>
      </c>
      <c r="AH441" s="29">
        <f ca="1">ROUNDUP(_xlfn.NORM.INV(AG440,AG$10,AG$12),0)</f>
        <v>416</v>
      </c>
      <c r="AJ441" s="22">
        <v>44986</v>
      </c>
      <c r="AK441" s="26">
        <f t="shared" ca="1" si="38"/>
        <v>0.58462348486474958</v>
      </c>
      <c r="AL441" s="29">
        <v>0</v>
      </c>
      <c r="AN441" s="22">
        <v>44986</v>
      </c>
      <c r="AO441" s="26">
        <f t="shared" ca="1" si="39"/>
        <v>0.72495961968769607</v>
      </c>
      <c r="AP441" s="29">
        <v>0</v>
      </c>
      <c r="AR441" s="22">
        <v>44986</v>
      </c>
      <c r="AS441" s="26">
        <f t="shared" ca="1" si="40"/>
        <v>1.4275990691259288E-4</v>
      </c>
      <c r="AT441" s="29">
        <v>0</v>
      </c>
      <c r="AV441" s="22">
        <v>44986</v>
      </c>
      <c r="AW441" s="26">
        <f t="shared" ca="1" si="41"/>
        <v>0.43411382195646553</v>
      </c>
      <c r="AX441" s="29">
        <v>0</v>
      </c>
      <c r="AZ441" s="22">
        <v>44986</v>
      </c>
      <c r="BA441" s="26">
        <f t="shared" ca="1" si="42"/>
        <v>0.11891155429472811</v>
      </c>
      <c r="BB441" s="29">
        <v>0</v>
      </c>
      <c r="BC441"/>
      <c r="BD441" s="25"/>
      <c r="BF441" s="22">
        <v>44986</v>
      </c>
      <c r="BG441" s="26">
        <f t="shared" ca="1" si="43"/>
        <v>0.57452728101705552</v>
      </c>
      <c r="BH441" s="29">
        <v>0</v>
      </c>
      <c r="BJ441" s="22">
        <v>44986</v>
      </c>
      <c r="BK441" s="26">
        <f t="shared" ca="1" si="44"/>
        <v>0.2489888110672116</v>
      </c>
      <c r="BL441" s="29">
        <v>0</v>
      </c>
      <c r="BN441" s="22">
        <v>44986</v>
      </c>
      <c r="BO441" s="26">
        <f t="shared" ca="1" si="45"/>
        <v>3.3779057993719164E-2</v>
      </c>
      <c r="BP441" s="29">
        <v>0</v>
      </c>
      <c r="BR441" s="22">
        <v>44986</v>
      </c>
      <c r="BS441" s="26">
        <f t="shared" ca="1" si="46"/>
        <v>0.15050090521539405</v>
      </c>
      <c r="BT441" s="29">
        <v>0</v>
      </c>
      <c r="BV441" s="22">
        <v>44986</v>
      </c>
      <c r="BW441" s="26">
        <f t="shared" ca="1" si="47"/>
        <v>0.51635026007973062</v>
      </c>
      <c r="BX441" s="29">
        <v>0</v>
      </c>
    </row>
    <row r="442" spans="2:77" ht="12.75" x14ac:dyDescent="0.2">
      <c r="B442" s="22">
        <v>44987</v>
      </c>
      <c r="C442" s="26">
        <f t="shared" ca="1" si="56"/>
        <v>0.34605211537789415</v>
      </c>
      <c r="D442" s="29">
        <f t="shared" ca="1" si="66"/>
        <v>68</v>
      </c>
      <c r="F442" s="22">
        <v>44987</v>
      </c>
      <c r="G442" s="26">
        <f t="shared" ca="1" si="31"/>
        <v>2.1400054081031517E-2</v>
      </c>
      <c r="H442" s="29">
        <f t="shared" ca="1" si="59"/>
        <v>187</v>
      </c>
      <c r="J442" s="22">
        <v>44987</v>
      </c>
      <c r="K442" s="26">
        <f t="shared" ca="1" si="32"/>
        <v>0.98277587411399026</v>
      </c>
      <c r="L442" s="29">
        <f t="shared" ca="1" si="60"/>
        <v>172</v>
      </c>
      <c r="N442" s="22">
        <v>44987</v>
      </c>
      <c r="O442" s="26">
        <f t="shared" ca="1" si="33"/>
        <v>7.8136781790483223E-4</v>
      </c>
      <c r="P442" s="29">
        <f t="shared" ca="1" si="61"/>
        <v>181</v>
      </c>
      <c r="R442" s="22">
        <v>44987</v>
      </c>
      <c r="S442" s="26">
        <f t="shared" ca="1" si="34"/>
        <v>0.2800549217740308</v>
      </c>
      <c r="T442" s="29">
        <f t="shared" ca="1" si="62"/>
        <v>134</v>
      </c>
      <c r="V442" s="22">
        <v>44987</v>
      </c>
      <c r="W442" s="26">
        <f t="shared" ca="1" si="35"/>
        <v>0.39809483169026139</v>
      </c>
      <c r="X442" s="29">
        <f t="shared" ca="1" si="65"/>
        <v>222</v>
      </c>
      <c r="Z442" s="22">
        <v>44987</v>
      </c>
      <c r="AA442" s="26">
        <f t="shared" ca="1" si="36"/>
        <v>0.95785028840848885</v>
      </c>
      <c r="AB442" s="29">
        <f t="shared" ca="1" si="63"/>
        <v>302</v>
      </c>
      <c r="AC442"/>
      <c r="AD442" s="25"/>
      <c r="AF442" s="22">
        <v>44987</v>
      </c>
      <c r="AG442" s="26">
        <f t="shared" ca="1" si="37"/>
        <v>0.96404795155762657</v>
      </c>
      <c r="AH442" s="29">
        <f t="shared" ca="1" si="64"/>
        <v>484</v>
      </c>
      <c r="AJ442" s="22">
        <v>44987</v>
      </c>
      <c r="AK442" s="26">
        <f t="shared" ca="1" si="38"/>
        <v>0.53234147776645047</v>
      </c>
      <c r="AL442" s="29">
        <f t="shared" ref="AL442:AL451" ca="1" si="67">ROUNDUP(_xlfn.NORM.INV(AK442,AK$10,AK$12),0)</f>
        <v>175</v>
      </c>
      <c r="AN442" s="22">
        <v>44987</v>
      </c>
      <c r="AO442" s="26">
        <f t="shared" ca="1" si="39"/>
        <v>0.33124993736157582</v>
      </c>
      <c r="AP442" s="29">
        <v>0</v>
      </c>
      <c r="AR442" s="22">
        <v>44987</v>
      </c>
      <c r="AS442" s="26">
        <f t="shared" ca="1" si="40"/>
        <v>0.95457314471428023</v>
      </c>
      <c r="AT442" s="29">
        <v>0</v>
      </c>
      <c r="AV442" s="22">
        <v>44987</v>
      </c>
      <c r="AW442" s="26">
        <f t="shared" ca="1" si="41"/>
        <v>0.50919936399914267</v>
      </c>
      <c r="AX442" s="29">
        <v>0</v>
      </c>
      <c r="AZ442" s="22">
        <v>44987</v>
      </c>
      <c r="BA442" s="26">
        <f t="shared" ca="1" si="42"/>
        <v>8.5084010103773089E-2</v>
      </c>
      <c r="BB442" s="29">
        <v>0</v>
      </c>
      <c r="BC442"/>
      <c r="BD442" s="25"/>
      <c r="BF442" s="22">
        <v>44987</v>
      </c>
      <c r="BG442" s="26">
        <f t="shared" ca="1" si="43"/>
        <v>0.50779084379332851</v>
      </c>
      <c r="BH442" s="29">
        <v>0</v>
      </c>
      <c r="BJ442" s="22">
        <v>44987</v>
      </c>
      <c r="BK442" s="26">
        <f t="shared" ca="1" si="44"/>
        <v>0.35398135293185506</v>
      </c>
      <c r="BL442" s="29">
        <v>0</v>
      </c>
      <c r="BN442" s="22">
        <v>44987</v>
      </c>
      <c r="BO442" s="26">
        <f t="shared" ca="1" si="45"/>
        <v>3.3654428491565191E-3</v>
      </c>
      <c r="BP442" s="29">
        <v>0</v>
      </c>
      <c r="BR442" s="22">
        <v>44987</v>
      </c>
      <c r="BS442" s="26">
        <f t="shared" ca="1" si="46"/>
        <v>0.27498947079337688</v>
      </c>
      <c r="BT442" s="29">
        <v>0</v>
      </c>
      <c r="BV442" s="22">
        <v>44987</v>
      </c>
      <c r="BW442" s="26">
        <f t="shared" ca="1" si="47"/>
        <v>0.76207173767686331</v>
      </c>
      <c r="BX442" s="29">
        <v>0</v>
      </c>
    </row>
    <row r="443" spans="2:77" ht="12.75" x14ac:dyDescent="0.2">
      <c r="B443" s="22">
        <v>44988</v>
      </c>
      <c r="C443" s="26">
        <f t="shared" ca="1" si="56"/>
        <v>0.66249818188673437</v>
      </c>
      <c r="D443" s="29">
        <f t="shared" ca="1" si="66"/>
        <v>84</v>
      </c>
      <c r="F443" s="22">
        <v>44988</v>
      </c>
      <c r="G443" s="26">
        <f t="shared" ca="1" si="31"/>
        <v>0.77443178717152195</v>
      </c>
      <c r="H443" s="29">
        <f t="shared" ca="1" si="59"/>
        <v>227</v>
      </c>
      <c r="J443" s="22">
        <v>44988</v>
      </c>
      <c r="K443" s="26">
        <f t="shared" ca="1" si="32"/>
        <v>0.2305791499811275</v>
      </c>
      <c r="L443" s="29">
        <f t="shared" ca="1" si="60"/>
        <v>143</v>
      </c>
      <c r="N443" s="22">
        <v>44988</v>
      </c>
      <c r="O443" s="26">
        <f t="shared" ca="1" si="33"/>
        <v>0.94408924749508183</v>
      </c>
      <c r="P443" s="29">
        <f t="shared" ca="1" si="61"/>
        <v>254</v>
      </c>
      <c r="R443" s="22">
        <v>44988</v>
      </c>
      <c r="S443" s="26">
        <f t="shared" ca="1" si="34"/>
        <v>0.14524730499338911</v>
      </c>
      <c r="T443" s="29">
        <f t="shared" ca="1" si="62"/>
        <v>129</v>
      </c>
      <c r="V443" s="22">
        <v>44988</v>
      </c>
      <c r="W443" s="26">
        <f t="shared" ca="1" si="35"/>
        <v>0.94366772030939572</v>
      </c>
      <c r="X443" s="29">
        <f t="shared" ca="1" si="65"/>
        <v>249</v>
      </c>
      <c r="Z443" s="22">
        <v>44988</v>
      </c>
      <c r="AA443" s="26">
        <f t="shared" ca="1" si="36"/>
        <v>0.83923168801145998</v>
      </c>
      <c r="AB443" s="29">
        <f t="shared" ca="1" si="63"/>
        <v>288</v>
      </c>
      <c r="AC443"/>
      <c r="AD443" s="25"/>
      <c r="AF443" s="22">
        <v>44988</v>
      </c>
      <c r="AG443" s="26">
        <f t="shared" ca="1" si="37"/>
        <v>0.65525975806069803</v>
      </c>
      <c r="AH443" s="29">
        <f t="shared" ca="1" si="64"/>
        <v>362</v>
      </c>
      <c r="AJ443" s="22">
        <v>44988</v>
      </c>
      <c r="AK443" s="26">
        <f t="shared" ca="1" si="38"/>
        <v>0.55791222311045896</v>
      </c>
      <c r="AL443" s="29">
        <f t="shared" ca="1" si="67"/>
        <v>178</v>
      </c>
      <c r="AN443" s="22">
        <v>44988</v>
      </c>
      <c r="AO443" s="26">
        <f t="shared" ca="1" si="39"/>
        <v>0.6683075254862697</v>
      </c>
      <c r="AP443" s="29">
        <v>0</v>
      </c>
      <c r="AR443" s="22">
        <v>44988</v>
      </c>
      <c r="AS443" s="26">
        <f t="shared" ca="1" si="40"/>
        <v>4.2346325142434971E-2</v>
      </c>
      <c r="AT443" s="29">
        <v>0</v>
      </c>
      <c r="AV443" s="22">
        <v>44988</v>
      </c>
      <c r="AW443" s="26">
        <f t="shared" ca="1" si="41"/>
        <v>0.29473747833140218</v>
      </c>
      <c r="AX443" s="29">
        <v>0</v>
      </c>
      <c r="AZ443" s="22">
        <v>44988</v>
      </c>
      <c r="BA443" s="26">
        <f t="shared" ca="1" si="42"/>
        <v>0.66943932893199354</v>
      </c>
      <c r="BB443" s="29">
        <v>0</v>
      </c>
      <c r="BC443"/>
      <c r="BD443" s="25"/>
      <c r="BF443" s="22">
        <v>44988</v>
      </c>
      <c r="BG443" s="26">
        <f t="shared" ca="1" si="43"/>
        <v>0.70260304425746978</v>
      </c>
      <c r="BH443" s="29">
        <v>0</v>
      </c>
      <c r="BJ443" s="22">
        <v>44988</v>
      </c>
      <c r="BK443" s="26">
        <f t="shared" ca="1" si="44"/>
        <v>0.78541991355507534</v>
      </c>
      <c r="BL443" s="29">
        <v>0</v>
      </c>
      <c r="BN443" s="22">
        <v>44988</v>
      </c>
      <c r="BO443" s="26">
        <f t="shared" ca="1" si="45"/>
        <v>0.34336325521748368</v>
      </c>
      <c r="BP443" s="29">
        <v>0</v>
      </c>
      <c r="BR443" s="22">
        <v>44988</v>
      </c>
      <c r="BS443" s="26">
        <f t="shared" ca="1" si="46"/>
        <v>0.2397388847820181</v>
      </c>
      <c r="BT443" s="29">
        <v>0</v>
      </c>
      <c r="BV443" s="22">
        <v>44988</v>
      </c>
      <c r="BW443" s="26">
        <f t="shared" ca="1" si="47"/>
        <v>0.95832525130831037</v>
      </c>
      <c r="BX443" s="29">
        <v>0</v>
      </c>
    </row>
    <row r="444" spans="2:77" ht="12.75" x14ac:dyDescent="0.2">
      <c r="B444" s="22">
        <v>44989</v>
      </c>
      <c r="C444" s="26">
        <f t="shared" ca="1" si="56"/>
        <v>0.46693452389384515</v>
      </c>
      <c r="D444" s="29">
        <f t="shared" ca="1" si="66"/>
        <v>74</v>
      </c>
      <c r="F444" s="22">
        <v>44989</v>
      </c>
      <c r="G444" s="26">
        <f t="shared" ca="1" si="31"/>
        <v>0.31002974833284858</v>
      </c>
      <c r="H444" s="29">
        <f t="shared" ca="1" si="59"/>
        <v>209</v>
      </c>
      <c r="J444" s="22">
        <v>44989</v>
      </c>
      <c r="K444" s="26">
        <f t="shared" ca="1" si="32"/>
        <v>0.23287300863936244</v>
      </c>
      <c r="L444" s="29">
        <f t="shared" ca="1" si="60"/>
        <v>143</v>
      </c>
      <c r="N444" s="22">
        <v>44989</v>
      </c>
      <c r="O444" s="26">
        <f t="shared" ca="1" si="33"/>
        <v>0.54492468056430854</v>
      </c>
      <c r="P444" s="29">
        <f t="shared" ca="1" si="61"/>
        <v>232</v>
      </c>
      <c r="R444" s="22">
        <v>44989</v>
      </c>
      <c r="S444" s="26">
        <f t="shared" ca="1" si="34"/>
        <v>0.88742705384072218</v>
      </c>
      <c r="T444" s="29">
        <f t="shared" ca="1" si="62"/>
        <v>150</v>
      </c>
      <c r="V444" s="22">
        <v>44989</v>
      </c>
      <c r="W444" s="26">
        <f t="shared" ca="1" si="35"/>
        <v>0.95839591804591673</v>
      </c>
      <c r="X444" s="29">
        <f t="shared" ca="1" si="65"/>
        <v>251</v>
      </c>
      <c r="Z444" s="22">
        <v>44989</v>
      </c>
      <c r="AA444" s="26">
        <f t="shared" ca="1" si="36"/>
        <v>0.33335403329292002</v>
      </c>
      <c r="AB444" s="29">
        <f t="shared" ca="1" si="63"/>
        <v>263</v>
      </c>
      <c r="AC444"/>
      <c r="AD444" s="25"/>
      <c r="AF444" s="22">
        <v>44989</v>
      </c>
      <c r="AG444" s="26">
        <f t="shared" ca="1" si="37"/>
        <v>0.16407832954274504</v>
      </c>
      <c r="AH444" s="29">
        <f t="shared" ca="1" si="64"/>
        <v>242</v>
      </c>
      <c r="AJ444" s="22">
        <v>44989</v>
      </c>
      <c r="AK444" s="26">
        <f t="shared" ca="1" si="38"/>
        <v>0.82634364827395768</v>
      </c>
      <c r="AL444" s="29">
        <f t="shared" ca="1" si="67"/>
        <v>214</v>
      </c>
      <c r="AN444" s="22">
        <v>44989</v>
      </c>
      <c r="AO444" s="26">
        <f t="shared" ca="1" si="39"/>
        <v>0.34179436354647319</v>
      </c>
      <c r="AP444" s="29">
        <v>0</v>
      </c>
      <c r="AR444" s="22">
        <v>44989</v>
      </c>
      <c r="AS444" s="26">
        <f t="shared" ca="1" si="40"/>
        <v>0.18179315051605816</v>
      </c>
      <c r="AT444" s="29">
        <v>0</v>
      </c>
      <c r="AV444" s="22">
        <v>44989</v>
      </c>
      <c r="AW444" s="26">
        <f t="shared" ca="1" si="41"/>
        <v>0.18205790428563062</v>
      </c>
      <c r="AX444" s="29">
        <v>0</v>
      </c>
      <c r="AZ444" s="22">
        <v>44989</v>
      </c>
      <c r="BA444" s="26">
        <f t="shared" ca="1" si="42"/>
        <v>0.58780159444767488</v>
      </c>
      <c r="BB444" s="29">
        <v>0</v>
      </c>
      <c r="BC444"/>
      <c r="BD444" s="25"/>
      <c r="BF444" s="22">
        <v>44989</v>
      </c>
      <c r="BG444" s="26">
        <f t="shared" ca="1" si="43"/>
        <v>0.34590638200008916</v>
      </c>
      <c r="BH444" s="29">
        <v>0</v>
      </c>
      <c r="BJ444" s="22">
        <v>44989</v>
      </c>
      <c r="BK444" s="26">
        <f t="shared" ca="1" si="44"/>
        <v>0.70386439944704049</v>
      </c>
      <c r="BL444" s="29">
        <v>0</v>
      </c>
      <c r="BN444" s="22">
        <v>44989</v>
      </c>
      <c r="BO444" s="26">
        <f t="shared" ca="1" si="45"/>
        <v>7.2331503426667387E-2</v>
      </c>
      <c r="BP444" s="29">
        <v>0</v>
      </c>
      <c r="BR444" s="22">
        <v>44989</v>
      </c>
      <c r="BS444" s="26">
        <f t="shared" ca="1" si="46"/>
        <v>0.88593933091633936</v>
      </c>
      <c r="BT444" s="29">
        <v>0</v>
      </c>
      <c r="BV444" s="22">
        <v>44989</v>
      </c>
      <c r="BW444" s="26">
        <f t="shared" ca="1" si="47"/>
        <v>0.44068839667388138</v>
      </c>
      <c r="BX444" s="29">
        <v>0</v>
      </c>
    </row>
    <row r="445" spans="2:77" ht="12.75" x14ac:dyDescent="0.2">
      <c r="B445" s="22">
        <v>44990</v>
      </c>
      <c r="C445" s="26">
        <f t="shared" ca="1" si="56"/>
        <v>0.59676868540076522</v>
      </c>
      <c r="D445" s="29">
        <f t="shared" ca="1" si="66"/>
        <v>80</v>
      </c>
      <c r="F445" s="22">
        <v>44990</v>
      </c>
      <c r="G445" s="26">
        <f t="shared" ca="1" si="31"/>
        <v>0.41771588595112152</v>
      </c>
      <c r="H445" s="29">
        <f t="shared" ca="1" si="59"/>
        <v>213</v>
      </c>
      <c r="J445" s="22">
        <v>44990</v>
      </c>
      <c r="K445" s="26">
        <f t="shared" ca="1" si="32"/>
        <v>0.26619777114907806</v>
      </c>
      <c r="L445" s="29">
        <f t="shared" ca="1" si="60"/>
        <v>144</v>
      </c>
      <c r="N445" s="22">
        <v>44990</v>
      </c>
      <c r="O445" s="26">
        <f t="shared" ca="1" si="33"/>
        <v>0.47242700910358071</v>
      </c>
      <c r="P445" s="29">
        <f t="shared" ca="1" si="61"/>
        <v>229</v>
      </c>
      <c r="R445" s="22">
        <v>44990</v>
      </c>
      <c r="S445" s="26">
        <f t="shared" ca="1" si="34"/>
        <v>0.8940419840953675</v>
      </c>
      <c r="T445" s="29">
        <f t="shared" ca="1" si="62"/>
        <v>151</v>
      </c>
      <c r="V445" s="22">
        <v>44990</v>
      </c>
      <c r="W445" s="26">
        <f t="shared" ca="1" si="35"/>
        <v>0.96040994005516234</v>
      </c>
      <c r="X445" s="29">
        <f t="shared" ca="1" si="65"/>
        <v>252</v>
      </c>
      <c r="Z445" s="22">
        <v>44990</v>
      </c>
      <c r="AA445" s="26">
        <f t="shared" ca="1" si="36"/>
        <v>0.46695651125995752</v>
      </c>
      <c r="AB445" s="29">
        <f t="shared" ca="1" si="63"/>
        <v>269</v>
      </c>
      <c r="AC445"/>
      <c r="AD445" s="25"/>
      <c r="AF445" s="22">
        <v>44990</v>
      </c>
      <c r="AG445" s="26">
        <f t="shared" ca="1" si="37"/>
        <v>0.73115775216581513</v>
      </c>
      <c r="AH445" s="29">
        <f t="shared" ca="1" si="64"/>
        <v>381</v>
      </c>
      <c r="AJ445" s="22">
        <v>44990</v>
      </c>
      <c r="AK445" s="26">
        <f t="shared" ca="1" si="38"/>
        <v>0.90987840069492842</v>
      </c>
      <c r="AL445" s="29">
        <f t="shared" ca="1" si="67"/>
        <v>232</v>
      </c>
      <c r="AN445" s="22">
        <v>44990</v>
      </c>
      <c r="AO445" s="26">
        <f t="shared" ca="1" si="39"/>
        <v>3.5748729624149211E-2</v>
      </c>
      <c r="AP445" s="29">
        <v>0</v>
      </c>
      <c r="AR445" s="22">
        <v>44990</v>
      </c>
      <c r="AS445" s="26">
        <f t="shared" ca="1" si="40"/>
        <v>0.66156829234988079</v>
      </c>
      <c r="AT445" s="29">
        <v>0</v>
      </c>
      <c r="AV445" s="22">
        <v>44990</v>
      </c>
      <c r="AW445" s="26">
        <f t="shared" ca="1" si="41"/>
        <v>0.33702101881776891</v>
      </c>
      <c r="AX445" s="29">
        <v>0</v>
      </c>
      <c r="AZ445" s="22">
        <v>44990</v>
      </c>
      <c r="BA445" s="26">
        <f t="shared" ca="1" si="42"/>
        <v>0.89503894488918334</v>
      </c>
      <c r="BB445" s="29">
        <v>0</v>
      </c>
      <c r="BC445"/>
      <c r="BD445" s="25"/>
      <c r="BF445" s="22">
        <v>44990</v>
      </c>
      <c r="BG445" s="26">
        <f t="shared" ca="1" si="43"/>
        <v>0.79571414854665734</v>
      </c>
      <c r="BH445" s="29">
        <v>0</v>
      </c>
      <c r="BJ445" s="22">
        <v>44990</v>
      </c>
      <c r="BK445" s="26">
        <f t="shared" ca="1" si="44"/>
        <v>0.62470632455849173</v>
      </c>
      <c r="BL445" s="29">
        <v>0</v>
      </c>
      <c r="BN445" s="22">
        <v>44990</v>
      </c>
      <c r="BO445" s="26">
        <f t="shared" ca="1" si="45"/>
        <v>0.13292072460027504</v>
      </c>
      <c r="BP445" s="29">
        <v>0</v>
      </c>
      <c r="BR445" s="22">
        <v>44990</v>
      </c>
      <c r="BS445" s="26">
        <f t="shared" ca="1" si="46"/>
        <v>7.3305458122898015E-2</v>
      </c>
      <c r="BT445" s="29">
        <v>0</v>
      </c>
      <c r="BV445" s="22">
        <v>44990</v>
      </c>
      <c r="BW445" s="26">
        <f t="shared" ca="1" si="47"/>
        <v>6.139739924826626E-2</v>
      </c>
      <c r="BX445" s="29">
        <v>0</v>
      </c>
    </row>
    <row r="446" spans="2:77" ht="12.75" x14ac:dyDescent="0.2">
      <c r="B446" s="22">
        <v>44991</v>
      </c>
      <c r="C446" s="26">
        <f t="shared" ca="1" si="56"/>
        <v>0.5624222103775246</v>
      </c>
      <c r="D446" s="29">
        <f t="shared" ca="1" si="66"/>
        <v>79</v>
      </c>
      <c r="F446" s="22">
        <v>44991</v>
      </c>
      <c r="G446" s="26">
        <f t="shared" ca="1" si="31"/>
        <v>0.7503728601737587</v>
      </c>
      <c r="H446" s="29">
        <f t="shared" ca="1" si="59"/>
        <v>226</v>
      </c>
      <c r="J446" s="22">
        <v>44991</v>
      </c>
      <c r="K446" s="26">
        <f t="shared" ca="1" si="32"/>
        <v>0.64845957538012355</v>
      </c>
      <c r="L446" s="29">
        <f t="shared" ca="1" si="60"/>
        <v>154</v>
      </c>
      <c r="N446" s="22">
        <v>44991</v>
      </c>
      <c r="O446" s="26">
        <f t="shared" ca="1" si="33"/>
        <v>0.73856708703006302</v>
      </c>
      <c r="P446" s="29">
        <f t="shared" ca="1" si="61"/>
        <v>240</v>
      </c>
      <c r="R446" s="22">
        <v>44991</v>
      </c>
      <c r="S446" s="26">
        <f t="shared" ca="1" si="34"/>
        <v>0.5473350223293727</v>
      </c>
      <c r="T446" s="29">
        <f t="shared" ca="1" si="62"/>
        <v>140</v>
      </c>
      <c r="V446" s="22">
        <v>44991</v>
      </c>
      <c r="W446" s="26">
        <f t="shared" ca="1" si="35"/>
        <v>0.32630958065332871</v>
      </c>
      <c r="X446" s="29">
        <f t="shared" ca="1" si="65"/>
        <v>219</v>
      </c>
      <c r="Z446" s="22">
        <v>44991</v>
      </c>
      <c r="AA446" s="26">
        <f t="shared" ca="1" si="36"/>
        <v>0.1070850947070412</v>
      </c>
      <c r="AB446" s="29">
        <f t="shared" ca="1" si="63"/>
        <v>248</v>
      </c>
      <c r="AC446"/>
      <c r="AD446" s="25"/>
      <c r="AF446" s="22">
        <v>44991</v>
      </c>
      <c r="AG446" s="26">
        <f t="shared" ca="1" si="37"/>
        <v>2.4440989383225142E-2</v>
      </c>
      <c r="AH446" s="29">
        <f t="shared" ca="1" si="64"/>
        <v>156</v>
      </c>
      <c r="AJ446" s="22">
        <v>44991</v>
      </c>
      <c r="AK446" s="26">
        <f t="shared" ca="1" si="38"/>
        <v>0.69204906547593381</v>
      </c>
      <c r="AL446" s="29">
        <f t="shared" ca="1" si="67"/>
        <v>194</v>
      </c>
      <c r="AN446" s="22">
        <v>44991</v>
      </c>
      <c r="AO446" s="26">
        <f t="shared" ca="1" si="39"/>
        <v>0.21997726106117499</v>
      </c>
      <c r="AP446" s="29">
        <v>0</v>
      </c>
      <c r="AR446" s="22">
        <v>44991</v>
      </c>
      <c r="AS446" s="26">
        <f t="shared" ca="1" si="40"/>
        <v>0.12226787191063648</v>
      </c>
      <c r="AT446" s="29">
        <v>0</v>
      </c>
      <c r="AV446" s="22">
        <v>44991</v>
      </c>
      <c r="AW446" s="26">
        <f t="shared" ca="1" si="41"/>
        <v>0.55245063848401055</v>
      </c>
      <c r="AX446" s="29">
        <v>0</v>
      </c>
      <c r="AZ446" s="22">
        <v>44991</v>
      </c>
      <c r="BA446" s="26">
        <f t="shared" ca="1" si="42"/>
        <v>0.29616808865509314</v>
      </c>
      <c r="BB446" s="29">
        <v>0</v>
      </c>
      <c r="BC446"/>
      <c r="BD446" s="25"/>
      <c r="BF446" s="22">
        <v>44991</v>
      </c>
      <c r="BG446" s="26">
        <f t="shared" ca="1" si="43"/>
        <v>0.35832027707337299</v>
      </c>
      <c r="BH446" s="29">
        <v>0</v>
      </c>
      <c r="BJ446" s="22">
        <v>44991</v>
      </c>
      <c r="BK446" s="26">
        <f t="shared" ca="1" si="44"/>
        <v>0.19272957069557917</v>
      </c>
      <c r="BL446" s="29">
        <v>0</v>
      </c>
      <c r="BN446" s="22">
        <v>44991</v>
      </c>
      <c r="BO446" s="26">
        <f t="shared" ca="1" si="45"/>
        <v>0.83461909751841412</v>
      </c>
      <c r="BP446" s="29">
        <v>0</v>
      </c>
      <c r="BR446" s="22">
        <v>44991</v>
      </c>
      <c r="BS446" s="26">
        <f t="shared" ca="1" si="46"/>
        <v>0.59589986003028195</v>
      </c>
      <c r="BT446" s="29">
        <v>0</v>
      </c>
      <c r="BV446" s="22">
        <v>44991</v>
      </c>
      <c r="BW446" s="26">
        <f t="shared" ca="1" si="47"/>
        <v>0.9554450712374184</v>
      </c>
      <c r="BX446" s="29">
        <v>0</v>
      </c>
    </row>
    <row r="447" spans="2:77" ht="12.75" x14ac:dyDescent="0.2">
      <c r="B447" s="22">
        <v>44992</v>
      </c>
      <c r="C447" s="26">
        <f t="shared" ca="1" si="56"/>
        <v>0.63480958637588725</v>
      </c>
      <c r="D447" s="29">
        <f t="shared" ca="1" si="66"/>
        <v>82</v>
      </c>
      <c r="F447" s="22">
        <v>44992</v>
      </c>
      <c r="G447" s="26">
        <f t="shared" ca="1" si="31"/>
        <v>0.11579396144240872</v>
      </c>
      <c r="H447" s="29">
        <f t="shared" ca="1" si="59"/>
        <v>199</v>
      </c>
      <c r="J447" s="22">
        <v>44992</v>
      </c>
      <c r="K447" s="26">
        <f t="shared" ca="1" si="32"/>
        <v>0.82448007431560844</v>
      </c>
      <c r="L447" s="29">
        <f t="shared" ca="1" si="60"/>
        <v>160</v>
      </c>
      <c r="N447" s="22">
        <v>44992</v>
      </c>
      <c r="O447" s="26">
        <f t="shared" ca="1" si="33"/>
        <v>0.98894064351960065</v>
      </c>
      <c r="P447" s="29">
        <f t="shared" ca="1" si="61"/>
        <v>265</v>
      </c>
      <c r="R447" s="22">
        <v>44992</v>
      </c>
      <c r="S447" s="26">
        <f t="shared" ca="1" si="34"/>
        <v>0.6862459105674944</v>
      </c>
      <c r="T447" s="29">
        <f t="shared" ca="1" si="62"/>
        <v>144</v>
      </c>
      <c r="V447" s="22">
        <v>44992</v>
      </c>
      <c r="W447" s="26">
        <f t="shared" ca="1" si="35"/>
        <v>0.93166655540474996</v>
      </c>
      <c r="X447" s="29">
        <f t="shared" ca="1" si="65"/>
        <v>248</v>
      </c>
      <c r="Z447" s="22">
        <v>44992</v>
      </c>
      <c r="AA447" s="26">
        <f t="shared" ca="1" si="36"/>
        <v>0.42409544671359645</v>
      </c>
      <c r="AB447" s="29">
        <f t="shared" ca="1" si="63"/>
        <v>267</v>
      </c>
      <c r="AC447"/>
      <c r="AD447" s="25"/>
      <c r="AF447" s="22">
        <v>44992</v>
      </c>
      <c r="AG447" s="26">
        <f t="shared" ca="1" si="37"/>
        <v>0.56847936310252345</v>
      </c>
      <c r="AH447" s="29">
        <f t="shared" ca="1" si="64"/>
        <v>343</v>
      </c>
      <c r="AJ447" s="22">
        <v>44992</v>
      </c>
      <c r="AK447" s="26">
        <f t="shared" ca="1" si="38"/>
        <v>0.40108534321698963</v>
      </c>
      <c r="AL447" s="29">
        <f t="shared" ca="1" si="67"/>
        <v>160</v>
      </c>
      <c r="AN447" s="22">
        <v>44992</v>
      </c>
      <c r="AO447" s="26">
        <f t="shared" ca="1" si="39"/>
        <v>0.98307893009781178</v>
      </c>
      <c r="AP447" s="29">
        <v>0</v>
      </c>
      <c r="AR447" s="22">
        <v>44992</v>
      </c>
      <c r="AS447" s="26">
        <f t="shared" ca="1" si="40"/>
        <v>0.54822124141572104</v>
      </c>
      <c r="AT447" s="29">
        <v>0</v>
      </c>
      <c r="AV447" s="22">
        <v>44992</v>
      </c>
      <c r="AW447" s="26">
        <f t="shared" ca="1" si="41"/>
        <v>0.78482840368402706</v>
      </c>
      <c r="AX447" s="29">
        <v>0</v>
      </c>
      <c r="AZ447" s="22">
        <v>44992</v>
      </c>
      <c r="BA447" s="26">
        <f t="shared" ca="1" si="42"/>
        <v>0.44063357157985872</v>
      </c>
      <c r="BB447" s="29">
        <v>0</v>
      </c>
      <c r="BC447"/>
      <c r="BD447" s="25"/>
      <c r="BF447" s="22">
        <v>44992</v>
      </c>
      <c r="BG447" s="26">
        <f t="shared" ca="1" si="43"/>
        <v>0.22797308154095641</v>
      </c>
      <c r="BH447" s="29">
        <v>0</v>
      </c>
      <c r="BJ447" s="22">
        <v>44992</v>
      </c>
      <c r="BK447" s="26">
        <f t="shared" ca="1" si="44"/>
        <v>0.45053151831573479</v>
      </c>
      <c r="BL447" s="29">
        <v>0</v>
      </c>
      <c r="BN447" s="22">
        <v>44992</v>
      </c>
      <c r="BO447" s="26">
        <f t="shared" ca="1" si="45"/>
        <v>0.57552393887708742</v>
      </c>
      <c r="BP447" s="29">
        <v>0</v>
      </c>
      <c r="BR447" s="22">
        <v>44992</v>
      </c>
      <c r="BS447" s="26">
        <f t="shared" ca="1" si="46"/>
        <v>0.17292203846531828</v>
      </c>
      <c r="BT447" s="29">
        <v>0</v>
      </c>
      <c r="BV447" s="22">
        <v>44992</v>
      </c>
      <c r="BW447" s="26">
        <f t="shared" ca="1" si="47"/>
        <v>0.50651544493942535</v>
      </c>
      <c r="BX447" s="29">
        <v>0</v>
      </c>
    </row>
    <row r="448" spans="2:77" ht="12.75" x14ac:dyDescent="0.2">
      <c r="B448" s="22">
        <v>44993</v>
      </c>
      <c r="C448" s="26">
        <f t="shared" ca="1" si="56"/>
        <v>0.52043783575004054</v>
      </c>
      <c r="D448" s="29">
        <f t="shared" ca="1" si="66"/>
        <v>77</v>
      </c>
      <c r="F448" s="22">
        <v>44993</v>
      </c>
      <c r="G448" s="26">
        <f t="shared" ca="1" si="31"/>
        <v>0.44013560390255058</v>
      </c>
      <c r="H448" s="29">
        <f t="shared" ca="1" si="59"/>
        <v>214</v>
      </c>
      <c r="J448" s="22">
        <v>44993</v>
      </c>
      <c r="K448" s="26">
        <f t="shared" ca="1" si="32"/>
        <v>0.81910142916805417</v>
      </c>
      <c r="L448" s="29">
        <f t="shared" ca="1" si="60"/>
        <v>160</v>
      </c>
      <c r="N448" s="22">
        <v>44993</v>
      </c>
      <c r="O448" s="26">
        <f t="shared" ca="1" si="33"/>
        <v>0.57454618197993068</v>
      </c>
      <c r="P448" s="29">
        <f t="shared" ca="1" si="61"/>
        <v>233</v>
      </c>
      <c r="R448" s="22">
        <v>44993</v>
      </c>
      <c r="S448" s="26">
        <f t="shared" ca="1" si="34"/>
        <v>0.49741571237224025</v>
      </c>
      <c r="T448" s="29">
        <f t="shared" ca="1" si="62"/>
        <v>139</v>
      </c>
      <c r="V448" s="22">
        <v>44993</v>
      </c>
      <c r="W448" s="26">
        <f t="shared" ca="1" si="35"/>
        <v>2.4004361437347188E-2</v>
      </c>
      <c r="X448" s="29">
        <f t="shared" ca="1" si="65"/>
        <v>196</v>
      </c>
      <c r="Z448" s="22">
        <v>44993</v>
      </c>
      <c r="AA448" s="26">
        <f t="shared" ca="1" si="36"/>
        <v>0.80676701951527607</v>
      </c>
      <c r="AB448" s="29">
        <f t="shared" ca="1" si="63"/>
        <v>286</v>
      </c>
      <c r="AC448"/>
      <c r="AD448" s="25"/>
      <c r="AF448" s="22">
        <v>44993</v>
      </c>
      <c r="AG448" s="26">
        <f t="shared" ca="1" si="37"/>
        <v>0.4217376051121513</v>
      </c>
      <c r="AH448" s="29">
        <f t="shared" ca="1" si="64"/>
        <v>310</v>
      </c>
      <c r="AJ448" s="22">
        <v>44993</v>
      </c>
      <c r="AK448" s="26">
        <f t="shared" ca="1" si="38"/>
        <v>0.38281476676015147</v>
      </c>
      <c r="AL448" s="29">
        <f t="shared" ca="1" si="67"/>
        <v>157</v>
      </c>
      <c r="AN448" s="22">
        <v>44993</v>
      </c>
      <c r="AO448" s="26">
        <f t="shared" ca="1" si="39"/>
        <v>0.50620770595948283</v>
      </c>
      <c r="AP448" s="29">
        <v>0</v>
      </c>
      <c r="AR448" s="22">
        <v>44993</v>
      </c>
      <c r="AS448" s="26">
        <f t="shared" ca="1" si="40"/>
        <v>0.32921367204017538</v>
      </c>
      <c r="AT448" s="29">
        <v>0</v>
      </c>
      <c r="AV448" s="22">
        <v>44993</v>
      </c>
      <c r="AW448" s="26">
        <f t="shared" ca="1" si="41"/>
        <v>0.10764369348016412</v>
      </c>
      <c r="AX448" s="29">
        <v>0</v>
      </c>
      <c r="AZ448" s="22">
        <v>44993</v>
      </c>
      <c r="BA448" s="26">
        <f t="shared" ca="1" si="42"/>
        <v>0.20785551169958039</v>
      </c>
      <c r="BB448" s="29">
        <v>0</v>
      </c>
      <c r="BC448"/>
      <c r="BD448" s="25"/>
      <c r="BF448" s="22">
        <v>44993</v>
      </c>
      <c r="BG448" s="26">
        <f t="shared" ca="1" si="43"/>
        <v>0.65216471059142878</v>
      </c>
      <c r="BH448" s="29">
        <v>0</v>
      </c>
      <c r="BJ448" s="22">
        <v>44993</v>
      </c>
      <c r="BK448" s="26">
        <f t="shared" ca="1" si="44"/>
        <v>0.35241320712162261</v>
      </c>
      <c r="BL448" s="29">
        <v>0</v>
      </c>
      <c r="BN448" s="22">
        <v>44993</v>
      </c>
      <c r="BO448" s="26">
        <f t="shared" ca="1" si="45"/>
        <v>0.74301907454304961</v>
      </c>
      <c r="BP448" s="29">
        <v>0</v>
      </c>
      <c r="BR448" s="22">
        <v>44993</v>
      </c>
      <c r="BS448" s="26">
        <f t="shared" ca="1" si="46"/>
        <v>0.21237303454161749</v>
      </c>
      <c r="BT448" s="29">
        <v>0</v>
      </c>
      <c r="BV448" s="22">
        <v>44993</v>
      </c>
      <c r="BW448" s="26">
        <f t="shared" ca="1" si="47"/>
        <v>0.72523406937095047</v>
      </c>
      <c r="BX448" s="29">
        <v>0</v>
      </c>
    </row>
    <row r="449" spans="2:76" ht="12.75" x14ac:dyDescent="0.2">
      <c r="B449" s="22">
        <v>44994</v>
      </c>
      <c r="C449" s="26">
        <f t="shared" ref="C449:C659" ca="1" si="68">RAND()</f>
        <v>0.27816300480693223</v>
      </c>
      <c r="D449" s="29">
        <f t="shared" ca="1" si="66"/>
        <v>64</v>
      </c>
      <c r="F449" s="22">
        <v>44994</v>
      </c>
      <c r="G449" s="26">
        <f t="shared" ca="1" si="31"/>
        <v>0.88155587249717893</v>
      </c>
      <c r="H449" s="29">
        <f t="shared" ca="1" si="59"/>
        <v>233</v>
      </c>
      <c r="J449" s="22">
        <v>44994</v>
      </c>
      <c r="K449" s="26">
        <f t="shared" ca="1" si="32"/>
        <v>0.81767856673318839</v>
      </c>
      <c r="L449" s="29">
        <f t="shared" ca="1" si="60"/>
        <v>160</v>
      </c>
      <c r="N449" s="22">
        <v>44994</v>
      </c>
      <c r="O449" s="26">
        <f t="shared" ca="1" si="33"/>
        <v>0.18741042924337203</v>
      </c>
      <c r="P449" s="29">
        <f t="shared" ca="1" si="61"/>
        <v>216</v>
      </c>
      <c r="R449" s="22">
        <v>44994</v>
      </c>
      <c r="S449" s="26">
        <f t="shared" ca="1" si="34"/>
        <v>0.15563554819229608</v>
      </c>
      <c r="T449" s="29">
        <f t="shared" ca="1" si="62"/>
        <v>130</v>
      </c>
      <c r="V449" s="22">
        <v>44994</v>
      </c>
      <c r="W449" s="26">
        <f t="shared" ca="1" si="35"/>
        <v>0.54090144674802698</v>
      </c>
      <c r="X449" s="29">
        <f t="shared" ca="1" si="65"/>
        <v>227</v>
      </c>
      <c r="Z449" s="22">
        <v>44994</v>
      </c>
      <c r="AA449" s="26">
        <f t="shared" ca="1" si="36"/>
        <v>0.38123914194990849</v>
      </c>
      <c r="AB449" s="29">
        <f t="shared" ca="1" si="63"/>
        <v>265</v>
      </c>
      <c r="AC449"/>
      <c r="AD449" s="25"/>
      <c r="AF449" s="22">
        <v>44994</v>
      </c>
      <c r="AG449" s="26">
        <f t="shared" ca="1" si="37"/>
        <v>0.46561536301184636</v>
      </c>
      <c r="AH449" s="29">
        <f t="shared" ca="1" si="64"/>
        <v>320</v>
      </c>
      <c r="AJ449" s="22">
        <v>44994</v>
      </c>
      <c r="AK449" s="26">
        <f t="shared" ca="1" si="38"/>
        <v>0.30145336037496062</v>
      </c>
      <c r="AL449" s="29">
        <f t="shared" ca="1" si="67"/>
        <v>147</v>
      </c>
      <c r="AN449" s="22">
        <v>44994</v>
      </c>
      <c r="AO449" s="26">
        <f t="shared" ca="1" si="39"/>
        <v>0.19614210368517793</v>
      </c>
      <c r="AP449" s="29">
        <v>0</v>
      </c>
      <c r="AR449" s="22">
        <v>44994</v>
      </c>
      <c r="AS449" s="26">
        <f t="shared" ca="1" si="40"/>
        <v>0.38076348160142037</v>
      </c>
      <c r="AT449" s="29">
        <v>0</v>
      </c>
      <c r="AV449" s="22">
        <v>44994</v>
      </c>
      <c r="AW449" s="26">
        <f t="shared" ca="1" si="41"/>
        <v>0.66006263593269421</v>
      </c>
      <c r="AX449" s="29">
        <v>0</v>
      </c>
      <c r="AZ449" s="22">
        <v>44994</v>
      </c>
      <c r="BA449" s="26">
        <f t="shared" ca="1" si="42"/>
        <v>0.97713634026849538</v>
      </c>
      <c r="BB449" s="29">
        <v>0</v>
      </c>
      <c r="BC449"/>
      <c r="BD449" s="25"/>
      <c r="BF449" s="22">
        <v>44994</v>
      </c>
      <c r="BG449" s="26">
        <f t="shared" ca="1" si="43"/>
        <v>0.63336634475373765</v>
      </c>
      <c r="BH449" s="29">
        <v>0</v>
      </c>
      <c r="BJ449" s="22">
        <v>44994</v>
      </c>
      <c r="BK449" s="26">
        <f t="shared" ca="1" si="44"/>
        <v>0.79672900297295779</v>
      </c>
      <c r="BL449" s="29">
        <v>0</v>
      </c>
      <c r="BN449" s="22">
        <v>44994</v>
      </c>
      <c r="BO449" s="26">
        <f t="shared" ca="1" si="45"/>
        <v>0.30242069643785441</v>
      </c>
      <c r="BP449" s="29">
        <v>0</v>
      </c>
      <c r="BR449" s="22">
        <v>44994</v>
      </c>
      <c r="BS449" s="26">
        <f t="shared" ca="1" si="46"/>
        <v>0.78093980105049188</v>
      </c>
      <c r="BT449" s="29">
        <v>0</v>
      </c>
      <c r="BV449" s="22">
        <v>44994</v>
      </c>
      <c r="BW449" s="26">
        <f t="shared" ca="1" si="47"/>
        <v>0.10410436505761378</v>
      </c>
      <c r="BX449" s="29">
        <v>0</v>
      </c>
    </row>
    <row r="450" spans="2:76" ht="12.75" x14ac:dyDescent="0.2">
      <c r="B450" s="22">
        <v>44995</v>
      </c>
      <c r="C450" s="26">
        <f t="shared" ca="1" si="68"/>
        <v>0.46380836180474128</v>
      </c>
      <c r="D450" s="29">
        <f t="shared" ca="1" si="66"/>
        <v>74</v>
      </c>
      <c r="F450" s="22">
        <v>44995</v>
      </c>
      <c r="G450" s="26">
        <f t="shared" ca="1" si="31"/>
        <v>0.82027033413902817</v>
      </c>
      <c r="H450" s="29">
        <f t="shared" ca="1" si="59"/>
        <v>229</v>
      </c>
      <c r="J450" s="22">
        <v>44995</v>
      </c>
      <c r="K450" s="26">
        <f t="shared" ca="1" si="32"/>
        <v>0.73957319756440432</v>
      </c>
      <c r="L450" s="29">
        <f t="shared" ca="1" si="60"/>
        <v>157</v>
      </c>
      <c r="N450" s="22">
        <v>44995</v>
      </c>
      <c r="O450" s="26">
        <f t="shared" ca="1" si="33"/>
        <v>0.40623792715865181</v>
      </c>
      <c r="P450" s="29">
        <f t="shared" ca="1" si="61"/>
        <v>226</v>
      </c>
      <c r="R450" s="22">
        <v>44995</v>
      </c>
      <c r="S450" s="26">
        <f t="shared" ca="1" si="34"/>
        <v>0.7462231696208288</v>
      </c>
      <c r="T450" s="29">
        <f t="shared" ca="1" si="62"/>
        <v>145</v>
      </c>
      <c r="V450" s="22">
        <v>44995</v>
      </c>
      <c r="W450" s="26">
        <f t="shared" ca="1" si="35"/>
        <v>0.54136079016536498</v>
      </c>
      <c r="X450" s="29">
        <f t="shared" ca="1" si="65"/>
        <v>227</v>
      </c>
      <c r="Z450" s="22">
        <v>44995</v>
      </c>
      <c r="AA450" s="26">
        <f t="shared" ca="1" si="36"/>
        <v>0.61563260473003023</v>
      </c>
      <c r="AB450" s="29">
        <f t="shared" ca="1" si="63"/>
        <v>276</v>
      </c>
      <c r="AC450"/>
      <c r="AD450" s="25"/>
      <c r="AF450" s="22">
        <v>44995</v>
      </c>
      <c r="AG450" s="26">
        <f t="shared" ca="1" si="37"/>
        <v>0.19413922065839884</v>
      </c>
      <c r="AH450" s="29">
        <f t="shared" ca="1" si="64"/>
        <v>252</v>
      </c>
      <c r="AJ450" s="22">
        <v>44995</v>
      </c>
      <c r="AK450" s="26">
        <f t="shared" ca="1" si="38"/>
        <v>0.48340653554852375</v>
      </c>
      <c r="AL450" s="29">
        <f t="shared" ca="1" si="67"/>
        <v>169</v>
      </c>
      <c r="AN450" s="22">
        <v>44995</v>
      </c>
      <c r="AO450" s="26">
        <f t="shared" ca="1" si="39"/>
        <v>0.78283686802819119</v>
      </c>
      <c r="AP450" s="29">
        <v>0</v>
      </c>
      <c r="AR450" s="22">
        <v>44995</v>
      </c>
      <c r="AS450" s="26">
        <f t="shared" ca="1" si="40"/>
        <v>0.231369419715034</v>
      </c>
      <c r="AT450" s="29">
        <v>0</v>
      </c>
      <c r="AV450" s="22">
        <v>44995</v>
      </c>
      <c r="AW450" s="26">
        <f t="shared" ca="1" si="41"/>
        <v>0.62476582452387475</v>
      </c>
      <c r="AX450" s="29">
        <v>0</v>
      </c>
      <c r="AZ450" s="22">
        <v>44995</v>
      </c>
      <c r="BA450" s="26">
        <f t="shared" ca="1" si="42"/>
        <v>0.14596317046779694</v>
      </c>
      <c r="BB450" s="29">
        <v>0</v>
      </c>
      <c r="BC450"/>
      <c r="BD450" s="25"/>
      <c r="BF450" s="22">
        <v>44995</v>
      </c>
      <c r="BG450" s="26">
        <f t="shared" ca="1" si="43"/>
        <v>0.90690076062193947</v>
      </c>
      <c r="BH450" s="29">
        <v>0</v>
      </c>
      <c r="BJ450" s="22">
        <v>44995</v>
      </c>
      <c r="BK450" s="26">
        <f t="shared" ca="1" si="44"/>
        <v>0.12394993563374956</v>
      </c>
      <c r="BL450" s="29">
        <v>0</v>
      </c>
      <c r="BN450" s="22">
        <v>44995</v>
      </c>
      <c r="BO450" s="26">
        <f t="shared" ca="1" si="45"/>
        <v>0.58759621357716518</v>
      </c>
      <c r="BP450" s="29">
        <v>0</v>
      </c>
      <c r="BR450" s="22">
        <v>44995</v>
      </c>
      <c r="BS450" s="26">
        <f t="shared" ca="1" si="46"/>
        <v>0.91960790915302337</v>
      </c>
      <c r="BT450" s="29">
        <v>0</v>
      </c>
      <c r="BV450" s="22">
        <v>44995</v>
      </c>
      <c r="BW450" s="26">
        <f t="shared" ca="1" si="47"/>
        <v>0.41719875160179931</v>
      </c>
      <c r="BX450" s="29">
        <v>0</v>
      </c>
    </row>
    <row r="451" spans="2:76" ht="12.75" x14ac:dyDescent="0.2">
      <c r="B451" s="22">
        <v>44996</v>
      </c>
      <c r="C451" s="26">
        <f t="shared" ca="1" si="68"/>
        <v>0.4958656303832929</v>
      </c>
      <c r="D451" s="29">
        <f t="shared" ca="1" si="66"/>
        <v>75</v>
      </c>
      <c r="F451" s="22">
        <v>44996</v>
      </c>
      <c r="G451" s="26">
        <f t="shared" ca="1" si="31"/>
        <v>8.9583511393272808E-2</v>
      </c>
      <c r="H451" s="29">
        <f t="shared" ca="1" si="59"/>
        <v>197</v>
      </c>
      <c r="J451" s="22">
        <v>44996</v>
      </c>
      <c r="K451" s="26">
        <f t="shared" ca="1" si="32"/>
        <v>0.52914594277244553</v>
      </c>
      <c r="L451" s="29">
        <f t="shared" ca="1" si="60"/>
        <v>151</v>
      </c>
      <c r="N451" s="22">
        <v>44996</v>
      </c>
      <c r="O451" s="26">
        <f t="shared" ca="1" si="33"/>
        <v>0.72287127293246689</v>
      </c>
      <c r="P451" s="29">
        <f t="shared" ca="1" si="61"/>
        <v>239</v>
      </c>
      <c r="R451" s="22">
        <v>44996</v>
      </c>
      <c r="S451" s="26">
        <f t="shared" ca="1" si="34"/>
        <v>0.54197085949679791</v>
      </c>
      <c r="T451" s="29">
        <f t="shared" ca="1" si="62"/>
        <v>140</v>
      </c>
      <c r="V451" s="22">
        <v>44996</v>
      </c>
      <c r="W451" s="26">
        <f t="shared" ca="1" si="35"/>
        <v>0.55776784071724683</v>
      </c>
      <c r="X451" s="29">
        <f t="shared" ca="1" si="65"/>
        <v>228</v>
      </c>
      <c r="Z451" s="22">
        <v>44996</v>
      </c>
      <c r="AA451" s="26">
        <f t="shared" ca="1" si="36"/>
        <v>0.69909851758325903</v>
      </c>
      <c r="AB451" s="29">
        <f t="shared" ca="1" si="63"/>
        <v>280</v>
      </c>
      <c r="AC451"/>
      <c r="AD451" s="25"/>
      <c r="AF451" s="22">
        <v>44996</v>
      </c>
      <c r="AG451" s="26">
        <f t="shared" ca="1" si="37"/>
        <v>8.9442001043085306E-2</v>
      </c>
      <c r="AH451" s="29">
        <f t="shared" ca="1" si="64"/>
        <v>210</v>
      </c>
      <c r="AJ451" s="22">
        <v>44996</v>
      </c>
      <c r="AK451" s="26">
        <f t="shared" ca="1" si="38"/>
        <v>9.619423385573822E-2</v>
      </c>
      <c r="AL451" s="29">
        <f t="shared" ca="1" si="67"/>
        <v>112</v>
      </c>
      <c r="AN451" s="22">
        <v>44996</v>
      </c>
      <c r="AO451" s="26">
        <f t="shared" ca="1" si="39"/>
        <v>7.0508187518894649E-2</v>
      </c>
      <c r="AP451" s="29">
        <v>0</v>
      </c>
      <c r="AR451" s="22">
        <v>44996</v>
      </c>
      <c r="AS451" s="26">
        <f t="shared" ca="1" si="40"/>
        <v>0.69922839217826693</v>
      </c>
      <c r="AT451" s="29">
        <v>0</v>
      </c>
      <c r="AV451" s="22">
        <v>44996</v>
      </c>
      <c r="AW451" s="26">
        <f t="shared" ca="1" si="41"/>
        <v>0.282423443739936</v>
      </c>
      <c r="AX451" s="29">
        <v>0</v>
      </c>
      <c r="AZ451" s="22">
        <v>44996</v>
      </c>
      <c r="BA451" s="26">
        <f t="shared" ca="1" si="42"/>
        <v>0.17096738159715308</v>
      </c>
      <c r="BB451" s="29">
        <v>0</v>
      </c>
      <c r="BC451"/>
      <c r="BD451" s="25"/>
      <c r="BF451" s="22">
        <v>44996</v>
      </c>
      <c r="BG451" s="26">
        <f t="shared" ca="1" si="43"/>
        <v>0.34927270200944605</v>
      </c>
      <c r="BH451" s="29">
        <v>0</v>
      </c>
      <c r="BJ451" s="22">
        <v>44996</v>
      </c>
      <c r="BK451" s="26">
        <f t="shared" ca="1" si="44"/>
        <v>0.77230818360911568</v>
      </c>
      <c r="BL451" s="29">
        <v>0</v>
      </c>
      <c r="BN451" s="22">
        <v>44996</v>
      </c>
      <c r="BO451" s="26">
        <f t="shared" ca="1" si="45"/>
        <v>0.66746097235485424</v>
      </c>
      <c r="BP451" s="29">
        <v>0</v>
      </c>
      <c r="BR451" s="22">
        <v>44996</v>
      </c>
      <c r="BS451" s="26">
        <f t="shared" ca="1" si="46"/>
        <v>0.91714883242496259</v>
      </c>
      <c r="BT451" s="29">
        <v>0</v>
      </c>
      <c r="BV451" s="22">
        <v>44996</v>
      </c>
      <c r="BW451" s="26">
        <f t="shared" ca="1" si="47"/>
        <v>0.81699964607160724</v>
      </c>
      <c r="BX451" s="29">
        <v>0</v>
      </c>
    </row>
    <row r="452" spans="2:76" ht="12.75" x14ac:dyDescent="0.2">
      <c r="B452" s="22">
        <v>44997</v>
      </c>
      <c r="C452" s="26">
        <f t="shared" ca="1" si="68"/>
        <v>0.1837908028085119</v>
      </c>
      <c r="D452" s="29">
        <f t="shared" ca="1" si="66"/>
        <v>57</v>
      </c>
      <c r="F452" s="22">
        <v>44997</v>
      </c>
      <c r="G452" s="26">
        <f t="shared" ca="1" si="31"/>
        <v>0.84543810178570467</v>
      </c>
      <c r="H452" s="29">
        <f t="shared" ref="H452:H515" ca="1" si="69">ROUNDUP(_xlfn.NORM.INV(G452,G$10,G$12),0)</f>
        <v>231</v>
      </c>
      <c r="J452" s="22">
        <v>44997</v>
      </c>
      <c r="K452" s="26">
        <f t="shared" ca="1" si="32"/>
        <v>0.9105883935375354</v>
      </c>
      <c r="L452" s="29">
        <f t="shared" ref="L452:L515" ca="1" si="70">ROUNDUP(_xlfn.NORM.INV(K452,K$10,K$12),0)</f>
        <v>164</v>
      </c>
      <c r="N452" s="22">
        <v>44997</v>
      </c>
      <c r="O452" s="26">
        <f t="shared" ca="1" si="33"/>
        <v>0.13848246012628018</v>
      </c>
      <c r="P452" s="29">
        <f t="shared" ref="P452:P515" ca="1" si="71">ROUNDUP(_xlfn.NORM.INV(O452,O$10,O$12),0)</f>
        <v>213</v>
      </c>
      <c r="R452" s="22">
        <v>44997</v>
      </c>
      <c r="S452" s="26">
        <f t="shared" ca="1" si="34"/>
        <v>0.78983903074688822</v>
      </c>
      <c r="T452" s="29">
        <f t="shared" ref="T452:T515" ca="1" si="72">ROUNDUP(_xlfn.NORM.INV(S452,S$10,S$12),0)</f>
        <v>147</v>
      </c>
      <c r="V452" s="22">
        <v>44997</v>
      </c>
      <c r="W452" s="26">
        <f t="shared" ca="1" si="35"/>
        <v>0.56683758997904354</v>
      </c>
      <c r="X452" s="29">
        <f t="shared" ref="X452:X515" ca="1" si="73">ROUNDUP(_xlfn.NORM.INV(W452,W$10,W$12),0)</f>
        <v>228</v>
      </c>
      <c r="Z452" s="22">
        <v>44997</v>
      </c>
      <c r="AA452" s="26">
        <f t="shared" ca="1" si="36"/>
        <v>0.52667796458120331</v>
      </c>
      <c r="AB452" s="29">
        <f t="shared" ref="AB452:AB515" ca="1" si="74">ROUNDUP(_xlfn.NORM.INV(AA452,AA$10,AA$12),0)</f>
        <v>272</v>
      </c>
      <c r="AC452"/>
      <c r="AD452" s="25"/>
      <c r="AF452" s="22">
        <v>44997</v>
      </c>
      <c r="AG452" s="26">
        <f t="shared" ca="1" si="37"/>
        <v>0.50082134097764242</v>
      </c>
      <c r="AH452" s="29">
        <f t="shared" ref="AH452:AH515" ca="1" si="75">ROUNDUP(_xlfn.NORM.INV(AG452,AG$10,AG$12),0)</f>
        <v>328</v>
      </c>
      <c r="AJ452" s="22">
        <v>44997</v>
      </c>
      <c r="AK452" s="26">
        <f t="shared" ca="1" si="38"/>
        <v>0.30737661368120983</v>
      </c>
      <c r="AL452" s="29">
        <f t="shared" ref="AL452:AL515" ca="1" si="76">ROUNDUP(_xlfn.NORM.INV(AK452,AK$10,AK$12),0)</f>
        <v>148</v>
      </c>
      <c r="AN452" s="22">
        <v>44997</v>
      </c>
      <c r="AO452" s="26">
        <f t="shared" ca="1" si="39"/>
        <v>0.92050741514368517</v>
      </c>
      <c r="AP452" s="29">
        <v>0</v>
      </c>
      <c r="AR452" s="22">
        <v>44997</v>
      </c>
      <c r="AS452" s="26">
        <f t="shared" ca="1" si="40"/>
        <v>0.98650688738150172</v>
      </c>
      <c r="AT452" s="29">
        <v>0</v>
      </c>
      <c r="AV452" s="22">
        <v>44997</v>
      </c>
      <c r="AW452" s="26">
        <f t="shared" ca="1" si="41"/>
        <v>0.19244821037146753</v>
      </c>
      <c r="AX452" s="29">
        <v>0</v>
      </c>
      <c r="AZ452" s="22">
        <v>44997</v>
      </c>
      <c r="BA452" s="26">
        <f t="shared" ca="1" si="42"/>
        <v>0.59466848271067263</v>
      </c>
      <c r="BB452" s="29">
        <v>0</v>
      </c>
      <c r="BC452"/>
      <c r="BD452" s="25"/>
      <c r="BF452" s="22">
        <v>44997</v>
      </c>
      <c r="BG452" s="26">
        <f t="shared" ca="1" si="43"/>
        <v>0.89423544735774485</v>
      </c>
      <c r="BH452" s="29">
        <v>0</v>
      </c>
      <c r="BJ452" s="22">
        <v>44997</v>
      </c>
      <c r="BK452" s="26">
        <f t="shared" ca="1" si="44"/>
        <v>0.82902281184976356</v>
      </c>
      <c r="BL452" s="29">
        <v>0</v>
      </c>
      <c r="BN452" s="22">
        <v>44997</v>
      </c>
      <c r="BO452" s="26">
        <f t="shared" ca="1" si="45"/>
        <v>0.62735720392752947</v>
      </c>
      <c r="BP452" s="29">
        <v>0</v>
      </c>
      <c r="BR452" s="22">
        <v>44997</v>
      </c>
      <c r="BS452" s="26">
        <f t="shared" ca="1" si="46"/>
        <v>0.42327747805185356</v>
      </c>
      <c r="BT452" s="29">
        <v>0</v>
      </c>
      <c r="BV452" s="22">
        <v>44997</v>
      </c>
      <c r="BW452" s="26">
        <f t="shared" ca="1" si="47"/>
        <v>0.61672631420621571</v>
      </c>
      <c r="BX452" s="29">
        <v>0</v>
      </c>
    </row>
    <row r="453" spans="2:76" ht="12.75" x14ac:dyDescent="0.2">
      <c r="B453" s="22">
        <v>44998</v>
      </c>
      <c r="C453" s="26">
        <f t="shared" ca="1" si="68"/>
        <v>0.15913012550541472</v>
      </c>
      <c r="D453" s="29">
        <f t="shared" ca="1" si="66"/>
        <v>56</v>
      </c>
      <c r="F453" s="22">
        <v>44998</v>
      </c>
      <c r="G453" s="26">
        <f t="shared" ca="1" si="31"/>
        <v>0.11155952083694554</v>
      </c>
      <c r="H453" s="29">
        <f t="shared" ca="1" si="69"/>
        <v>198</v>
      </c>
      <c r="J453" s="22">
        <v>44998</v>
      </c>
      <c r="K453" s="26">
        <f t="shared" ca="1" si="32"/>
        <v>0.86342703799321163</v>
      </c>
      <c r="L453" s="29">
        <f t="shared" ca="1" si="70"/>
        <v>161</v>
      </c>
      <c r="N453" s="22">
        <v>44998</v>
      </c>
      <c r="O453" s="26">
        <f t="shared" ca="1" si="33"/>
        <v>0.2449668374840247</v>
      </c>
      <c r="P453" s="29">
        <f t="shared" ca="1" si="71"/>
        <v>219</v>
      </c>
      <c r="R453" s="22">
        <v>44998</v>
      </c>
      <c r="S453" s="26">
        <f t="shared" ca="1" si="34"/>
        <v>0.65293105937075302</v>
      </c>
      <c r="T453" s="29">
        <f t="shared" ca="1" si="72"/>
        <v>143</v>
      </c>
      <c r="V453" s="22">
        <v>44998</v>
      </c>
      <c r="W453" s="26">
        <f t="shared" ca="1" si="35"/>
        <v>0.83092630781691901</v>
      </c>
      <c r="X453" s="29">
        <f t="shared" ca="1" si="73"/>
        <v>240</v>
      </c>
      <c r="Z453" s="22">
        <v>44998</v>
      </c>
      <c r="AA453" s="26">
        <f t="shared" ca="1" si="36"/>
        <v>0.32982460030663208</v>
      </c>
      <c r="AB453" s="29">
        <f t="shared" ca="1" si="74"/>
        <v>263</v>
      </c>
      <c r="AC453"/>
      <c r="AD453" s="25"/>
      <c r="AF453" s="22">
        <v>44998</v>
      </c>
      <c r="AG453" s="26">
        <f t="shared" ca="1" si="37"/>
        <v>0.35177416515936322</v>
      </c>
      <c r="AH453" s="29">
        <f t="shared" ca="1" si="75"/>
        <v>294</v>
      </c>
      <c r="AJ453" s="22">
        <v>44998</v>
      </c>
      <c r="AK453" s="26">
        <f t="shared" ca="1" si="38"/>
        <v>0.85187912790844045</v>
      </c>
      <c r="AL453" s="29">
        <f t="shared" ca="1" si="76"/>
        <v>218</v>
      </c>
      <c r="AN453" s="22">
        <v>44998</v>
      </c>
      <c r="AO453" s="26">
        <f t="shared" ca="1" si="39"/>
        <v>0.53408173151899108</v>
      </c>
      <c r="AP453" s="29">
        <v>0</v>
      </c>
      <c r="AR453" s="22">
        <v>44998</v>
      </c>
      <c r="AS453" s="26">
        <f t="shared" ca="1" si="40"/>
        <v>0.55568412656726607</v>
      </c>
      <c r="AT453" s="29">
        <v>0</v>
      </c>
      <c r="AV453" s="22">
        <v>44998</v>
      </c>
      <c r="AW453" s="26">
        <f t="shared" ca="1" si="41"/>
        <v>0.41452894797400963</v>
      </c>
      <c r="AX453" s="29">
        <v>0</v>
      </c>
      <c r="AZ453" s="22">
        <v>44998</v>
      </c>
      <c r="BA453" s="26">
        <f t="shared" ca="1" si="42"/>
        <v>0.1989118721560007</v>
      </c>
      <c r="BB453" s="29">
        <v>0</v>
      </c>
      <c r="BC453"/>
      <c r="BD453" s="25"/>
      <c r="BF453" s="22">
        <v>44998</v>
      </c>
      <c r="BG453" s="26">
        <f t="shared" ca="1" si="43"/>
        <v>0.94217271060239294</v>
      </c>
      <c r="BH453" s="29">
        <v>0</v>
      </c>
      <c r="BJ453" s="22">
        <v>44998</v>
      </c>
      <c r="BK453" s="26">
        <f t="shared" ca="1" si="44"/>
        <v>0.44838276904531871</v>
      </c>
      <c r="BL453" s="29">
        <v>0</v>
      </c>
      <c r="BN453" s="22">
        <v>44998</v>
      </c>
      <c r="BO453" s="26">
        <f t="shared" ca="1" si="45"/>
        <v>0.25489683585500011</v>
      </c>
      <c r="BP453" s="29">
        <v>0</v>
      </c>
      <c r="BR453" s="22">
        <v>44998</v>
      </c>
      <c r="BS453" s="26">
        <f t="shared" ca="1" si="46"/>
        <v>0.84603367564898357</v>
      </c>
      <c r="BT453" s="29">
        <v>0</v>
      </c>
      <c r="BV453" s="22">
        <v>44998</v>
      </c>
      <c r="BW453" s="26">
        <f t="shared" ca="1" si="47"/>
        <v>0.48433589539634936</v>
      </c>
      <c r="BX453" s="29">
        <v>0</v>
      </c>
    </row>
    <row r="454" spans="2:76" ht="12.75" x14ac:dyDescent="0.2">
      <c r="B454" s="22">
        <v>44999</v>
      </c>
      <c r="C454" s="26">
        <f t="shared" ca="1" si="68"/>
        <v>0.4254462901117545</v>
      </c>
      <c r="D454" s="29">
        <f t="shared" ca="1" si="66"/>
        <v>72</v>
      </c>
      <c r="F454" s="22">
        <v>44999</v>
      </c>
      <c r="G454" s="26">
        <f t="shared" ca="1" si="31"/>
        <v>0.85875271183527169</v>
      </c>
      <c r="H454" s="29">
        <f t="shared" ca="1" si="69"/>
        <v>231</v>
      </c>
      <c r="J454" s="22">
        <v>44999</v>
      </c>
      <c r="K454" s="26">
        <f t="shared" ca="1" si="32"/>
        <v>0.41355030819421723</v>
      </c>
      <c r="L454" s="29">
        <f t="shared" ca="1" si="70"/>
        <v>148</v>
      </c>
      <c r="N454" s="22">
        <v>44999</v>
      </c>
      <c r="O454" s="26">
        <f t="shared" ca="1" si="33"/>
        <v>0.95976763274657784</v>
      </c>
      <c r="P454" s="29">
        <f t="shared" ca="1" si="71"/>
        <v>257</v>
      </c>
      <c r="R454" s="22">
        <v>44999</v>
      </c>
      <c r="S454" s="26">
        <f t="shared" ca="1" si="34"/>
        <v>0.17115105740206749</v>
      </c>
      <c r="T454" s="29">
        <f t="shared" ca="1" si="72"/>
        <v>130</v>
      </c>
      <c r="V454" s="22">
        <v>44999</v>
      </c>
      <c r="W454" s="26">
        <f t="shared" ca="1" si="35"/>
        <v>0.85765085147803255</v>
      </c>
      <c r="X454" s="29">
        <f t="shared" ca="1" si="73"/>
        <v>242</v>
      </c>
      <c r="Z454" s="22">
        <v>44999</v>
      </c>
      <c r="AA454" s="26">
        <f t="shared" ca="1" si="36"/>
        <v>0.45590425276492275</v>
      </c>
      <c r="AB454" s="29">
        <f t="shared" ca="1" si="74"/>
        <v>269</v>
      </c>
      <c r="AC454"/>
      <c r="AD454" s="25"/>
      <c r="AF454" s="22">
        <v>44999</v>
      </c>
      <c r="AG454" s="26">
        <f t="shared" ca="1" si="37"/>
        <v>8.4370427990503316E-2</v>
      </c>
      <c r="AH454" s="29">
        <f t="shared" ca="1" si="75"/>
        <v>207</v>
      </c>
      <c r="AJ454" s="22">
        <v>44999</v>
      </c>
      <c r="AK454" s="26">
        <f t="shared" ca="1" si="38"/>
        <v>0.2753684185405586</v>
      </c>
      <c r="AL454" s="29">
        <f t="shared" ca="1" si="76"/>
        <v>144</v>
      </c>
      <c r="AN454" s="22">
        <v>44999</v>
      </c>
      <c r="AO454" s="26">
        <f t="shared" ca="1" si="39"/>
        <v>0.41245489254351819</v>
      </c>
      <c r="AP454" s="29">
        <v>0</v>
      </c>
      <c r="AR454" s="22">
        <v>44999</v>
      </c>
      <c r="AS454" s="26">
        <f t="shared" ca="1" si="40"/>
        <v>0.17050464105980989</v>
      </c>
      <c r="AT454" s="29">
        <v>0</v>
      </c>
      <c r="AV454" s="22">
        <v>44999</v>
      </c>
      <c r="AW454" s="26">
        <f t="shared" ca="1" si="41"/>
        <v>0.79549035448741112</v>
      </c>
      <c r="AX454" s="29">
        <v>0</v>
      </c>
      <c r="AZ454" s="22">
        <v>44999</v>
      </c>
      <c r="BA454" s="26">
        <f t="shared" ca="1" si="42"/>
        <v>0.57711693941515807</v>
      </c>
      <c r="BB454" s="29">
        <v>0</v>
      </c>
      <c r="BC454"/>
      <c r="BD454" s="25"/>
      <c r="BF454" s="22">
        <v>44999</v>
      </c>
      <c r="BG454" s="26">
        <f t="shared" ca="1" si="43"/>
        <v>0.12201714060242808</v>
      </c>
      <c r="BH454" s="29">
        <v>0</v>
      </c>
      <c r="BJ454" s="22">
        <v>44999</v>
      </c>
      <c r="BK454" s="26">
        <f t="shared" ca="1" si="44"/>
        <v>8.5707824065010207E-2</v>
      </c>
      <c r="BL454" s="29">
        <v>0</v>
      </c>
      <c r="BN454" s="22">
        <v>44999</v>
      </c>
      <c r="BO454" s="26">
        <f t="shared" ca="1" si="45"/>
        <v>0.17211581583898428</v>
      </c>
      <c r="BP454" s="29">
        <v>0</v>
      </c>
      <c r="BR454" s="22">
        <v>44999</v>
      </c>
      <c r="BS454" s="26">
        <f t="shared" ca="1" si="46"/>
        <v>0.94705508288947593</v>
      </c>
      <c r="BT454" s="29">
        <v>0</v>
      </c>
      <c r="BV454" s="22">
        <v>44999</v>
      </c>
      <c r="BW454" s="26">
        <f t="shared" ca="1" si="47"/>
        <v>0.26335921817487262</v>
      </c>
      <c r="BX454" s="29">
        <v>0</v>
      </c>
    </row>
    <row r="455" spans="2:76" ht="12.75" x14ac:dyDescent="0.2">
      <c r="B455" s="22">
        <v>45000</v>
      </c>
      <c r="C455" s="26">
        <f t="shared" ca="1" si="68"/>
        <v>1.7949764350453146E-2</v>
      </c>
      <c r="D455" s="29">
        <f t="shared" ca="1" si="66"/>
        <v>34</v>
      </c>
      <c r="F455" s="22">
        <v>45000</v>
      </c>
      <c r="G455" s="26">
        <f t="shared" ca="1" si="31"/>
        <v>0.88266699435670493</v>
      </c>
      <c r="H455" s="29">
        <f t="shared" ca="1" si="69"/>
        <v>233</v>
      </c>
      <c r="J455" s="22">
        <v>45000</v>
      </c>
      <c r="K455" s="26">
        <f t="shared" ca="1" si="32"/>
        <v>0.92637672133327842</v>
      </c>
      <c r="L455" s="29">
        <f t="shared" ca="1" si="70"/>
        <v>165</v>
      </c>
      <c r="N455" s="22">
        <v>45000</v>
      </c>
      <c r="O455" s="26">
        <f t="shared" ca="1" si="33"/>
        <v>0.77103690083884602</v>
      </c>
      <c r="P455" s="29">
        <f t="shared" ca="1" si="71"/>
        <v>241</v>
      </c>
      <c r="R455" s="22">
        <v>45000</v>
      </c>
      <c r="S455" s="26">
        <f t="shared" ca="1" si="34"/>
        <v>0.39029224228121684</v>
      </c>
      <c r="T455" s="29">
        <f t="shared" ca="1" si="72"/>
        <v>137</v>
      </c>
      <c r="V455" s="22">
        <v>45000</v>
      </c>
      <c r="W455" s="26">
        <f t="shared" ca="1" si="35"/>
        <v>0.20789882034994123</v>
      </c>
      <c r="X455" s="29">
        <f t="shared" ca="1" si="73"/>
        <v>213</v>
      </c>
      <c r="Z455" s="22">
        <v>45000</v>
      </c>
      <c r="AA455" s="26">
        <f t="shared" ca="1" si="36"/>
        <v>3.7817367154566961E-2</v>
      </c>
      <c r="AB455" s="29">
        <f t="shared" ca="1" si="74"/>
        <v>239</v>
      </c>
      <c r="AC455"/>
      <c r="AD455" s="25"/>
      <c r="AF455" s="22">
        <v>45000</v>
      </c>
      <c r="AG455" s="26">
        <f t="shared" ca="1" si="37"/>
        <v>4.4741986134086864E-2</v>
      </c>
      <c r="AH455" s="29">
        <f t="shared" ca="1" si="75"/>
        <v>179</v>
      </c>
      <c r="AJ455" s="22">
        <v>45000</v>
      </c>
      <c r="AK455" s="26">
        <f t="shared" ca="1" si="38"/>
        <v>0.41016733667766092</v>
      </c>
      <c r="AL455" s="29">
        <f t="shared" ca="1" si="76"/>
        <v>161</v>
      </c>
      <c r="AN455" s="22">
        <v>45000</v>
      </c>
      <c r="AO455" s="26">
        <f t="shared" ca="1" si="39"/>
        <v>0.5008802121812217</v>
      </c>
      <c r="AP455" s="29">
        <v>0</v>
      </c>
      <c r="AR455" s="22">
        <v>45000</v>
      </c>
      <c r="AS455" s="26">
        <f t="shared" ca="1" si="40"/>
        <v>0.97494181449025374</v>
      </c>
      <c r="AT455" s="29">
        <v>0</v>
      </c>
      <c r="AV455" s="22">
        <v>45000</v>
      </c>
      <c r="AW455" s="26">
        <f t="shared" ca="1" si="41"/>
        <v>0.62180840169063345</v>
      </c>
      <c r="AX455" s="29">
        <v>0</v>
      </c>
      <c r="AZ455" s="22">
        <v>45000</v>
      </c>
      <c r="BA455" s="26">
        <f t="shared" ca="1" si="42"/>
        <v>8.1816674779705223E-2</v>
      </c>
      <c r="BB455" s="29">
        <v>0</v>
      </c>
      <c r="BC455"/>
      <c r="BD455" s="25"/>
      <c r="BF455" s="22">
        <v>45000</v>
      </c>
      <c r="BG455" s="26">
        <f t="shared" ca="1" si="43"/>
        <v>0.90235826671891683</v>
      </c>
      <c r="BH455" s="29">
        <v>0</v>
      </c>
      <c r="BJ455" s="22">
        <v>45000</v>
      </c>
      <c r="BK455" s="26">
        <f t="shared" ca="1" si="44"/>
        <v>0.21102616172401334</v>
      </c>
      <c r="BL455" s="29">
        <v>0</v>
      </c>
      <c r="BN455" s="22">
        <v>45000</v>
      </c>
      <c r="BO455" s="26">
        <f t="shared" ca="1" si="45"/>
        <v>0.15395224223590098</v>
      </c>
      <c r="BP455" s="29">
        <v>0</v>
      </c>
      <c r="BR455" s="22">
        <v>45000</v>
      </c>
      <c r="BS455" s="26">
        <f t="shared" ca="1" si="46"/>
        <v>0.68638573517160406</v>
      </c>
      <c r="BT455" s="29">
        <v>0</v>
      </c>
      <c r="BV455" s="22">
        <v>45000</v>
      </c>
      <c r="BW455" s="26">
        <f t="shared" ca="1" si="47"/>
        <v>0.55725826126616163</v>
      </c>
      <c r="BX455" s="29">
        <v>0</v>
      </c>
    </row>
    <row r="456" spans="2:76" ht="12.75" x14ac:dyDescent="0.2">
      <c r="B456" s="22">
        <v>45001</v>
      </c>
      <c r="C456" s="26">
        <f t="shared" ca="1" si="68"/>
        <v>0.66899423700009009</v>
      </c>
      <c r="D456" s="29">
        <f t="shared" ca="1" si="66"/>
        <v>84</v>
      </c>
      <c r="F456" s="22">
        <v>45001</v>
      </c>
      <c r="G456" s="26">
        <f t="shared" ca="1" si="31"/>
        <v>0.42294886892275896</v>
      </c>
      <c r="H456" s="29">
        <f t="shared" ca="1" si="69"/>
        <v>213</v>
      </c>
      <c r="J456" s="22">
        <v>45001</v>
      </c>
      <c r="K456" s="26">
        <f t="shared" ca="1" si="32"/>
        <v>0.67426399868130116</v>
      </c>
      <c r="L456" s="29">
        <f t="shared" ca="1" si="70"/>
        <v>155</v>
      </c>
      <c r="N456" s="22">
        <v>45001</v>
      </c>
      <c r="O456" s="26">
        <f t="shared" ca="1" si="33"/>
        <v>0.24676886294488132</v>
      </c>
      <c r="P456" s="29">
        <f t="shared" ca="1" si="71"/>
        <v>219</v>
      </c>
      <c r="R456" s="22">
        <v>45001</v>
      </c>
      <c r="S456" s="26">
        <f t="shared" ca="1" si="34"/>
        <v>0.29665881255840454</v>
      </c>
      <c r="T456" s="29">
        <f t="shared" ca="1" si="72"/>
        <v>134</v>
      </c>
      <c r="V456" s="22">
        <v>45001</v>
      </c>
      <c r="W456" s="26">
        <f t="shared" ca="1" si="35"/>
        <v>0.19410382182273866</v>
      </c>
      <c r="X456" s="29">
        <f t="shared" ca="1" si="73"/>
        <v>213</v>
      </c>
      <c r="Z456" s="22">
        <v>45001</v>
      </c>
      <c r="AA456" s="26">
        <f t="shared" ca="1" si="36"/>
        <v>0.78161640462011051</v>
      </c>
      <c r="AB456" s="29">
        <f t="shared" ca="1" si="74"/>
        <v>284</v>
      </c>
      <c r="AC456"/>
      <c r="AD456" s="25"/>
      <c r="AF456" s="22">
        <v>45001</v>
      </c>
      <c r="AG456" s="26">
        <f t="shared" ca="1" si="37"/>
        <v>0.43629649102981349</v>
      </c>
      <c r="AH456" s="29">
        <f t="shared" ca="1" si="75"/>
        <v>314</v>
      </c>
      <c r="AJ456" s="22">
        <v>45001</v>
      </c>
      <c r="AK456" s="26">
        <f t="shared" ca="1" si="38"/>
        <v>0.13198049297482151</v>
      </c>
      <c r="AL456" s="29">
        <f t="shared" ca="1" si="76"/>
        <v>120</v>
      </c>
      <c r="AN456" s="22">
        <v>45001</v>
      </c>
      <c r="AO456" s="26">
        <f t="shared" ca="1" si="39"/>
        <v>0.98195180512582025</v>
      </c>
      <c r="AP456" s="29">
        <v>0</v>
      </c>
      <c r="AR456" s="22">
        <v>45001</v>
      </c>
      <c r="AS456" s="26">
        <f t="shared" ca="1" si="40"/>
        <v>0.4778671252367801</v>
      </c>
      <c r="AT456" s="29">
        <v>0</v>
      </c>
      <c r="AV456" s="22">
        <v>45001</v>
      </c>
      <c r="AW456" s="26">
        <f t="shared" ca="1" si="41"/>
        <v>0.31087535399044119</v>
      </c>
      <c r="AX456" s="29">
        <v>0</v>
      </c>
      <c r="AZ456" s="22">
        <v>45001</v>
      </c>
      <c r="BA456" s="26">
        <f t="shared" ca="1" si="42"/>
        <v>0.13570134636674192</v>
      </c>
      <c r="BB456" s="29">
        <v>0</v>
      </c>
      <c r="BC456"/>
      <c r="BD456" s="25"/>
      <c r="BF456" s="22">
        <v>45001</v>
      </c>
      <c r="BG456" s="26">
        <f t="shared" ca="1" si="43"/>
        <v>0.29506522771424015</v>
      </c>
      <c r="BH456" s="29">
        <v>0</v>
      </c>
      <c r="BJ456" s="22">
        <v>45001</v>
      </c>
      <c r="BK456" s="26">
        <f t="shared" ca="1" si="44"/>
        <v>0.71867157680461746</v>
      </c>
      <c r="BL456" s="29">
        <v>0</v>
      </c>
      <c r="BN456" s="22">
        <v>45001</v>
      </c>
      <c r="BO456" s="26">
        <f t="shared" ca="1" si="45"/>
        <v>0.70603908472090626</v>
      </c>
      <c r="BP456" s="29">
        <v>0</v>
      </c>
      <c r="BR456" s="22">
        <v>45001</v>
      </c>
      <c r="BS456" s="26">
        <f t="shared" ca="1" si="46"/>
        <v>0.52767345441408553</v>
      </c>
      <c r="BT456" s="29">
        <v>0</v>
      </c>
      <c r="BV456" s="22">
        <v>45001</v>
      </c>
      <c r="BW456" s="26">
        <f t="shared" ca="1" si="47"/>
        <v>0.50028392320759585</v>
      </c>
      <c r="BX456" s="29">
        <v>0</v>
      </c>
    </row>
    <row r="457" spans="2:76" ht="12.75" x14ac:dyDescent="0.2">
      <c r="B457" s="22">
        <v>45002</v>
      </c>
      <c r="C457" s="26">
        <f t="shared" ca="1" si="68"/>
        <v>0.278248257239745</v>
      </c>
      <c r="D457" s="29">
        <f t="shared" ca="1" si="66"/>
        <v>64</v>
      </c>
      <c r="F457" s="22">
        <v>45002</v>
      </c>
      <c r="G457" s="26">
        <f t="shared" ca="1" si="31"/>
        <v>0.59232829505255158</v>
      </c>
      <c r="H457" s="29">
        <f t="shared" ca="1" si="69"/>
        <v>219</v>
      </c>
      <c r="J457" s="22">
        <v>45002</v>
      </c>
      <c r="K457" s="26">
        <f t="shared" ca="1" si="32"/>
        <v>0.55078533458970935</v>
      </c>
      <c r="L457" s="29">
        <f t="shared" ca="1" si="70"/>
        <v>152</v>
      </c>
      <c r="N457" s="22">
        <v>45002</v>
      </c>
      <c r="O457" s="26">
        <f t="shared" ca="1" si="33"/>
        <v>0.73698269410510564</v>
      </c>
      <c r="P457" s="29">
        <f t="shared" ca="1" si="71"/>
        <v>240</v>
      </c>
      <c r="R457" s="22">
        <v>45002</v>
      </c>
      <c r="S457" s="26">
        <f t="shared" ca="1" si="34"/>
        <v>0.56875804398952079</v>
      </c>
      <c r="T457" s="29">
        <f t="shared" ca="1" si="72"/>
        <v>141</v>
      </c>
      <c r="V457" s="22">
        <v>45002</v>
      </c>
      <c r="W457" s="26">
        <f t="shared" ca="1" si="35"/>
        <v>0.50215895067525484</v>
      </c>
      <c r="X457" s="29">
        <f t="shared" ca="1" si="73"/>
        <v>226</v>
      </c>
      <c r="Z457" s="22">
        <v>45002</v>
      </c>
      <c r="AA457" s="26">
        <f t="shared" ca="1" si="36"/>
        <v>0.494764524031579</v>
      </c>
      <c r="AB457" s="29">
        <f t="shared" ca="1" si="74"/>
        <v>270</v>
      </c>
      <c r="AC457"/>
      <c r="AD457" s="25"/>
      <c r="AF457" s="22">
        <v>45002</v>
      </c>
      <c r="AG457" s="26">
        <f t="shared" ca="1" si="37"/>
        <v>9.2655207246669979E-2</v>
      </c>
      <c r="AH457" s="29">
        <f t="shared" ca="1" si="75"/>
        <v>212</v>
      </c>
      <c r="AJ457" s="22">
        <v>45002</v>
      </c>
      <c r="AK457" s="26">
        <f t="shared" ca="1" si="38"/>
        <v>0.41688207517374087</v>
      </c>
      <c r="AL457" s="29">
        <f t="shared" ca="1" si="76"/>
        <v>161</v>
      </c>
      <c r="AN457" s="22">
        <v>45002</v>
      </c>
      <c r="AO457" s="26">
        <f t="shared" ca="1" si="39"/>
        <v>0.90121378005640229</v>
      </c>
      <c r="AP457" s="29">
        <v>0</v>
      </c>
      <c r="AR457" s="22">
        <v>45002</v>
      </c>
      <c r="AS457" s="26">
        <f t="shared" ca="1" si="40"/>
        <v>0.73796374965589839</v>
      </c>
      <c r="AT457" s="29">
        <v>0</v>
      </c>
      <c r="AV457" s="22">
        <v>45002</v>
      </c>
      <c r="AW457" s="26">
        <f t="shared" ca="1" si="41"/>
        <v>0.65117115306981832</v>
      </c>
      <c r="AX457" s="29">
        <v>0</v>
      </c>
      <c r="AZ457" s="22">
        <v>45002</v>
      </c>
      <c r="BA457" s="26">
        <f t="shared" ca="1" si="42"/>
        <v>0.7973668679423912</v>
      </c>
      <c r="BB457" s="29">
        <v>0</v>
      </c>
      <c r="BC457"/>
      <c r="BD457" s="25"/>
      <c r="BF457" s="22">
        <v>45002</v>
      </c>
      <c r="BG457" s="26">
        <f t="shared" ca="1" si="43"/>
        <v>0.18135523778358575</v>
      </c>
      <c r="BH457" s="29">
        <v>0</v>
      </c>
      <c r="BJ457" s="22">
        <v>45002</v>
      </c>
      <c r="BK457" s="26">
        <f t="shared" ca="1" si="44"/>
        <v>0.17026797183313647</v>
      </c>
      <c r="BL457" s="29">
        <v>0</v>
      </c>
      <c r="BN457" s="22">
        <v>45002</v>
      </c>
      <c r="BO457" s="26">
        <f t="shared" ca="1" si="45"/>
        <v>0.38648734689556596</v>
      </c>
      <c r="BP457" s="29">
        <v>0</v>
      </c>
      <c r="BR457" s="22">
        <v>45002</v>
      </c>
      <c r="BS457" s="26">
        <f t="shared" ca="1" si="46"/>
        <v>1.3106720621569479E-2</v>
      </c>
      <c r="BT457" s="29">
        <v>0</v>
      </c>
      <c r="BV457" s="22">
        <v>45002</v>
      </c>
      <c r="BW457" s="26">
        <f t="shared" ca="1" si="47"/>
        <v>0.3691260062761833</v>
      </c>
      <c r="BX457" s="29">
        <v>0</v>
      </c>
    </row>
    <row r="458" spans="2:76" ht="12.75" x14ac:dyDescent="0.2">
      <c r="B458" s="22">
        <v>45003</v>
      </c>
      <c r="C458" s="26">
        <f t="shared" ca="1" si="68"/>
        <v>0.1648869699793154</v>
      </c>
      <c r="D458" s="29">
        <f t="shared" ca="1" si="66"/>
        <v>56</v>
      </c>
      <c r="F458" s="22">
        <v>45003</v>
      </c>
      <c r="G458" s="26">
        <f t="shared" ca="1" si="31"/>
        <v>0.71950544939516647</v>
      </c>
      <c r="H458" s="29">
        <f t="shared" ca="1" si="69"/>
        <v>224</v>
      </c>
      <c r="J458" s="22">
        <v>45003</v>
      </c>
      <c r="K458" s="26">
        <f t="shared" ca="1" si="32"/>
        <v>0.70745272430852157</v>
      </c>
      <c r="L458" s="29">
        <f t="shared" ca="1" si="70"/>
        <v>156</v>
      </c>
      <c r="N458" s="22">
        <v>45003</v>
      </c>
      <c r="O458" s="26">
        <f t="shared" ca="1" si="33"/>
        <v>0.87869920140771351</v>
      </c>
      <c r="P458" s="29">
        <f t="shared" ca="1" si="71"/>
        <v>248</v>
      </c>
      <c r="R458" s="22">
        <v>45003</v>
      </c>
      <c r="S458" s="26">
        <f t="shared" ca="1" si="34"/>
        <v>4.6547864920245541E-2</v>
      </c>
      <c r="T458" s="29">
        <f t="shared" ca="1" si="72"/>
        <v>124</v>
      </c>
      <c r="V458" s="22">
        <v>45003</v>
      </c>
      <c r="W458" s="26">
        <f t="shared" ca="1" si="35"/>
        <v>0.70389225650463272</v>
      </c>
      <c r="X458" s="29">
        <f t="shared" ca="1" si="73"/>
        <v>234</v>
      </c>
      <c r="Z458" s="22">
        <v>45003</v>
      </c>
      <c r="AA458" s="26">
        <f t="shared" ca="1" si="36"/>
        <v>0.5316749780698925</v>
      </c>
      <c r="AB458" s="29">
        <f t="shared" ca="1" si="74"/>
        <v>272</v>
      </c>
      <c r="AC458"/>
      <c r="AD458" s="25"/>
      <c r="AF458" s="22">
        <v>45003</v>
      </c>
      <c r="AG458" s="26">
        <f t="shared" ca="1" si="37"/>
        <v>0.26390951298299314</v>
      </c>
      <c r="AH458" s="29">
        <f t="shared" ca="1" si="75"/>
        <v>272</v>
      </c>
      <c r="AJ458" s="22">
        <v>45003</v>
      </c>
      <c r="AK458" s="26">
        <f t="shared" ca="1" si="38"/>
        <v>0.96234674054433722</v>
      </c>
      <c r="AL458" s="29">
        <f t="shared" ca="1" si="76"/>
        <v>252</v>
      </c>
      <c r="AN458" s="22">
        <v>45003</v>
      </c>
      <c r="AO458" s="26">
        <f t="shared" ca="1" si="39"/>
        <v>0.27683084059777363</v>
      </c>
      <c r="AP458" s="29">
        <v>0</v>
      </c>
      <c r="AR458" s="22">
        <v>45003</v>
      </c>
      <c r="AS458" s="26">
        <f t="shared" ca="1" si="40"/>
        <v>0.6186648486813825</v>
      </c>
      <c r="AT458" s="29">
        <v>0</v>
      </c>
      <c r="AV458" s="22">
        <v>45003</v>
      </c>
      <c r="AW458" s="26">
        <f t="shared" ca="1" si="41"/>
        <v>0.4615106812518105</v>
      </c>
      <c r="AX458" s="29">
        <v>0</v>
      </c>
      <c r="AZ458" s="22">
        <v>45003</v>
      </c>
      <c r="BA458" s="26">
        <f t="shared" ca="1" si="42"/>
        <v>0.63395947535254182</v>
      </c>
      <c r="BB458" s="29">
        <v>0</v>
      </c>
      <c r="BC458"/>
      <c r="BD458" s="25"/>
      <c r="BF458" s="22">
        <v>45003</v>
      </c>
      <c r="BG458" s="26">
        <f t="shared" ca="1" si="43"/>
        <v>0.89310215712529262</v>
      </c>
      <c r="BH458" s="29">
        <v>0</v>
      </c>
      <c r="BJ458" s="22">
        <v>45003</v>
      </c>
      <c r="BK458" s="26">
        <f t="shared" ca="1" si="44"/>
        <v>0.10860558833704848</v>
      </c>
      <c r="BL458" s="29">
        <v>0</v>
      </c>
      <c r="BN458" s="22">
        <v>45003</v>
      </c>
      <c r="BO458" s="26">
        <f t="shared" ca="1" si="45"/>
        <v>0.60777186457120491</v>
      </c>
      <c r="BP458" s="29">
        <v>0</v>
      </c>
      <c r="BR458" s="22">
        <v>45003</v>
      </c>
      <c r="BS458" s="26">
        <f t="shared" ca="1" si="46"/>
        <v>0.54144689599096485</v>
      </c>
      <c r="BT458" s="29">
        <v>0</v>
      </c>
      <c r="BV458" s="22">
        <v>45003</v>
      </c>
      <c r="BW458" s="26">
        <f t="shared" ca="1" si="47"/>
        <v>0.81505731904592393</v>
      </c>
      <c r="BX458" s="29">
        <v>0</v>
      </c>
    </row>
    <row r="459" spans="2:76" ht="12.75" x14ac:dyDescent="0.2">
      <c r="B459" s="22">
        <v>45004</v>
      </c>
      <c r="C459" s="26">
        <f t="shared" ca="1" si="68"/>
        <v>0.10157893127724316</v>
      </c>
      <c r="D459" s="29">
        <f t="shared" ca="1" si="66"/>
        <v>50</v>
      </c>
      <c r="F459" s="22">
        <v>45004</v>
      </c>
      <c r="G459" s="26">
        <f t="shared" ca="1" si="31"/>
        <v>0.11373330541130833</v>
      </c>
      <c r="H459" s="29">
        <f t="shared" ca="1" si="69"/>
        <v>199</v>
      </c>
      <c r="J459" s="22">
        <v>45004</v>
      </c>
      <c r="K459" s="26">
        <f t="shared" ca="1" si="32"/>
        <v>0.89232585582483492</v>
      </c>
      <c r="L459" s="29">
        <f t="shared" ca="1" si="70"/>
        <v>163</v>
      </c>
      <c r="N459" s="22">
        <v>45004</v>
      </c>
      <c r="O459" s="26">
        <f t="shared" ca="1" si="33"/>
        <v>0.15960315173235806</v>
      </c>
      <c r="P459" s="29">
        <f t="shared" ca="1" si="71"/>
        <v>215</v>
      </c>
      <c r="R459" s="22">
        <v>45004</v>
      </c>
      <c r="S459" s="26">
        <f t="shared" ca="1" si="34"/>
        <v>0.77741583316668506</v>
      </c>
      <c r="T459" s="29">
        <f t="shared" ca="1" si="72"/>
        <v>146</v>
      </c>
      <c r="V459" s="22">
        <v>45004</v>
      </c>
      <c r="W459" s="26">
        <f t="shared" ca="1" si="35"/>
        <v>0.58449564759939332</v>
      </c>
      <c r="X459" s="29">
        <f t="shared" ca="1" si="73"/>
        <v>229</v>
      </c>
      <c r="Z459" s="22">
        <v>45004</v>
      </c>
      <c r="AA459" s="26">
        <f t="shared" ca="1" si="36"/>
        <v>0.56008229998375936</v>
      </c>
      <c r="AB459" s="29">
        <f t="shared" ca="1" si="74"/>
        <v>273</v>
      </c>
      <c r="AC459"/>
      <c r="AD459" s="25"/>
      <c r="AF459" s="22">
        <v>45004</v>
      </c>
      <c r="AG459" s="26">
        <f t="shared" ca="1" si="37"/>
        <v>0.83515301036858047</v>
      </c>
      <c r="AH459" s="29">
        <f t="shared" ca="1" si="75"/>
        <v>412</v>
      </c>
      <c r="AJ459" s="22">
        <v>45004</v>
      </c>
      <c r="AK459" s="26">
        <f t="shared" ca="1" si="38"/>
        <v>0.17260807745931983</v>
      </c>
      <c r="AL459" s="29">
        <f t="shared" ca="1" si="76"/>
        <v>128</v>
      </c>
      <c r="AN459" s="22">
        <v>45004</v>
      </c>
      <c r="AO459" s="26">
        <f t="shared" ca="1" si="39"/>
        <v>0.83962993055380208</v>
      </c>
      <c r="AP459" s="29">
        <v>0</v>
      </c>
      <c r="AR459" s="22">
        <v>45004</v>
      </c>
      <c r="AS459" s="26">
        <f t="shared" ca="1" si="40"/>
        <v>0.43824382332474843</v>
      </c>
      <c r="AT459" s="29">
        <v>0</v>
      </c>
      <c r="AV459" s="22">
        <v>45004</v>
      </c>
      <c r="AW459" s="26">
        <f t="shared" ca="1" si="41"/>
        <v>1.4383025987643183E-2</v>
      </c>
      <c r="AX459" s="29">
        <v>0</v>
      </c>
      <c r="AZ459" s="22">
        <v>45004</v>
      </c>
      <c r="BA459" s="26">
        <f t="shared" ca="1" si="42"/>
        <v>0.84445644442925527</v>
      </c>
      <c r="BB459" s="29">
        <v>0</v>
      </c>
      <c r="BC459"/>
      <c r="BD459" s="25"/>
      <c r="BF459" s="22">
        <v>45004</v>
      </c>
      <c r="BG459" s="26">
        <f t="shared" ca="1" si="43"/>
        <v>0.13556600425083787</v>
      </c>
      <c r="BH459" s="29">
        <v>0</v>
      </c>
      <c r="BJ459" s="22">
        <v>45004</v>
      </c>
      <c r="BK459" s="26">
        <f t="shared" ca="1" si="44"/>
        <v>0.89564370233497403</v>
      </c>
      <c r="BL459" s="29">
        <v>0</v>
      </c>
      <c r="BN459" s="22">
        <v>45004</v>
      </c>
      <c r="BO459" s="26">
        <f t="shared" ca="1" si="45"/>
        <v>0.58510947811926128</v>
      </c>
      <c r="BP459" s="29">
        <v>0</v>
      </c>
      <c r="BR459" s="22">
        <v>45004</v>
      </c>
      <c r="BS459" s="26">
        <f t="shared" ca="1" si="46"/>
        <v>0.70700143984383834</v>
      </c>
      <c r="BT459" s="29">
        <v>0</v>
      </c>
      <c r="BV459" s="22">
        <v>45004</v>
      </c>
      <c r="BW459" s="26">
        <f t="shared" ca="1" si="47"/>
        <v>0.85867108306786943</v>
      </c>
      <c r="BX459" s="29">
        <v>0</v>
      </c>
    </row>
    <row r="460" spans="2:76" ht="12.75" x14ac:dyDescent="0.2">
      <c r="B460" s="22">
        <v>45005</v>
      </c>
      <c r="C460" s="26">
        <f t="shared" ca="1" si="68"/>
        <v>0.9238451143031825</v>
      </c>
      <c r="D460" s="29">
        <f t="shared" ca="1" si="66"/>
        <v>104</v>
      </c>
      <c r="F460" s="22">
        <v>45005</v>
      </c>
      <c r="G460" s="26">
        <f t="shared" ca="1" si="31"/>
        <v>0.36000893970083891</v>
      </c>
      <c r="H460" s="29">
        <f t="shared" ca="1" si="69"/>
        <v>211</v>
      </c>
      <c r="J460" s="22">
        <v>45005</v>
      </c>
      <c r="K460" s="26">
        <f t="shared" ca="1" si="32"/>
        <v>0.71181563008935633</v>
      </c>
      <c r="L460" s="29">
        <f t="shared" ca="1" si="70"/>
        <v>156</v>
      </c>
      <c r="N460" s="22">
        <v>45005</v>
      </c>
      <c r="O460" s="26">
        <f t="shared" ca="1" si="33"/>
        <v>0.25789446299951058</v>
      </c>
      <c r="P460" s="29">
        <f t="shared" ca="1" si="71"/>
        <v>220</v>
      </c>
      <c r="R460" s="22">
        <v>45005</v>
      </c>
      <c r="S460" s="26">
        <f t="shared" ca="1" si="34"/>
        <v>0.15490932126705992</v>
      </c>
      <c r="T460" s="29">
        <f t="shared" ca="1" si="72"/>
        <v>130</v>
      </c>
      <c r="V460" s="22">
        <v>45005</v>
      </c>
      <c r="W460" s="26">
        <f t="shared" ca="1" si="35"/>
        <v>0.97552193041633495</v>
      </c>
      <c r="X460" s="29">
        <f t="shared" ca="1" si="73"/>
        <v>255</v>
      </c>
      <c r="Z460" s="22">
        <v>45005</v>
      </c>
      <c r="AA460" s="26">
        <f t="shared" ca="1" si="36"/>
        <v>0.99767988831120136</v>
      </c>
      <c r="AB460" s="29">
        <f t="shared" ca="1" si="74"/>
        <v>321</v>
      </c>
      <c r="AC460"/>
      <c r="AD460" s="25"/>
      <c r="AF460" s="22">
        <v>45005</v>
      </c>
      <c r="AG460" s="26">
        <f t="shared" ca="1" si="37"/>
        <v>0.85265754173047015</v>
      </c>
      <c r="AH460" s="29">
        <f t="shared" ca="1" si="75"/>
        <v>419</v>
      </c>
      <c r="AJ460" s="22">
        <v>45005</v>
      </c>
      <c r="AK460" s="26">
        <f t="shared" ca="1" si="38"/>
        <v>0.58906544274859474</v>
      </c>
      <c r="AL460" s="29">
        <f t="shared" ca="1" si="76"/>
        <v>181</v>
      </c>
      <c r="AN460" s="22">
        <v>45005</v>
      </c>
      <c r="AO460" s="26">
        <f t="shared" ca="1" si="39"/>
        <v>0.90687490827932016</v>
      </c>
      <c r="AP460" s="29">
        <v>0</v>
      </c>
      <c r="AR460" s="22">
        <v>45005</v>
      </c>
      <c r="AS460" s="26">
        <f t="shared" ca="1" si="40"/>
        <v>0.15082022981109533</v>
      </c>
      <c r="AT460" s="29">
        <v>0</v>
      </c>
      <c r="AV460" s="22">
        <v>45005</v>
      </c>
      <c r="AW460" s="26">
        <f t="shared" ca="1" si="41"/>
        <v>0.83077414459233401</v>
      </c>
      <c r="AX460" s="29">
        <v>0</v>
      </c>
      <c r="AZ460" s="22">
        <v>45005</v>
      </c>
      <c r="BA460" s="26">
        <f t="shared" ca="1" si="42"/>
        <v>0.69487651395506767</v>
      </c>
      <c r="BB460" s="29">
        <v>0</v>
      </c>
      <c r="BC460"/>
      <c r="BD460" s="25"/>
      <c r="BF460" s="22">
        <v>45005</v>
      </c>
      <c r="BG460" s="26">
        <f t="shared" ca="1" si="43"/>
        <v>0.82179321848675491</v>
      </c>
      <c r="BH460" s="29">
        <v>0</v>
      </c>
      <c r="BJ460" s="22">
        <v>45005</v>
      </c>
      <c r="BK460" s="26">
        <f t="shared" ca="1" si="44"/>
        <v>0.68070989801047044</v>
      </c>
      <c r="BL460" s="29">
        <v>0</v>
      </c>
      <c r="BN460" s="22">
        <v>45005</v>
      </c>
      <c r="BO460" s="26">
        <f t="shared" ca="1" si="45"/>
        <v>0.15221116391158962</v>
      </c>
      <c r="BP460" s="29">
        <v>0</v>
      </c>
      <c r="BR460" s="22">
        <v>45005</v>
      </c>
      <c r="BS460" s="26">
        <f t="shared" ca="1" si="46"/>
        <v>0.47287458608301114</v>
      </c>
      <c r="BT460" s="29">
        <v>0</v>
      </c>
      <c r="BV460" s="22">
        <v>45005</v>
      </c>
      <c r="BW460" s="26">
        <f t="shared" ca="1" si="47"/>
        <v>0.8755624063359172</v>
      </c>
      <c r="BX460" s="29">
        <v>0</v>
      </c>
    </row>
    <row r="461" spans="2:76" ht="12.75" x14ac:dyDescent="0.2">
      <c r="B461" s="22">
        <v>45006</v>
      </c>
      <c r="C461" s="26">
        <f t="shared" ca="1" si="68"/>
        <v>0.17159647354050411</v>
      </c>
      <c r="D461" s="29">
        <f t="shared" ca="1" si="66"/>
        <v>57</v>
      </c>
      <c r="F461" s="22">
        <v>45006</v>
      </c>
      <c r="G461" s="26">
        <f t="shared" ca="1" si="31"/>
        <v>0.28358231600726458</v>
      </c>
      <c r="H461" s="29">
        <f t="shared" ca="1" si="69"/>
        <v>208</v>
      </c>
      <c r="J461" s="22">
        <v>45006</v>
      </c>
      <c r="K461" s="26">
        <f t="shared" ca="1" si="32"/>
        <v>0.64228289148435447</v>
      </c>
      <c r="L461" s="29">
        <f t="shared" ca="1" si="70"/>
        <v>154</v>
      </c>
      <c r="N461" s="22">
        <v>45006</v>
      </c>
      <c r="O461" s="26">
        <f t="shared" ca="1" si="33"/>
        <v>0.90891489153312577</v>
      </c>
      <c r="P461" s="29">
        <f t="shared" ca="1" si="71"/>
        <v>250</v>
      </c>
      <c r="R461" s="22">
        <v>45006</v>
      </c>
      <c r="S461" s="26">
        <f t="shared" ca="1" si="34"/>
        <v>0.96417981735771374</v>
      </c>
      <c r="T461" s="29">
        <f t="shared" ca="1" si="72"/>
        <v>156</v>
      </c>
      <c r="V461" s="22">
        <v>45006</v>
      </c>
      <c r="W461" s="26">
        <f t="shared" ca="1" si="35"/>
        <v>0.91366623324980289</v>
      </c>
      <c r="X461" s="29">
        <f t="shared" ca="1" si="73"/>
        <v>246</v>
      </c>
      <c r="Z461" s="22">
        <v>45006</v>
      </c>
      <c r="AA461" s="26">
        <f t="shared" ca="1" si="36"/>
        <v>0.7918914284144295</v>
      </c>
      <c r="AB461" s="29">
        <f t="shared" ca="1" si="74"/>
        <v>285</v>
      </c>
      <c r="AC461"/>
      <c r="AD461" s="25"/>
      <c r="AF461" s="22">
        <v>45006</v>
      </c>
      <c r="AG461" s="26">
        <f t="shared" ca="1" si="37"/>
        <v>0.16372865793587743</v>
      </c>
      <c r="AH461" s="29">
        <f t="shared" ca="1" si="75"/>
        <v>242</v>
      </c>
      <c r="AJ461" s="22">
        <v>45006</v>
      </c>
      <c r="AK461" s="26">
        <f t="shared" ca="1" si="38"/>
        <v>0.26846945105658881</v>
      </c>
      <c r="AL461" s="29">
        <f t="shared" ca="1" si="76"/>
        <v>143</v>
      </c>
      <c r="AN461" s="22">
        <v>45006</v>
      </c>
      <c r="AO461" s="26">
        <f t="shared" ca="1" si="39"/>
        <v>0.1079536320230835</v>
      </c>
      <c r="AP461" s="29">
        <v>0</v>
      </c>
      <c r="AR461" s="22">
        <v>45006</v>
      </c>
      <c r="AS461" s="26">
        <f t="shared" ca="1" si="40"/>
        <v>0.38187861990903438</v>
      </c>
      <c r="AT461" s="29">
        <v>0</v>
      </c>
      <c r="AV461" s="22">
        <v>45006</v>
      </c>
      <c r="AW461" s="26">
        <f t="shared" ca="1" si="41"/>
        <v>0.54860514841818875</v>
      </c>
      <c r="AX461" s="29">
        <v>0</v>
      </c>
      <c r="AZ461" s="22">
        <v>45006</v>
      </c>
      <c r="BA461" s="26">
        <f t="shared" ca="1" si="42"/>
        <v>6.8305742257189883E-2</v>
      </c>
      <c r="BB461" s="29">
        <v>0</v>
      </c>
      <c r="BC461"/>
      <c r="BD461" s="25"/>
      <c r="BF461" s="22">
        <v>45006</v>
      </c>
      <c r="BG461" s="26">
        <f t="shared" ca="1" si="43"/>
        <v>0.78183505631776185</v>
      </c>
      <c r="BH461" s="29">
        <v>0</v>
      </c>
      <c r="BJ461" s="22">
        <v>45006</v>
      </c>
      <c r="BK461" s="26">
        <f t="shared" ca="1" si="44"/>
        <v>0.76736313459128114</v>
      </c>
      <c r="BL461" s="29">
        <v>0</v>
      </c>
      <c r="BN461" s="22">
        <v>45006</v>
      </c>
      <c r="BO461" s="26">
        <f t="shared" ca="1" si="45"/>
        <v>0.6283368319697813</v>
      </c>
      <c r="BP461" s="29">
        <v>0</v>
      </c>
      <c r="BR461" s="22">
        <v>45006</v>
      </c>
      <c r="BS461" s="26">
        <f t="shared" ca="1" si="46"/>
        <v>0.8302399024204723</v>
      </c>
      <c r="BT461" s="29">
        <v>0</v>
      </c>
      <c r="BV461" s="22">
        <v>45006</v>
      </c>
      <c r="BW461" s="26">
        <f t="shared" ca="1" si="47"/>
        <v>0.73867051933768779</v>
      </c>
      <c r="BX461" s="29">
        <v>0</v>
      </c>
    </row>
    <row r="462" spans="2:76" ht="12.75" x14ac:dyDescent="0.2">
      <c r="B462" s="22">
        <v>45007</v>
      </c>
      <c r="C462" s="26">
        <f t="shared" ca="1" si="68"/>
        <v>0.74432581290288535</v>
      </c>
      <c r="D462" s="29">
        <f t="shared" ca="1" si="66"/>
        <v>89</v>
      </c>
      <c r="F462" s="22">
        <v>45007</v>
      </c>
      <c r="G462" s="26">
        <f t="shared" ca="1" si="31"/>
        <v>0.47758397952253928</v>
      </c>
      <c r="H462" s="29">
        <f t="shared" ca="1" si="69"/>
        <v>215</v>
      </c>
      <c r="J462" s="22">
        <v>45007</v>
      </c>
      <c r="K462" s="26">
        <f t="shared" ca="1" si="32"/>
        <v>0.33459571509761843</v>
      </c>
      <c r="L462" s="29">
        <f t="shared" ca="1" si="70"/>
        <v>146</v>
      </c>
      <c r="N462" s="22">
        <v>45007</v>
      </c>
      <c r="O462" s="26">
        <f t="shared" ca="1" si="33"/>
        <v>0.42311438431359971</v>
      </c>
      <c r="P462" s="29">
        <f t="shared" ca="1" si="71"/>
        <v>227</v>
      </c>
      <c r="R462" s="22">
        <v>45007</v>
      </c>
      <c r="S462" s="26">
        <f t="shared" ca="1" si="34"/>
        <v>0.23893843702840689</v>
      </c>
      <c r="T462" s="29">
        <f t="shared" ca="1" si="72"/>
        <v>133</v>
      </c>
      <c r="V462" s="22">
        <v>45007</v>
      </c>
      <c r="W462" s="26">
        <f t="shared" ca="1" si="35"/>
        <v>0.78664638664478848</v>
      </c>
      <c r="X462" s="29">
        <f t="shared" ca="1" si="73"/>
        <v>237</v>
      </c>
      <c r="Z462" s="22">
        <v>45007</v>
      </c>
      <c r="AA462" s="26">
        <f t="shared" ca="1" si="36"/>
        <v>9.7572659823900176E-2</v>
      </c>
      <c r="AB462" s="29">
        <f t="shared" ca="1" si="74"/>
        <v>247</v>
      </c>
      <c r="AC462"/>
      <c r="AD462" s="25"/>
      <c r="AF462" s="22">
        <v>45007</v>
      </c>
      <c r="AG462" s="26">
        <f t="shared" ca="1" si="37"/>
        <v>9.4019465192663132E-2</v>
      </c>
      <c r="AH462" s="29">
        <f t="shared" ca="1" si="75"/>
        <v>213</v>
      </c>
      <c r="AJ462" s="22">
        <v>45007</v>
      </c>
      <c r="AK462" s="26">
        <f t="shared" ca="1" si="38"/>
        <v>0.32548154306118171</v>
      </c>
      <c r="AL462" s="29">
        <f t="shared" ca="1" si="76"/>
        <v>150</v>
      </c>
      <c r="AN462" s="22">
        <v>45007</v>
      </c>
      <c r="AO462" s="26">
        <f t="shared" ca="1" si="39"/>
        <v>0.47075395090205663</v>
      </c>
      <c r="AP462" s="29">
        <v>0</v>
      </c>
      <c r="AR462" s="22">
        <v>45007</v>
      </c>
      <c r="AS462" s="26">
        <f t="shared" ca="1" si="40"/>
        <v>0.4721959586870168</v>
      </c>
      <c r="AT462" s="29">
        <v>0</v>
      </c>
      <c r="AV462" s="22">
        <v>45007</v>
      </c>
      <c r="AW462" s="26">
        <f t="shared" ca="1" si="41"/>
        <v>0.30957075140001822</v>
      </c>
      <c r="AX462" s="29">
        <v>0</v>
      </c>
      <c r="AZ462" s="22">
        <v>45007</v>
      </c>
      <c r="BA462" s="26">
        <f t="shared" ca="1" si="42"/>
        <v>0.1268262041982241</v>
      </c>
      <c r="BB462" s="29">
        <v>0</v>
      </c>
      <c r="BC462"/>
      <c r="BD462" s="25"/>
      <c r="BF462" s="22">
        <v>45007</v>
      </c>
      <c r="BG462" s="26">
        <f t="shared" ca="1" si="43"/>
        <v>0.11025394595824567</v>
      </c>
      <c r="BH462" s="29">
        <v>0</v>
      </c>
      <c r="BJ462" s="22">
        <v>45007</v>
      </c>
      <c r="BK462" s="26">
        <f t="shared" ca="1" si="44"/>
        <v>0.41218913937576263</v>
      </c>
      <c r="BL462" s="29">
        <v>0</v>
      </c>
      <c r="BN462" s="22">
        <v>45007</v>
      </c>
      <c r="BO462" s="26">
        <f t="shared" ca="1" si="45"/>
        <v>0.27494734760901418</v>
      </c>
      <c r="BP462" s="29">
        <v>0</v>
      </c>
      <c r="BR462" s="22">
        <v>45007</v>
      </c>
      <c r="BS462" s="26">
        <f t="shared" ca="1" si="46"/>
        <v>0.89878798156708906</v>
      </c>
      <c r="BT462" s="29">
        <v>0</v>
      </c>
      <c r="BV462" s="22">
        <v>45007</v>
      </c>
      <c r="BW462" s="26">
        <f t="shared" ca="1" si="47"/>
        <v>0.49114280909109209</v>
      </c>
      <c r="BX462" s="29">
        <v>0</v>
      </c>
    </row>
    <row r="463" spans="2:76" ht="12.75" x14ac:dyDescent="0.2">
      <c r="B463" s="22">
        <v>45008</v>
      </c>
      <c r="C463" s="26">
        <f t="shared" ca="1" si="68"/>
        <v>0.72765606762271806</v>
      </c>
      <c r="D463" s="29">
        <f t="shared" ca="1" si="66"/>
        <v>88</v>
      </c>
      <c r="F463" s="22">
        <v>45008</v>
      </c>
      <c r="G463" s="26">
        <f t="shared" ca="1" si="31"/>
        <v>7.1108379914498698E-2</v>
      </c>
      <c r="H463" s="29">
        <f t="shared" ca="1" si="69"/>
        <v>195</v>
      </c>
      <c r="J463" s="22">
        <v>45008</v>
      </c>
      <c r="K463" s="26">
        <f t="shared" ca="1" si="32"/>
        <v>0.3859223771067154</v>
      </c>
      <c r="L463" s="29">
        <f t="shared" ca="1" si="70"/>
        <v>148</v>
      </c>
      <c r="N463" s="22">
        <v>45008</v>
      </c>
      <c r="O463" s="26">
        <f t="shared" ca="1" si="33"/>
        <v>0.75043350693708977</v>
      </c>
      <c r="P463" s="29">
        <f t="shared" ca="1" si="71"/>
        <v>240</v>
      </c>
      <c r="R463" s="22">
        <v>45008</v>
      </c>
      <c r="S463" s="26">
        <f t="shared" ca="1" si="34"/>
        <v>0.76232835367040197</v>
      </c>
      <c r="T463" s="29">
        <f t="shared" ca="1" si="72"/>
        <v>146</v>
      </c>
      <c r="V463" s="22">
        <v>45008</v>
      </c>
      <c r="W463" s="26">
        <f t="shared" ca="1" si="35"/>
        <v>5.6217083176452798E-2</v>
      </c>
      <c r="X463" s="29">
        <f t="shared" ca="1" si="73"/>
        <v>202</v>
      </c>
      <c r="Z463" s="22">
        <v>45008</v>
      </c>
      <c r="AA463" s="26">
        <f t="shared" ca="1" si="36"/>
        <v>0.8489026609364968</v>
      </c>
      <c r="AB463" s="29">
        <f t="shared" ca="1" si="74"/>
        <v>289</v>
      </c>
      <c r="AC463"/>
      <c r="AD463" s="25"/>
      <c r="AF463" s="22">
        <v>45008</v>
      </c>
      <c r="AG463" s="26">
        <f t="shared" ca="1" si="37"/>
        <v>0.72939100780484378</v>
      </c>
      <c r="AH463" s="29">
        <f t="shared" ca="1" si="75"/>
        <v>381</v>
      </c>
      <c r="AJ463" s="22">
        <v>45008</v>
      </c>
      <c r="AK463" s="26">
        <f t="shared" ca="1" si="38"/>
        <v>0.83239500069900596</v>
      </c>
      <c r="AL463" s="29">
        <f t="shared" ca="1" si="76"/>
        <v>215</v>
      </c>
      <c r="AN463" s="22">
        <v>45008</v>
      </c>
      <c r="AO463" s="26">
        <f t="shared" ca="1" si="39"/>
        <v>5.8443278639328522E-2</v>
      </c>
      <c r="AP463" s="29">
        <v>0</v>
      </c>
      <c r="AR463" s="22">
        <v>45008</v>
      </c>
      <c r="AS463" s="26">
        <f t="shared" ca="1" si="40"/>
        <v>0.41130721404636228</v>
      </c>
      <c r="AT463" s="29">
        <v>0</v>
      </c>
      <c r="AV463" s="22">
        <v>45008</v>
      </c>
      <c r="AW463" s="26">
        <f t="shared" ca="1" si="41"/>
        <v>0.12781512349088819</v>
      </c>
      <c r="AX463" s="29">
        <v>0</v>
      </c>
      <c r="AZ463" s="22">
        <v>45008</v>
      </c>
      <c r="BA463" s="26">
        <f t="shared" ca="1" si="42"/>
        <v>0.31002715872956021</v>
      </c>
      <c r="BB463" s="29">
        <v>0</v>
      </c>
      <c r="BC463"/>
      <c r="BD463" s="25"/>
      <c r="BF463" s="22">
        <v>45008</v>
      </c>
      <c r="BG463" s="26">
        <f t="shared" ca="1" si="43"/>
        <v>0.51383260184831214</v>
      </c>
      <c r="BH463" s="29">
        <v>0</v>
      </c>
      <c r="BJ463" s="22">
        <v>45008</v>
      </c>
      <c r="BK463" s="26">
        <f t="shared" ca="1" si="44"/>
        <v>0.72207231858583776</v>
      </c>
      <c r="BL463" s="29">
        <v>0</v>
      </c>
      <c r="BN463" s="22">
        <v>45008</v>
      </c>
      <c r="BO463" s="26">
        <f t="shared" ca="1" si="45"/>
        <v>0.74842151308787641</v>
      </c>
      <c r="BP463" s="29">
        <v>0</v>
      </c>
      <c r="BR463" s="22">
        <v>45008</v>
      </c>
      <c r="BS463" s="26">
        <f t="shared" ca="1" si="46"/>
        <v>0.85157538946512445</v>
      </c>
      <c r="BT463" s="29">
        <v>0</v>
      </c>
      <c r="BV463" s="22">
        <v>45008</v>
      </c>
      <c r="BW463" s="26">
        <f t="shared" ca="1" si="47"/>
        <v>0.1028542395000851</v>
      </c>
      <c r="BX463" s="29">
        <v>0</v>
      </c>
    </row>
    <row r="464" spans="2:76" ht="12.75" x14ac:dyDescent="0.2">
      <c r="B464" s="22">
        <v>45009</v>
      </c>
      <c r="C464" s="26">
        <f t="shared" ca="1" si="68"/>
        <v>0.24625314771723439</v>
      </c>
      <c r="D464" s="29">
        <f t="shared" ca="1" si="66"/>
        <v>62</v>
      </c>
      <c r="F464" s="22">
        <v>45009</v>
      </c>
      <c r="G464" s="26">
        <f t="shared" ca="1" si="31"/>
        <v>0.76367425869449523</v>
      </c>
      <c r="H464" s="29">
        <f t="shared" ca="1" si="69"/>
        <v>226</v>
      </c>
      <c r="J464" s="22">
        <v>45009</v>
      </c>
      <c r="K464" s="26">
        <f t="shared" ca="1" si="32"/>
        <v>0.59772023435156751</v>
      </c>
      <c r="L464" s="29">
        <f t="shared" ca="1" si="70"/>
        <v>153</v>
      </c>
      <c r="N464" s="22">
        <v>45009</v>
      </c>
      <c r="O464" s="26">
        <f t="shared" ca="1" si="33"/>
        <v>7.5558261037573571E-2</v>
      </c>
      <c r="P464" s="29">
        <f t="shared" ca="1" si="71"/>
        <v>208</v>
      </c>
      <c r="R464" s="22">
        <v>45009</v>
      </c>
      <c r="S464" s="26">
        <f t="shared" ca="1" si="34"/>
        <v>0.23233570343588594</v>
      </c>
      <c r="T464" s="29">
        <f t="shared" ca="1" si="72"/>
        <v>132</v>
      </c>
      <c r="V464" s="22">
        <v>45009</v>
      </c>
      <c r="W464" s="26">
        <f t="shared" ca="1" si="35"/>
        <v>0.11987912470298989</v>
      </c>
      <c r="X464" s="29">
        <f t="shared" ca="1" si="73"/>
        <v>208</v>
      </c>
      <c r="Z464" s="22">
        <v>45009</v>
      </c>
      <c r="AA464" s="26">
        <f t="shared" ca="1" si="36"/>
        <v>0.40749011426451875</v>
      </c>
      <c r="AB464" s="29">
        <f t="shared" ca="1" si="74"/>
        <v>266</v>
      </c>
      <c r="AC464"/>
      <c r="AD464" s="25"/>
      <c r="AF464" s="22">
        <v>45009</v>
      </c>
      <c r="AG464" s="26">
        <f t="shared" ca="1" si="37"/>
        <v>0.97365473915881762</v>
      </c>
      <c r="AH464" s="29">
        <f t="shared" ca="1" si="75"/>
        <v>496</v>
      </c>
      <c r="AJ464" s="22">
        <v>45009</v>
      </c>
      <c r="AK464" s="26">
        <f t="shared" ca="1" si="38"/>
        <v>2.250122872647764E-2</v>
      </c>
      <c r="AL464" s="29">
        <f t="shared" ca="1" si="76"/>
        <v>80</v>
      </c>
      <c r="AN464" s="22">
        <v>45009</v>
      </c>
      <c r="AO464" s="26">
        <f t="shared" ca="1" si="39"/>
        <v>0.25776359725432862</v>
      </c>
      <c r="AP464" s="29">
        <v>0</v>
      </c>
      <c r="AR464" s="22">
        <v>45009</v>
      </c>
      <c r="AS464" s="26">
        <f t="shared" ca="1" si="40"/>
        <v>0.60811150836233707</v>
      </c>
      <c r="AT464" s="29">
        <v>0</v>
      </c>
      <c r="AV464" s="22">
        <v>45009</v>
      </c>
      <c r="AW464" s="26">
        <f t="shared" ca="1" si="41"/>
        <v>0.47409590325042228</v>
      </c>
      <c r="AX464" s="29">
        <v>0</v>
      </c>
      <c r="AZ464" s="22">
        <v>45009</v>
      </c>
      <c r="BA464" s="26">
        <f t="shared" ca="1" si="42"/>
        <v>0.11547996982821762</v>
      </c>
      <c r="BB464" s="29">
        <v>0</v>
      </c>
      <c r="BC464"/>
      <c r="BD464" s="25"/>
      <c r="BF464" s="22">
        <v>45009</v>
      </c>
      <c r="BG464" s="26">
        <f t="shared" ca="1" si="43"/>
        <v>0.19191513985066189</v>
      </c>
      <c r="BH464" s="29">
        <v>0</v>
      </c>
      <c r="BJ464" s="22">
        <v>45009</v>
      </c>
      <c r="BK464" s="26">
        <f t="shared" ca="1" si="44"/>
        <v>0.83197046513711292</v>
      </c>
      <c r="BL464" s="29">
        <v>0</v>
      </c>
      <c r="BN464" s="22">
        <v>45009</v>
      </c>
      <c r="BO464" s="26">
        <f t="shared" ca="1" si="45"/>
        <v>0.23937522298897496</v>
      </c>
      <c r="BP464" s="29">
        <v>0</v>
      </c>
      <c r="BR464" s="22">
        <v>45009</v>
      </c>
      <c r="BS464" s="26">
        <f t="shared" ca="1" si="46"/>
        <v>0.2419049679655717</v>
      </c>
      <c r="BT464" s="29">
        <v>0</v>
      </c>
      <c r="BV464" s="22">
        <v>45009</v>
      </c>
      <c r="BW464" s="26">
        <f t="shared" ca="1" si="47"/>
        <v>0.78329720404173986</v>
      </c>
      <c r="BX464" s="29">
        <v>0</v>
      </c>
    </row>
    <row r="465" spans="2:77" ht="12.75" x14ac:dyDescent="0.2">
      <c r="B465" s="22">
        <v>45010</v>
      </c>
      <c r="C465" s="26">
        <f t="shared" ca="1" si="68"/>
        <v>0.65669942293770278</v>
      </c>
      <c r="D465" s="29">
        <f t="shared" ca="1" si="66"/>
        <v>84</v>
      </c>
      <c r="F465" s="22">
        <v>45010</v>
      </c>
      <c r="G465" s="26">
        <f t="shared" ca="1" si="31"/>
        <v>0.83024396927823252</v>
      </c>
      <c r="H465" s="29">
        <f t="shared" ca="1" si="69"/>
        <v>230</v>
      </c>
      <c r="J465" s="22">
        <v>45010</v>
      </c>
      <c r="K465" s="26">
        <f t="shared" ca="1" si="32"/>
        <v>6.5379527140914773E-2</v>
      </c>
      <c r="L465" s="29">
        <f t="shared" ca="1" si="70"/>
        <v>135</v>
      </c>
      <c r="N465" s="22">
        <v>45010</v>
      </c>
      <c r="O465" s="26">
        <f t="shared" ca="1" si="33"/>
        <v>6.6776606880909362E-2</v>
      </c>
      <c r="P465" s="29">
        <f t="shared" ca="1" si="71"/>
        <v>207</v>
      </c>
      <c r="R465" s="22">
        <v>45010</v>
      </c>
      <c r="S465" s="26">
        <f t="shared" ca="1" si="34"/>
        <v>0.84216462183203133</v>
      </c>
      <c r="T465" s="29">
        <f t="shared" ca="1" si="72"/>
        <v>149</v>
      </c>
      <c r="V465" s="22">
        <v>45010</v>
      </c>
      <c r="W465" s="26">
        <f t="shared" ca="1" si="35"/>
        <v>0.11257199402336948</v>
      </c>
      <c r="X465" s="29">
        <f t="shared" ca="1" si="73"/>
        <v>207</v>
      </c>
      <c r="Z465" s="22">
        <v>45010</v>
      </c>
      <c r="AA465" s="26">
        <f t="shared" ca="1" si="36"/>
        <v>0.64573554686793522</v>
      </c>
      <c r="AB465" s="29">
        <f t="shared" ca="1" si="74"/>
        <v>277</v>
      </c>
      <c r="AC465"/>
      <c r="AD465" s="25"/>
      <c r="AF465" s="22">
        <v>45010</v>
      </c>
      <c r="AG465" s="26">
        <f t="shared" ca="1" si="37"/>
        <v>0.33803279773161854</v>
      </c>
      <c r="AH465" s="29">
        <f t="shared" ca="1" si="75"/>
        <v>291</v>
      </c>
      <c r="AJ465" s="22">
        <v>45010</v>
      </c>
      <c r="AK465" s="26">
        <f t="shared" ca="1" si="38"/>
        <v>0.75564719098942701</v>
      </c>
      <c r="AL465" s="29">
        <f t="shared" ca="1" si="76"/>
        <v>202</v>
      </c>
      <c r="AN465" s="22">
        <v>45010</v>
      </c>
      <c r="AO465" s="26">
        <f t="shared" ca="1" si="39"/>
        <v>0.86947128493554027</v>
      </c>
      <c r="AP465" s="29">
        <v>0</v>
      </c>
      <c r="AR465" s="22">
        <v>45010</v>
      </c>
      <c r="AS465" s="26">
        <f t="shared" ca="1" si="40"/>
        <v>0.87335234994096345</v>
      </c>
      <c r="AT465" s="29">
        <v>0</v>
      </c>
      <c r="AV465" s="22">
        <v>45010</v>
      </c>
      <c r="AW465" s="26">
        <f t="shared" ca="1" si="41"/>
        <v>0.93630534174489677</v>
      </c>
      <c r="AX465" s="29">
        <v>0</v>
      </c>
      <c r="AZ465" s="22">
        <v>45010</v>
      </c>
      <c r="BA465" s="26">
        <f t="shared" ca="1" si="42"/>
        <v>0.90301611146399019</v>
      </c>
      <c r="BB465" s="29">
        <v>0</v>
      </c>
      <c r="BC465"/>
      <c r="BD465" s="25"/>
      <c r="BF465" s="22">
        <v>45010</v>
      </c>
      <c r="BG465" s="26">
        <f t="shared" ca="1" si="43"/>
        <v>4.9484770783281284E-4</v>
      </c>
      <c r="BH465" s="29">
        <v>0</v>
      </c>
      <c r="BJ465" s="22">
        <v>45010</v>
      </c>
      <c r="BK465" s="26">
        <f t="shared" ca="1" si="44"/>
        <v>0.70235634253563362</v>
      </c>
      <c r="BL465" s="29">
        <v>0</v>
      </c>
      <c r="BN465" s="22">
        <v>45010</v>
      </c>
      <c r="BO465" s="26">
        <f t="shared" ca="1" si="45"/>
        <v>0.15200438792742454</v>
      </c>
      <c r="BP465" s="29">
        <v>0</v>
      </c>
      <c r="BR465" s="22">
        <v>45010</v>
      </c>
      <c r="BS465" s="26">
        <f t="shared" ca="1" si="46"/>
        <v>0.41648503967889472</v>
      </c>
      <c r="BT465" s="29">
        <v>0</v>
      </c>
      <c r="BV465" s="22">
        <v>45010</v>
      </c>
      <c r="BW465" s="26">
        <f t="shared" ca="1" si="47"/>
        <v>0.7333339915737378</v>
      </c>
      <c r="BX465" s="29">
        <v>0</v>
      </c>
    </row>
    <row r="466" spans="2:77" ht="12.75" x14ac:dyDescent="0.2">
      <c r="B466" s="22">
        <v>45011</v>
      </c>
      <c r="C466" s="26">
        <f t="shared" ca="1" si="68"/>
        <v>0.62695079149824884</v>
      </c>
      <c r="D466" s="29">
        <f t="shared" ref="D466:D529" ca="1" si="77">ROUNDUP(_xlfn.NORM.INV(C466,C$10,C$12),0)</f>
        <v>82</v>
      </c>
      <c r="F466" s="22">
        <v>45011</v>
      </c>
      <c r="G466" s="26">
        <f t="shared" ca="1" si="31"/>
        <v>0.83748130896057049</v>
      </c>
      <c r="H466" s="29">
        <f t="shared" ca="1" si="69"/>
        <v>230</v>
      </c>
      <c r="J466" s="22">
        <v>45011</v>
      </c>
      <c r="K466" s="26">
        <f t="shared" ca="1" si="32"/>
        <v>0.72411243265050462</v>
      </c>
      <c r="L466" s="29">
        <f t="shared" ca="1" si="70"/>
        <v>156</v>
      </c>
      <c r="N466" s="22">
        <v>45011</v>
      </c>
      <c r="O466" s="26">
        <f t="shared" ca="1" si="33"/>
        <v>0.47263153422601079</v>
      </c>
      <c r="P466" s="29">
        <f t="shared" ca="1" si="71"/>
        <v>229</v>
      </c>
      <c r="R466" s="22">
        <v>45011</v>
      </c>
      <c r="S466" s="26">
        <f t="shared" ca="1" si="34"/>
        <v>0.42864935956383166</v>
      </c>
      <c r="T466" s="29">
        <f t="shared" ca="1" si="72"/>
        <v>138</v>
      </c>
      <c r="V466" s="22">
        <v>45011</v>
      </c>
      <c r="W466" s="26">
        <f t="shared" ca="1" si="35"/>
        <v>0.75550038319864321</v>
      </c>
      <c r="X466" s="29">
        <f t="shared" ca="1" si="73"/>
        <v>236</v>
      </c>
      <c r="Z466" s="22">
        <v>45011</v>
      </c>
      <c r="AA466" s="26">
        <f t="shared" ca="1" si="36"/>
        <v>0.52478108916115163</v>
      </c>
      <c r="AB466" s="29">
        <f t="shared" ca="1" si="74"/>
        <v>272</v>
      </c>
      <c r="AC466"/>
      <c r="AD466" s="25"/>
      <c r="AF466" s="22">
        <v>45011</v>
      </c>
      <c r="AG466" s="26">
        <f t="shared" ca="1" si="37"/>
        <v>0.42849852469507022</v>
      </c>
      <c r="AH466" s="29">
        <f t="shared" ca="1" si="75"/>
        <v>312</v>
      </c>
      <c r="AJ466" s="22">
        <v>45011</v>
      </c>
      <c r="AK466" s="26">
        <f t="shared" ca="1" si="38"/>
        <v>0.42950428375273109</v>
      </c>
      <c r="AL466" s="29">
        <f t="shared" ca="1" si="76"/>
        <v>163</v>
      </c>
      <c r="AN466" s="22">
        <v>45011</v>
      </c>
      <c r="AO466" s="26">
        <f t="shared" ca="1" si="39"/>
        <v>0.94471852751491103</v>
      </c>
      <c r="AP466" s="29">
        <v>0</v>
      </c>
      <c r="AR466" s="22">
        <v>45011</v>
      </c>
      <c r="AS466" s="26">
        <f t="shared" ca="1" si="40"/>
        <v>0.7923504978743714</v>
      </c>
      <c r="AT466" s="29">
        <v>0</v>
      </c>
      <c r="AV466" s="22">
        <v>45011</v>
      </c>
      <c r="AW466" s="26">
        <f t="shared" ca="1" si="41"/>
        <v>0.96640905887375483</v>
      </c>
      <c r="AX466" s="29">
        <v>0</v>
      </c>
      <c r="AZ466" s="22">
        <v>45011</v>
      </c>
      <c r="BA466" s="26">
        <f t="shared" ca="1" si="42"/>
        <v>0.2998370979905195</v>
      </c>
      <c r="BB466" s="29">
        <v>0</v>
      </c>
      <c r="BC466"/>
      <c r="BD466" s="25"/>
      <c r="BF466" s="22">
        <v>45011</v>
      </c>
      <c r="BG466" s="26">
        <f t="shared" ca="1" si="43"/>
        <v>0.58635213900776828</v>
      </c>
      <c r="BH466" s="29">
        <v>0</v>
      </c>
      <c r="BJ466" s="22">
        <v>45011</v>
      </c>
      <c r="BK466" s="26">
        <f t="shared" ca="1" si="44"/>
        <v>0.37136843501867001</v>
      </c>
      <c r="BL466" s="29">
        <v>0</v>
      </c>
      <c r="BN466" s="22">
        <v>45011</v>
      </c>
      <c r="BO466" s="26">
        <f t="shared" ca="1" si="45"/>
        <v>0.11517642908096049</v>
      </c>
      <c r="BP466" s="29">
        <v>0</v>
      </c>
      <c r="BR466" s="22">
        <v>45011</v>
      </c>
      <c r="BS466" s="26">
        <f t="shared" ca="1" si="46"/>
        <v>0.50351963232963293</v>
      </c>
      <c r="BT466" s="29">
        <v>0</v>
      </c>
      <c r="BV466" s="22">
        <v>45011</v>
      </c>
      <c r="BW466" s="26">
        <f t="shared" ca="1" si="47"/>
        <v>0.66154557906581923</v>
      </c>
      <c r="BX466" s="29">
        <v>0</v>
      </c>
    </row>
    <row r="467" spans="2:77" ht="12.75" x14ac:dyDescent="0.2">
      <c r="B467" s="22">
        <v>45012</v>
      </c>
      <c r="C467" s="26">
        <f t="shared" ca="1" si="68"/>
        <v>0.60139564681065616</v>
      </c>
      <c r="D467" s="29">
        <f t="shared" ca="1" si="77"/>
        <v>81</v>
      </c>
      <c r="F467" s="22">
        <v>45012</v>
      </c>
      <c r="G467" s="26">
        <f t="shared" ca="1" si="31"/>
        <v>0.62151367964206894</v>
      </c>
      <c r="H467" s="29">
        <f t="shared" ca="1" si="69"/>
        <v>220</v>
      </c>
      <c r="J467" s="22">
        <v>45012</v>
      </c>
      <c r="K467" s="26">
        <f t="shared" ca="1" si="32"/>
        <v>0.98457810683253988</v>
      </c>
      <c r="L467" s="29">
        <f t="shared" ca="1" si="70"/>
        <v>172</v>
      </c>
      <c r="N467" s="22">
        <v>45012</v>
      </c>
      <c r="O467" s="26">
        <f t="shared" ca="1" si="33"/>
        <v>1.3057671023737227E-2</v>
      </c>
      <c r="P467" s="29">
        <f t="shared" ca="1" si="71"/>
        <v>196</v>
      </c>
      <c r="R467" s="22">
        <v>45012</v>
      </c>
      <c r="S467" s="26">
        <f t="shared" ca="1" si="34"/>
        <v>0.87920790262603865</v>
      </c>
      <c r="T467" s="29">
        <f t="shared" ca="1" si="72"/>
        <v>150</v>
      </c>
      <c r="V467" s="22">
        <v>45012</v>
      </c>
      <c r="W467" s="26">
        <f t="shared" ca="1" si="35"/>
        <v>0.62397512255402499</v>
      </c>
      <c r="X467" s="29">
        <f t="shared" ca="1" si="73"/>
        <v>230</v>
      </c>
      <c r="Z467" s="22">
        <v>45012</v>
      </c>
      <c r="AA467" s="26">
        <f t="shared" ca="1" si="36"/>
        <v>0.86859073097275197</v>
      </c>
      <c r="AB467" s="29">
        <f t="shared" ca="1" si="74"/>
        <v>291</v>
      </c>
      <c r="AC467"/>
      <c r="AD467" s="25"/>
      <c r="AF467" s="22">
        <v>45012</v>
      </c>
      <c r="AG467" s="26">
        <f t="shared" ca="1" si="37"/>
        <v>0.13607718199230157</v>
      </c>
      <c r="AH467" s="29">
        <f t="shared" ca="1" si="75"/>
        <v>232</v>
      </c>
      <c r="AJ467" s="22">
        <v>45012</v>
      </c>
      <c r="AK467" s="26">
        <f t="shared" ca="1" si="38"/>
        <v>0.9934535363867476</v>
      </c>
      <c r="AL467" s="29">
        <f t="shared" ca="1" si="76"/>
        <v>284</v>
      </c>
      <c r="AN467" s="22">
        <v>45012</v>
      </c>
      <c r="AO467" s="26">
        <f t="shared" ca="1" si="39"/>
        <v>0.64540636637724769</v>
      </c>
      <c r="AP467" s="29">
        <v>0</v>
      </c>
      <c r="AR467" s="22">
        <v>45012</v>
      </c>
      <c r="AS467" s="26">
        <f t="shared" ca="1" si="40"/>
        <v>0.36024595876414689</v>
      </c>
      <c r="AT467" s="29">
        <v>0</v>
      </c>
      <c r="AV467" s="22">
        <v>45012</v>
      </c>
      <c r="AW467" s="26">
        <f t="shared" ca="1" si="41"/>
        <v>0.3240502869926094</v>
      </c>
      <c r="AX467" s="29">
        <v>0</v>
      </c>
      <c r="AZ467" s="22">
        <v>45012</v>
      </c>
      <c r="BA467" s="26">
        <f t="shared" ca="1" si="42"/>
        <v>0.60209531218037848</v>
      </c>
      <c r="BB467" s="29">
        <v>0</v>
      </c>
      <c r="BC467"/>
      <c r="BD467" s="25"/>
      <c r="BF467" s="22">
        <v>45012</v>
      </c>
      <c r="BG467" s="26">
        <f t="shared" ca="1" si="43"/>
        <v>0.32959346475262785</v>
      </c>
      <c r="BH467" s="29">
        <v>0</v>
      </c>
      <c r="BJ467" s="22">
        <v>45012</v>
      </c>
      <c r="BK467" s="26">
        <f t="shared" ca="1" si="44"/>
        <v>0.1450252146016332</v>
      </c>
      <c r="BL467" s="29">
        <v>0</v>
      </c>
      <c r="BN467" s="22">
        <v>45012</v>
      </c>
      <c r="BO467" s="26">
        <f t="shared" ca="1" si="45"/>
        <v>0.62296426169564501</v>
      </c>
      <c r="BP467" s="29">
        <v>0</v>
      </c>
      <c r="BR467" s="22">
        <v>45012</v>
      </c>
      <c r="BS467" s="26">
        <f t="shared" ca="1" si="46"/>
        <v>0.71110485050957906</v>
      </c>
      <c r="BT467" s="29">
        <v>0</v>
      </c>
      <c r="BV467" s="22">
        <v>45012</v>
      </c>
      <c r="BW467" s="26">
        <f t="shared" ca="1" si="47"/>
        <v>0.35793084043170986</v>
      </c>
      <c r="BX467" s="29">
        <v>0</v>
      </c>
    </row>
    <row r="468" spans="2:77" ht="12.75" x14ac:dyDescent="0.2">
      <c r="B468" s="22">
        <v>45013</v>
      </c>
      <c r="C468" s="26">
        <f t="shared" ca="1" si="68"/>
        <v>0.54939453776273317</v>
      </c>
      <c r="D468" s="29">
        <f t="shared" ca="1" si="77"/>
        <v>78</v>
      </c>
      <c r="F468" s="22">
        <v>45013</v>
      </c>
      <c r="G468" s="26">
        <f t="shared" ca="1" si="31"/>
        <v>0.45011474440716392</v>
      </c>
      <c r="H468" s="29">
        <f t="shared" ca="1" si="69"/>
        <v>214</v>
      </c>
      <c r="J468" s="22">
        <v>45013</v>
      </c>
      <c r="K468" s="26">
        <f t="shared" ca="1" si="32"/>
        <v>0.28269027117802659</v>
      </c>
      <c r="L468" s="29">
        <f t="shared" ca="1" si="70"/>
        <v>145</v>
      </c>
      <c r="N468" s="22">
        <v>45013</v>
      </c>
      <c r="O468" s="26">
        <f t="shared" ca="1" si="33"/>
        <v>0.29443085604893893</v>
      </c>
      <c r="P468" s="29">
        <f t="shared" ca="1" si="71"/>
        <v>222</v>
      </c>
      <c r="R468" s="22">
        <v>45013</v>
      </c>
      <c r="S468" s="26">
        <f t="shared" ca="1" si="34"/>
        <v>0.35074576232716248</v>
      </c>
      <c r="T468" s="29">
        <f t="shared" ca="1" si="72"/>
        <v>136</v>
      </c>
      <c r="V468" s="22">
        <v>45013</v>
      </c>
      <c r="W468" s="26">
        <f t="shared" ca="1" si="35"/>
        <v>0.9937965526691166</v>
      </c>
      <c r="X468" s="29">
        <f t="shared" ca="1" si="73"/>
        <v>263</v>
      </c>
      <c r="Z468" s="22">
        <v>45013</v>
      </c>
      <c r="AA468" s="26">
        <f t="shared" ca="1" si="36"/>
        <v>0.62296119567004549</v>
      </c>
      <c r="AB468" s="29">
        <f t="shared" ca="1" si="74"/>
        <v>276</v>
      </c>
      <c r="AC468"/>
      <c r="AD468" s="25"/>
      <c r="AF468" s="22">
        <v>45013</v>
      </c>
      <c r="AG468" s="26">
        <f t="shared" ca="1" si="37"/>
        <v>0.71722236544538021</v>
      </c>
      <c r="AH468" s="29">
        <f t="shared" ca="1" si="75"/>
        <v>378</v>
      </c>
      <c r="AJ468" s="22">
        <v>45013</v>
      </c>
      <c r="AK468" s="26">
        <f t="shared" ca="1" si="38"/>
        <v>0.4009371898018671</v>
      </c>
      <c r="AL468" s="29">
        <f t="shared" ca="1" si="76"/>
        <v>159</v>
      </c>
      <c r="AN468" s="22">
        <v>45013</v>
      </c>
      <c r="AO468" s="26">
        <f t="shared" ca="1" si="39"/>
        <v>0.22309763747026423</v>
      </c>
      <c r="AP468" s="29">
        <v>0</v>
      </c>
      <c r="AR468" s="22">
        <v>45013</v>
      </c>
      <c r="AS468" s="26">
        <f t="shared" ca="1" si="40"/>
        <v>0.73984512629152577</v>
      </c>
      <c r="AT468" s="29">
        <v>0</v>
      </c>
      <c r="AV468" s="22">
        <v>45013</v>
      </c>
      <c r="AW468" s="26">
        <f t="shared" ca="1" si="41"/>
        <v>0.38555921876211929</v>
      </c>
      <c r="AX468" s="29">
        <v>0</v>
      </c>
      <c r="AZ468" s="22">
        <v>45013</v>
      </c>
      <c r="BA468" s="26">
        <f t="shared" ca="1" si="42"/>
        <v>2.0690069291772528E-2</v>
      </c>
      <c r="BB468" s="29">
        <v>0</v>
      </c>
      <c r="BC468"/>
      <c r="BD468" s="25"/>
      <c r="BF468" s="22">
        <v>45013</v>
      </c>
      <c r="BG468" s="26">
        <f t="shared" ca="1" si="43"/>
        <v>0.8484342405079528</v>
      </c>
      <c r="BH468" s="29">
        <v>0</v>
      </c>
      <c r="BJ468" s="22">
        <v>45013</v>
      </c>
      <c r="BK468" s="26">
        <f t="shared" ca="1" si="44"/>
        <v>0.6439169488960611</v>
      </c>
      <c r="BL468" s="29">
        <v>0</v>
      </c>
      <c r="BN468" s="22">
        <v>45013</v>
      </c>
      <c r="BO468" s="26">
        <f t="shared" ca="1" si="45"/>
        <v>0.64807670154301533</v>
      </c>
      <c r="BP468" s="29">
        <v>0</v>
      </c>
      <c r="BR468" s="22">
        <v>45013</v>
      </c>
      <c r="BS468" s="26">
        <f t="shared" ca="1" si="46"/>
        <v>0.14088596579419521</v>
      </c>
      <c r="BT468" s="29">
        <v>0</v>
      </c>
      <c r="BV468" s="22">
        <v>45013</v>
      </c>
      <c r="BW468" s="26">
        <f t="shared" ca="1" si="47"/>
        <v>0.94635280365313246</v>
      </c>
      <c r="BX468" s="29">
        <v>0</v>
      </c>
    </row>
    <row r="469" spans="2:77" ht="12.75" x14ac:dyDescent="0.2">
      <c r="B469" s="22">
        <v>45014</v>
      </c>
      <c r="C469" s="26">
        <f t="shared" ca="1" si="68"/>
        <v>0.92822873656235694</v>
      </c>
      <c r="D469" s="29">
        <f t="shared" ca="1" si="77"/>
        <v>105</v>
      </c>
      <c r="F469" s="22">
        <v>45014</v>
      </c>
      <c r="G469" s="26">
        <f t="shared" ca="1" si="31"/>
        <v>0.86340891879682946</v>
      </c>
      <c r="H469" s="29">
        <f t="shared" ca="1" si="69"/>
        <v>232</v>
      </c>
      <c r="J469" s="22">
        <v>45014</v>
      </c>
      <c r="K469" s="26">
        <f t="shared" ca="1" si="32"/>
        <v>2.8011851244877151E-2</v>
      </c>
      <c r="L469" s="29">
        <f t="shared" ca="1" si="70"/>
        <v>131</v>
      </c>
      <c r="N469" s="22">
        <v>45014</v>
      </c>
      <c r="O469" s="26">
        <f t="shared" ca="1" si="33"/>
        <v>0.40227120758495039</v>
      </c>
      <c r="P469" s="29">
        <f t="shared" ca="1" si="71"/>
        <v>226</v>
      </c>
      <c r="R469" s="22">
        <v>45014</v>
      </c>
      <c r="S469" s="26">
        <f t="shared" ca="1" si="34"/>
        <v>0.16482030744350418</v>
      </c>
      <c r="T469" s="29">
        <f t="shared" ca="1" si="72"/>
        <v>130</v>
      </c>
      <c r="V469" s="22">
        <v>45014</v>
      </c>
      <c r="W469" s="26">
        <f t="shared" ca="1" si="35"/>
        <v>0.98483021349173439</v>
      </c>
      <c r="X469" s="29">
        <f t="shared" ca="1" si="73"/>
        <v>258</v>
      </c>
      <c r="Z469" s="22">
        <v>45014</v>
      </c>
      <c r="AA469" s="26">
        <f t="shared" ca="1" si="36"/>
        <v>0.35213340156653117</v>
      </c>
      <c r="AB469" s="29">
        <f t="shared" ca="1" si="74"/>
        <v>264</v>
      </c>
      <c r="AC469"/>
      <c r="AD469" s="25"/>
      <c r="AF469" s="22">
        <v>45014</v>
      </c>
      <c r="AG469" s="26">
        <f t="shared" ca="1" si="37"/>
        <v>0.11018497876940392</v>
      </c>
      <c r="AH469" s="29">
        <f t="shared" ca="1" si="75"/>
        <v>221</v>
      </c>
      <c r="AJ469" s="22">
        <v>45014</v>
      </c>
      <c r="AK469" s="26">
        <f t="shared" ca="1" si="38"/>
        <v>0.24006956291645287</v>
      </c>
      <c r="AL469" s="29">
        <f t="shared" ca="1" si="76"/>
        <v>139</v>
      </c>
      <c r="AN469" s="22">
        <v>45014</v>
      </c>
      <c r="AO469" s="26">
        <f t="shared" ca="1" si="39"/>
        <v>0.2141278667605151</v>
      </c>
      <c r="AP469" s="29">
        <v>0</v>
      </c>
      <c r="AR469" s="22">
        <v>45014</v>
      </c>
      <c r="AS469" s="26">
        <f t="shared" ca="1" si="40"/>
        <v>0.29007963487496835</v>
      </c>
      <c r="AT469" s="29">
        <v>0</v>
      </c>
      <c r="AV469" s="22">
        <v>45014</v>
      </c>
      <c r="AW469" s="26">
        <f t="shared" ca="1" si="41"/>
        <v>0.99858010721744506</v>
      </c>
      <c r="AX469" s="29">
        <v>0</v>
      </c>
      <c r="AZ469" s="22">
        <v>45014</v>
      </c>
      <c r="BA469" s="26">
        <f t="shared" ca="1" si="42"/>
        <v>0.15527416389089632</v>
      </c>
      <c r="BB469" s="29">
        <v>0</v>
      </c>
      <c r="BC469"/>
      <c r="BD469" s="25"/>
      <c r="BF469" s="22">
        <v>45014</v>
      </c>
      <c r="BG469" s="26">
        <f t="shared" ca="1" si="43"/>
        <v>0.61454394577037263</v>
      </c>
      <c r="BH469" s="29">
        <v>0</v>
      </c>
      <c r="BJ469" s="22">
        <v>45014</v>
      </c>
      <c r="BK469" s="26">
        <f t="shared" ca="1" si="44"/>
        <v>0.66293018216193766</v>
      </c>
      <c r="BL469" s="29">
        <v>0</v>
      </c>
      <c r="BN469" s="22">
        <v>45014</v>
      </c>
      <c r="BO469" s="26">
        <f t="shared" ca="1" si="45"/>
        <v>0.6749045801319723</v>
      </c>
      <c r="BP469" s="29">
        <v>0</v>
      </c>
      <c r="BR469" s="22">
        <v>45014</v>
      </c>
      <c r="BS469" s="26">
        <f t="shared" ca="1" si="46"/>
        <v>0.8442867419976593</v>
      </c>
      <c r="BT469" s="29">
        <v>0</v>
      </c>
      <c r="BV469" s="22">
        <v>45014</v>
      </c>
      <c r="BW469" s="26">
        <f t="shared" ca="1" si="47"/>
        <v>0.67014315198357965</v>
      </c>
      <c r="BX469" s="29">
        <v>0</v>
      </c>
    </row>
    <row r="470" spans="2:77" ht="12.75" x14ac:dyDescent="0.2">
      <c r="B470" s="22">
        <v>45015</v>
      </c>
      <c r="C470" s="26">
        <f t="shared" ca="1" si="68"/>
        <v>0.33607643337800097</v>
      </c>
      <c r="D470" s="29">
        <f t="shared" ca="1" si="77"/>
        <v>67</v>
      </c>
      <c r="F470" s="22">
        <v>45015</v>
      </c>
      <c r="G470" s="26">
        <f t="shared" ca="1" si="31"/>
        <v>5.8594559077756347E-2</v>
      </c>
      <c r="H470" s="29">
        <f t="shared" ca="1" si="69"/>
        <v>193</v>
      </c>
      <c r="J470" s="22">
        <v>45015</v>
      </c>
      <c r="K470" s="26">
        <f t="shared" ca="1" si="32"/>
        <v>0.38618234062278933</v>
      </c>
      <c r="L470" s="29">
        <f t="shared" ca="1" si="70"/>
        <v>148</v>
      </c>
      <c r="N470" s="22">
        <v>45015</v>
      </c>
      <c r="O470" s="26">
        <f t="shared" ca="1" si="33"/>
        <v>0.74856221100941533</v>
      </c>
      <c r="P470" s="29">
        <f t="shared" ca="1" si="71"/>
        <v>240</v>
      </c>
      <c r="R470" s="22">
        <v>45015</v>
      </c>
      <c r="S470" s="26">
        <f t="shared" ca="1" si="34"/>
        <v>0.66284133237163978</v>
      </c>
      <c r="T470" s="29">
        <f t="shared" ca="1" si="72"/>
        <v>143</v>
      </c>
      <c r="V470" s="22">
        <v>45015</v>
      </c>
      <c r="W470" s="26">
        <f t="shared" ca="1" si="35"/>
        <v>0.76999468104533564</v>
      </c>
      <c r="X470" s="29">
        <f t="shared" ca="1" si="73"/>
        <v>237</v>
      </c>
      <c r="Z470" s="22">
        <v>45015</v>
      </c>
      <c r="AA470" s="26">
        <f t="shared" ca="1" si="36"/>
        <v>0.29448036423227075</v>
      </c>
      <c r="AB470" s="29">
        <f t="shared" ca="1" si="74"/>
        <v>261</v>
      </c>
      <c r="AC470"/>
      <c r="AD470" s="25"/>
      <c r="AF470" s="22">
        <v>45015</v>
      </c>
      <c r="AG470" s="26">
        <f t="shared" ca="1" si="37"/>
        <v>0.51641179035374818</v>
      </c>
      <c r="AH470" s="29">
        <f t="shared" ca="1" si="75"/>
        <v>331</v>
      </c>
      <c r="AJ470" s="22">
        <v>45015</v>
      </c>
      <c r="AK470" s="26">
        <f t="shared" ca="1" si="38"/>
        <v>0.4148424524647335</v>
      </c>
      <c r="AL470" s="29">
        <f t="shared" ca="1" si="76"/>
        <v>161</v>
      </c>
      <c r="AN470" s="22">
        <v>45015</v>
      </c>
      <c r="AO470" s="26">
        <f t="shared" ca="1" si="39"/>
        <v>0.98198092946653937</v>
      </c>
      <c r="AP470" s="29">
        <v>0</v>
      </c>
      <c r="AR470" s="22">
        <v>45015</v>
      </c>
      <c r="AS470" s="26">
        <f t="shared" ca="1" si="40"/>
        <v>0.13078607068010928</v>
      </c>
      <c r="AT470" s="29">
        <v>0</v>
      </c>
      <c r="AV470" s="22">
        <v>45015</v>
      </c>
      <c r="AW470" s="26">
        <f t="shared" ca="1" si="41"/>
        <v>0.62966964899788846</v>
      </c>
      <c r="AX470" s="29">
        <v>0</v>
      </c>
      <c r="AZ470" s="22">
        <v>45015</v>
      </c>
      <c r="BA470" s="26">
        <f t="shared" ca="1" si="42"/>
        <v>0.10063229051025346</v>
      </c>
      <c r="BB470" s="29">
        <v>0</v>
      </c>
      <c r="BC470"/>
      <c r="BD470" s="25"/>
      <c r="BF470" s="22">
        <v>45015</v>
      </c>
      <c r="BG470" s="26">
        <f t="shared" ca="1" si="43"/>
        <v>0.88710323683631997</v>
      </c>
      <c r="BH470" s="29">
        <v>0</v>
      </c>
      <c r="BJ470" s="22">
        <v>45015</v>
      </c>
      <c r="BK470" s="26">
        <f t="shared" ca="1" si="44"/>
        <v>0.55092556263764481</v>
      </c>
      <c r="BL470" s="29">
        <v>0</v>
      </c>
      <c r="BN470" s="22">
        <v>45015</v>
      </c>
      <c r="BO470" s="26">
        <f t="shared" ca="1" si="45"/>
        <v>0.45537062352659718</v>
      </c>
      <c r="BP470" s="29">
        <v>0</v>
      </c>
      <c r="BR470" s="22">
        <v>45015</v>
      </c>
      <c r="BS470" s="26">
        <f t="shared" ca="1" si="46"/>
        <v>0.59287888081648821</v>
      </c>
      <c r="BT470" s="29">
        <v>0</v>
      </c>
      <c r="BV470" s="22">
        <v>45015</v>
      </c>
      <c r="BW470" s="26">
        <f t="shared" ca="1" si="47"/>
        <v>0.77328347581452384</v>
      </c>
      <c r="BX470" s="29">
        <v>0</v>
      </c>
    </row>
    <row r="471" spans="2:77" ht="12.75" x14ac:dyDescent="0.2">
      <c r="B471" s="22">
        <v>45016</v>
      </c>
      <c r="C471" s="26">
        <f t="shared" ca="1" si="68"/>
        <v>0.19782225077247417</v>
      </c>
      <c r="D471" s="29">
        <f t="shared" ca="1" si="77"/>
        <v>59</v>
      </c>
      <c r="E471">
        <v>2436</v>
      </c>
      <c r="F471" s="22">
        <v>45016</v>
      </c>
      <c r="G471" s="26">
        <f t="shared" ca="1" si="31"/>
        <v>0.65358343368374883</v>
      </c>
      <c r="H471" s="29">
        <f t="shared" ca="1" si="69"/>
        <v>222</v>
      </c>
      <c r="I471">
        <v>6733</v>
      </c>
      <c r="J471" s="22">
        <v>45016</v>
      </c>
      <c r="K471" s="26">
        <f t="shared" ca="1" si="32"/>
        <v>0.87933945268277236</v>
      </c>
      <c r="L471" s="29">
        <f t="shared" ca="1" si="70"/>
        <v>162</v>
      </c>
      <c r="M471">
        <v>4719</v>
      </c>
      <c r="N471" s="22">
        <v>45016</v>
      </c>
      <c r="O471" s="26">
        <f t="shared" ca="1" si="33"/>
        <v>0.82959816711505086</v>
      </c>
      <c r="P471" s="29">
        <f t="shared" ca="1" si="71"/>
        <v>244</v>
      </c>
      <c r="Q471">
        <v>7236</v>
      </c>
      <c r="R471" s="22">
        <v>45016</v>
      </c>
      <c r="S471" s="26">
        <f t="shared" ca="1" si="34"/>
        <v>0.63208686183611462</v>
      </c>
      <c r="T471" s="29">
        <f t="shared" ca="1" si="72"/>
        <v>142</v>
      </c>
      <c r="U471">
        <v>4381</v>
      </c>
      <c r="V471" s="22">
        <v>45016</v>
      </c>
      <c r="W471" s="26">
        <f t="shared" ca="1" si="35"/>
        <v>0.42218863384587746</v>
      </c>
      <c r="X471" s="29">
        <f t="shared" ca="1" si="73"/>
        <v>223</v>
      </c>
      <c r="Y471">
        <v>6973</v>
      </c>
      <c r="Z471" s="22">
        <v>45016</v>
      </c>
      <c r="AA471" s="26">
        <f t="shared" ca="1" si="36"/>
        <v>0.60378883335212552</v>
      </c>
      <c r="AB471" s="29">
        <f t="shared" ca="1" si="74"/>
        <v>275</v>
      </c>
      <c r="AC471">
        <v>8407</v>
      </c>
      <c r="AD471" s="25"/>
      <c r="AF471" s="22">
        <v>45016</v>
      </c>
      <c r="AG471" s="26">
        <f t="shared" ca="1" si="37"/>
        <v>0.27564176836933851</v>
      </c>
      <c r="AH471" s="29">
        <f t="shared" ca="1" si="75"/>
        <v>276</v>
      </c>
      <c r="AI471">
        <v>9402</v>
      </c>
      <c r="AJ471" s="22">
        <v>45016</v>
      </c>
      <c r="AK471" s="26">
        <f t="shared" ca="1" si="38"/>
        <v>0.55677280694801268</v>
      </c>
      <c r="AL471" s="29">
        <f t="shared" ca="1" si="76"/>
        <v>177</v>
      </c>
      <c r="AM471">
        <v>5472</v>
      </c>
      <c r="AN471" s="22">
        <v>45016</v>
      </c>
      <c r="AO471" s="26">
        <f t="shared" ca="1" si="39"/>
        <v>0.67797983530345285</v>
      </c>
      <c r="AP471" s="29">
        <v>0</v>
      </c>
      <c r="AQ471">
        <v>0</v>
      </c>
      <c r="AR471" s="22">
        <v>45016</v>
      </c>
      <c r="AS471" s="26">
        <f t="shared" ca="1" si="40"/>
        <v>0.64556233588131284</v>
      </c>
      <c r="AT471" s="29">
        <v>0</v>
      </c>
      <c r="AU471">
        <v>0</v>
      </c>
      <c r="AV471" s="22">
        <v>45016</v>
      </c>
      <c r="AW471" s="26">
        <f t="shared" ca="1" si="41"/>
        <v>4.6834868831390208E-2</v>
      </c>
      <c r="AX471" s="29">
        <v>0</v>
      </c>
      <c r="AY471">
        <v>0</v>
      </c>
      <c r="AZ471" s="22">
        <v>45016</v>
      </c>
      <c r="BA471" s="26">
        <f t="shared" ca="1" si="42"/>
        <v>0.79994799822980556</v>
      </c>
      <c r="BB471" s="29">
        <v>0</v>
      </c>
      <c r="BC471">
        <v>0</v>
      </c>
      <c r="BD471" s="25"/>
      <c r="BF471" s="22">
        <v>45016</v>
      </c>
      <c r="BG471" s="26">
        <f t="shared" ca="1" si="43"/>
        <v>0.29807033623163137</v>
      </c>
      <c r="BH471" s="29">
        <v>0</v>
      </c>
      <c r="BI471">
        <v>0</v>
      </c>
      <c r="BJ471" s="22">
        <v>45016</v>
      </c>
      <c r="BK471" s="26">
        <f t="shared" ca="1" si="44"/>
        <v>0.87807214800764577</v>
      </c>
      <c r="BL471" s="29">
        <v>0</v>
      </c>
      <c r="BM471">
        <v>0</v>
      </c>
      <c r="BN471" s="22">
        <v>45016</v>
      </c>
      <c r="BO471" s="26">
        <f t="shared" ca="1" si="45"/>
        <v>0.8058269879535287</v>
      </c>
      <c r="BP471" s="29">
        <v>0</v>
      </c>
      <c r="BQ471">
        <v>0</v>
      </c>
      <c r="BR471" s="22">
        <v>45016</v>
      </c>
      <c r="BS471" s="26">
        <f t="shared" ca="1" si="46"/>
        <v>0.84548381448547283</v>
      </c>
      <c r="BT471" s="29">
        <v>0</v>
      </c>
      <c r="BU471">
        <v>0</v>
      </c>
      <c r="BV471" s="22">
        <v>45016</v>
      </c>
      <c r="BW471" s="26">
        <f t="shared" ca="1" si="47"/>
        <v>0.6223877897773098</v>
      </c>
      <c r="BX471" s="29">
        <v>0</v>
      </c>
      <c r="BY471">
        <v>0</v>
      </c>
    </row>
    <row r="472" spans="2:77" ht="12.75" x14ac:dyDescent="0.2">
      <c r="B472" s="22">
        <v>45017</v>
      </c>
      <c r="C472" s="26">
        <f t="shared" ca="1" si="68"/>
        <v>0.89279122220507956</v>
      </c>
      <c r="D472" s="29">
        <f ca="1">ROUNDUP(_xlfn.NORM.INV(C471,C$10,C$12),0)</f>
        <v>59</v>
      </c>
      <c r="F472" s="22">
        <v>45017</v>
      </c>
      <c r="G472" s="26">
        <f t="shared" ca="1" si="31"/>
        <v>0.78783995192066791</v>
      </c>
      <c r="H472" s="29">
        <f ca="1">ROUNDUP(_xlfn.NORM.INV(G471,G$10,G$12),0)</f>
        <v>222</v>
      </c>
      <c r="J472" s="22">
        <v>45017</v>
      </c>
      <c r="K472" s="26">
        <f t="shared" ca="1" si="32"/>
        <v>3.9478844997876239E-2</v>
      </c>
      <c r="L472" s="29">
        <f ca="1">ROUNDUP(_xlfn.NORM.INV(K471,K$10,K$12),0)</f>
        <v>162</v>
      </c>
      <c r="N472" s="22">
        <v>45017</v>
      </c>
      <c r="O472" s="26">
        <f t="shared" ca="1" si="33"/>
        <v>2.217689700595149E-2</v>
      </c>
      <c r="P472" s="29">
        <f ca="1">ROUNDUP(_xlfn.NORM.INV(O471,O$10,O$12),0)</f>
        <v>244</v>
      </c>
      <c r="R472" s="22">
        <v>45017</v>
      </c>
      <c r="S472" s="26">
        <f t="shared" ca="1" si="34"/>
        <v>1.5823328445858431E-2</v>
      </c>
      <c r="T472" s="29">
        <f ca="1">ROUNDUP(_xlfn.NORM.INV(S471,S$10,S$12),0)</f>
        <v>142</v>
      </c>
      <c r="V472" s="22">
        <v>45017</v>
      </c>
      <c r="W472" s="26">
        <f t="shared" ca="1" si="35"/>
        <v>0.31219192175647326</v>
      </c>
      <c r="X472" s="29">
        <f ca="1">ROUNDUP(_xlfn.NORM.INV(W471,W$10,W$12),0)</f>
        <v>223</v>
      </c>
      <c r="Z472" s="22">
        <v>45017</v>
      </c>
      <c r="AA472" s="26">
        <f t="shared" ca="1" si="36"/>
        <v>0.56188871413149144</v>
      </c>
      <c r="AB472" s="29">
        <f ca="1">ROUNDUP(_xlfn.NORM.INV(AA471,AA$10,AA$12),0)</f>
        <v>275</v>
      </c>
      <c r="AC472"/>
      <c r="AD472" s="25"/>
      <c r="AF472" s="22">
        <v>45017</v>
      </c>
      <c r="AG472" s="26">
        <f t="shared" ca="1" si="37"/>
        <v>0.31792625891100057</v>
      </c>
      <c r="AH472" s="29">
        <f ca="1">ROUNDUP(_xlfn.NORM.INV(AG471,AG$10,AG$12),0)</f>
        <v>276</v>
      </c>
      <c r="AJ472" s="22">
        <v>45017</v>
      </c>
      <c r="AK472" s="26">
        <f t="shared" ca="1" si="38"/>
        <v>6.8810668681416609E-2</v>
      </c>
      <c r="AL472" s="29">
        <f ca="1">ROUNDUP(_xlfn.NORM.INV(AK471,AK$10,AK$12),0)</f>
        <v>177</v>
      </c>
      <c r="AN472" s="22">
        <v>45017</v>
      </c>
      <c r="AO472" s="26">
        <f t="shared" ca="1" si="39"/>
        <v>0.31098635958148335</v>
      </c>
      <c r="AP472" s="29">
        <v>0</v>
      </c>
      <c r="AR472" s="22">
        <v>45017</v>
      </c>
      <c r="AS472" s="26">
        <f t="shared" ca="1" si="40"/>
        <v>0.9674432438545133</v>
      </c>
      <c r="AT472" s="29">
        <v>0</v>
      </c>
      <c r="AV472" s="22">
        <v>45017</v>
      </c>
      <c r="AW472" s="26">
        <f t="shared" ca="1" si="41"/>
        <v>0.43431526721830815</v>
      </c>
      <c r="AX472" s="29">
        <v>0</v>
      </c>
      <c r="AZ472" s="22">
        <v>45017</v>
      </c>
      <c r="BA472" s="26">
        <f t="shared" ca="1" si="42"/>
        <v>0.19089325072628893</v>
      </c>
      <c r="BB472" s="29">
        <v>0</v>
      </c>
      <c r="BC472"/>
      <c r="BD472" s="25"/>
      <c r="BF472" s="22">
        <v>45017</v>
      </c>
      <c r="BG472" s="26">
        <f t="shared" ca="1" si="43"/>
        <v>0.98779117624569324</v>
      </c>
      <c r="BH472" s="29">
        <v>0</v>
      </c>
      <c r="BJ472" s="22">
        <v>45017</v>
      </c>
      <c r="BK472" s="26">
        <f t="shared" ca="1" si="44"/>
        <v>0.68674605485491302</v>
      </c>
      <c r="BL472" s="29">
        <v>0</v>
      </c>
      <c r="BN472" s="22">
        <v>45017</v>
      </c>
      <c r="BO472" s="26">
        <f t="shared" ca="1" si="45"/>
        <v>0.1188627317401858</v>
      </c>
      <c r="BP472" s="29">
        <v>0</v>
      </c>
      <c r="BR472" s="22">
        <v>45017</v>
      </c>
      <c r="BS472" s="26">
        <f t="shared" ca="1" si="46"/>
        <v>0.85544755093252955</v>
      </c>
      <c r="BT472" s="29">
        <v>0</v>
      </c>
      <c r="BV472" s="22">
        <v>45017</v>
      </c>
      <c r="BW472" s="26">
        <f t="shared" ca="1" si="47"/>
        <v>0.27998957395924007</v>
      </c>
      <c r="BX472" s="29">
        <v>0</v>
      </c>
    </row>
    <row r="473" spans="2:77" ht="12.75" x14ac:dyDescent="0.2">
      <c r="B473" s="22">
        <v>45018</v>
      </c>
      <c r="C473" s="26">
        <f t="shared" ca="1" si="68"/>
        <v>0.86945137921150673</v>
      </c>
      <c r="D473" s="29">
        <f t="shared" ca="1" si="77"/>
        <v>98</v>
      </c>
      <c r="F473" s="22">
        <v>45018</v>
      </c>
      <c r="G473" s="26">
        <f t="shared" ca="1" si="31"/>
        <v>0.37806985037057217</v>
      </c>
      <c r="H473" s="29">
        <f t="shared" ca="1" si="69"/>
        <v>211</v>
      </c>
      <c r="J473" s="22">
        <v>45018</v>
      </c>
      <c r="K473" s="26">
        <f t="shared" ca="1" si="32"/>
        <v>0.81470606778167498</v>
      </c>
      <c r="L473" s="29">
        <f t="shared" ca="1" si="70"/>
        <v>159</v>
      </c>
      <c r="N473" s="22">
        <v>45018</v>
      </c>
      <c r="O473" s="26">
        <f t="shared" ca="1" si="33"/>
        <v>0.52816973243184262</v>
      </c>
      <c r="P473" s="29">
        <f t="shared" ca="1" si="71"/>
        <v>231</v>
      </c>
      <c r="R473" s="22">
        <v>45018</v>
      </c>
      <c r="S473" s="26">
        <f t="shared" ca="1" si="34"/>
        <v>0.36967695043380622</v>
      </c>
      <c r="T473" s="29">
        <f t="shared" ca="1" si="72"/>
        <v>136</v>
      </c>
      <c r="V473" s="22">
        <v>45018</v>
      </c>
      <c r="W473" s="26">
        <f t="shared" ca="1" si="35"/>
        <v>0.46570559759705343</v>
      </c>
      <c r="X473" s="29">
        <f t="shared" ca="1" si="73"/>
        <v>224</v>
      </c>
      <c r="Z473" s="22">
        <v>45018</v>
      </c>
      <c r="AA473" s="26">
        <f t="shared" ca="1" si="36"/>
        <v>0.20583744475892152</v>
      </c>
      <c r="AB473" s="29">
        <f t="shared" ca="1" si="74"/>
        <v>256</v>
      </c>
      <c r="AC473"/>
      <c r="AD473" s="25"/>
      <c r="AF473" s="22">
        <v>45018</v>
      </c>
      <c r="AG473" s="26">
        <f t="shared" ca="1" si="37"/>
        <v>0.15873408636212638</v>
      </c>
      <c r="AH473" s="29">
        <f t="shared" ca="1" si="75"/>
        <v>240</v>
      </c>
      <c r="AJ473" s="22">
        <v>45018</v>
      </c>
      <c r="AK473" s="26">
        <f t="shared" ca="1" si="38"/>
        <v>0.13939551687764817</v>
      </c>
      <c r="AL473" s="29">
        <f t="shared" ca="1" si="76"/>
        <v>122</v>
      </c>
      <c r="AN473" s="22">
        <v>45018</v>
      </c>
      <c r="AO473" s="26">
        <f t="shared" ca="1" si="39"/>
        <v>4.3544828353820342E-2</v>
      </c>
      <c r="AP473" s="29">
        <v>0</v>
      </c>
      <c r="AR473" s="22">
        <v>45018</v>
      </c>
      <c r="AS473" s="26">
        <f t="shared" ca="1" si="40"/>
        <v>0.50442027859310956</v>
      </c>
      <c r="AT473" s="29">
        <v>0</v>
      </c>
      <c r="AV473" s="22">
        <v>45018</v>
      </c>
      <c r="AW473" s="26">
        <f t="shared" ca="1" si="41"/>
        <v>0.85928774699807708</v>
      </c>
      <c r="AX473" s="29">
        <v>0</v>
      </c>
      <c r="AZ473" s="22">
        <v>45018</v>
      </c>
      <c r="BA473" s="26">
        <f t="shared" ca="1" si="42"/>
        <v>0.66618514003099416</v>
      </c>
      <c r="BB473" s="29">
        <v>0</v>
      </c>
      <c r="BC473"/>
      <c r="BD473" s="25"/>
      <c r="BF473" s="22">
        <v>45018</v>
      </c>
      <c r="BG473" s="26">
        <f t="shared" ca="1" si="43"/>
        <v>0.29159917027245252</v>
      </c>
      <c r="BH473" s="29">
        <v>0</v>
      </c>
      <c r="BJ473" s="22">
        <v>45018</v>
      </c>
      <c r="BK473" s="26">
        <f t="shared" ca="1" si="44"/>
        <v>0.87076792728905483</v>
      </c>
      <c r="BL473" s="29">
        <v>0</v>
      </c>
      <c r="BN473" s="22">
        <v>45018</v>
      </c>
      <c r="BO473" s="26">
        <f t="shared" ca="1" si="45"/>
        <v>9.9350251344676455E-4</v>
      </c>
      <c r="BP473" s="29">
        <v>0</v>
      </c>
      <c r="BR473" s="22">
        <v>45018</v>
      </c>
      <c r="BS473" s="26">
        <f t="shared" ca="1" si="46"/>
        <v>0.83573184965403968</v>
      </c>
      <c r="BT473" s="29">
        <v>0</v>
      </c>
      <c r="BV473" s="22">
        <v>45018</v>
      </c>
      <c r="BW473" s="26">
        <f t="shared" ca="1" si="47"/>
        <v>0.5996266005456653</v>
      </c>
      <c r="BX473" s="29">
        <v>0</v>
      </c>
    </row>
    <row r="474" spans="2:77" ht="12.75" x14ac:dyDescent="0.2">
      <c r="B474" s="22">
        <v>45019</v>
      </c>
      <c r="C474" s="26">
        <f t="shared" ca="1" si="68"/>
        <v>0.48448418779474511</v>
      </c>
      <c r="D474" s="29">
        <f t="shared" ca="1" si="77"/>
        <v>75</v>
      </c>
      <c r="F474" s="22">
        <v>45019</v>
      </c>
      <c r="G474" s="26">
        <f t="shared" ca="1" si="31"/>
        <v>9.5106917816444425E-2</v>
      </c>
      <c r="H474" s="29">
        <f t="shared" ca="1" si="69"/>
        <v>197</v>
      </c>
      <c r="J474" s="22">
        <v>45019</v>
      </c>
      <c r="K474" s="26">
        <f t="shared" ca="1" si="32"/>
        <v>0.93481603182511908</v>
      </c>
      <c r="L474" s="29">
        <f t="shared" ca="1" si="70"/>
        <v>166</v>
      </c>
      <c r="N474" s="22">
        <v>45019</v>
      </c>
      <c r="O474" s="26">
        <f t="shared" ca="1" si="33"/>
        <v>0.81181195247424687</v>
      </c>
      <c r="P474" s="29">
        <f t="shared" ca="1" si="71"/>
        <v>243</v>
      </c>
      <c r="R474" s="22">
        <v>45019</v>
      </c>
      <c r="S474" s="26">
        <f t="shared" ca="1" si="34"/>
        <v>0.77184936724682174</v>
      </c>
      <c r="T474" s="29">
        <f t="shared" ca="1" si="72"/>
        <v>146</v>
      </c>
      <c r="V474" s="22">
        <v>45019</v>
      </c>
      <c r="W474" s="26">
        <f t="shared" ca="1" si="35"/>
        <v>0.43482568392765453</v>
      </c>
      <c r="X474" s="29">
        <f t="shared" ca="1" si="73"/>
        <v>223</v>
      </c>
      <c r="Z474" s="22">
        <v>45019</v>
      </c>
      <c r="AA474" s="26">
        <f t="shared" ca="1" si="36"/>
        <v>9.7329198468501188E-2</v>
      </c>
      <c r="AB474" s="29">
        <f t="shared" ca="1" si="74"/>
        <v>247</v>
      </c>
      <c r="AC474"/>
      <c r="AD474" s="25"/>
      <c r="AF474" s="22">
        <v>45019</v>
      </c>
      <c r="AG474" s="26">
        <f t="shared" ca="1" si="37"/>
        <v>0.46250592863788254</v>
      </c>
      <c r="AH474" s="29">
        <f t="shared" ca="1" si="75"/>
        <v>319</v>
      </c>
      <c r="AJ474" s="22">
        <v>45019</v>
      </c>
      <c r="AK474" s="26">
        <f t="shared" ca="1" si="38"/>
        <v>0.10428524577363585</v>
      </c>
      <c r="AL474" s="29">
        <f t="shared" ca="1" si="76"/>
        <v>114</v>
      </c>
      <c r="AN474" s="22">
        <v>45019</v>
      </c>
      <c r="AO474" s="26">
        <f t="shared" ca="1" si="39"/>
        <v>0.42350735630040481</v>
      </c>
      <c r="AP474" s="29">
        <v>0</v>
      </c>
      <c r="AR474" s="22">
        <v>45019</v>
      </c>
      <c r="AS474" s="26">
        <f t="shared" ca="1" si="40"/>
        <v>0.63742889795854574</v>
      </c>
      <c r="AT474" s="29">
        <v>0</v>
      </c>
      <c r="AV474" s="22">
        <v>45019</v>
      </c>
      <c r="AW474" s="26">
        <f t="shared" ca="1" si="41"/>
        <v>0.85454299564216918</v>
      </c>
      <c r="AX474" s="29">
        <v>0</v>
      </c>
      <c r="AZ474" s="22">
        <v>45019</v>
      </c>
      <c r="BA474" s="26">
        <f t="shared" ca="1" si="42"/>
        <v>0.78653023065788696</v>
      </c>
      <c r="BB474" s="29">
        <v>0</v>
      </c>
      <c r="BC474"/>
      <c r="BD474" s="25"/>
      <c r="BF474" s="22">
        <v>45019</v>
      </c>
      <c r="BG474" s="26">
        <f t="shared" ca="1" si="43"/>
        <v>0.82108446113675826</v>
      </c>
      <c r="BH474" s="29">
        <v>0</v>
      </c>
      <c r="BJ474" s="22">
        <v>45019</v>
      </c>
      <c r="BK474" s="26">
        <f t="shared" ca="1" si="44"/>
        <v>4.5124422086429972E-3</v>
      </c>
      <c r="BL474" s="29">
        <v>0</v>
      </c>
      <c r="BN474" s="22">
        <v>45019</v>
      </c>
      <c r="BO474" s="26">
        <f t="shared" ca="1" si="45"/>
        <v>0.93432081286257918</v>
      </c>
      <c r="BP474" s="29">
        <v>0</v>
      </c>
      <c r="BR474" s="22">
        <v>45019</v>
      </c>
      <c r="BS474" s="26">
        <f t="shared" ca="1" si="46"/>
        <v>0.85551764543605846</v>
      </c>
      <c r="BT474" s="29">
        <v>0</v>
      </c>
      <c r="BV474" s="22">
        <v>45019</v>
      </c>
      <c r="BW474" s="26">
        <f t="shared" ca="1" si="47"/>
        <v>0.18608283654789581</v>
      </c>
      <c r="BX474" s="29">
        <v>0</v>
      </c>
    </row>
    <row r="475" spans="2:77" ht="12.75" x14ac:dyDescent="0.2">
      <c r="B475" s="22">
        <v>45020</v>
      </c>
      <c r="C475" s="26">
        <f t="shared" ca="1" si="68"/>
        <v>0.46578605575894449</v>
      </c>
      <c r="D475" s="29">
        <f t="shared" ca="1" si="77"/>
        <v>74</v>
      </c>
      <c r="F475" s="22">
        <v>45020</v>
      </c>
      <c r="G475" s="26">
        <f t="shared" ca="1" si="31"/>
        <v>0.37330996779252446</v>
      </c>
      <c r="H475" s="29">
        <f t="shared" ca="1" si="69"/>
        <v>211</v>
      </c>
      <c r="J475" s="22">
        <v>45020</v>
      </c>
      <c r="K475" s="26">
        <f t="shared" ca="1" si="32"/>
        <v>0.7521205105240627</v>
      </c>
      <c r="L475" s="29">
        <f t="shared" ca="1" si="70"/>
        <v>157</v>
      </c>
      <c r="N475" s="22">
        <v>45020</v>
      </c>
      <c r="O475" s="26">
        <f t="shared" ca="1" si="33"/>
        <v>0.73264912255813819</v>
      </c>
      <c r="P475" s="29">
        <f t="shared" ca="1" si="71"/>
        <v>239</v>
      </c>
      <c r="R475" s="22">
        <v>45020</v>
      </c>
      <c r="S475" s="26">
        <f t="shared" ca="1" si="34"/>
        <v>0.56640288222572799</v>
      </c>
      <c r="T475" s="29">
        <f t="shared" ca="1" si="72"/>
        <v>141</v>
      </c>
      <c r="V475" s="22">
        <v>45020</v>
      </c>
      <c r="W475" s="26">
        <f t="shared" ca="1" si="35"/>
        <v>0.21237282714529948</v>
      </c>
      <c r="X475" s="29">
        <f t="shared" ca="1" si="73"/>
        <v>214</v>
      </c>
      <c r="Z475" s="22">
        <v>45020</v>
      </c>
      <c r="AA475" s="26">
        <f t="shared" ca="1" si="36"/>
        <v>0.45908852696346447</v>
      </c>
      <c r="AB475" s="29">
        <f t="shared" ca="1" si="74"/>
        <v>269</v>
      </c>
      <c r="AC475"/>
      <c r="AD475" s="25"/>
      <c r="AF475" s="22">
        <v>45020</v>
      </c>
      <c r="AG475" s="26">
        <f t="shared" ca="1" si="37"/>
        <v>0.53758715189086981</v>
      </c>
      <c r="AH475" s="29">
        <f t="shared" ca="1" si="75"/>
        <v>336</v>
      </c>
      <c r="AJ475" s="22">
        <v>45020</v>
      </c>
      <c r="AK475" s="26">
        <f t="shared" ca="1" si="38"/>
        <v>0.82023917805162194</v>
      </c>
      <c r="AL475" s="29">
        <f t="shared" ca="1" si="76"/>
        <v>213</v>
      </c>
      <c r="AN475" s="22">
        <v>45020</v>
      </c>
      <c r="AO475" s="26">
        <f t="shared" ca="1" si="39"/>
        <v>0.26921724951940529</v>
      </c>
      <c r="AP475" s="29">
        <v>0</v>
      </c>
      <c r="AR475" s="22">
        <v>45020</v>
      </c>
      <c r="AS475" s="26">
        <f t="shared" ca="1" si="40"/>
        <v>0.95136186361364106</v>
      </c>
      <c r="AT475" s="29">
        <v>0</v>
      </c>
      <c r="AV475" s="22">
        <v>45020</v>
      </c>
      <c r="AW475" s="26">
        <f t="shared" ca="1" si="41"/>
        <v>0.2911637054016698</v>
      </c>
      <c r="AX475" s="29">
        <v>0</v>
      </c>
      <c r="AZ475" s="22">
        <v>45020</v>
      </c>
      <c r="BA475" s="26">
        <f t="shared" ca="1" si="42"/>
        <v>0.83669988432947995</v>
      </c>
      <c r="BB475" s="29">
        <v>0</v>
      </c>
      <c r="BC475"/>
      <c r="BD475" s="25"/>
      <c r="BF475" s="22">
        <v>45020</v>
      </c>
      <c r="BG475" s="26">
        <f t="shared" ca="1" si="43"/>
        <v>0.30614883724043918</v>
      </c>
      <c r="BH475" s="29">
        <v>0</v>
      </c>
      <c r="BJ475" s="22">
        <v>45020</v>
      </c>
      <c r="BK475" s="26">
        <f t="shared" ca="1" si="44"/>
        <v>0.4390772557237832</v>
      </c>
      <c r="BL475" s="29">
        <v>0</v>
      </c>
      <c r="BN475" s="22">
        <v>45020</v>
      </c>
      <c r="BO475" s="26">
        <f t="shared" ca="1" si="45"/>
        <v>0.58605398487891724</v>
      </c>
      <c r="BP475" s="29">
        <v>0</v>
      </c>
      <c r="BR475" s="22">
        <v>45020</v>
      </c>
      <c r="BS475" s="26">
        <f t="shared" ca="1" si="46"/>
        <v>0.67103850518112396</v>
      </c>
      <c r="BT475" s="29">
        <v>0</v>
      </c>
      <c r="BV475" s="22">
        <v>45020</v>
      </c>
      <c r="BW475" s="26">
        <f t="shared" ca="1" si="47"/>
        <v>0.44753331914643235</v>
      </c>
      <c r="BX475" s="29">
        <v>0</v>
      </c>
    </row>
    <row r="476" spans="2:77" ht="12.75" x14ac:dyDescent="0.2">
      <c r="B476" s="22">
        <v>45021</v>
      </c>
      <c r="C476" s="26">
        <f t="shared" ca="1" si="68"/>
        <v>0.36676323240264885</v>
      </c>
      <c r="D476" s="29">
        <f t="shared" ca="1" si="77"/>
        <v>69</v>
      </c>
      <c r="F476" s="22">
        <v>45021</v>
      </c>
      <c r="G476" s="26">
        <f t="shared" ca="1" si="31"/>
        <v>0.6900688596057718</v>
      </c>
      <c r="H476" s="29">
        <f t="shared" ca="1" si="69"/>
        <v>223</v>
      </c>
      <c r="J476" s="22">
        <v>45021</v>
      </c>
      <c r="K476" s="26">
        <f t="shared" ca="1" si="32"/>
        <v>0.82400253169196669</v>
      </c>
      <c r="L476" s="29">
        <f t="shared" ca="1" si="70"/>
        <v>160</v>
      </c>
      <c r="N476" s="22">
        <v>45021</v>
      </c>
      <c r="O476" s="26">
        <f t="shared" ca="1" si="33"/>
        <v>0.83900298464511558</v>
      </c>
      <c r="P476" s="29">
        <f t="shared" ca="1" si="71"/>
        <v>245</v>
      </c>
      <c r="R476" s="22">
        <v>45021</v>
      </c>
      <c r="S476" s="26">
        <f t="shared" ca="1" si="34"/>
        <v>0.53523075638579232</v>
      </c>
      <c r="T476" s="29">
        <f t="shared" ca="1" si="72"/>
        <v>140</v>
      </c>
      <c r="V476" s="22">
        <v>45021</v>
      </c>
      <c r="W476" s="26">
        <f t="shared" ca="1" si="35"/>
        <v>0.43568895924508955</v>
      </c>
      <c r="X476" s="29">
        <f t="shared" ca="1" si="73"/>
        <v>223</v>
      </c>
      <c r="Z476" s="22">
        <v>45021</v>
      </c>
      <c r="AA476" s="26">
        <f t="shared" ca="1" si="36"/>
        <v>0.10848188924355007</v>
      </c>
      <c r="AB476" s="29">
        <f t="shared" ca="1" si="74"/>
        <v>248</v>
      </c>
      <c r="AC476"/>
      <c r="AD476" s="25"/>
      <c r="AF476" s="22">
        <v>45021</v>
      </c>
      <c r="AG476" s="26">
        <f t="shared" ca="1" si="37"/>
        <v>0.75945235564588665</v>
      </c>
      <c r="AH476" s="29">
        <f t="shared" ca="1" si="75"/>
        <v>389</v>
      </c>
      <c r="AJ476" s="22">
        <v>45021</v>
      </c>
      <c r="AK476" s="26">
        <f t="shared" ca="1" si="38"/>
        <v>3.1745634473517526E-2</v>
      </c>
      <c r="AL476" s="29">
        <f t="shared" ca="1" si="76"/>
        <v>87</v>
      </c>
      <c r="AN476" s="22">
        <v>45021</v>
      </c>
      <c r="AO476" s="26">
        <f t="shared" ca="1" si="39"/>
        <v>0.62860370284176936</v>
      </c>
      <c r="AP476" s="29">
        <v>0</v>
      </c>
      <c r="AR476" s="22">
        <v>45021</v>
      </c>
      <c r="AS476" s="26">
        <f t="shared" ca="1" si="40"/>
        <v>0.49226648198931522</v>
      </c>
      <c r="AT476" s="29">
        <v>0</v>
      </c>
      <c r="AV476" s="22">
        <v>45021</v>
      </c>
      <c r="AW476" s="26">
        <f t="shared" ca="1" si="41"/>
        <v>0.54083327862678765</v>
      </c>
      <c r="AX476" s="29">
        <v>0</v>
      </c>
      <c r="AZ476" s="22">
        <v>45021</v>
      </c>
      <c r="BA476" s="26">
        <f t="shared" ca="1" si="42"/>
        <v>0.54006830643559323</v>
      </c>
      <c r="BB476" s="29">
        <v>0</v>
      </c>
      <c r="BC476"/>
      <c r="BD476" s="25"/>
      <c r="BF476" s="22">
        <v>45021</v>
      </c>
      <c r="BG476" s="26">
        <f t="shared" ca="1" si="43"/>
        <v>0.52398716927823463</v>
      </c>
      <c r="BH476" s="29">
        <v>0</v>
      </c>
      <c r="BJ476" s="22">
        <v>45021</v>
      </c>
      <c r="BK476" s="26">
        <f t="shared" ca="1" si="44"/>
        <v>0.38564700882527669</v>
      </c>
      <c r="BL476" s="29">
        <v>0</v>
      </c>
      <c r="BN476" s="22">
        <v>45021</v>
      </c>
      <c r="BO476" s="26">
        <f t="shared" ca="1" si="45"/>
        <v>0.47263506686531631</v>
      </c>
      <c r="BP476" s="29">
        <v>0</v>
      </c>
      <c r="BR476" s="22">
        <v>45021</v>
      </c>
      <c r="BS476" s="26">
        <f t="shared" ca="1" si="46"/>
        <v>0.25477795168105333</v>
      </c>
      <c r="BT476" s="29">
        <v>0</v>
      </c>
      <c r="BV476" s="22">
        <v>45021</v>
      </c>
      <c r="BW476" s="26">
        <f t="shared" ca="1" si="47"/>
        <v>0.67833420011770074</v>
      </c>
      <c r="BX476" s="29">
        <v>0</v>
      </c>
    </row>
    <row r="477" spans="2:77" ht="12.75" x14ac:dyDescent="0.2">
      <c r="B477" s="22">
        <v>45022</v>
      </c>
      <c r="C477" s="26">
        <f t="shared" ca="1" si="68"/>
        <v>0.83685593752568499</v>
      </c>
      <c r="D477" s="29">
        <f t="shared" ca="1" si="77"/>
        <v>95</v>
      </c>
      <c r="F477" s="22">
        <v>45022</v>
      </c>
      <c r="G477" s="26">
        <f t="shared" ca="1" si="31"/>
        <v>0.39792125712655402</v>
      </c>
      <c r="H477" s="29">
        <f t="shared" ca="1" si="69"/>
        <v>212</v>
      </c>
      <c r="J477" s="22">
        <v>45022</v>
      </c>
      <c r="K477" s="26">
        <f t="shared" ca="1" si="32"/>
        <v>0.17473044119368297</v>
      </c>
      <c r="L477" s="29">
        <f t="shared" ca="1" si="70"/>
        <v>141</v>
      </c>
      <c r="N477" s="22">
        <v>45022</v>
      </c>
      <c r="O477" s="26">
        <f t="shared" ca="1" si="33"/>
        <v>0.46047423193929493</v>
      </c>
      <c r="P477" s="29">
        <f t="shared" ca="1" si="71"/>
        <v>228</v>
      </c>
      <c r="R477" s="22">
        <v>45022</v>
      </c>
      <c r="S477" s="26">
        <f t="shared" ca="1" si="34"/>
        <v>0.34351080837689763</v>
      </c>
      <c r="T477" s="29">
        <f t="shared" ca="1" si="72"/>
        <v>136</v>
      </c>
      <c r="V477" s="22">
        <v>45022</v>
      </c>
      <c r="W477" s="26">
        <f t="shared" ca="1" si="35"/>
        <v>0.42141574834793261</v>
      </c>
      <c r="X477" s="29">
        <f t="shared" ca="1" si="73"/>
        <v>223</v>
      </c>
      <c r="Z477" s="22">
        <v>45022</v>
      </c>
      <c r="AA477" s="26">
        <f t="shared" ca="1" si="36"/>
        <v>0.60890563572148471</v>
      </c>
      <c r="AB477" s="29">
        <f t="shared" ca="1" si="74"/>
        <v>275</v>
      </c>
      <c r="AC477"/>
      <c r="AD477" s="25"/>
      <c r="AF477" s="22">
        <v>45022</v>
      </c>
      <c r="AG477" s="26">
        <f t="shared" ca="1" si="37"/>
        <v>0.43402128244492288</v>
      </c>
      <c r="AH477" s="29">
        <f t="shared" ca="1" si="75"/>
        <v>313</v>
      </c>
      <c r="AJ477" s="22">
        <v>45022</v>
      </c>
      <c r="AK477" s="26">
        <f t="shared" ca="1" si="38"/>
        <v>6.8080576056405162E-2</v>
      </c>
      <c r="AL477" s="29">
        <f t="shared" ca="1" si="76"/>
        <v>103</v>
      </c>
      <c r="AN477" s="22">
        <v>45022</v>
      </c>
      <c r="AO477" s="26">
        <f t="shared" ca="1" si="39"/>
        <v>0.19780111447966942</v>
      </c>
      <c r="AP477" s="29">
        <v>0</v>
      </c>
      <c r="AR477" s="22">
        <v>45022</v>
      </c>
      <c r="AS477" s="26">
        <f t="shared" ca="1" si="40"/>
        <v>0.10749983837589849</v>
      </c>
      <c r="AT477" s="29">
        <v>0</v>
      </c>
      <c r="AV477" s="22">
        <v>45022</v>
      </c>
      <c r="AW477" s="26">
        <f t="shared" ca="1" si="41"/>
        <v>0.301150384221753</v>
      </c>
      <c r="AX477" s="29">
        <v>0</v>
      </c>
      <c r="AZ477" s="22">
        <v>45022</v>
      </c>
      <c r="BA477" s="26">
        <f t="shared" ca="1" si="42"/>
        <v>0.16460327663433105</v>
      </c>
      <c r="BB477" s="29">
        <v>0</v>
      </c>
      <c r="BC477"/>
      <c r="BD477" s="25"/>
      <c r="BF477" s="22">
        <v>45022</v>
      </c>
      <c r="BG477" s="26">
        <f t="shared" ca="1" si="43"/>
        <v>0.34936235394378301</v>
      </c>
      <c r="BH477" s="29">
        <v>0</v>
      </c>
      <c r="BJ477" s="22">
        <v>45022</v>
      </c>
      <c r="BK477" s="26">
        <f t="shared" ca="1" si="44"/>
        <v>0.93590139188222499</v>
      </c>
      <c r="BL477" s="29">
        <v>0</v>
      </c>
      <c r="BN477" s="22">
        <v>45022</v>
      </c>
      <c r="BO477" s="26">
        <f t="shared" ca="1" si="45"/>
        <v>3.8350481594302988E-2</v>
      </c>
      <c r="BP477" s="29">
        <v>0</v>
      </c>
      <c r="BR477" s="22">
        <v>45022</v>
      </c>
      <c r="BS477" s="26">
        <f t="shared" ca="1" si="46"/>
        <v>0.39943977582165135</v>
      </c>
      <c r="BT477" s="29">
        <v>0</v>
      </c>
      <c r="BV477" s="22">
        <v>45022</v>
      </c>
      <c r="BW477" s="26">
        <f t="shared" ca="1" si="47"/>
        <v>0.73740250980311683</v>
      </c>
      <c r="BX477" s="29">
        <v>0</v>
      </c>
    </row>
    <row r="478" spans="2:77" ht="12.75" x14ac:dyDescent="0.2">
      <c r="B478" s="22">
        <v>45023</v>
      </c>
      <c r="C478" s="26">
        <f t="shared" ca="1" si="68"/>
        <v>0.11486081007903925</v>
      </c>
      <c r="D478" s="29">
        <f t="shared" ca="1" si="77"/>
        <v>51</v>
      </c>
      <c r="F478" s="22">
        <v>45023</v>
      </c>
      <c r="G478" s="26">
        <f t="shared" ca="1" si="31"/>
        <v>0.9792975153978869</v>
      </c>
      <c r="H478" s="29">
        <f t="shared" ca="1" si="69"/>
        <v>245</v>
      </c>
      <c r="J478" s="22">
        <v>45023</v>
      </c>
      <c r="K478" s="26">
        <f t="shared" ca="1" si="32"/>
        <v>0.68544417814478908</v>
      </c>
      <c r="L478" s="29">
        <f t="shared" ca="1" si="70"/>
        <v>155</v>
      </c>
      <c r="N478" s="22">
        <v>45023</v>
      </c>
      <c r="O478" s="26">
        <f t="shared" ca="1" si="33"/>
        <v>0.24733235603089743</v>
      </c>
      <c r="P478" s="29">
        <f t="shared" ca="1" si="71"/>
        <v>219</v>
      </c>
      <c r="R478" s="22">
        <v>45023</v>
      </c>
      <c r="S478" s="26">
        <f t="shared" ca="1" si="34"/>
        <v>0.59914932143125088</v>
      </c>
      <c r="T478" s="29">
        <f t="shared" ca="1" si="72"/>
        <v>142</v>
      </c>
      <c r="V478" s="22">
        <v>45023</v>
      </c>
      <c r="W478" s="26">
        <f t="shared" ca="1" si="35"/>
        <v>0.49096711280391514</v>
      </c>
      <c r="X478" s="29">
        <f t="shared" ca="1" si="73"/>
        <v>225</v>
      </c>
      <c r="Z478" s="22">
        <v>45023</v>
      </c>
      <c r="AA478" s="26">
        <f t="shared" ca="1" si="36"/>
        <v>0.2313696915018133</v>
      </c>
      <c r="AB478" s="29">
        <f t="shared" ca="1" si="74"/>
        <v>257</v>
      </c>
      <c r="AC478"/>
      <c r="AD478" s="25"/>
      <c r="AF478" s="22">
        <v>45023</v>
      </c>
      <c r="AG478" s="26">
        <f t="shared" ca="1" si="37"/>
        <v>0.61471227717359544</v>
      </c>
      <c r="AH478" s="29">
        <f t="shared" ca="1" si="75"/>
        <v>353</v>
      </c>
      <c r="AJ478" s="22">
        <v>45023</v>
      </c>
      <c r="AK478" s="26">
        <f t="shared" ca="1" si="38"/>
        <v>0.81174205383209197</v>
      </c>
      <c r="AL478" s="29">
        <f t="shared" ca="1" si="76"/>
        <v>211</v>
      </c>
      <c r="AN478" s="22">
        <v>45023</v>
      </c>
      <c r="AO478" s="26">
        <f t="shared" ca="1" si="39"/>
        <v>0.90815283312998862</v>
      </c>
      <c r="AP478" s="29">
        <v>0</v>
      </c>
      <c r="AR478" s="22">
        <v>45023</v>
      </c>
      <c r="AS478" s="26">
        <f t="shared" ca="1" si="40"/>
        <v>0.45729897637391514</v>
      </c>
      <c r="AT478" s="29">
        <v>0</v>
      </c>
      <c r="AV478" s="22">
        <v>45023</v>
      </c>
      <c r="AW478" s="26">
        <f t="shared" ca="1" si="41"/>
        <v>0.73907957486582143</v>
      </c>
      <c r="AX478" s="29">
        <v>0</v>
      </c>
      <c r="AZ478" s="22">
        <v>45023</v>
      </c>
      <c r="BA478" s="26">
        <f t="shared" ca="1" si="42"/>
        <v>0.29534364484598896</v>
      </c>
      <c r="BB478" s="29">
        <v>0</v>
      </c>
      <c r="BC478"/>
      <c r="BD478" s="25"/>
      <c r="BF478" s="22">
        <v>45023</v>
      </c>
      <c r="BG478" s="26">
        <f t="shared" ca="1" si="43"/>
        <v>0.33317430763358069</v>
      </c>
      <c r="BH478" s="29">
        <v>0</v>
      </c>
      <c r="BJ478" s="22">
        <v>45023</v>
      </c>
      <c r="BK478" s="26">
        <f t="shared" ca="1" si="44"/>
        <v>0.41526784849555287</v>
      </c>
      <c r="BL478" s="29">
        <v>0</v>
      </c>
      <c r="BN478" s="22">
        <v>45023</v>
      </c>
      <c r="BO478" s="26">
        <f t="shared" ca="1" si="45"/>
        <v>1.4715440661006163E-5</v>
      </c>
      <c r="BP478" s="29">
        <v>0</v>
      </c>
      <c r="BR478" s="22">
        <v>45023</v>
      </c>
      <c r="BS478" s="26">
        <f t="shared" ca="1" si="46"/>
        <v>0.93187248134446921</v>
      </c>
      <c r="BT478" s="29">
        <v>0</v>
      </c>
      <c r="BV478" s="22">
        <v>45023</v>
      </c>
      <c r="BW478" s="26">
        <f t="shared" ca="1" si="47"/>
        <v>0.64879351935802454</v>
      </c>
      <c r="BX478" s="29">
        <v>0</v>
      </c>
    </row>
    <row r="479" spans="2:77" ht="12.75" x14ac:dyDescent="0.2">
      <c r="B479" s="22">
        <v>45024</v>
      </c>
      <c r="C479" s="26">
        <f t="shared" ca="1" si="68"/>
        <v>3.8224661071780131E-2</v>
      </c>
      <c r="D479" s="29">
        <f t="shared" ca="1" si="77"/>
        <v>40</v>
      </c>
      <c r="F479" s="22">
        <v>45024</v>
      </c>
      <c r="G479" s="26">
        <f t="shared" ca="1" si="31"/>
        <v>0.49524223714883497</v>
      </c>
      <c r="H479" s="29">
        <f t="shared" ca="1" si="69"/>
        <v>216</v>
      </c>
      <c r="J479" s="22">
        <v>45024</v>
      </c>
      <c r="K479" s="26">
        <f t="shared" ca="1" si="32"/>
        <v>0.60232779403894698</v>
      </c>
      <c r="L479" s="29">
        <f t="shared" ca="1" si="70"/>
        <v>153</v>
      </c>
      <c r="N479" s="22">
        <v>45024</v>
      </c>
      <c r="O479" s="26">
        <f t="shared" ca="1" si="33"/>
        <v>0.25410789241125953</v>
      </c>
      <c r="P479" s="29">
        <f t="shared" ca="1" si="71"/>
        <v>220</v>
      </c>
      <c r="R479" s="22">
        <v>45024</v>
      </c>
      <c r="S479" s="26">
        <f t="shared" ca="1" si="34"/>
        <v>0.66473788546711021</v>
      </c>
      <c r="T479" s="29">
        <f t="shared" ca="1" si="72"/>
        <v>143</v>
      </c>
      <c r="V479" s="22">
        <v>45024</v>
      </c>
      <c r="W479" s="26">
        <f t="shared" ca="1" si="35"/>
        <v>0.76024185961965729</v>
      </c>
      <c r="X479" s="29">
        <f t="shared" ca="1" si="73"/>
        <v>236</v>
      </c>
      <c r="Z479" s="22">
        <v>45024</v>
      </c>
      <c r="AA479" s="26">
        <f t="shared" ca="1" si="36"/>
        <v>0.74510475579786006</v>
      </c>
      <c r="AB479" s="29">
        <f t="shared" ca="1" si="74"/>
        <v>282</v>
      </c>
      <c r="AC479"/>
      <c r="AD479" s="25"/>
      <c r="AF479" s="22">
        <v>45024</v>
      </c>
      <c r="AG479" s="26">
        <f t="shared" ca="1" si="37"/>
        <v>0.11970171179081801</v>
      </c>
      <c r="AH479" s="29">
        <f t="shared" ca="1" si="75"/>
        <v>225</v>
      </c>
      <c r="AJ479" s="22">
        <v>45024</v>
      </c>
      <c r="AK479" s="26">
        <f t="shared" ca="1" si="38"/>
        <v>0.77100319620847502</v>
      </c>
      <c r="AL479" s="29">
        <f t="shared" ca="1" si="76"/>
        <v>205</v>
      </c>
      <c r="AN479" s="22">
        <v>45024</v>
      </c>
      <c r="AO479" s="26">
        <f t="shared" ca="1" si="39"/>
        <v>0.64897794859876556</v>
      </c>
      <c r="AP479" s="29">
        <v>0</v>
      </c>
      <c r="AR479" s="22">
        <v>45024</v>
      </c>
      <c r="AS479" s="26">
        <f t="shared" ca="1" si="40"/>
        <v>0.19795540875337514</v>
      </c>
      <c r="AT479" s="29">
        <v>0</v>
      </c>
      <c r="AV479" s="22">
        <v>45024</v>
      </c>
      <c r="AW479" s="26">
        <f t="shared" ca="1" si="41"/>
        <v>0.50661069727476171</v>
      </c>
      <c r="AX479" s="29">
        <v>0</v>
      </c>
      <c r="AZ479" s="22">
        <v>45024</v>
      </c>
      <c r="BA479" s="26">
        <f t="shared" ca="1" si="42"/>
        <v>0.73407148351592066</v>
      </c>
      <c r="BB479" s="29">
        <v>0</v>
      </c>
      <c r="BC479"/>
      <c r="BD479" s="25"/>
      <c r="BF479" s="22">
        <v>45024</v>
      </c>
      <c r="BG479" s="26">
        <f t="shared" ca="1" si="43"/>
        <v>0.9033543513190273</v>
      </c>
      <c r="BH479" s="29">
        <v>0</v>
      </c>
      <c r="BJ479" s="22">
        <v>45024</v>
      </c>
      <c r="BK479" s="26">
        <f t="shared" ca="1" si="44"/>
        <v>0.3028595145182571</v>
      </c>
      <c r="BL479" s="29">
        <v>0</v>
      </c>
      <c r="BN479" s="22">
        <v>45024</v>
      </c>
      <c r="BO479" s="26">
        <f t="shared" ca="1" si="45"/>
        <v>0.44425145515563158</v>
      </c>
      <c r="BP479" s="29">
        <v>0</v>
      </c>
      <c r="BR479" s="22">
        <v>45024</v>
      </c>
      <c r="BS479" s="26">
        <f t="shared" ca="1" si="46"/>
        <v>0.24707868116495868</v>
      </c>
      <c r="BT479" s="29">
        <v>0</v>
      </c>
      <c r="BV479" s="22">
        <v>45024</v>
      </c>
      <c r="BW479" s="26">
        <f t="shared" ca="1" si="47"/>
        <v>6.8844974704833639E-3</v>
      </c>
      <c r="BX479" s="29">
        <v>0</v>
      </c>
    </row>
    <row r="480" spans="2:77" ht="12.75" x14ac:dyDescent="0.2">
      <c r="B480" s="22">
        <v>45025</v>
      </c>
      <c r="C480" s="26">
        <f t="shared" ca="1" si="68"/>
        <v>0.93049484624522061</v>
      </c>
      <c r="D480" s="29">
        <f t="shared" ca="1" si="77"/>
        <v>105</v>
      </c>
      <c r="F480" s="22">
        <v>45025</v>
      </c>
      <c r="G480" s="26">
        <f t="shared" ca="1" si="31"/>
        <v>0.34078138542382597</v>
      </c>
      <c r="H480" s="29">
        <f t="shared" ca="1" si="69"/>
        <v>210</v>
      </c>
      <c r="J480" s="22">
        <v>45025</v>
      </c>
      <c r="K480" s="26">
        <f t="shared" ca="1" si="32"/>
        <v>0.9331646568467028</v>
      </c>
      <c r="L480" s="29">
        <f t="shared" ca="1" si="70"/>
        <v>165</v>
      </c>
      <c r="N480" s="22">
        <v>45025</v>
      </c>
      <c r="O480" s="26">
        <f t="shared" ca="1" si="33"/>
        <v>0.41973932984942397</v>
      </c>
      <c r="P480" s="29">
        <f t="shared" ca="1" si="71"/>
        <v>227</v>
      </c>
      <c r="R480" s="22">
        <v>45025</v>
      </c>
      <c r="S480" s="26">
        <f t="shared" ca="1" si="34"/>
        <v>0.80732661417306106</v>
      </c>
      <c r="T480" s="29">
        <f t="shared" ca="1" si="72"/>
        <v>147</v>
      </c>
      <c r="V480" s="22">
        <v>45025</v>
      </c>
      <c r="W480" s="26">
        <f t="shared" ca="1" si="35"/>
        <v>0.73122285988774627</v>
      </c>
      <c r="X480" s="29">
        <f t="shared" ca="1" si="73"/>
        <v>235</v>
      </c>
      <c r="Z480" s="22">
        <v>45025</v>
      </c>
      <c r="AA480" s="26">
        <f t="shared" ca="1" si="36"/>
        <v>0.3146083801469981</v>
      </c>
      <c r="AB480" s="29">
        <f t="shared" ca="1" si="74"/>
        <v>262</v>
      </c>
      <c r="AC480"/>
      <c r="AD480" s="25"/>
      <c r="AF480" s="22">
        <v>45025</v>
      </c>
      <c r="AG480" s="26">
        <f t="shared" ca="1" si="37"/>
        <v>0.7358101498591787</v>
      </c>
      <c r="AH480" s="29">
        <f t="shared" ca="1" si="75"/>
        <v>382</v>
      </c>
      <c r="AJ480" s="22">
        <v>45025</v>
      </c>
      <c r="AK480" s="26">
        <f t="shared" ca="1" si="38"/>
        <v>0.76832054799759997</v>
      </c>
      <c r="AL480" s="29">
        <f t="shared" ca="1" si="76"/>
        <v>204</v>
      </c>
      <c r="AN480" s="22">
        <v>45025</v>
      </c>
      <c r="AO480" s="26">
        <f t="shared" ca="1" si="39"/>
        <v>0.25701449994271863</v>
      </c>
      <c r="AP480" s="29">
        <v>0</v>
      </c>
      <c r="AR480" s="22">
        <v>45025</v>
      </c>
      <c r="AS480" s="26">
        <f t="shared" ca="1" si="40"/>
        <v>0.93061532544111569</v>
      </c>
      <c r="AT480" s="29">
        <v>0</v>
      </c>
      <c r="AV480" s="22">
        <v>45025</v>
      </c>
      <c r="AW480" s="26">
        <f t="shared" ca="1" si="41"/>
        <v>7.41152841437136E-2</v>
      </c>
      <c r="AX480" s="29">
        <v>0</v>
      </c>
      <c r="AZ480" s="22">
        <v>45025</v>
      </c>
      <c r="BA480" s="26">
        <f t="shared" ca="1" si="42"/>
        <v>0.50414626535543672</v>
      </c>
      <c r="BB480" s="29">
        <v>0</v>
      </c>
      <c r="BC480"/>
      <c r="BD480" s="25"/>
      <c r="BF480" s="22">
        <v>45025</v>
      </c>
      <c r="BG480" s="26">
        <f t="shared" ca="1" si="43"/>
        <v>0.42388891075507873</v>
      </c>
      <c r="BH480" s="29">
        <v>0</v>
      </c>
      <c r="BJ480" s="22">
        <v>45025</v>
      </c>
      <c r="BK480" s="26">
        <f t="shared" ca="1" si="44"/>
        <v>0.34763591481707057</v>
      </c>
      <c r="BL480" s="29">
        <v>0</v>
      </c>
      <c r="BN480" s="22">
        <v>45025</v>
      </c>
      <c r="BO480" s="26">
        <f t="shared" ca="1" si="45"/>
        <v>0.33169323979022058</v>
      </c>
      <c r="BP480" s="29">
        <v>0</v>
      </c>
      <c r="BR480" s="22">
        <v>45025</v>
      </c>
      <c r="BS480" s="26">
        <f t="shared" ca="1" si="46"/>
        <v>0.83013100614643209</v>
      </c>
      <c r="BT480" s="29">
        <v>0</v>
      </c>
      <c r="BV480" s="22">
        <v>45025</v>
      </c>
      <c r="BW480" s="26">
        <f t="shared" ca="1" si="47"/>
        <v>0.78273623966948047</v>
      </c>
      <c r="BX480" s="29">
        <v>0</v>
      </c>
    </row>
    <row r="481" spans="2:76" ht="12.75" x14ac:dyDescent="0.2">
      <c r="B481" s="22">
        <v>45026</v>
      </c>
      <c r="C481" s="26">
        <f t="shared" ca="1" si="68"/>
        <v>0.87939420233821475</v>
      </c>
      <c r="D481" s="29">
        <v>0</v>
      </c>
      <c r="F481" s="22">
        <v>45026</v>
      </c>
      <c r="G481" s="26">
        <f t="shared" ca="1" si="31"/>
        <v>0.50786079324758127</v>
      </c>
      <c r="H481" s="29">
        <v>0</v>
      </c>
      <c r="J481" s="22">
        <v>45026</v>
      </c>
      <c r="K481" s="26">
        <f t="shared" ca="1" si="32"/>
        <v>0.81998114431833358</v>
      </c>
      <c r="L481" s="29">
        <v>0</v>
      </c>
      <c r="N481" s="22">
        <v>45026</v>
      </c>
      <c r="O481" s="26">
        <f t="shared" ca="1" si="33"/>
        <v>0.24787667157848015</v>
      </c>
      <c r="P481" s="29">
        <v>0</v>
      </c>
      <c r="R481" s="22">
        <v>45026</v>
      </c>
      <c r="S481" s="26">
        <f t="shared" ca="1" si="34"/>
        <v>0.83462808533294697</v>
      </c>
      <c r="T481" s="29">
        <v>0</v>
      </c>
      <c r="V481" s="22">
        <v>45026</v>
      </c>
      <c r="W481" s="26">
        <f t="shared" ca="1" si="35"/>
        <v>9.3091605470736583E-2</v>
      </c>
      <c r="X481" s="29">
        <v>0</v>
      </c>
      <c r="Z481" s="22">
        <v>45026</v>
      </c>
      <c r="AA481" s="26">
        <f t="shared" ca="1" si="36"/>
        <v>0.66500744090154562</v>
      </c>
      <c r="AB481" s="29">
        <v>0</v>
      </c>
      <c r="AC481"/>
      <c r="AD481" s="25"/>
      <c r="AF481" s="22">
        <v>45026</v>
      </c>
      <c r="AG481" s="26">
        <f t="shared" ca="1" si="37"/>
        <v>0.87438828852800998</v>
      </c>
      <c r="AH481" s="29">
        <v>0</v>
      </c>
      <c r="AJ481" s="22">
        <v>45026</v>
      </c>
      <c r="AK481" s="26">
        <f t="shared" ca="1" si="38"/>
        <v>0.5024715152849123</v>
      </c>
      <c r="AL481" s="29">
        <v>0</v>
      </c>
      <c r="AN481" s="22">
        <v>45026</v>
      </c>
      <c r="AO481" s="26">
        <f t="shared" ca="1" si="39"/>
        <v>0.36966999717115057</v>
      </c>
      <c r="AP481" s="29">
        <v>0</v>
      </c>
      <c r="AR481" s="22">
        <v>45026</v>
      </c>
      <c r="AS481" s="26">
        <f t="shared" ca="1" si="40"/>
        <v>0.54152367912867416</v>
      </c>
      <c r="AT481" s="29">
        <v>0</v>
      </c>
      <c r="AV481" s="22">
        <v>45026</v>
      </c>
      <c r="AW481" s="26">
        <f t="shared" ca="1" si="41"/>
        <v>8.6351603747001571E-2</v>
      </c>
      <c r="AX481" s="29">
        <v>0</v>
      </c>
      <c r="AZ481" s="22">
        <v>45026</v>
      </c>
      <c r="BA481" s="26">
        <f t="shared" ca="1" si="42"/>
        <v>0.1062840803130759</v>
      </c>
      <c r="BB481" s="29">
        <v>0</v>
      </c>
      <c r="BC481"/>
      <c r="BD481" s="25"/>
      <c r="BF481" s="22">
        <v>45026</v>
      </c>
      <c r="BG481" s="26">
        <f t="shared" ca="1" si="43"/>
        <v>0.63722868814963707</v>
      </c>
      <c r="BH481" s="29">
        <v>0</v>
      </c>
      <c r="BJ481" s="22">
        <v>45026</v>
      </c>
      <c r="BK481" s="26">
        <f t="shared" ca="1" si="44"/>
        <v>0.82776858867995817</v>
      </c>
      <c r="BL481" s="29">
        <v>0</v>
      </c>
      <c r="BN481" s="22">
        <v>45026</v>
      </c>
      <c r="BO481" s="26">
        <f t="shared" ca="1" si="45"/>
        <v>0.48313114699772075</v>
      </c>
      <c r="BP481" s="29">
        <v>0</v>
      </c>
      <c r="BR481" s="22">
        <v>45026</v>
      </c>
      <c r="BS481" s="26">
        <f t="shared" ca="1" si="46"/>
        <v>0.28385474431803026</v>
      </c>
      <c r="BT481" s="29">
        <v>0</v>
      </c>
      <c r="BV481" s="22">
        <v>45026</v>
      </c>
      <c r="BW481" s="26">
        <f t="shared" ca="1" si="47"/>
        <v>3.7392331338838236E-2</v>
      </c>
      <c r="BX481" s="29">
        <v>0</v>
      </c>
    </row>
    <row r="482" spans="2:76" ht="12.75" x14ac:dyDescent="0.2">
      <c r="B482" s="22">
        <v>45027</v>
      </c>
      <c r="C482" s="26">
        <f t="shared" ca="1" si="68"/>
        <v>0.81343188017623613</v>
      </c>
      <c r="D482" s="29">
        <v>0</v>
      </c>
      <c r="F482" s="22">
        <v>45027</v>
      </c>
      <c r="G482" s="26">
        <f t="shared" ca="1" si="31"/>
        <v>0.63802055051833018</v>
      </c>
      <c r="H482" s="29">
        <v>0</v>
      </c>
      <c r="J482" s="22">
        <v>45027</v>
      </c>
      <c r="K482" s="26">
        <f t="shared" ca="1" si="32"/>
        <v>0.65635735981459409</v>
      </c>
      <c r="L482" s="29">
        <v>0</v>
      </c>
      <c r="N482" s="22">
        <v>45027</v>
      </c>
      <c r="O482" s="26">
        <f t="shared" ca="1" si="33"/>
        <v>0.54026619504959161</v>
      </c>
      <c r="P482" s="29">
        <v>0</v>
      </c>
      <c r="R482" s="22">
        <v>45027</v>
      </c>
      <c r="S482" s="26">
        <f t="shared" ca="1" si="34"/>
        <v>0.94542356239003567</v>
      </c>
      <c r="T482" s="29">
        <v>0</v>
      </c>
      <c r="V482" s="22">
        <v>45027</v>
      </c>
      <c r="W482" s="26">
        <f t="shared" ca="1" si="35"/>
        <v>0.465229343348457</v>
      </c>
      <c r="X482" s="29">
        <v>0</v>
      </c>
      <c r="Z482" s="22">
        <v>45027</v>
      </c>
      <c r="AA482" s="26">
        <f t="shared" ca="1" si="36"/>
        <v>0.35789685345206801</v>
      </c>
      <c r="AB482" s="29">
        <v>0</v>
      </c>
      <c r="AC482"/>
      <c r="AD482" s="25"/>
      <c r="AF482" s="22">
        <v>45027</v>
      </c>
      <c r="AG482" s="26">
        <f t="shared" ca="1" si="37"/>
        <v>0.88794624620031726</v>
      </c>
      <c r="AH482" s="29">
        <v>0</v>
      </c>
      <c r="AJ482" s="22">
        <v>45027</v>
      </c>
      <c r="AK482" s="26">
        <f t="shared" ca="1" si="38"/>
        <v>0.37913387124771059</v>
      </c>
      <c r="AL482" s="29">
        <v>0</v>
      </c>
      <c r="AN482" s="22">
        <v>45027</v>
      </c>
      <c r="AO482" s="26">
        <f t="shared" ca="1" si="39"/>
        <v>0.73452543740555465</v>
      </c>
      <c r="AP482" s="29">
        <v>0</v>
      </c>
      <c r="AR482" s="22">
        <v>45027</v>
      </c>
      <c r="AS482" s="26">
        <f t="shared" ca="1" si="40"/>
        <v>0.15425148042457792</v>
      </c>
      <c r="AT482" s="29">
        <v>0</v>
      </c>
      <c r="AV482" s="22">
        <v>45027</v>
      </c>
      <c r="AW482" s="26">
        <f t="shared" ca="1" si="41"/>
        <v>0.85158082472015906</v>
      </c>
      <c r="AX482" s="29">
        <v>0</v>
      </c>
      <c r="AZ482" s="22">
        <v>45027</v>
      </c>
      <c r="BA482" s="26">
        <f t="shared" ca="1" si="42"/>
        <v>0.50763476772731941</v>
      </c>
      <c r="BB482" s="29">
        <v>0</v>
      </c>
      <c r="BC482"/>
      <c r="BD482" s="25"/>
      <c r="BF482" s="22">
        <v>45027</v>
      </c>
      <c r="BG482" s="26">
        <f t="shared" ca="1" si="43"/>
        <v>0.17457324663756035</v>
      </c>
      <c r="BH482" s="29">
        <v>0</v>
      </c>
      <c r="BJ482" s="22">
        <v>45027</v>
      </c>
      <c r="BK482" s="26">
        <f t="shared" ca="1" si="44"/>
        <v>0.31152490277279787</v>
      </c>
      <c r="BL482" s="29">
        <v>0</v>
      </c>
      <c r="BN482" s="22">
        <v>45027</v>
      </c>
      <c r="BO482" s="26">
        <f t="shared" ca="1" si="45"/>
        <v>0.55043789511354135</v>
      </c>
      <c r="BP482" s="29">
        <v>0</v>
      </c>
      <c r="BR482" s="22">
        <v>45027</v>
      </c>
      <c r="BS482" s="26">
        <f t="shared" ca="1" si="46"/>
        <v>0.23254822785287188</v>
      </c>
      <c r="BT482" s="29">
        <v>0</v>
      </c>
      <c r="BV482" s="22">
        <v>45027</v>
      </c>
      <c r="BW482" s="26">
        <f t="shared" ca="1" si="47"/>
        <v>0.97305878427638648</v>
      </c>
      <c r="BX482" s="29">
        <v>0</v>
      </c>
    </row>
    <row r="483" spans="2:76" ht="12.75" x14ac:dyDescent="0.2">
      <c r="B483" s="22">
        <v>45028</v>
      </c>
      <c r="C483" s="26">
        <f t="shared" ca="1" si="68"/>
        <v>0.97778278422962961</v>
      </c>
      <c r="D483" s="29">
        <v>0</v>
      </c>
      <c r="F483" s="22">
        <v>45028</v>
      </c>
      <c r="G483" s="26">
        <f t="shared" ca="1" si="31"/>
        <v>0.94667104277812042</v>
      </c>
      <c r="H483" s="29">
        <v>0</v>
      </c>
      <c r="J483" s="22">
        <v>45028</v>
      </c>
      <c r="K483" s="26">
        <f t="shared" ca="1" si="32"/>
        <v>0.1113440593600501</v>
      </c>
      <c r="L483" s="29">
        <v>0</v>
      </c>
      <c r="N483" s="22">
        <v>45028</v>
      </c>
      <c r="O483" s="26">
        <f t="shared" ca="1" si="33"/>
        <v>0.87317325755855291</v>
      </c>
      <c r="P483" s="29">
        <v>0</v>
      </c>
      <c r="R483" s="22">
        <v>45028</v>
      </c>
      <c r="S483" s="26">
        <f t="shared" ca="1" si="34"/>
        <v>0.18370175374314324</v>
      </c>
      <c r="T483" s="29">
        <v>0</v>
      </c>
      <c r="V483" s="22">
        <v>45028</v>
      </c>
      <c r="W483" s="26">
        <f t="shared" ca="1" si="35"/>
        <v>0.17668085986684756</v>
      </c>
      <c r="X483" s="29">
        <v>0</v>
      </c>
      <c r="Z483" s="22">
        <v>45028</v>
      </c>
      <c r="AA483" s="26">
        <f t="shared" ca="1" si="36"/>
        <v>3.8609427386521067E-2</v>
      </c>
      <c r="AB483" s="29">
        <v>0</v>
      </c>
      <c r="AC483"/>
      <c r="AD483" s="25"/>
      <c r="AF483" s="22">
        <v>45028</v>
      </c>
      <c r="AG483" s="26">
        <f t="shared" ca="1" si="37"/>
        <v>0.15854912812334987</v>
      </c>
      <c r="AH483" s="29">
        <v>0</v>
      </c>
      <c r="AJ483" s="22">
        <v>45028</v>
      </c>
      <c r="AK483" s="26">
        <f t="shared" ca="1" si="38"/>
        <v>0.43407106911361104</v>
      </c>
      <c r="AL483" s="29">
        <v>0</v>
      </c>
      <c r="AN483" s="22">
        <v>45028</v>
      </c>
      <c r="AO483" s="26">
        <f t="shared" ca="1" si="39"/>
        <v>0.22655138303544253</v>
      </c>
      <c r="AP483" s="29">
        <v>0</v>
      </c>
      <c r="AR483" s="22">
        <v>45028</v>
      </c>
      <c r="AS483" s="26">
        <f t="shared" ca="1" si="40"/>
        <v>0.99691157341748915</v>
      </c>
      <c r="AT483" s="29">
        <v>0</v>
      </c>
      <c r="AV483" s="22">
        <v>45028</v>
      </c>
      <c r="AW483" s="26">
        <f t="shared" ca="1" si="41"/>
        <v>0.32570559652031439</v>
      </c>
      <c r="AX483" s="29">
        <v>0</v>
      </c>
      <c r="AZ483" s="22">
        <v>45028</v>
      </c>
      <c r="BA483" s="26">
        <f t="shared" ca="1" si="42"/>
        <v>0.88980341549801656</v>
      </c>
      <c r="BB483" s="29">
        <v>0</v>
      </c>
      <c r="BC483"/>
      <c r="BD483" s="25"/>
      <c r="BF483" s="22">
        <v>45028</v>
      </c>
      <c r="BG483" s="26">
        <f t="shared" ca="1" si="43"/>
        <v>5.2222450701300493E-2</v>
      </c>
      <c r="BH483" s="29">
        <v>0</v>
      </c>
      <c r="BJ483" s="22">
        <v>45028</v>
      </c>
      <c r="BK483" s="26">
        <f t="shared" ca="1" si="44"/>
        <v>0.59854325903069949</v>
      </c>
      <c r="BL483" s="29">
        <v>0</v>
      </c>
      <c r="BN483" s="22">
        <v>45028</v>
      </c>
      <c r="BO483" s="26">
        <f t="shared" ca="1" si="45"/>
        <v>0.8240482008308031</v>
      </c>
      <c r="BP483" s="29">
        <v>0</v>
      </c>
      <c r="BR483" s="22">
        <v>45028</v>
      </c>
      <c r="BS483" s="26">
        <f t="shared" ca="1" si="46"/>
        <v>0.99044505951615214</v>
      </c>
      <c r="BT483" s="29">
        <v>0</v>
      </c>
      <c r="BV483" s="22">
        <v>45028</v>
      </c>
      <c r="BW483" s="26">
        <f t="shared" ca="1" si="47"/>
        <v>0.35343568057980745</v>
      </c>
      <c r="BX483" s="29">
        <v>0</v>
      </c>
    </row>
    <row r="484" spans="2:76" ht="12.75" x14ac:dyDescent="0.2">
      <c r="B484" s="22">
        <v>45029</v>
      </c>
      <c r="C484" s="26">
        <f t="shared" ca="1" si="68"/>
        <v>0.65014428036301786</v>
      </c>
      <c r="D484" s="29">
        <v>0</v>
      </c>
      <c r="F484" s="22">
        <v>45029</v>
      </c>
      <c r="G484" s="26">
        <f t="shared" ca="1" si="31"/>
        <v>0.53365160267699507</v>
      </c>
      <c r="H484" s="29">
        <v>0</v>
      </c>
      <c r="J484" s="22">
        <v>45029</v>
      </c>
      <c r="K484" s="26">
        <f t="shared" ca="1" si="32"/>
        <v>0.12395068845461077</v>
      </c>
      <c r="L484" s="29">
        <v>0</v>
      </c>
      <c r="N484" s="22">
        <v>45029</v>
      </c>
      <c r="O484" s="26">
        <f t="shared" ca="1" si="33"/>
        <v>0.29007603950794802</v>
      </c>
      <c r="P484" s="29">
        <v>0</v>
      </c>
      <c r="R484" s="22">
        <v>45029</v>
      </c>
      <c r="S484" s="26">
        <f t="shared" ca="1" si="34"/>
        <v>0.23192130703837988</v>
      </c>
      <c r="T484" s="29">
        <v>0</v>
      </c>
      <c r="V484" s="22">
        <v>45029</v>
      </c>
      <c r="W484" s="26">
        <f t="shared" ca="1" si="35"/>
        <v>0.22597013029185975</v>
      </c>
      <c r="X484" s="29">
        <v>0</v>
      </c>
      <c r="Z484" s="22">
        <v>45029</v>
      </c>
      <c r="AA484" s="26">
        <f t="shared" ca="1" si="36"/>
        <v>0.27739145445181557</v>
      </c>
      <c r="AB484" s="29">
        <v>0</v>
      </c>
      <c r="AC484"/>
      <c r="AD484" s="25"/>
      <c r="AF484" s="22">
        <v>45029</v>
      </c>
      <c r="AG484" s="26">
        <f t="shared" ca="1" si="37"/>
        <v>0.31232317867481862</v>
      </c>
      <c r="AH484" s="29">
        <v>0</v>
      </c>
      <c r="AJ484" s="22">
        <v>45029</v>
      </c>
      <c r="AK484" s="26">
        <f t="shared" ca="1" si="38"/>
        <v>0.89566449917320667</v>
      </c>
      <c r="AL484" s="29">
        <v>0</v>
      </c>
      <c r="AN484" s="22">
        <v>45029</v>
      </c>
      <c r="AO484" s="26">
        <f t="shared" ca="1" si="39"/>
        <v>0.48528750510915242</v>
      </c>
      <c r="AP484" s="29">
        <v>0</v>
      </c>
      <c r="AR484" s="22">
        <v>45029</v>
      </c>
      <c r="AS484" s="26">
        <f t="shared" ca="1" si="40"/>
        <v>0.10189084563845074</v>
      </c>
      <c r="AT484" s="29">
        <v>0</v>
      </c>
      <c r="AV484" s="22">
        <v>45029</v>
      </c>
      <c r="AW484" s="26">
        <f t="shared" ca="1" si="41"/>
        <v>0.93205575204180002</v>
      </c>
      <c r="AX484" s="29">
        <v>0</v>
      </c>
      <c r="AZ484" s="22">
        <v>45029</v>
      </c>
      <c r="BA484" s="26">
        <f t="shared" ca="1" si="42"/>
        <v>0.2041153613638782</v>
      </c>
      <c r="BB484" s="29">
        <v>0</v>
      </c>
      <c r="BC484"/>
      <c r="BD484" s="25"/>
      <c r="BF484" s="22">
        <v>45029</v>
      </c>
      <c r="BG484" s="26">
        <f t="shared" ca="1" si="43"/>
        <v>0.37509295573335188</v>
      </c>
      <c r="BH484" s="29">
        <v>0</v>
      </c>
      <c r="BJ484" s="22">
        <v>45029</v>
      </c>
      <c r="BK484" s="26">
        <f t="shared" ca="1" si="44"/>
        <v>0.38297704984045211</v>
      </c>
      <c r="BL484" s="29">
        <v>0</v>
      </c>
      <c r="BN484" s="22">
        <v>45029</v>
      </c>
      <c r="BO484" s="26">
        <f t="shared" ca="1" si="45"/>
        <v>0.99691906439956068</v>
      </c>
      <c r="BP484" s="29">
        <v>0</v>
      </c>
      <c r="BR484" s="22">
        <v>45029</v>
      </c>
      <c r="BS484" s="26">
        <f t="shared" ca="1" si="46"/>
        <v>0.64712442473922305</v>
      </c>
      <c r="BT484" s="29">
        <v>0</v>
      </c>
      <c r="BV484" s="22">
        <v>45029</v>
      </c>
      <c r="BW484" s="26">
        <f t="shared" ca="1" si="47"/>
        <v>0.33284720672261603</v>
      </c>
      <c r="BX484" s="29">
        <v>0</v>
      </c>
    </row>
    <row r="485" spans="2:76" ht="12.75" x14ac:dyDescent="0.2">
      <c r="B485" s="22">
        <v>45030</v>
      </c>
      <c r="C485" s="26">
        <f t="shared" ca="1" si="68"/>
        <v>0.47693741976294235</v>
      </c>
      <c r="D485" s="29">
        <v>0</v>
      </c>
      <c r="F485" s="22">
        <v>45030</v>
      </c>
      <c r="G485" s="26">
        <f t="shared" ca="1" si="31"/>
        <v>0.50236290017484253</v>
      </c>
      <c r="H485" s="29">
        <v>0</v>
      </c>
      <c r="J485" s="22">
        <v>45030</v>
      </c>
      <c r="K485" s="26">
        <f t="shared" ca="1" si="32"/>
        <v>0.23719093337127184</v>
      </c>
      <c r="L485" s="29">
        <v>0</v>
      </c>
      <c r="N485" s="22">
        <v>45030</v>
      </c>
      <c r="O485" s="26">
        <f t="shared" ca="1" si="33"/>
        <v>0.10732578038314278</v>
      </c>
      <c r="P485" s="29">
        <v>0</v>
      </c>
      <c r="R485" s="22">
        <v>45030</v>
      </c>
      <c r="S485" s="26">
        <f t="shared" ca="1" si="34"/>
        <v>0.83476574215883037</v>
      </c>
      <c r="T485" s="29">
        <v>0</v>
      </c>
      <c r="V485" s="22">
        <v>45030</v>
      </c>
      <c r="W485" s="26">
        <f t="shared" ca="1" si="35"/>
        <v>0.88211763698652845</v>
      </c>
      <c r="X485" s="29">
        <v>0</v>
      </c>
      <c r="Z485" s="22">
        <v>45030</v>
      </c>
      <c r="AA485" s="26">
        <f t="shared" ca="1" si="36"/>
        <v>0.64708336406385136</v>
      </c>
      <c r="AB485" s="29">
        <v>0</v>
      </c>
      <c r="AC485"/>
      <c r="AD485" s="25"/>
      <c r="AF485" s="22">
        <v>45030</v>
      </c>
      <c r="AG485" s="26">
        <f t="shared" ca="1" si="37"/>
        <v>7.442259790340533E-2</v>
      </c>
      <c r="AH485" s="29">
        <v>0</v>
      </c>
      <c r="AJ485" s="22">
        <v>45030</v>
      </c>
      <c r="AK485" s="26">
        <f t="shared" ca="1" si="38"/>
        <v>0.94327572229006806</v>
      </c>
      <c r="AL485" s="29">
        <v>0</v>
      </c>
      <c r="AN485" s="22">
        <v>45030</v>
      </c>
      <c r="AO485" s="26">
        <f t="shared" ca="1" si="39"/>
        <v>0.17665398026724577</v>
      </c>
      <c r="AP485" s="29">
        <v>0</v>
      </c>
      <c r="AR485" s="22">
        <v>45030</v>
      </c>
      <c r="AS485" s="26">
        <f t="shared" ca="1" si="40"/>
        <v>0.37954919762459338</v>
      </c>
      <c r="AT485" s="29">
        <v>0</v>
      </c>
      <c r="AV485" s="22">
        <v>45030</v>
      </c>
      <c r="AW485" s="26">
        <f t="shared" ca="1" si="41"/>
        <v>0.18277568292843138</v>
      </c>
      <c r="AX485" s="29">
        <v>0</v>
      </c>
      <c r="AZ485" s="22">
        <v>45030</v>
      </c>
      <c r="BA485" s="26">
        <f t="shared" ca="1" si="42"/>
        <v>0.33724606580193939</v>
      </c>
      <c r="BB485" s="29">
        <v>0</v>
      </c>
      <c r="BC485"/>
      <c r="BD485" s="25"/>
      <c r="BF485" s="22">
        <v>45030</v>
      </c>
      <c r="BG485" s="26">
        <f t="shared" ca="1" si="43"/>
        <v>0.65102618349979269</v>
      </c>
      <c r="BH485" s="29">
        <v>0</v>
      </c>
      <c r="BJ485" s="22">
        <v>45030</v>
      </c>
      <c r="BK485" s="26">
        <f t="shared" ca="1" si="44"/>
        <v>0.42192677856757332</v>
      </c>
      <c r="BL485" s="29">
        <v>0</v>
      </c>
      <c r="BN485" s="22">
        <v>45030</v>
      </c>
      <c r="BO485" s="26">
        <f t="shared" ca="1" si="45"/>
        <v>0.23675671612916638</v>
      </c>
      <c r="BP485" s="29">
        <v>0</v>
      </c>
      <c r="BR485" s="22">
        <v>45030</v>
      </c>
      <c r="BS485" s="26">
        <f t="shared" ca="1" si="46"/>
        <v>0.20391535181035858</v>
      </c>
      <c r="BT485" s="29">
        <v>0</v>
      </c>
      <c r="BV485" s="22">
        <v>45030</v>
      </c>
      <c r="BW485" s="26">
        <f t="shared" ca="1" si="47"/>
        <v>0.58226929901880853</v>
      </c>
      <c r="BX485" s="29">
        <v>0</v>
      </c>
    </row>
    <row r="486" spans="2:76" ht="12.75" x14ac:dyDescent="0.2">
      <c r="B486" s="22">
        <v>45031</v>
      </c>
      <c r="C486" s="26">
        <f t="shared" ca="1" si="68"/>
        <v>0.76724813448777696</v>
      </c>
      <c r="D486" s="29">
        <v>0</v>
      </c>
      <c r="F486" s="22">
        <v>45031</v>
      </c>
      <c r="G486" s="26">
        <f t="shared" ca="1" si="31"/>
        <v>0.62777951529355169</v>
      </c>
      <c r="H486" s="29">
        <v>0</v>
      </c>
      <c r="J486" s="22">
        <v>45031</v>
      </c>
      <c r="K486" s="26">
        <f t="shared" ca="1" si="32"/>
        <v>0.30037113278917382</v>
      </c>
      <c r="L486" s="29">
        <v>0</v>
      </c>
      <c r="N486" s="22">
        <v>45031</v>
      </c>
      <c r="O486" s="26">
        <f t="shared" ca="1" si="33"/>
        <v>0.24796736566308686</v>
      </c>
      <c r="P486" s="29">
        <v>0</v>
      </c>
      <c r="R486" s="22">
        <v>45031</v>
      </c>
      <c r="S486" s="26">
        <f t="shared" ca="1" si="34"/>
        <v>0.43725027559922824</v>
      </c>
      <c r="T486" s="29">
        <v>0</v>
      </c>
      <c r="V486" s="22">
        <v>45031</v>
      </c>
      <c r="W486" s="26">
        <f t="shared" ca="1" si="35"/>
        <v>0.12368199502864985</v>
      </c>
      <c r="X486" s="29">
        <v>0</v>
      </c>
      <c r="Z486" s="22">
        <v>45031</v>
      </c>
      <c r="AA486" s="26">
        <f t="shared" ca="1" si="36"/>
        <v>0.65278197094774204</v>
      </c>
      <c r="AB486" s="29">
        <v>0</v>
      </c>
      <c r="AC486"/>
      <c r="AD486" s="25"/>
      <c r="AF486" s="22">
        <v>45031</v>
      </c>
      <c r="AG486" s="26">
        <f t="shared" ca="1" si="37"/>
        <v>0.56917280714442409</v>
      </c>
      <c r="AH486" s="29">
        <v>0</v>
      </c>
      <c r="AJ486" s="22">
        <v>45031</v>
      </c>
      <c r="AK486" s="26">
        <f t="shared" ca="1" si="38"/>
        <v>0.45911230485991017</v>
      </c>
      <c r="AL486" s="29">
        <v>0</v>
      </c>
      <c r="AN486" s="22">
        <v>45031</v>
      </c>
      <c r="AO486" s="26">
        <f t="shared" ca="1" si="39"/>
        <v>0.56557171870467216</v>
      </c>
      <c r="AP486" s="29">
        <v>0</v>
      </c>
      <c r="AR486" s="22">
        <v>45031</v>
      </c>
      <c r="AS486" s="26">
        <f t="shared" ca="1" si="40"/>
        <v>0.53859732681399364</v>
      </c>
      <c r="AT486" s="29">
        <v>0</v>
      </c>
      <c r="AV486" s="22">
        <v>45031</v>
      </c>
      <c r="AW486" s="26">
        <f t="shared" ca="1" si="41"/>
        <v>0.22467194625033493</v>
      </c>
      <c r="AX486" s="29">
        <v>0</v>
      </c>
      <c r="AZ486" s="22">
        <v>45031</v>
      </c>
      <c r="BA486" s="26">
        <f t="shared" ca="1" si="42"/>
        <v>0.81819498359199605</v>
      </c>
      <c r="BB486" s="29">
        <v>0</v>
      </c>
      <c r="BC486"/>
      <c r="BD486" s="25"/>
      <c r="BF486" s="22">
        <v>45031</v>
      </c>
      <c r="BG486" s="26">
        <f t="shared" ca="1" si="43"/>
        <v>0.73612988029787896</v>
      </c>
      <c r="BH486" s="29">
        <v>0</v>
      </c>
      <c r="BJ486" s="22">
        <v>45031</v>
      </c>
      <c r="BK486" s="26">
        <f t="shared" ca="1" si="44"/>
        <v>0.19847860030483155</v>
      </c>
      <c r="BL486" s="29">
        <v>0</v>
      </c>
      <c r="BN486" s="22">
        <v>45031</v>
      </c>
      <c r="BO486" s="26">
        <f t="shared" ca="1" si="45"/>
        <v>0.23003745577112511</v>
      </c>
      <c r="BP486" s="29">
        <v>0</v>
      </c>
      <c r="BR486" s="22">
        <v>45031</v>
      </c>
      <c r="BS486" s="26">
        <f t="shared" ca="1" si="46"/>
        <v>0.68493037127023537</v>
      </c>
      <c r="BT486" s="29">
        <v>0</v>
      </c>
      <c r="BV486" s="22">
        <v>45031</v>
      </c>
      <c r="BW486" s="26">
        <f t="shared" ca="1" si="47"/>
        <v>0.93909407736199291</v>
      </c>
      <c r="BX486" s="29">
        <v>0</v>
      </c>
    </row>
    <row r="487" spans="2:76" ht="12.75" x14ac:dyDescent="0.2">
      <c r="B487" s="22">
        <v>45032</v>
      </c>
      <c r="C487" s="26">
        <f t="shared" ca="1" si="68"/>
        <v>9.756082702681268E-2</v>
      </c>
      <c r="D487" s="29">
        <v>0</v>
      </c>
      <c r="F487" s="22">
        <v>45032</v>
      </c>
      <c r="G487" s="26">
        <f t="shared" ca="1" si="31"/>
        <v>0.19378444928949046</v>
      </c>
      <c r="H487" s="29">
        <v>0</v>
      </c>
      <c r="J487" s="22">
        <v>45032</v>
      </c>
      <c r="K487" s="26">
        <f t="shared" ca="1" si="32"/>
        <v>0.13991248255266764</v>
      </c>
      <c r="L487" s="29">
        <v>0</v>
      </c>
      <c r="N487" s="22">
        <v>45032</v>
      </c>
      <c r="O487" s="26">
        <f t="shared" ca="1" si="33"/>
        <v>0.72311670939364547</v>
      </c>
      <c r="P487" s="29">
        <v>0</v>
      </c>
      <c r="R487" s="22">
        <v>45032</v>
      </c>
      <c r="S487" s="26">
        <f t="shared" ca="1" si="34"/>
        <v>0.68971497121166792</v>
      </c>
      <c r="T487" s="29">
        <v>0</v>
      </c>
      <c r="V487" s="22">
        <v>45032</v>
      </c>
      <c r="W487" s="26">
        <f t="shared" ca="1" si="35"/>
        <v>0.93870545798348226</v>
      </c>
      <c r="X487" s="29">
        <v>0</v>
      </c>
      <c r="Z487" s="22">
        <v>45032</v>
      </c>
      <c r="AA487" s="26">
        <f t="shared" ca="1" si="36"/>
        <v>0.49301309204535659</v>
      </c>
      <c r="AB487" s="29">
        <v>0</v>
      </c>
      <c r="AC487"/>
      <c r="AD487" s="25"/>
      <c r="AF487" s="22">
        <v>45032</v>
      </c>
      <c r="AG487" s="26">
        <f t="shared" ca="1" si="37"/>
        <v>0.99040268027391876</v>
      </c>
      <c r="AH487" s="29">
        <v>0</v>
      </c>
      <c r="AJ487" s="22">
        <v>45032</v>
      </c>
      <c r="AK487" s="26">
        <f t="shared" ca="1" si="38"/>
        <v>6.1105052873916543E-3</v>
      </c>
      <c r="AL487" s="29">
        <v>0</v>
      </c>
      <c r="AN487" s="22">
        <v>45032</v>
      </c>
      <c r="AO487" s="26">
        <f t="shared" ca="1" si="39"/>
        <v>0.99025499760885949</v>
      </c>
      <c r="AP487" s="29">
        <v>0</v>
      </c>
      <c r="AR487" s="22">
        <v>45032</v>
      </c>
      <c r="AS487" s="26">
        <f t="shared" ca="1" si="40"/>
        <v>1.2056880647552282E-2</v>
      </c>
      <c r="AT487" s="29">
        <v>0</v>
      </c>
      <c r="AV487" s="22">
        <v>45032</v>
      </c>
      <c r="AW487" s="26">
        <f t="shared" ca="1" si="41"/>
        <v>0.73573000533080324</v>
      </c>
      <c r="AX487" s="29">
        <v>0</v>
      </c>
      <c r="AZ487" s="22">
        <v>45032</v>
      </c>
      <c r="BA487" s="26">
        <f t="shared" ca="1" si="42"/>
        <v>2.385486118568414E-2</v>
      </c>
      <c r="BB487" s="29">
        <v>0</v>
      </c>
      <c r="BC487"/>
      <c r="BD487" s="25"/>
      <c r="BF487" s="22">
        <v>45032</v>
      </c>
      <c r="BG487" s="26">
        <f t="shared" ca="1" si="43"/>
        <v>0.8376584094409697</v>
      </c>
      <c r="BH487" s="29">
        <v>0</v>
      </c>
      <c r="BJ487" s="22">
        <v>45032</v>
      </c>
      <c r="BK487" s="26">
        <f t="shared" ca="1" si="44"/>
        <v>0.83859578541633573</v>
      </c>
      <c r="BL487" s="29">
        <v>0</v>
      </c>
      <c r="BN487" s="22">
        <v>45032</v>
      </c>
      <c r="BO487" s="26">
        <f t="shared" ca="1" si="45"/>
        <v>0.37780270792121251</v>
      </c>
      <c r="BP487" s="29">
        <v>0</v>
      </c>
      <c r="BR487" s="22">
        <v>45032</v>
      </c>
      <c r="BS487" s="26">
        <f t="shared" ca="1" si="46"/>
        <v>0.39469379104306468</v>
      </c>
      <c r="BT487" s="29">
        <v>0</v>
      </c>
      <c r="BV487" s="22">
        <v>45032</v>
      </c>
      <c r="BW487" s="26">
        <f t="shared" ca="1" si="47"/>
        <v>0.61414892498435159</v>
      </c>
      <c r="BX487" s="29">
        <v>0</v>
      </c>
    </row>
    <row r="488" spans="2:76" ht="12.75" x14ac:dyDescent="0.2">
      <c r="B488" s="22">
        <v>45033</v>
      </c>
      <c r="C488" s="26">
        <f t="shared" ca="1" si="68"/>
        <v>0.89586058262060209</v>
      </c>
      <c r="D488" s="29">
        <v>0</v>
      </c>
      <c r="F488" s="22">
        <v>45033</v>
      </c>
      <c r="G488" s="26">
        <f t="shared" ca="1" si="31"/>
        <v>0.59671397939656901</v>
      </c>
      <c r="H488" s="29">
        <v>0</v>
      </c>
      <c r="J488" s="22">
        <v>45033</v>
      </c>
      <c r="K488" s="26">
        <f t="shared" ca="1" si="32"/>
        <v>3.8445560614601693E-2</v>
      </c>
      <c r="L488" s="29">
        <v>0</v>
      </c>
      <c r="N488" s="22">
        <v>45033</v>
      </c>
      <c r="O488" s="26">
        <f t="shared" ca="1" si="33"/>
        <v>0.51294661682806031</v>
      </c>
      <c r="P488" s="29">
        <v>0</v>
      </c>
      <c r="R488" s="22">
        <v>45033</v>
      </c>
      <c r="S488" s="26">
        <f t="shared" ca="1" si="34"/>
        <v>0.83297836334470798</v>
      </c>
      <c r="T488" s="29">
        <v>0</v>
      </c>
      <c r="V488" s="22">
        <v>45033</v>
      </c>
      <c r="W488" s="26">
        <f t="shared" ca="1" si="35"/>
        <v>0.22419065774289471</v>
      </c>
      <c r="X488" s="29">
        <v>0</v>
      </c>
      <c r="Z488" s="22">
        <v>45033</v>
      </c>
      <c r="AA488" s="26">
        <f t="shared" ca="1" si="36"/>
        <v>0.49463330002117312</v>
      </c>
      <c r="AB488" s="29">
        <v>0</v>
      </c>
      <c r="AC488"/>
      <c r="AD488" s="25"/>
      <c r="AF488" s="22">
        <v>45033</v>
      </c>
      <c r="AG488" s="26">
        <f t="shared" ca="1" si="37"/>
        <v>0.77744319560053332</v>
      </c>
      <c r="AH488" s="29">
        <v>0</v>
      </c>
      <c r="AJ488" s="22">
        <v>45033</v>
      </c>
      <c r="AK488" s="26">
        <f t="shared" ca="1" si="38"/>
        <v>0.1492244727591121</v>
      </c>
      <c r="AL488" s="29">
        <v>0</v>
      </c>
      <c r="AN488" s="22">
        <v>45033</v>
      </c>
      <c r="AO488" s="26">
        <f t="shared" ca="1" si="39"/>
        <v>0.17813890911032493</v>
      </c>
      <c r="AP488" s="29">
        <v>0</v>
      </c>
      <c r="AR488" s="22">
        <v>45033</v>
      </c>
      <c r="AS488" s="26">
        <f t="shared" ca="1" si="40"/>
        <v>0.81851278729714805</v>
      </c>
      <c r="AT488" s="29">
        <v>0</v>
      </c>
      <c r="AV488" s="22">
        <v>45033</v>
      </c>
      <c r="AW488" s="26">
        <f t="shared" ca="1" si="41"/>
        <v>6.0065315791211882E-2</v>
      </c>
      <c r="AX488" s="29">
        <v>0</v>
      </c>
      <c r="AZ488" s="22">
        <v>45033</v>
      </c>
      <c r="BA488" s="26">
        <f t="shared" ca="1" si="42"/>
        <v>9.5354255763292595E-2</v>
      </c>
      <c r="BB488" s="29">
        <v>0</v>
      </c>
      <c r="BC488"/>
      <c r="BD488" s="25"/>
      <c r="BF488" s="22">
        <v>45033</v>
      </c>
      <c r="BG488" s="26">
        <f t="shared" ca="1" si="43"/>
        <v>9.7562166441214404E-2</v>
      </c>
      <c r="BH488" s="29">
        <v>0</v>
      </c>
      <c r="BJ488" s="22">
        <v>45033</v>
      </c>
      <c r="BK488" s="26">
        <f t="shared" ca="1" si="44"/>
        <v>0.53915508767822495</v>
      </c>
      <c r="BL488" s="29">
        <v>0</v>
      </c>
      <c r="BN488" s="22">
        <v>45033</v>
      </c>
      <c r="BO488" s="26">
        <f t="shared" ca="1" si="45"/>
        <v>0.40998362299471003</v>
      </c>
      <c r="BP488" s="29">
        <v>0</v>
      </c>
      <c r="BR488" s="22">
        <v>45033</v>
      </c>
      <c r="BS488" s="26">
        <f t="shared" ca="1" si="46"/>
        <v>0.77689825383720656</v>
      </c>
      <c r="BT488" s="29">
        <v>0</v>
      </c>
      <c r="BV488" s="22">
        <v>45033</v>
      </c>
      <c r="BW488" s="26">
        <f t="shared" ca="1" si="47"/>
        <v>0.42963308588235349</v>
      </c>
      <c r="BX488" s="29">
        <v>0</v>
      </c>
    </row>
    <row r="489" spans="2:76" ht="12.75" x14ac:dyDescent="0.2">
      <c r="B489" s="22">
        <v>45034</v>
      </c>
      <c r="C489" s="26">
        <f t="shared" ca="1" si="68"/>
        <v>0.81696039960183076</v>
      </c>
      <c r="D489" s="29">
        <v>0</v>
      </c>
      <c r="F489" s="22">
        <v>45034</v>
      </c>
      <c r="G489" s="26">
        <f t="shared" ca="1" si="31"/>
        <v>0.83437172768759404</v>
      </c>
      <c r="H489" s="29">
        <v>0</v>
      </c>
      <c r="J489" s="22">
        <v>45034</v>
      </c>
      <c r="K489" s="26">
        <f t="shared" ca="1" si="32"/>
        <v>0.27517147194809877</v>
      </c>
      <c r="L489" s="29">
        <v>0</v>
      </c>
      <c r="N489" s="22">
        <v>45034</v>
      </c>
      <c r="O489" s="26">
        <f t="shared" ca="1" si="33"/>
        <v>0.61850255151992994</v>
      </c>
      <c r="P489" s="29">
        <v>0</v>
      </c>
      <c r="R489" s="22">
        <v>45034</v>
      </c>
      <c r="S489" s="26">
        <f t="shared" ca="1" si="34"/>
        <v>0.16686599550010572</v>
      </c>
      <c r="T489" s="29">
        <v>0</v>
      </c>
      <c r="V489" s="22">
        <v>45034</v>
      </c>
      <c r="W489" s="26">
        <f t="shared" ca="1" si="35"/>
        <v>0.9640857410315683</v>
      </c>
      <c r="X489" s="29">
        <v>0</v>
      </c>
      <c r="Z489" s="22">
        <v>45034</v>
      </c>
      <c r="AA489" s="26">
        <f t="shared" ca="1" si="36"/>
        <v>0.11719335273988851</v>
      </c>
      <c r="AB489" s="29">
        <v>0</v>
      </c>
      <c r="AC489"/>
      <c r="AD489" s="25"/>
      <c r="AF489" s="22">
        <v>45034</v>
      </c>
      <c r="AG489" s="26">
        <f t="shared" ca="1" si="37"/>
        <v>0.60697594422631063</v>
      </c>
      <c r="AH489" s="29">
        <v>0</v>
      </c>
      <c r="AJ489" s="22">
        <v>45034</v>
      </c>
      <c r="AK489" s="26">
        <f t="shared" ca="1" si="38"/>
        <v>0.8858450423030293</v>
      </c>
      <c r="AL489" s="29">
        <v>0</v>
      </c>
      <c r="AN489" s="22">
        <v>45034</v>
      </c>
      <c r="AO489" s="26">
        <f t="shared" ca="1" si="39"/>
        <v>0.49824889663588545</v>
      </c>
      <c r="AP489" s="29">
        <v>0</v>
      </c>
      <c r="AR489" s="22">
        <v>45034</v>
      </c>
      <c r="AS489" s="26">
        <f t="shared" ca="1" si="40"/>
        <v>0.52056206587577869</v>
      </c>
      <c r="AT489" s="29">
        <v>0</v>
      </c>
      <c r="AV489" s="22">
        <v>45034</v>
      </c>
      <c r="AW489" s="26">
        <f t="shared" ca="1" si="41"/>
        <v>0.43840286849836585</v>
      </c>
      <c r="AX489" s="29">
        <v>0</v>
      </c>
      <c r="AZ489" s="22">
        <v>45034</v>
      </c>
      <c r="BA489" s="26">
        <f t="shared" ca="1" si="42"/>
        <v>0.50718045349057483</v>
      </c>
      <c r="BB489" s="29">
        <v>0</v>
      </c>
      <c r="BC489"/>
      <c r="BD489" s="25"/>
      <c r="BF489" s="22">
        <v>45034</v>
      </c>
      <c r="BG489" s="26">
        <f t="shared" ca="1" si="43"/>
        <v>0.96695896987220575</v>
      </c>
      <c r="BH489" s="29">
        <v>0</v>
      </c>
      <c r="BJ489" s="22">
        <v>45034</v>
      </c>
      <c r="BK489" s="26">
        <f t="shared" ca="1" si="44"/>
        <v>0.73336622020776332</v>
      </c>
      <c r="BL489" s="29">
        <v>0</v>
      </c>
      <c r="BN489" s="22">
        <v>45034</v>
      </c>
      <c r="BO489" s="26">
        <f t="shared" ca="1" si="45"/>
        <v>0.89625973712603468</v>
      </c>
      <c r="BP489" s="29">
        <v>0</v>
      </c>
      <c r="BR489" s="22">
        <v>45034</v>
      </c>
      <c r="BS489" s="26">
        <f t="shared" ca="1" si="46"/>
        <v>0.58901684757127792</v>
      </c>
      <c r="BT489" s="29">
        <v>0</v>
      </c>
      <c r="BV489" s="22">
        <v>45034</v>
      </c>
      <c r="BW489" s="26">
        <f t="shared" ca="1" si="47"/>
        <v>0.45090073065780412</v>
      </c>
      <c r="BX489" s="29">
        <v>0</v>
      </c>
    </row>
    <row r="490" spans="2:76" ht="12.75" x14ac:dyDescent="0.2">
      <c r="B490" s="22">
        <v>45035</v>
      </c>
      <c r="C490" s="26">
        <f t="shared" ca="1" si="68"/>
        <v>0.29787433189920143</v>
      </c>
      <c r="D490" s="29">
        <f t="shared" ca="1" si="77"/>
        <v>65</v>
      </c>
      <c r="F490" s="22">
        <v>45035</v>
      </c>
      <c r="G490" s="26">
        <f t="shared" ca="1" si="31"/>
        <v>0.23759306551439241</v>
      </c>
      <c r="H490" s="29">
        <f t="shared" ca="1" si="69"/>
        <v>206</v>
      </c>
      <c r="J490" s="22">
        <v>45035</v>
      </c>
      <c r="K490" s="26">
        <f t="shared" ca="1" si="32"/>
        <v>0.53528899316809642</v>
      </c>
      <c r="L490" s="29">
        <f t="shared" ca="1" si="70"/>
        <v>151</v>
      </c>
      <c r="N490" s="22">
        <v>45035</v>
      </c>
      <c r="O490" s="26">
        <f t="shared" ca="1" si="33"/>
        <v>0.19305700558884453</v>
      </c>
      <c r="P490" s="29">
        <f t="shared" ca="1" si="71"/>
        <v>217</v>
      </c>
      <c r="R490" s="22">
        <v>45035</v>
      </c>
      <c r="S490" s="26">
        <f t="shared" ca="1" si="34"/>
        <v>0.27064810280002261</v>
      </c>
      <c r="T490" s="29">
        <f t="shared" ca="1" si="72"/>
        <v>134</v>
      </c>
      <c r="V490" s="22">
        <v>45035</v>
      </c>
      <c r="W490" s="26">
        <f t="shared" ca="1" si="35"/>
        <v>0.16402270732156521</v>
      </c>
      <c r="X490" s="29">
        <f t="shared" ca="1" si="73"/>
        <v>211</v>
      </c>
      <c r="Z490" s="22">
        <v>45035</v>
      </c>
      <c r="AA490" s="26">
        <f t="shared" ca="1" si="36"/>
        <v>0.70006185639102869</v>
      </c>
      <c r="AB490" s="29">
        <f t="shared" ca="1" si="74"/>
        <v>280</v>
      </c>
      <c r="AC490"/>
      <c r="AD490" s="25"/>
      <c r="AF490" s="22">
        <v>45035</v>
      </c>
      <c r="AG490" s="26">
        <f t="shared" ca="1" si="37"/>
        <v>0.48961597331427842</v>
      </c>
      <c r="AH490" s="29">
        <f t="shared" ca="1" si="75"/>
        <v>325</v>
      </c>
      <c r="AJ490" s="22">
        <v>45035</v>
      </c>
      <c r="AK490" s="26">
        <f t="shared" ca="1" si="38"/>
        <v>0.8423144002877152</v>
      </c>
      <c r="AL490" s="29">
        <f t="shared" ca="1" si="76"/>
        <v>217</v>
      </c>
      <c r="AN490" s="22">
        <v>45035</v>
      </c>
      <c r="AO490" s="26">
        <f t="shared" ca="1" si="39"/>
        <v>0.33562926394824899</v>
      </c>
      <c r="AP490" s="29">
        <v>0</v>
      </c>
      <c r="AR490" s="22">
        <v>45035</v>
      </c>
      <c r="AS490" s="26">
        <f t="shared" ca="1" si="40"/>
        <v>8.9708193491854993E-2</v>
      </c>
      <c r="AT490" s="29">
        <v>0</v>
      </c>
      <c r="AV490" s="22">
        <v>45035</v>
      </c>
      <c r="AW490" s="26">
        <f t="shared" ca="1" si="41"/>
        <v>0.65526499943220762</v>
      </c>
      <c r="AX490" s="29">
        <v>0</v>
      </c>
      <c r="AZ490" s="22">
        <v>45035</v>
      </c>
      <c r="BA490" s="26">
        <f t="shared" ca="1" si="42"/>
        <v>0.72178111646440579</v>
      </c>
      <c r="BB490" s="29">
        <v>0</v>
      </c>
      <c r="BC490"/>
      <c r="BD490" s="25"/>
      <c r="BF490" s="22">
        <v>45035</v>
      </c>
      <c r="BG490" s="26">
        <f t="shared" ca="1" si="43"/>
        <v>1.1191332636167672E-2</v>
      </c>
      <c r="BH490" s="29">
        <v>0</v>
      </c>
      <c r="BJ490" s="22">
        <v>45035</v>
      </c>
      <c r="BK490" s="26">
        <f t="shared" ca="1" si="44"/>
        <v>0.72648724923015096</v>
      </c>
      <c r="BL490" s="29">
        <v>0</v>
      </c>
      <c r="BN490" s="22">
        <v>45035</v>
      </c>
      <c r="BO490" s="26">
        <f t="shared" ca="1" si="45"/>
        <v>0.36330972328908795</v>
      </c>
      <c r="BP490" s="29">
        <v>0</v>
      </c>
      <c r="BR490" s="22">
        <v>45035</v>
      </c>
      <c r="BS490" s="26">
        <f t="shared" ca="1" si="46"/>
        <v>0.96525157579806431</v>
      </c>
      <c r="BT490" s="29">
        <v>0</v>
      </c>
      <c r="BV490" s="22">
        <v>45035</v>
      </c>
      <c r="BW490" s="26">
        <f t="shared" ca="1" si="47"/>
        <v>0.31907900458827798</v>
      </c>
      <c r="BX490" s="29">
        <v>0</v>
      </c>
    </row>
    <row r="491" spans="2:76" ht="12.75" x14ac:dyDescent="0.2">
      <c r="B491" s="22">
        <v>45036</v>
      </c>
      <c r="C491" s="26">
        <f t="shared" ca="1" si="68"/>
        <v>0.42626595034111181</v>
      </c>
      <c r="D491" s="29">
        <f t="shared" ca="1" si="77"/>
        <v>72</v>
      </c>
      <c r="F491" s="22">
        <v>45036</v>
      </c>
      <c r="G491" s="26">
        <f t="shared" ca="1" si="31"/>
        <v>0.30244996005262581</v>
      </c>
      <c r="H491" s="29">
        <f t="shared" ca="1" si="69"/>
        <v>208</v>
      </c>
      <c r="J491" s="22">
        <v>45036</v>
      </c>
      <c r="K491" s="26">
        <f t="shared" ca="1" si="32"/>
        <v>0.11514665204551111</v>
      </c>
      <c r="L491" s="29">
        <f t="shared" ca="1" si="70"/>
        <v>139</v>
      </c>
      <c r="N491" s="22">
        <v>45036</v>
      </c>
      <c r="O491" s="26">
        <f t="shared" ca="1" si="33"/>
        <v>0.84098410776811572</v>
      </c>
      <c r="P491" s="29">
        <f t="shared" ca="1" si="71"/>
        <v>245</v>
      </c>
      <c r="R491" s="22">
        <v>45036</v>
      </c>
      <c r="S491" s="26">
        <f t="shared" ca="1" si="34"/>
        <v>0.23912733471739656</v>
      </c>
      <c r="T491" s="29">
        <f t="shared" ca="1" si="72"/>
        <v>133</v>
      </c>
      <c r="V491" s="22">
        <v>45036</v>
      </c>
      <c r="W491" s="26">
        <f t="shared" ca="1" si="35"/>
        <v>0.19474917866099795</v>
      </c>
      <c r="X491" s="29">
        <f t="shared" ca="1" si="73"/>
        <v>213</v>
      </c>
      <c r="Z491" s="22">
        <v>45036</v>
      </c>
      <c r="AA491" s="26">
        <f t="shared" ca="1" si="36"/>
        <v>0.7552365650867281</v>
      </c>
      <c r="AB491" s="29">
        <f t="shared" ca="1" si="74"/>
        <v>283</v>
      </c>
      <c r="AC491"/>
      <c r="AD491" s="25"/>
      <c r="AF491" s="22">
        <v>45036</v>
      </c>
      <c r="AG491" s="26">
        <f t="shared" ca="1" si="37"/>
        <v>0.79235473040906967</v>
      </c>
      <c r="AH491" s="29">
        <f t="shared" ca="1" si="75"/>
        <v>399</v>
      </c>
      <c r="AJ491" s="22">
        <v>45036</v>
      </c>
      <c r="AK491" s="26">
        <f t="shared" ca="1" si="38"/>
        <v>0.19905973473195393</v>
      </c>
      <c r="AL491" s="29">
        <f t="shared" ca="1" si="76"/>
        <v>133</v>
      </c>
      <c r="AN491" s="22">
        <v>45036</v>
      </c>
      <c r="AO491" s="26">
        <f t="shared" ca="1" si="39"/>
        <v>0.21742054500576635</v>
      </c>
      <c r="AP491" s="29">
        <v>0</v>
      </c>
      <c r="AR491" s="22">
        <v>45036</v>
      </c>
      <c r="AS491" s="26">
        <f t="shared" ca="1" si="40"/>
        <v>0.40013737371575719</v>
      </c>
      <c r="AT491" s="29">
        <v>0</v>
      </c>
      <c r="AV491" s="22">
        <v>45036</v>
      </c>
      <c r="AW491" s="26">
        <f t="shared" ca="1" si="41"/>
        <v>0.40530115046584214</v>
      </c>
      <c r="AX491" s="29">
        <v>0</v>
      </c>
      <c r="AZ491" s="22">
        <v>45036</v>
      </c>
      <c r="BA491" s="26">
        <f t="shared" ca="1" si="42"/>
        <v>0.42747455566196735</v>
      </c>
      <c r="BB491" s="29">
        <v>0</v>
      </c>
      <c r="BC491"/>
      <c r="BD491" s="25"/>
      <c r="BF491" s="22">
        <v>45036</v>
      </c>
      <c r="BG491" s="26">
        <f t="shared" ca="1" si="43"/>
        <v>0.32136891246778032</v>
      </c>
      <c r="BH491" s="29">
        <v>0</v>
      </c>
      <c r="BJ491" s="22">
        <v>45036</v>
      </c>
      <c r="BK491" s="26">
        <f t="shared" ca="1" si="44"/>
        <v>0.32668444214600101</v>
      </c>
      <c r="BL491" s="29">
        <v>0</v>
      </c>
      <c r="BN491" s="22">
        <v>45036</v>
      </c>
      <c r="BO491" s="26">
        <f t="shared" ca="1" si="45"/>
        <v>0.64801079988152144</v>
      </c>
      <c r="BP491" s="29">
        <v>0</v>
      </c>
      <c r="BR491" s="22">
        <v>45036</v>
      </c>
      <c r="BS491" s="26">
        <f t="shared" ca="1" si="46"/>
        <v>0.52685008691833846</v>
      </c>
      <c r="BT491" s="29">
        <v>0</v>
      </c>
      <c r="BV491" s="22">
        <v>45036</v>
      </c>
      <c r="BW491" s="26">
        <f t="shared" ca="1" si="47"/>
        <v>0.5094443963594566</v>
      </c>
      <c r="BX491" s="29">
        <v>0</v>
      </c>
    </row>
    <row r="492" spans="2:76" ht="12.75" x14ac:dyDescent="0.2">
      <c r="B492" s="22">
        <v>45037</v>
      </c>
      <c r="C492" s="26">
        <f t="shared" ca="1" si="68"/>
        <v>0.45141352312271676</v>
      </c>
      <c r="D492" s="29">
        <f t="shared" ca="1" si="77"/>
        <v>73</v>
      </c>
      <c r="F492" s="22">
        <v>45037</v>
      </c>
      <c r="G492" s="26">
        <f t="shared" ca="1" si="31"/>
        <v>0.56249428872502116</v>
      </c>
      <c r="H492" s="29">
        <f t="shared" ca="1" si="69"/>
        <v>218</v>
      </c>
      <c r="J492" s="22">
        <v>45037</v>
      </c>
      <c r="K492" s="26">
        <f t="shared" ca="1" si="32"/>
        <v>9.7420668238022534E-2</v>
      </c>
      <c r="L492" s="29">
        <f t="shared" ca="1" si="70"/>
        <v>138</v>
      </c>
      <c r="N492" s="22">
        <v>45037</v>
      </c>
      <c r="O492" s="26">
        <f t="shared" ca="1" si="33"/>
        <v>0.73109512743509886</v>
      </c>
      <c r="P492" s="29">
        <f t="shared" ca="1" si="71"/>
        <v>239</v>
      </c>
      <c r="R492" s="22">
        <v>45037</v>
      </c>
      <c r="S492" s="26">
        <f t="shared" ca="1" si="34"/>
        <v>8.1170972374161598E-3</v>
      </c>
      <c r="T492" s="29">
        <f t="shared" ca="1" si="72"/>
        <v>117</v>
      </c>
      <c r="V492" s="22">
        <v>45037</v>
      </c>
      <c r="W492" s="26">
        <f t="shared" ca="1" si="35"/>
        <v>0.4430772156363012</v>
      </c>
      <c r="X492" s="29">
        <f t="shared" ca="1" si="73"/>
        <v>223</v>
      </c>
      <c r="Z492" s="22">
        <v>45037</v>
      </c>
      <c r="AA492" s="26">
        <f t="shared" ca="1" si="36"/>
        <v>0.19342757055019444</v>
      </c>
      <c r="AB492" s="29">
        <f t="shared" ca="1" si="74"/>
        <v>255</v>
      </c>
      <c r="AC492"/>
      <c r="AD492" s="25"/>
      <c r="AF492" s="22">
        <v>45037</v>
      </c>
      <c r="AG492" s="26">
        <f t="shared" ca="1" si="37"/>
        <v>4.1917751639165668E-2</v>
      </c>
      <c r="AH492" s="29">
        <f t="shared" ca="1" si="75"/>
        <v>177</v>
      </c>
      <c r="AJ492" s="22">
        <v>45037</v>
      </c>
      <c r="AK492" s="26">
        <f t="shared" ca="1" si="38"/>
        <v>0.6033910481907131</v>
      </c>
      <c r="AL492" s="29">
        <f t="shared" ca="1" si="76"/>
        <v>183</v>
      </c>
      <c r="AN492" s="22">
        <v>45037</v>
      </c>
      <c r="AO492" s="26">
        <f t="shared" ca="1" si="39"/>
        <v>0.33611756975157048</v>
      </c>
      <c r="AP492" s="29">
        <v>0</v>
      </c>
      <c r="AR492" s="22">
        <v>45037</v>
      </c>
      <c r="AS492" s="26">
        <f t="shared" ca="1" si="40"/>
        <v>0.66791241178145921</v>
      </c>
      <c r="AT492" s="29">
        <v>0</v>
      </c>
      <c r="AV492" s="22">
        <v>45037</v>
      </c>
      <c r="AW492" s="26">
        <f t="shared" ca="1" si="41"/>
        <v>0.34192522519072122</v>
      </c>
      <c r="AX492" s="29">
        <v>0</v>
      </c>
      <c r="AZ492" s="22">
        <v>45037</v>
      </c>
      <c r="BA492" s="26">
        <f t="shared" ca="1" si="42"/>
        <v>4.7292851702595007E-2</v>
      </c>
      <c r="BB492" s="29">
        <v>0</v>
      </c>
      <c r="BC492"/>
      <c r="BD492" s="25"/>
      <c r="BF492" s="22">
        <v>45037</v>
      </c>
      <c r="BG492" s="26">
        <f t="shared" ca="1" si="43"/>
        <v>0.64114115563321172</v>
      </c>
      <c r="BH492" s="29">
        <v>0</v>
      </c>
      <c r="BJ492" s="22">
        <v>45037</v>
      </c>
      <c r="BK492" s="26">
        <f t="shared" ca="1" si="44"/>
        <v>0.21933420750663224</v>
      </c>
      <c r="BL492" s="29">
        <v>0</v>
      </c>
      <c r="BN492" s="22">
        <v>45037</v>
      </c>
      <c r="BO492" s="26">
        <f t="shared" ca="1" si="45"/>
        <v>0.48155685385787816</v>
      </c>
      <c r="BP492" s="29">
        <v>0</v>
      </c>
      <c r="BR492" s="22">
        <v>45037</v>
      </c>
      <c r="BS492" s="26">
        <f t="shared" ca="1" si="46"/>
        <v>0.97796620395142497</v>
      </c>
      <c r="BT492" s="29">
        <v>0</v>
      </c>
      <c r="BV492" s="22">
        <v>45037</v>
      </c>
      <c r="BW492" s="26">
        <f t="shared" ca="1" si="47"/>
        <v>0.61390130934428588</v>
      </c>
      <c r="BX492" s="29">
        <v>0</v>
      </c>
    </row>
    <row r="493" spans="2:76" ht="12.75" x14ac:dyDescent="0.2">
      <c r="B493" s="22">
        <v>45038</v>
      </c>
      <c r="C493" s="26">
        <f t="shared" ca="1" si="68"/>
        <v>0.60608015771544599</v>
      </c>
      <c r="D493" s="29">
        <f t="shared" ca="1" si="77"/>
        <v>81</v>
      </c>
      <c r="F493" s="22">
        <v>45038</v>
      </c>
      <c r="G493" s="26">
        <f t="shared" ca="1" si="31"/>
        <v>0.19820958452179815</v>
      </c>
      <c r="H493" s="29">
        <f t="shared" ca="1" si="69"/>
        <v>204</v>
      </c>
      <c r="J493" s="22">
        <v>45038</v>
      </c>
      <c r="K493" s="26">
        <f t="shared" ca="1" si="32"/>
        <v>0.22705412636743638</v>
      </c>
      <c r="L493" s="29">
        <f t="shared" ca="1" si="70"/>
        <v>143</v>
      </c>
      <c r="N493" s="22">
        <v>45038</v>
      </c>
      <c r="O493" s="26">
        <f t="shared" ca="1" si="33"/>
        <v>0.16634224338905224</v>
      </c>
      <c r="P493" s="29">
        <f t="shared" ca="1" si="71"/>
        <v>215</v>
      </c>
      <c r="R493" s="22">
        <v>45038</v>
      </c>
      <c r="S493" s="26">
        <f t="shared" ca="1" si="34"/>
        <v>0.75153615084684944</v>
      </c>
      <c r="T493" s="29">
        <f t="shared" ca="1" si="72"/>
        <v>146</v>
      </c>
      <c r="V493" s="22">
        <v>45038</v>
      </c>
      <c r="W493" s="26">
        <f t="shared" ca="1" si="35"/>
        <v>0.11112771360548568</v>
      </c>
      <c r="X493" s="29">
        <f t="shared" ca="1" si="73"/>
        <v>207</v>
      </c>
      <c r="Z493" s="22">
        <v>45038</v>
      </c>
      <c r="AA493" s="26">
        <f t="shared" ca="1" si="36"/>
        <v>0.15327152861515969</v>
      </c>
      <c r="AB493" s="29">
        <f t="shared" ca="1" si="74"/>
        <v>252</v>
      </c>
      <c r="AC493"/>
      <c r="AD493" s="25"/>
      <c r="AF493" s="22">
        <v>45038</v>
      </c>
      <c r="AG493" s="26">
        <f t="shared" ca="1" si="37"/>
        <v>0.16065758199333491</v>
      </c>
      <c r="AH493" s="29">
        <f t="shared" ca="1" si="75"/>
        <v>241</v>
      </c>
      <c r="AJ493" s="22">
        <v>45038</v>
      </c>
      <c r="AK493" s="26">
        <f t="shared" ca="1" si="38"/>
        <v>0.56954413170701446</v>
      </c>
      <c r="AL493" s="29">
        <f t="shared" ca="1" si="76"/>
        <v>179</v>
      </c>
      <c r="AN493" s="22">
        <v>45038</v>
      </c>
      <c r="AO493" s="26">
        <f t="shared" ca="1" si="39"/>
        <v>0.51706375943749783</v>
      </c>
      <c r="AP493" s="29">
        <v>0</v>
      </c>
      <c r="AR493" s="22">
        <v>45038</v>
      </c>
      <c r="AS493" s="26">
        <f t="shared" ca="1" si="40"/>
        <v>0.22096282720677551</v>
      </c>
      <c r="AT493" s="29">
        <v>0</v>
      </c>
      <c r="AV493" s="22">
        <v>45038</v>
      </c>
      <c r="AW493" s="26">
        <f t="shared" ca="1" si="41"/>
        <v>0.58929117511810447</v>
      </c>
      <c r="AX493" s="29">
        <v>0</v>
      </c>
      <c r="AZ493" s="22">
        <v>45038</v>
      </c>
      <c r="BA493" s="26">
        <f t="shared" ca="1" si="42"/>
        <v>0.51591747199394855</v>
      </c>
      <c r="BB493" s="29">
        <v>0</v>
      </c>
      <c r="BC493"/>
      <c r="BD493" s="25"/>
      <c r="BF493" s="22">
        <v>45038</v>
      </c>
      <c r="BG493" s="26">
        <f t="shared" ca="1" si="43"/>
        <v>0.71957249275593738</v>
      </c>
      <c r="BH493" s="29">
        <v>0</v>
      </c>
      <c r="BJ493" s="22">
        <v>45038</v>
      </c>
      <c r="BK493" s="26">
        <f t="shared" ca="1" si="44"/>
        <v>0.31986772738603653</v>
      </c>
      <c r="BL493" s="29">
        <v>0</v>
      </c>
      <c r="BN493" s="22">
        <v>45038</v>
      </c>
      <c r="BO493" s="26">
        <f t="shared" ca="1" si="45"/>
        <v>0.1818999583994716</v>
      </c>
      <c r="BP493" s="29">
        <v>0</v>
      </c>
      <c r="BR493" s="22">
        <v>45038</v>
      </c>
      <c r="BS493" s="26">
        <f t="shared" ca="1" si="46"/>
        <v>0.35870597924530245</v>
      </c>
      <c r="BT493" s="29">
        <v>0</v>
      </c>
      <c r="BV493" s="22">
        <v>45038</v>
      </c>
      <c r="BW493" s="26">
        <f t="shared" ca="1" si="47"/>
        <v>0.67072601399092258</v>
      </c>
      <c r="BX493" s="29">
        <v>0</v>
      </c>
    </row>
    <row r="494" spans="2:76" ht="12.75" x14ac:dyDescent="0.2">
      <c r="B494" s="22">
        <v>45039</v>
      </c>
      <c r="C494" s="26">
        <f t="shared" ca="1" si="68"/>
        <v>0.52371323395525604</v>
      </c>
      <c r="D494" s="29">
        <f t="shared" ca="1" si="77"/>
        <v>77</v>
      </c>
      <c r="F494" s="22">
        <v>45039</v>
      </c>
      <c r="G494" s="26">
        <f t="shared" ca="1" si="31"/>
        <v>0.75125646837984505</v>
      </c>
      <c r="H494" s="29">
        <f t="shared" ca="1" si="69"/>
        <v>226</v>
      </c>
      <c r="J494" s="22">
        <v>45039</v>
      </c>
      <c r="K494" s="26">
        <f t="shared" ca="1" si="32"/>
        <v>0.21700636239606552</v>
      </c>
      <c r="L494" s="29">
        <f t="shared" ca="1" si="70"/>
        <v>143</v>
      </c>
      <c r="N494" s="22">
        <v>45039</v>
      </c>
      <c r="O494" s="26">
        <f t="shared" ca="1" si="33"/>
        <v>8.5351361709275486E-2</v>
      </c>
      <c r="P494" s="29">
        <f t="shared" ca="1" si="71"/>
        <v>209</v>
      </c>
      <c r="R494" s="22">
        <v>45039</v>
      </c>
      <c r="S494" s="26">
        <f t="shared" ca="1" si="34"/>
        <v>0.1723380584486669</v>
      </c>
      <c r="T494" s="29">
        <f t="shared" ca="1" si="72"/>
        <v>131</v>
      </c>
      <c r="V494" s="22">
        <v>45039</v>
      </c>
      <c r="W494" s="26">
        <f t="shared" ca="1" si="35"/>
        <v>0.74899149794563968</v>
      </c>
      <c r="X494" s="29">
        <f t="shared" ca="1" si="73"/>
        <v>236</v>
      </c>
      <c r="Z494" s="22">
        <v>45039</v>
      </c>
      <c r="AA494" s="26">
        <f t="shared" ca="1" si="36"/>
        <v>0.98726445269243812</v>
      </c>
      <c r="AB494" s="29">
        <f t="shared" ca="1" si="74"/>
        <v>311</v>
      </c>
      <c r="AC494"/>
      <c r="AD494" s="25"/>
      <c r="AF494" s="22">
        <v>45039</v>
      </c>
      <c r="AG494" s="26">
        <f t="shared" ca="1" si="37"/>
        <v>1.5456525300193369E-2</v>
      </c>
      <c r="AH494" s="29">
        <f t="shared" ca="1" si="75"/>
        <v>139</v>
      </c>
      <c r="AJ494" s="22">
        <v>45039</v>
      </c>
      <c r="AK494" s="26">
        <f t="shared" ca="1" si="38"/>
        <v>0.35873301086434206</v>
      </c>
      <c r="AL494" s="29">
        <f t="shared" ca="1" si="76"/>
        <v>154</v>
      </c>
      <c r="AN494" s="22">
        <v>45039</v>
      </c>
      <c r="AO494" s="26">
        <f t="shared" ca="1" si="39"/>
        <v>0.55445285229432717</v>
      </c>
      <c r="AP494" s="29">
        <v>0</v>
      </c>
      <c r="AR494" s="22">
        <v>45039</v>
      </c>
      <c r="AS494" s="26">
        <f t="shared" ca="1" si="40"/>
        <v>0.15183641087240729</v>
      </c>
      <c r="AT494" s="29">
        <v>0</v>
      </c>
      <c r="AV494" s="22">
        <v>45039</v>
      </c>
      <c r="AW494" s="26">
        <f t="shared" ca="1" si="41"/>
        <v>0.41442150010774381</v>
      </c>
      <c r="AX494" s="29">
        <v>0</v>
      </c>
      <c r="AZ494" s="22">
        <v>45039</v>
      </c>
      <c r="BA494" s="26">
        <f t="shared" ca="1" si="42"/>
        <v>2.184424075256286E-2</v>
      </c>
      <c r="BB494" s="29">
        <v>0</v>
      </c>
      <c r="BC494"/>
      <c r="BD494" s="25"/>
      <c r="BF494" s="22">
        <v>45039</v>
      </c>
      <c r="BG494" s="26">
        <f t="shared" ca="1" si="43"/>
        <v>0.35075156439967048</v>
      </c>
      <c r="BH494" s="29">
        <v>0</v>
      </c>
      <c r="BJ494" s="22">
        <v>45039</v>
      </c>
      <c r="BK494" s="26">
        <f t="shared" ca="1" si="44"/>
        <v>0.73448671323926595</v>
      </c>
      <c r="BL494" s="29">
        <v>0</v>
      </c>
      <c r="BN494" s="22">
        <v>45039</v>
      </c>
      <c r="BO494" s="26">
        <f t="shared" ca="1" si="45"/>
        <v>7.1564014472731974E-2</v>
      </c>
      <c r="BP494" s="29">
        <v>0</v>
      </c>
      <c r="BR494" s="22">
        <v>45039</v>
      </c>
      <c r="BS494" s="26">
        <f t="shared" ca="1" si="46"/>
        <v>0.99771406514072791</v>
      </c>
      <c r="BT494" s="29">
        <v>0</v>
      </c>
      <c r="BV494" s="22">
        <v>45039</v>
      </c>
      <c r="BW494" s="26">
        <f t="shared" ca="1" si="47"/>
        <v>0.72041822418347301</v>
      </c>
      <c r="BX494" s="29">
        <v>0</v>
      </c>
    </row>
    <row r="495" spans="2:76" ht="12.75" x14ac:dyDescent="0.2">
      <c r="B495" s="22">
        <v>45040</v>
      </c>
      <c r="C495" s="26">
        <f t="shared" ca="1" si="68"/>
        <v>0.33535905147433165</v>
      </c>
      <c r="D495" s="29">
        <f t="shared" ca="1" si="77"/>
        <v>67</v>
      </c>
      <c r="F495" s="22">
        <v>45040</v>
      </c>
      <c r="G495" s="26">
        <f t="shared" ca="1" si="31"/>
        <v>0.64346384479095808</v>
      </c>
      <c r="H495" s="29">
        <f t="shared" ca="1" si="69"/>
        <v>221</v>
      </c>
      <c r="J495" s="22">
        <v>45040</v>
      </c>
      <c r="K495" s="26">
        <f t="shared" ca="1" si="32"/>
        <v>0.70567189531651209</v>
      </c>
      <c r="L495" s="29">
        <f t="shared" ca="1" si="70"/>
        <v>156</v>
      </c>
      <c r="N495" s="22">
        <v>45040</v>
      </c>
      <c r="O495" s="26">
        <f t="shared" ca="1" si="33"/>
        <v>0.8633985198212456</v>
      </c>
      <c r="P495" s="29">
        <f t="shared" ca="1" si="71"/>
        <v>247</v>
      </c>
      <c r="R495" s="22">
        <v>45040</v>
      </c>
      <c r="S495" s="26">
        <f t="shared" ca="1" si="34"/>
        <v>0.31167601810029988</v>
      </c>
      <c r="T495" s="29">
        <f t="shared" ca="1" si="72"/>
        <v>135</v>
      </c>
      <c r="V495" s="22">
        <v>45040</v>
      </c>
      <c r="W495" s="26">
        <f t="shared" ca="1" si="35"/>
        <v>0.17036118397899591</v>
      </c>
      <c r="X495" s="29">
        <f t="shared" ca="1" si="73"/>
        <v>211</v>
      </c>
      <c r="Z495" s="22">
        <v>45040</v>
      </c>
      <c r="AA495" s="26">
        <f t="shared" ca="1" si="36"/>
        <v>0.64994427837935342</v>
      </c>
      <c r="AB495" s="29">
        <f t="shared" ca="1" si="74"/>
        <v>277</v>
      </c>
      <c r="AC495"/>
      <c r="AD495" s="25"/>
      <c r="AF495" s="22">
        <v>45040</v>
      </c>
      <c r="AG495" s="26">
        <f t="shared" ca="1" si="37"/>
        <v>0.3122578547824294</v>
      </c>
      <c r="AH495" s="29">
        <f t="shared" ca="1" si="75"/>
        <v>285</v>
      </c>
      <c r="AJ495" s="22">
        <v>45040</v>
      </c>
      <c r="AK495" s="26">
        <f t="shared" ca="1" si="38"/>
        <v>0.14323724181181974</v>
      </c>
      <c r="AL495" s="29">
        <f t="shared" ca="1" si="76"/>
        <v>122</v>
      </c>
      <c r="AN495" s="22">
        <v>45040</v>
      </c>
      <c r="AO495" s="26">
        <f t="shared" ca="1" si="39"/>
        <v>0.9465403137371432</v>
      </c>
      <c r="AP495" s="29">
        <v>0</v>
      </c>
      <c r="AR495" s="22">
        <v>45040</v>
      </c>
      <c r="AS495" s="26">
        <f t="shared" ca="1" si="40"/>
        <v>0.4347317265033287</v>
      </c>
      <c r="AT495" s="29">
        <v>0</v>
      </c>
      <c r="AV495" s="22">
        <v>45040</v>
      </c>
      <c r="AW495" s="26">
        <f t="shared" ca="1" si="41"/>
        <v>0.54499771491262805</v>
      </c>
      <c r="AX495" s="29">
        <v>0</v>
      </c>
      <c r="AZ495" s="22">
        <v>45040</v>
      </c>
      <c r="BA495" s="26">
        <f t="shared" ca="1" si="42"/>
        <v>2.8483780937953895E-2</v>
      </c>
      <c r="BB495" s="29">
        <v>0</v>
      </c>
      <c r="BC495"/>
      <c r="BD495" s="25"/>
      <c r="BF495" s="22">
        <v>45040</v>
      </c>
      <c r="BG495" s="26">
        <f t="shared" ca="1" si="43"/>
        <v>0.4614351819821193</v>
      </c>
      <c r="BH495" s="29">
        <v>0</v>
      </c>
      <c r="BJ495" s="22">
        <v>45040</v>
      </c>
      <c r="BK495" s="26">
        <f t="shared" ca="1" si="44"/>
        <v>0.55109388441404061</v>
      </c>
      <c r="BL495" s="29">
        <v>0</v>
      </c>
      <c r="BN495" s="22">
        <v>45040</v>
      </c>
      <c r="BO495" s="26">
        <f t="shared" ca="1" si="45"/>
        <v>0.71586987700149651</v>
      </c>
      <c r="BP495" s="29">
        <v>0</v>
      </c>
      <c r="BR495" s="22">
        <v>45040</v>
      </c>
      <c r="BS495" s="26">
        <f t="shared" ca="1" si="46"/>
        <v>0.70939969433416361</v>
      </c>
      <c r="BT495" s="29">
        <v>0</v>
      </c>
      <c r="BV495" s="22">
        <v>45040</v>
      </c>
      <c r="BW495" s="26">
        <f t="shared" ca="1" si="47"/>
        <v>0.44804132039396782</v>
      </c>
      <c r="BX495" s="29">
        <v>0</v>
      </c>
    </row>
    <row r="496" spans="2:76" ht="12.75" x14ac:dyDescent="0.2">
      <c r="B496" s="22">
        <v>45041</v>
      </c>
      <c r="C496" s="26">
        <f t="shared" ca="1" si="68"/>
        <v>0.99859184250668065</v>
      </c>
      <c r="D496" s="29">
        <f t="shared" ca="1" si="77"/>
        <v>135</v>
      </c>
      <c r="F496" s="22">
        <v>45041</v>
      </c>
      <c r="G496" s="26">
        <f t="shared" ca="1" si="31"/>
        <v>0.40468579214788258</v>
      </c>
      <c r="H496" s="29">
        <f t="shared" ca="1" si="69"/>
        <v>212</v>
      </c>
      <c r="J496" s="22">
        <v>45041</v>
      </c>
      <c r="K496" s="26">
        <f t="shared" ca="1" si="32"/>
        <v>0.57563911275720336</v>
      </c>
      <c r="L496" s="29">
        <f t="shared" ca="1" si="70"/>
        <v>152</v>
      </c>
      <c r="N496" s="22">
        <v>45041</v>
      </c>
      <c r="O496" s="26">
        <f t="shared" ca="1" si="33"/>
        <v>0.3710629607308763</v>
      </c>
      <c r="P496" s="29">
        <f t="shared" ca="1" si="71"/>
        <v>225</v>
      </c>
      <c r="R496" s="22">
        <v>45041</v>
      </c>
      <c r="S496" s="26">
        <f t="shared" ca="1" si="34"/>
        <v>0.26737875006702194</v>
      </c>
      <c r="T496" s="29">
        <f t="shared" ca="1" si="72"/>
        <v>134</v>
      </c>
      <c r="V496" s="22">
        <v>45041</v>
      </c>
      <c r="W496" s="26">
        <f t="shared" ca="1" si="35"/>
        <v>0.92664170631987197</v>
      </c>
      <c r="X496" s="29">
        <f t="shared" ca="1" si="73"/>
        <v>247</v>
      </c>
      <c r="Z496" s="22">
        <v>45041</v>
      </c>
      <c r="AA496" s="26">
        <f t="shared" ca="1" si="36"/>
        <v>0.28050605174677945</v>
      </c>
      <c r="AB496" s="29">
        <f t="shared" ca="1" si="74"/>
        <v>260</v>
      </c>
      <c r="AC496"/>
      <c r="AD496" s="25"/>
      <c r="AF496" s="22">
        <v>45041</v>
      </c>
      <c r="AG496" s="26">
        <f t="shared" ca="1" si="37"/>
        <v>0.44283491339592995</v>
      </c>
      <c r="AH496" s="29">
        <f t="shared" ca="1" si="75"/>
        <v>315</v>
      </c>
      <c r="AJ496" s="22">
        <v>45041</v>
      </c>
      <c r="AK496" s="26">
        <f t="shared" ca="1" si="38"/>
        <v>0.62418903772907741</v>
      </c>
      <c r="AL496" s="29">
        <f t="shared" ca="1" si="76"/>
        <v>185</v>
      </c>
      <c r="AN496" s="22">
        <v>45041</v>
      </c>
      <c r="AO496" s="26">
        <f t="shared" ca="1" si="39"/>
        <v>8.6538132883303809E-2</v>
      </c>
      <c r="AP496" s="29">
        <v>0</v>
      </c>
      <c r="AR496" s="22">
        <v>45041</v>
      </c>
      <c r="AS496" s="26">
        <f t="shared" ca="1" si="40"/>
        <v>0.64764141784162588</v>
      </c>
      <c r="AT496" s="29">
        <v>0</v>
      </c>
      <c r="AV496" s="22">
        <v>45041</v>
      </c>
      <c r="AW496" s="26">
        <f t="shared" ca="1" si="41"/>
        <v>1.0010388933199943E-2</v>
      </c>
      <c r="AX496" s="29">
        <v>0</v>
      </c>
      <c r="AZ496" s="22">
        <v>45041</v>
      </c>
      <c r="BA496" s="26">
        <f t="shared" ca="1" si="42"/>
        <v>9.0467409639789054E-2</v>
      </c>
      <c r="BB496" s="29">
        <v>0</v>
      </c>
      <c r="BC496"/>
      <c r="BD496" s="25"/>
      <c r="BF496" s="22">
        <v>45041</v>
      </c>
      <c r="BG496" s="26">
        <f t="shared" ca="1" si="43"/>
        <v>0.35869802631203751</v>
      </c>
      <c r="BH496" s="29">
        <v>0</v>
      </c>
      <c r="BJ496" s="22">
        <v>45041</v>
      </c>
      <c r="BK496" s="26">
        <f t="shared" ca="1" si="44"/>
        <v>0.32180995449902228</v>
      </c>
      <c r="BL496" s="29">
        <v>0</v>
      </c>
      <c r="BN496" s="22">
        <v>45041</v>
      </c>
      <c r="BO496" s="26">
        <f t="shared" ca="1" si="45"/>
        <v>3.2108417802366174E-2</v>
      </c>
      <c r="BP496" s="29">
        <v>0</v>
      </c>
      <c r="BR496" s="22">
        <v>45041</v>
      </c>
      <c r="BS496" s="26">
        <f t="shared" ca="1" si="46"/>
        <v>0.40765169757195874</v>
      </c>
      <c r="BT496" s="29">
        <v>0</v>
      </c>
      <c r="BV496" s="22">
        <v>45041</v>
      </c>
      <c r="BW496" s="26">
        <f t="shared" ca="1" si="47"/>
        <v>0.82370782434357726</v>
      </c>
      <c r="BX496" s="29">
        <v>0</v>
      </c>
    </row>
    <row r="497" spans="2:77" ht="12.75" x14ac:dyDescent="0.2">
      <c r="B497" s="22">
        <v>45042</v>
      </c>
      <c r="C497" s="26">
        <f t="shared" ca="1" si="68"/>
        <v>0.78076987779037033</v>
      </c>
      <c r="D497" s="29">
        <f t="shared" ca="1" si="77"/>
        <v>91</v>
      </c>
      <c r="F497" s="22">
        <v>45042</v>
      </c>
      <c r="G497" s="26">
        <f t="shared" ca="1" si="31"/>
        <v>0.26065317478552152</v>
      </c>
      <c r="H497" s="29">
        <f t="shared" ca="1" si="69"/>
        <v>207</v>
      </c>
      <c r="J497" s="22">
        <v>45042</v>
      </c>
      <c r="K497" s="26">
        <f t="shared" ca="1" si="32"/>
        <v>0.85723459260802015</v>
      </c>
      <c r="L497" s="29">
        <f t="shared" ca="1" si="70"/>
        <v>161</v>
      </c>
      <c r="N497" s="22">
        <v>45042</v>
      </c>
      <c r="O497" s="26">
        <f t="shared" ca="1" si="33"/>
        <v>0.69496557474449028</v>
      </c>
      <c r="P497" s="29">
        <f t="shared" ca="1" si="71"/>
        <v>238</v>
      </c>
      <c r="R497" s="22">
        <v>45042</v>
      </c>
      <c r="S497" s="26">
        <f t="shared" ca="1" si="34"/>
        <v>0.34218495999939258</v>
      </c>
      <c r="T497" s="29">
        <f t="shared" ca="1" si="72"/>
        <v>135</v>
      </c>
      <c r="V497" s="22">
        <v>45042</v>
      </c>
      <c r="W497" s="26">
        <f t="shared" ca="1" si="35"/>
        <v>0.81614510656347017</v>
      </c>
      <c r="X497" s="29">
        <f t="shared" ca="1" si="73"/>
        <v>239</v>
      </c>
      <c r="Z497" s="22">
        <v>45042</v>
      </c>
      <c r="AA497" s="26">
        <f t="shared" ca="1" si="36"/>
        <v>0.89769519380406138</v>
      </c>
      <c r="AB497" s="29">
        <f t="shared" ca="1" si="74"/>
        <v>293</v>
      </c>
      <c r="AC497"/>
      <c r="AD497" s="25"/>
      <c r="AF497" s="22">
        <v>45042</v>
      </c>
      <c r="AG497" s="26">
        <f t="shared" ca="1" si="37"/>
        <v>0.80786088474049744</v>
      </c>
      <c r="AH497" s="29">
        <f t="shared" ca="1" si="75"/>
        <v>403</v>
      </c>
      <c r="AJ497" s="22">
        <v>45042</v>
      </c>
      <c r="AK497" s="26">
        <f t="shared" ca="1" si="38"/>
        <v>0.44507258185825527</v>
      </c>
      <c r="AL497" s="29">
        <f t="shared" ca="1" si="76"/>
        <v>165</v>
      </c>
      <c r="AN497" s="22">
        <v>45042</v>
      </c>
      <c r="AO497" s="26">
        <f t="shared" ca="1" si="39"/>
        <v>9.2184271718631861E-2</v>
      </c>
      <c r="AP497" s="29">
        <v>0</v>
      </c>
      <c r="AR497" s="22">
        <v>45042</v>
      </c>
      <c r="AS497" s="26">
        <f t="shared" ca="1" si="40"/>
        <v>0.781374496560306</v>
      </c>
      <c r="AT497" s="29">
        <v>0</v>
      </c>
      <c r="AV497" s="22">
        <v>45042</v>
      </c>
      <c r="AW497" s="26">
        <f t="shared" ca="1" si="41"/>
        <v>0.83381079706435623</v>
      </c>
      <c r="AX497" s="29">
        <v>0</v>
      </c>
      <c r="AZ497" s="22">
        <v>45042</v>
      </c>
      <c r="BA497" s="26">
        <f t="shared" ca="1" si="42"/>
        <v>0.38534167989942603</v>
      </c>
      <c r="BB497" s="29">
        <v>0</v>
      </c>
      <c r="BC497"/>
      <c r="BD497" s="25"/>
      <c r="BF497" s="22">
        <v>45042</v>
      </c>
      <c r="BG497" s="26">
        <f t="shared" ca="1" si="43"/>
        <v>0.32307752494826669</v>
      </c>
      <c r="BH497" s="29">
        <v>0</v>
      </c>
      <c r="BJ497" s="22">
        <v>45042</v>
      </c>
      <c r="BK497" s="26">
        <f t="shared" ca="1" si="44"/>
        <v>0.23915187153082629</v>
      </c>
      <c r="BL497" s="29">
        <v>0</v>
      </c>
      <c r="BN497" s="22">
        <v>45042</v>
      </c>
      <c r="BO497" s="26">
        <f t="shared" ca="1" si="45"/>
        <v>3.4157930650176138E-2</v>
      </c>
      <c r="BP497" s="29">
        <v>0</v>
      </c>
      <c r="BR497" s="22">
        <v>45042</v>
      </c>
      <c r="BS497" s="26">
        <f t="shared" ca="1" si="46"/>
        <v>5.6652639071345101E-2</v>
      </c>
      <c r="BT497" s="29">
        <v>0</v>
      </c>
      <c r="BV497" s="22">
        <v>45042</v>
      </c>
      <c r="BW497" s="26">
        <f t="shared" ca="1" si="47"/>
        <v>0.76958066414596937</v>
      </c>
      <c r="BX497" s="29">
        <v>0</v>
      </c>
    </row>
    <row r="498" spans="2:77" ht="12.75" x14ac:dyDescent="0.2">
      <c r="B498" s="22">
        <v>45043</v>
      </c>
      <c r="C498" s="26">
        <f t="shared" ca="1" si="68"/>
        <v>0.49099045935341101</v>
      </c>
      <c r="D498" s="29">
        <f t="shared" ca="1" si="77"/>
        <v>75</v>
      </c>
      <c r="F498" s="22">
        <v>45043</v>
      </c>
      <c r="G498" s="26">
        <f t="shared" ca="1" si="31"/>
        <v>0.79115526894605015</v>
      </c>
      <c r="H498" s="29">
        <f t="shared" ca="1" si="69"/>
        <v>228</v>
      </c>
      <c r="J498" s="22">
        <v>45043</v>
      </c>
      <c r="K498" s="26">
        <f t="shared" ca="1" si="32"/>
        <v>0.4810331311159014</v>
      </c>
      <c r="L498" s="29">
        <f t="shared" ca="1" si="70"/>
        <v>150</v>
      </c>
      <c r="N498" s="22">
        <v>45043</v>
      </c>
      <c r="O498" s="26">
        <f t="shared" ca="1" si="33"/>
        <v>0.96348957009303327</v>
      </c>
      <c r="P498" s="29">
        <f t="shared" ca="1" si="71"/>
        <v>257</v>
      </c>
      <c r="R498" s="22">
        <v>45043</v>
      </c>
      <c r="S498" s="26">
        <f t="shared" ca="1" si="34"/>
        <v>0.52599552866574417</v>
      </c>
      <c r="T498" s="29">
        <f t="shared" ca="1" si="72"/>
        <v>140</v>
      </c>
      <c r="V498" s="22">
        <v>45043</v>
      </c>
      <c r="W498" s="26">
        <f t="shared" ca="1" si="35"/>
        <v>0.14069139085472726</v>
      </c>
      <c r="X498" s="29">
        <f t="shared" ca="1" si="73"/>
        <v>209</v>
      </c>
      <c r="Z498" s="22">
        <v>45043</v>
      </c>
      <c r="AA498" s="26">
        <f t="shared" ca="1" si="36"/>
        <v>0.87932107150127503</v>
      </c>
      <c r="AB498" s="29">
        <f t="shared" ca="1" si="74"/>
        <v>292</v>
      </c>
      <c r="AC498"/>
      <c r="AD498" s="25"/>
      <c r="AF498" s="22">
        <v>45043</v>
      </c>
      <c r="AG498" s="26">
        <f t="shared" ca="1" si="37"/>
        <v>0.6557583355151283</v>
      </c>
      <c r="AH498" s="29">
        <f t="shared" ca="1" si="75"/>
        <v>362</v>
      </c>
      <c r="AJ498" s="22">
        <v>45043</v>
      </c>
      <c r="AK498" s="26">
        <f t="shared" ca="1" si="38"/>
        <v>0.18295430621512643</v>
      </c>
      <c r="AL498" s="29">
        <f t="shared" ca="1" si="76"/>
        <v>130</v>
      </c>
      <c r="AN498" s="22">
        <v>45043</v>
      </c>
      <c r="AO498" s="26">
        <f t="shared" ca="1" si="39"/>
        <v>0.70206675459606249</v>
      </c>
      <c r="AP498" s="29">
        <v>0</v>
      </c>
      <c r="AR498" s="22">
        <v>45043</v>
      </c>
      <c r="AS498" s="26">
        <f t="shared" ca="1" si="40"/>
        <v>0.83481481649308842</v>
      </c>
      <c r="AT498" s="29">
        <v>0</v>
      </c>
      <c r="AV498" s="22">
        <v>45043</v>
      </c>
      <c r="AW498" s="26">
        <f t="shared" ca="1" si="41"/>
        <v>0.1824905135341105</v>
      </c>
      <c r="AX498" s="29">
        <v>0</v>
      </c>
      <c r="AZ498" s="22">
        <v>45043</v>
      </c>
      <c r="BA498" s="26">
        <f t="shared" ca="1" si="42"/>
        <v>0.15269350092411094</v>
      </c>
      <c r="BB498" s="29">
        <v>0</v>
      </c>
      <c r="BC498"/>
      <c r="BD498" s="25"/>
      <c r="BF498" s="22">
        <v>45043</v>
      </c>
      <c r="BG498" s="26">
        <f t="shared" ca="1" si="43"/>
        <v>0.67447980485054115</v>
      </c>
      <c r="BH498" s="29">
        <v>0</v>
      </c>
      <c r="BJ498" s="22">
        <v>45043</v>
      </c>
      <c r="BK498" s="26">
        <f t="shared" ca="1" si="44"/>
        <v>0.89989766234835777</v>
      </c>
      <c r="BL498" s="29">
        <v>0</v>
      </c>
      <c r="BN498" s="22">
        <v>45043</v>
      </c>
      <c r="BO498" s="26">
        <f t="shared" ca="1" si="45"/>
        <v>0.14909986610429959</v>
      </c>
      <c r="BP498" s="29">
        <v>0</v>
      </c>
      <c r="BR498" s="22">
        <v>45043</v>
      </c>
      <c r="BS498" s="26">
        <f t="shared" ca="1" si="46"/>
        <v>0.6653592250233259</v>
      </c>
      <c r="BT498" s="29">
        <v>0</v>
      </c>
      <c r="BV498" s="22">
        <v>45043</v>
      </c>
      <c r="BW498" s="26">
        <f t="shared" ca="1" si="47"/>
        <v>0.74635879934936877</v>
      </c>
      <c r="BX498" s="29">
        <v>0</v>
      </c>
    </row>
    <row r="499" spans="2:77" ht="12.75" x14ac:dyDescent="0.2">
      <c r="B499" s="22">
        <v>45044</v>
      </c>
      <c r="C499" s="26">
        <f t="shared" ca="1" si="68"/>
        <v>0.77294995470736261</v>
      </c>
      <c r="D499" s="29">
        <f t="shared" ca="1" si="77"/>
        <v>90</v>
      </c>
      <c r="F499" s="22">
        <v>45044</v>
      </c>
      <c r="G499" s="26">
        <f t="shared" ca="1" si="31"/>
        <v>0.28379044158455236</v>
      </c>
      <c r="H499" s="29">
        <f t="shared" ca="1" si="69"/>
        <v>208</v>
      </c>
      <c r="J499" s="22">
        <v>45044</v>
      </c>
      <c r="K499" s="26">
        <f t="shared" ca="1" si="32"/>
        <v>9.7744116537789472E-2</v>
      </c>
      <c r="L499" s="29">
        <f t="shared" ca="1" si="70"/>
        <v>138</v>
      </c>
      <c r="N499" s="22">
        <v>45044</v>
      </c>
      <c r="O499" s="26">
        <f t="shared" ca="1" si="33"/>
        <v>0.55845501283093257</v>
      </c>
      <c r="P499" s="29">
        <f t="shared" ca="1" si="71"/>
        <v>232</v>
      </c>
      <c r="R499" s="22">
        <v>45044</v>
      </c>
      <c r="S499" s="26">
        <f t="shared" ca="1" si="34"/>
        <v>0.68675281779295561</v>
      </c>
      <c r="T499" s="29">
        <f t="shared" ca="1" si="72"/>
        <v>144</v>
      </c>
      <c r="V499" s="22">
        <v>45044</v>
      </c>
      <c r="W499" s="26">
        <f t="shared" ca="1" si="35"/>
        <v>0.9575958718918347</v>
      </c>
      <c r="X499" s="29">
        <f t="shared" ca="1" si="73"/>
        <v>251</v>
      </c>
      <c r="Z499" s="22">
        <v>45044</v>
      </c>
      <c r="AA499" s="26">
        <f t="shared" ca="1" si="36"/>
        <v>0.1234551227816888</v>
      </c>
      <c r="AB499" s="29">
        <f t="shared" ca="1" si="74"/>
        <v>250</v>
      </c>
      <c r="AC499"/>
      <c r="AD499" s="25"/>
      <c r="AF499" s="22">
        <v>45044</v>
      </c>
      <c r="AG499" s="26">
        <f t="shared" ca="1" si="37"/>
        <v>0.10105388738174792</v>
      </c>
      <c r="AH499" s="29">
        <f t="shared" ca="1" si="75"/>
        <v>216</v>
      </c>
      <c r="AJ499" s="22">
        <v>45044</v>
      </c>
      <c r="AK499" s="26">
        <f t="shared" ca="1" si="38"/>
        <v>0.60941123834140243</v>
      </c>
      <c r="AL499" s="29">
        <f t="shared" ca="1" si="76"/>
        <v>184</v>
      </c>
      <c r="AN499" s="22">
        <v>45044</v>
      </c>
      <c r="AO499" s="26">
        <f t="shared" ca="1" si="39"/>
        <v>0.28084246580064409</v>
      </c>
      <c r="AP499" s="29">
        <v>0</v>
      </c>
      <c r="AR499" s="22">
        <v>45044</v>
      </c>
      <c r="AS499" s="26">
        <f t="shared" ca="1" si="40"/>
        <v>0.7212680329197646</v>
      </c>
      <c r="AT499" s="29">
        <v>0</v>
      </c>
      <c r="AV499" s="22">
        <v>45044</v>
      </c>
      <c r="AW499" s="26">
        <f t="shared" ca="1" si="41"/>
        <v>0.45802273339577237</v>
      </c>
      <c r="AX499" s="29">
        <v>0</v>
      </c>
      <c r="AZ499" s="22">
        <v>45044</v>
      </c>
      <c r="BA499" s="26">
        <f t="shared" ca="1" si="42"/>
        <v>0.70116664951139573</v>
      </c>
      <c r="BB499" s="29">
        <v>0</v>
      </c>
      <c r="BC499"/>
      <c r="BD499" s="25"/>
      <c r="BF499" s="22">
        <v>45044</v>
      </c>
      <c r="BG499" s="26">
        <f t="shared" ca="1" si="43"/>
        <v>0.32259399351615148</v>
      </c>
      <c r="BH499" s="29">
        <v>0</v>
      </c>
      <c r="BJ499" s="22">
        <v>45044</v>
      </c>
      <c r="BK499" s="26">
        <f t="shared" ca="1" si="44"/>
        <v>0.80110729282712434</v>
      </c>
      <c r="BL499" s="29">
        <v>0</v>
      </c>
      <c r="BN499" s="22">
        <v>45044</v>
      </c>
      <c r="BO499" s="26">
        <f t="shared" ca="1" si="45"/>
        <v>0.85301594321891328</v>
      </c>
      <c r="BP499" s="29">
        <v>0</v>
      </c>
      <c r="BR499" s="22">
        <v>45044</v>
      </c>
      <c r="BS499" s="26">
        <f t="shared" ca="1" si="46"/>
        <v>0.1323087096290454</v>
      </c>
      <c r="BT499" s="29">
        <v>0</v>
      </c>
      <c r="BV499" s="22">
        <v>45044</v>
      </c>
      <c r="BW499" s="26">
        <f t="shared" ca="1" si="47"/>
        <v>0.48264582645745224</v>
      </c>
      <c r="BX499" s="29">
        <v>0</v>
      </c>
    </row>
    <row r="500" spans="2:77" ht="12.75" x14ac:dyDescent="0.2">
      <c r="B500" s="22">
        <v>45045</v>
      </c>
      <c r="C500" s="26">
        <f t="shared" ca="1" si="68"/>
        <v>0.11719239695892969</v>
      </c>
      <c r="D500" s="29">
        <f t="shared" ca="1" si="77"/>
        <v>52</v>
      </c>
      <c r="F500" s="22">
        <v>45045</v>
      </c>
      <c r="G500" s="26">
        <f t="shared" ca="1" si="31"/>
        <v>0.9266249831549237</v>
      </c>
      <c r="H500" s="29">
        <f t="shared" ca="1" si="69"/>
        <v>237</v>
      </c>
      <c r="J500" s="22">
        <v>45045</v>
      </c>
      <c r="K500" s="26">
        <f t="shared" ca="1" si="32"/>
        <v>0.9343505540562852</v>
      </c>
      <c r="L500" s="29">
        <f t="shared" ca="1" si="70"/>
        <v>166</v>
      </c>
      <c r="N500" s="22">
        <v>45045</v>
      </c>
      <c r="O500" s="26">
        <f t="shared" ca="1" si="33"/>
        <v>0.94431855051013003</v>
      </c>
      <c r="P500" s="29">
        <f t="shared" ca="1" si="71"/>
        <v>254</v>
      </c>
      <c r="R500" s="22">
        <v>45045</v>
      </c>
      <c r="S500" s="26">
        <f t="shared" ca="1" si="34"/>
        <v>0.36989394852910928</v>
      </c>
      <c r="T500" s="29">
        <f t="shared" ca="1" si="72"/>
        <v>136</v>
      </c>
      <c r="V500" s="22">
        <v>45045</v>
      </c>
      <c r="W500" s="26">
        <f t="shared" ca="1" si="35"/>
        <v>0.43358015418727391</v>
      </c>
      <c r="X500" s="29">
        <f t="shared" ca="1" si="73"/>
        <v>223</v>
      </c>
      <c r="Z500" s="22">
        <v>45045</v>
      </c>
      <c r="AA500" s="26">
        <f t="shared" ca="1" si="36"/>
        <v>0.26855975690051059</v>
      </c>
      <c r="AB500" s="29">
        <f t="shared" ca="1" si="74"/>
        <v>259</v>
      </c>
      <c r="AC500"/>
      <c r="AD500" s="25"/>
      <c r="AF500" s="22">
        <v>45045</v>
      </c>
      <c r="AG500" s="26">
        <f t="shared" ca="1" si="37"/>
        <v>0.94363865716847717</v>
      </c>
      <c r="AH500" s="29">
        <f t="shared" ca="1" si="75"/>
        <v>466</v>
      </c>
      <c r="AJ500" s="22">
        <v>45045</v>
      </c>
      <c r="AK500" s="26">
        <f t="shared" ca="1" si="38"/>
        <v>0.37935478085420538</v>
      </c>
      <c r="AL500" s="29">
        <f t="shared" ca="1" si="76"/>
        <v>157</v>
      </c>
      <c r="AN500" s="22">
        <v>45045</v>
      </c>
      <c r="AO500" s="26">
        <f t="shared" ca="1" si="39"/>
        <v>0.43053566794004672</v>
      </c>
      <c r="AP500" s="29">
        <v>0</v>
      </c>
      <c r="AR500" s="22">
        <v>45045</v>
      </c>
      <c r="AS500" s="26">
        <f t="shared" ca="1" si="40"/>
        <v>0.49663208928136915</v>
      </c>
      <c r="AT500" s="29">
        <v>0</v>
      </c>
      <c r="AV500" s="22">
        <v>45045</v>
      </c>
      <c r="AW500" s="26">
        <f t="shared" ca="1" si="41"/>
        <v>0.2685711784459307</v>
      </c>
      <c r="AX500" s="29">
        <v>0</v>
      </c>
      <c r="AZ500" s="22">
        <v>45045</v>
      </c>
      <c r="BA500" s="26">
        <f t="shared" ca="1" si="42"/>
        <v>0.91788270132074756</v>
      </c>
      <c r="BB500" s="29">
        <v>0</v>
      </c>
      <c r="BC500"/>
      <c r="BD500" s="25"/>
      <c r="BF500" s="22">
        <v>45045</v>
      </c>
      <c r="BG500" s="26">
        <f t="shared" ca="1" si="43"/>
        <v>0.58752432848544511</v>
      </c>
      <c r="BH500" s="29">
        <v>0</v>
      </c>
      <c r="BJ500" s="22">
        <v>45045</v>
      </c>
      <c r="BK500" s="26">
        <f t="shared" ca="1" si="44"/>
        <v>0.73295679905099642</v>
      </c>
      <c r="BL500" s="29">
        <v>0</v>
      </c>
      <c r="BN500" s="22">
        <v>45045</v>
      </c>
      <c r="BO500" s="26">
        <f t="shared" ca="1" si="45"/>
        <v>0.68436850371834812</v>
      </c>
      <c r="BP500" s="29">
        <v>0</v>
      </c>
      <c r="BR500" s="22">
        <v>45045</v>
      </c>
      <c r="BS500" s="26">
        <f t="shared" ca="1" si="46"/>
        <v>0.77053154697808401</v>
      </c>
      <c r="BT500" s="29">
        <v>0</v>
      </c>
      <c r="BV500" s="22">
        <v>45045</v>
      </c>
      <c r="BW500" s="26">
        <f t="shared" ca="1" si="47"/>
        <v>0.27286584135258563</v>
      </c>
      <c r="BX500" s="29">
        <v>0</v>
      </c>
    </row>
    <row r="501" spans="2:77" ht="12.75" x14ac:dyDescent="0.2">
      <c r="B501" s="22">
        <v>45046</v>
      </c>
      <c r="C501" s="26">
        <f t="shared" ca="1" si="68"/>
        <v>0.98892105838584476</v>
      </c>
      <c r="D501" s="29">
        <f t="shared" ca="1" si="77"/>
        <v>121</v>
      </c>
      <c r="E501">
        <v>1541</v>
      </c>
      <c r="F501" s="22">
        <v>45046</v>
      </c>
      <c r="G501" s="26">
        <f t="shared" ca="1" si="31"/>
        <v>0.27048893280533071</v>
      </c>
      <c r="H501" s="29">
        <f t="shared" ca="1" si="69"/>
        <v>207</v>
      </c>
      <c r="I501">
        <v>4424</v>
      </c>
      <c r="J501" s="22">
        <v>45046</v>
      </c>
      <c r="K501" s="26">
        <f t="shared" ca="1" si="32"/>
        <v>0.73928781963585188</v>
      </c>
      <c r="L501" s="29">
        <f t="shared" ca="1" si="70"/>
        <v>157</v>
      </c>
      <c r="M501">
        <v>3181</v>
      </c>
      <c r="N501" s="22">
        <v>45046</v>
      </c>
      <c r="O501" s="26">
        <f t="shared" ca="1" si="33"/>
        <v>0.82431766310014709</v>
      </c>
      <c r="P501" s="29">
        <f t="shared" ca="1" si="71"/>
        <v>244</v>
      </c>
      <c r="Q501">
        <v>4651</v>
      </c>
      <c r="R501" s="22">
        <v>45046</v>
      </c>
      <c r="S501" s="26">
        <f t="shared" ca="1" si="34"/>
        <v>0.93703164485380752</v>
      </c>
      <c r="T501" s="29">
        <f t="shared" ca="1" si="72"/>
        <v>153</v>
      </c>
      <c r="U501">
        <v>2939</v>
      </c>
      <c r="V501" s="22">
        <v>45046</v>
      </c>
      <c r="W501" s="26">
        <f t="shared" ca="1" si="35"/>
        <v>0.79584886511827946</v>
      </c>
      <c r="X501" s="29">
        <f t="shared" ca="1" si="73"/>
        <v>238</v>
      </c>
      <c r="Y501">
        <v>4793</v>
      </c>
      <c r="Z501" s="22">
        <v>45046</v>
      </c>
      <c r="AA501" s="26">
        <f t="shared" ca="1" si="36"/>
        <v>0.66634342650068612</v>
      </c>
      <c r="AB501" s="29">
        <f t="shared" ca="1" si="74"/>
        <v>278</v>
      </c>
      <c r="AC501">
        <v>5561</v>
      </c>
      <c r="AD501" s="25"/>
      <c r="AF501" s="22">
        <v>45046</v>
      </c>
      <c r="AG501" s="26">
        <f t="shared" ca="1" si="37"/>
        <v>0.67046962235753982</v>
      </c>
      <c r="AH501" s="29">
        <f t="shared" ca="1" si="75"/>
        <v>366</v>
      </c>
      <c r="AI501">
        <v>7161</v>
      </c>
      <c r="AJ501" s="22">
        <v>45046</v>
      </c>
      <c r="AK501" s="26">
        <f t="shared" ca="1" si="38"/>
        <v>1.6089181234455463E-2</v>
      </c>
      <c r="AL501" s="29">
        <f t="shared" ca="1" si="76"/>
        <v>74</v>
      </c>
      <c r="AM501">
        <v>3880</v>
      </c>
      <c r="AN501" s="22">
        <v>45046</v>
      </c>
      <c r="AO501" s="26">
        <f t="shared" ca="1" si="39"/>
        <v>0.145134830586506</v>
      </c>
      <c r="AP501" s="29">
        <v>0</v>
      </c>
      <c r="AQ501">
        <v>0</v>
      </c>
      <c r="AR501" s="22">
        <v>45046</v>
      </c>
      <c r="AS501" s="26">
        <f t="shared" ca="1" si="40"/>
        <v>4.661828190381534E-2</v>
      </c>
      <c r="AT501" s="29">
        <v>0</v>
      </c>
      <c r="AU501">
        <v>0</v>
      </c>
      <c r="AV501" s="22">
        <v>45046</v>
      </c>
      <c r="AW501" s="26">
        <f t="shared" ca="1" si="41"/>
        <v>0.23574717018192759</v>
      </c>
      <c r="AX501" s="29">
        <v>0</v>
      </c>
      <c r="AY501">
        <v>0</v>
      </c>
      <c r="AZ501" s="22">
        <v>45046</v>
      </c>
      <c r="BA501" s="26">
        <f t="shared" ca="1" si="42"/>
        <v>0.47988947792894776</v>
      </c>
      <c r="BB501" s="29">
        <v>0</v>
      </c>
      <c r="BC501">
        <v>0</v>
      </c>
      <c r="BD501" s="25"/>
      <c r="BF501" s="22">
        <v>45046</v>
      </c>
      <c r="BG501" s="26">
        <f t="shared" ca="1" si="43"/>
        <v>0.2872982743228133</v>
      </c>
      <c r="BH501" s="29">
        <v>0</v>
      </c>
      <c r="BI501">
        <v>0</v>
      </c>
      <c r="BJ501" s="22">
        <v>45046</v>
      </c>
      <c r="BK501" s="26">
        <f t="shared" ca="1" si="44"/>
        <v>0.56126422625622985</v>
      </c>
      <c r="BL501" s="29">
        <v>0</v>
      </c>
      <c r="BM501">
        <v>0</v>
      </c>
      <c r="BN501" s="22">
        <v>45046</v>
      </c>
      <c r="BO501" s="26">
        <f t="shared" ca="1" si="45"/>
        <v>0.5719181455870006</v>
      </c>
      <c r="BP501" s="29">
        <v>0</v>
      </c>
      <c r="BQ501">
        <v>0</v>
      </c>
      <c r="BR501" s="22">
        <v>45046</v>
      </c>
      <c r="BS501" s="26">
        <f t="shared" ca="1" si="46"/>
        <v>0.12336876081897119</v>
      </c>
      <c r="BT501" s="29">
        <v>0</v>
      </c>
      <c r="BU501">
        <v>0</v>
      </c>
      <c r="BV501" s="22">
        <v>45046</v>
      </c>
      <c r="BW501" s="26">
        <f t="shared" ca="1" si="47"/>
        <v>0.53382529094129605</v>
      </c>
      <c r="BX501" s="29">
        <v>0</v>
      </c>
      <c r="BY501">
        <v>0</v>
      </c>
    </row>
    <row r="502" spans="2:77" ht="12.75" x14ac:dyDescent="0.2">
      <c r="B502" s="22">
        <v>45047</v>
      </c>
      <c r="C502" s="26">
        <f t="shared" ca="1" si="68"/>
        <v>0.64396505848927199</v>
      </c>
      <c r="D502" s="29">
        <f ca="1">ROUNDUP(_xlfn.NORM.INV(C501,C$10,C$12),0)</f>
        <v>121</v>
      </c>
      <c r="F502" s="22">
        <v>45047</v>
      </c>
      <c r="G502" s="26">
        <f t="shared" ca="1" si="31"/>
        <v>0.25957327563038157</v>
      </c>
      <c r="H502" s="29">
        <f ca="1">ROUNDUP(_xlfn.NORM.INV(G501,G$10,G$12),0)</f>
        <v>207</v>
      </c>
      <c r="J502" s="22">
        <v>45047</v>
      </c>
      <c r="K502" s="26">
        <f t="shared" ca="1" si="32"/>
        <v>0.43010442871413423</v>
      </c>
      <c r="L502" s="29">
        <f ca="1">ROUNDUP(_xlfn.NORM.INV(K501,K$10,K$12),0)</f>
        <v>157</v>
      </c>
      <c r="N502" s="22">
        <v>45047</v>
      </c>
      <c r="O502" s="26">
        <f t="shared" ca="1" si="33"/>
        <v>0.90697745454250134</v>
      </c>
      <c r="P502" s="29">
        <f ca="1">ROUNDUP(_xlfn.NORM.INV(O501,O$10,O$12),0)</f>
        <v>244</v>
      </c>
      <c r="R502" s="22">
        <v>45047</v>
      </c>
      <c r="S502" s="26">
        <f t="shared" ca="1" si="34"/>
        <v>0.23647210561300658</v>
      </c>
      <c r="T502" s="29">
        <f ca="1">ROUNDUP(_xlfn.NORM.INV(S501,S$10,S$12),0)</f>
        <v>153</v>
      </c>
      <c r="V502" s="22">
        <v>45047</v>
      </c>
      <c r="W502" s="26">
        <f t="shared" ca="1" si="35"/>
        <v>0.20844654932920759</v>
      </c>
      <c r="X502" s="29">
        <f ca="1">ROUNDUP(_xlfn.NORM.INV(W501,W$10,W$12),0)</f>
        <v>238</v>
      </c>
      <c r="Z502" s="22">
        <v>45047</v>
      </c>
      <c r="AA502" s="26">
        <f t="shared" ca="1" si="36"/>
        <v>0.95154317293498525</v>
      </c>
      <c r="AB502" s="29">
        <f ca="1">ROUNDUP(_xlfn.NORM.INV(AA501,AA$10,AA$12),0)</f>
        <v>278</v>
      </c>
      <c r="AC502"/>
      <c r="AD502" s="25"/>
      <c r="AF502" s="22">
        <v>45047</v>
      </c>
      <c r="AG502" s="26">
        <f t="shared" ca="1" si="37"/>
        <v>0.21431586806235292</v>
      </c>
      <c r="AH502" s="29">
        <f ca="1">ROUNDUP(_xlfn.NORM.INV(AG501,AG$10,AG$12),0)</f>
        <v>366</v>
      </c>
      <c r="AJ502" s="22">
        <v>45047</v>
      </c>
      <c r="AK502" s="26">
        <f t="shared" ca="1" si="38"/>
        <v>0.49952206381411024</v>
      </c>
      <c r="AL502" s="29">
        <f ca="1">ROUNDUP(_xlfn.NORM.INV(AK501,AK$10,AK$12),0)</f>
        <v>74</v>
      </c>
      <c r="AN502" s="22">
        <v>45047</v>
      </c>
      <c r="AO502" s="26">
        <f t="shared" ca="1" si="39"/>
        <v>0.89820583061694437</v>
      </c>
      <c r="AP502" s="29">
        <v>0</v>
      </c>
      <c r="AR502" s="22">
        <v>45047</v>
      </c>
      <c r="AS502" s="26">
        <f t="shared" ca="1" si="40"/>
        <v>0.42383509463394942</v>
      </c>
      <c r="AT502" s="29">
        <v>0</v>
      </c>
      <c r="AV502" s="22">
        <v>45047</v>
      </c>
      <c r="AW502" s="26">
        <f t="shared" ca="1" si="41"/>
        <v>0.59839477999929058</v>
      </c>
      <c r="AX502" s="29">
        <v>0</v>
      </c>
      <c r="AZ502" s="22">
        <v>45047</v>
      </c>
      <c r="BA502" s="26">
        <f t="shared" ca="1" si="42"/>
        <v>9.2271115324140673E-2</v>
      </c>
      <c r="BB502" s="29">
        <v>0</v>
      </c>
      <c r="BC502"/>
      <c r="BD502" s="25"/>
      <c r="BF502" s="22">
        <v>45047</v>
      </c>
      <c r="BG502" s="26">
        <f t="shared" ca="1" si="43"/>
        <v>0.48140958546948331</v>
      </c>
      <c r="BH502" s="29">
        <v>0</v>
      </c>
      <c r="BJ502" s="22">
        <v>45047</v>
      </c>
      <c r="BK502" s="26">
        <f t="shared" ca="1" si="44"/>
        <v>0.85265967302174539</v>
      </c>
      <c r="BL502" s="29">
        <v>0</v>
      </c>
      <c r="BN502" s="22">
        <v>45047</v>
      </c>
      <c r="BO502" s="26">
        <f t="shared" ca="1" si="45"/>
        <v>0.30317433716974984</v>
      </c>
      <c r="BP502" s="29">
        <v>0</v>
      </c>
      <c r="BR502" s="22">
        <v>45047</v>
      </c>
      <c r="BS502" s="26">
        <f t="shared" ca="1" si="46"/>
        <v>0.94119493926416908</v>
      </c>
      <c r="BT502" s="29">
        <v>0</v>
      </c>
      <c r="BV502" s="22">
        <v>45047</v>
      </c>
      <c r="BW502" s="26">
        <f t="shared" ca="1" si="47"/>
        <v>0.10623908086943878</v>
      </c>
      <c r="BX502" s="29">
        <v>0</v>
      </c>
    </row>
    <row r="503" spans="2:77" ht="12.75" x14ac:dyDescent="0.2">
      <c r="B503" s="22">
        <v>45048</v>
      </c>
      <c r="C503" s="26">
        <f t="shared" ca="1" si="68"/>
        <v>0.52655146565869648</v>
      </c>
      <c r="D503" s="29">
        <f t="shared" ca="1" si="77"/>
        <v>77</v>
      </c>
      <c r="F503" s="22">
        <v>45048</v>
      </c>
      <c r="G503" s="26">
        <f t="shared" ca="1" si="31"/>
        <v>0.52793945860809843</v>
      </c>
      <c r="H503" s="29">
        <f t="shared" ca="1" si="69"/>
        <v>217</v>
      </c>
      <c r="J503" s="22">
        <v>45048</v>
      </c>
      <c r="K503" s="26">
        <f t="shared" ca="1" si="32"/>
        <v>2.830038049437178E-2</v>
      </c>
      <c r="L503" s="29">
        <f t="shared" ca="1" si="70"/>
        <v>131</v>
      </c>
      <c r="N503" s="22">
        <v>45048</v>
      </c>
      <c r="O503" s="26">
        <f t="shared" ca="1" si="33"/>
        <v>0.14051749373447586</v>
      </c>
      <c r="P503" s="29">
        <f t="shared" ca="1" si="71"/>
        <v>213</v>
      </c>
      <c r="R503" s="22">
        <v>45048</v>
      </c>
      <c r="S503" s="26">
        <f t="shared" ca="1" si="34"/>
        <v>0.15244486445134187</v>
      </c>
      <c r="T503" s="29">
        <f t="shared" ca="1" si="72"/>
        <v>130</v>
      </c>
      <c r="V503" s="22">
        <v>45048</v>
      </c>
      <c r="W503" s="26">
        <f t="shared" ca="1" si="35"/>
        <v>3.3553574303989531E-2</v>
      </c>
      <c r="X503" s="29">
        <f t="shared" ca="1" si="73"/>
        <v>198</v>
      </c>
      <c r="Z503" s="22">
        <v>45048</v>
      </c>
      <c r="AA503" s="26">
        <f t="shared" ca="1" si="36"/>
        <v>0.62946538589302048</v>
      </c>
      <c r="AB503" s="29">
        <f t="shared" ca="1" si="74"/>
        <v>276</v>
      </c>
      <c r="AC503"/>
      <c r="AD503" s="25"/>
      <c r="AF503" s="22">
        <v>45048</v>
      </c>
      <c r="AG503" s="26">
        <f t="shared" ca="1" si="37"/>
        <v>0.35582638143471124</v>
      </c>
      <c r="AH503" s="29">
        <f t="shared" ca="1" si="75"/>
        <v>295</v>
      </c>
      <c r="AJ503" s="22">
        <v>45048</v>
      </c>
      <c r="AK503" s="26">
        <f t="shared" ca="1" si="38"/>
        <v>0.57989673992661483</v>
      </c>
      <c r="AL503" s="29">
        <f t="shared" ca="1" si="76"/>
        <v>180</v>
      </c>
      <c r="AN503" s="22">
        <v>45048</v>
      </c>
      <c r="AO503" s="26">
        <f t="shared" ca="1" si="39"/>
        <v>0.52268508707114048</v>
      </c>
      <c r="AP503" s="29">
        <v>0</v>
      </c>
      <c r="AR503" s="22">
        <v>45048</v>
      </c>
      <c r="AS503" s="26">
        <f t="shared" ca="1" si="40"/>
        <v>0.57957536279698929</v>
      </c>
      <c r="AT503" s="29">
        <v>0</v>
      </c>
      <c r="AV503" s="22">
        <v>45048</v>
      </c>
      <c r="AW503" s="26">
        <f t="shared" ca="1" si="41"/>
        <v>0.72321214431575542</v>
      </c>
      <c r="AX503" s="29">
        <v>0</v>
      </c>
      <c r="AZ503" s="22">
        <v>45048</v>
      </c>
      <c r="BA503" s="26">
        <f t="shared" ca="1" si="42"/>
        <v>0.33343838084501976</v>
      </c>
      <c r="BB503" s="29">
        <v>0</v>
      </c>
      <c r="BC503"/>
      <c r="BD503" s="25"/>
      <c r="BF503" s="22">
        <v>45048</v>
      </c>
      <c r="BG503" s="26">
        <f t="shared" ca="1" si="43"/>
        <v>0.23749790675403026</v>
      </c>
      <c r="BH503" s="29">
        <v>0</v>
      </c>
      <c r="BJ503" s="22">
        <v>45048</v>
      </c>
      <c r="BK503" s="26">
        <f t="shared" ca="1" si="44"/>
        <v>0.26306070382184599</v>
      </c>
      <c r="BL503" s="29">
        <v>0</v>
      </c>
      <c r="BN503" s="22">
        <v>45048</v>
      </c>
      <c r="BO503" s="26">
        <f t="shared" ca="1" si="45"/>
        <v>8.680168345812278E-2</v>
      </c>
      <c r="BP503" s="29">
        <v>0</v>
      </c>
      <c r="BR503" s="22">
        <v>45048</v>
      </c>
      <c r="BS503" s="26">
        <f t="shared" ca="1" si="46"/>
        <v>0.38061140928802928</v>
      </c>
      <c r="BT503" s="29">
        <v>0</v>
      </c>
      <c r="BV503" s="22">
        <v>45048</v>
      </c>
      <c r="BW503" s="26">
        <f t="shared" ca="1" si="47"/>
        <v>0.94139933114073315</v>
      </c>
      <c r="BX503" s="29">
        <v>0</v>
      </c>
    </row>
    <row r="504" spans="2:77" ht="12.75" x14ac:dyDescent="0.2">
      <c r="B504" s="22">
        <v>45049</v>
      </c>
      <c r="C504" s="26">
        <f t="shared" ca="1" si="68"/>
        <v>0.80882619469257289</v>
      </c>
      <c r="D504" s="29">
        <f t="shared" ca="1" si="77"/>
        <v>93</v>
      </c>
      <c r="F504" s="22">
        <v>45049</v>
      </c>
      <c r="G504" s="26">
        <f t="shared" ca="1" si="31"/>
        <v>0.41557656206059579</v>
      </c>
      <c r="H504" s="29">
        <f t="shared" ca="1" si="69"/>
        <v>213</v>
      </c>
      <c r="J504" s="22">
        <v>45049</v>
      </c>
      <c r="K504" s="26">
        <f t="shared" ca="1" si="32"/>
        <v>0.65501533136183199</v>
      </c>
      <c r="L504" s="29">
        <f t="shared" ca="1" si="70"/>
        <v>154</v>
      </c>
      <c r="N504" s="22">
        <v>45049</v>
      </c>
      <c r="O504" s="26">
        <f t="shared" ca="1" si="33"/>
        <v>0.22318862998436362</v>
      </c>
      <c r="P504" s="29">
        <f t="shared" ca="1" si="71"/>
        <v>218</v>
      </c>
      <c r="R504" s="22">
        <v>45049</v>
      </c>
      <c r="S504" s="26">
        <f t="shared" ca="1" si="34"/>
        <v>0.81936462868709925</v>
      </c>
      <c r="T504" s="29">
        <f t="shared" ca="1" si="72"/>
        <v>148</v>
      </c>
      <c r="V504" s="22">
        <v>45049</v>
      </c>
      <c r="W504" s="26">
        <f t="shared" ca="1" si="35"/>
        <v>0.97228272439207897</v>
      </c>
      <c r="X504" s="29">
        <f t="shared" ca="1" si="73"/>
        <v>254</v>
      </c>
      <c r="Z504" s="22">
        <v>45049</v>
      </c>
      <c r="AA504" s="26">
        <f t="shared" ca="1" si="36"/>
        <v>0.16556878633995609</v>
      </c>
      <c r="AB504" s="29">
        <f t="shared" ca="1" si="74"/>
        <v>253</v>
      </c>
      <c r="AC504"/>
      <c r="AD504" s="25"/>
      <c r="AF504" s="22">
        <v>45049</v>
      </c>
      <c r="AG504" s="26">
        <f t="shared" ca="1" si="37"/>
        <v>0.11674441000607549</v>
      </c>
      <c r="AH504" s="29">
        <f t="shared" ca="1" si="75"/>
        <v>224</v>
      </c>
      <c r="AJ504" s="22">
        <v>45049</v>
      </c>
      <c r="AK504" s="26">
        <f t="shared" ca="1" si="38"/>
        <v>0.69483796507907536</v>
      </c>
      <c r="AL504" s="29">
        <f t="shared" ca="1" si="76"/>
        <v>194</v>
      </c>
      <c r="AN504" s="22">
        <v>45049</v>
      </c>
      <c r="AO504" s="26">
        <f t="shared" ca="1" si="39"/>
        <v>0.26466222810732365</v>
      </c>
      <c r="AP504" s="29">
        <f t="shared" ref="AP504:AP515" ca="1" si="78">ROUNDUP(_xlfn.NORM.INV(AO504,AO$10,AO$12),0)</f>
        <v>194</v>
      </c>
      <c r="AR504" s="22">
        <v>45049</v>
      </c>
      <c r="AS504" s="26">
        <f t="shared" ca="1" si="40"/>
        <v>0.55184864903404041</v>
      </c>
      <c r="AT504" s="29">
        <v>0</v>
      </c>
      <c r="AV504" s="22">
        <v>45049</v>
      </c>
      <c r="AW504" s="26">
        <f t="shared" ca="1" si="41"/>
        <v>0.86873449147538062</v>
      </c>
      <c r="AX504" s="29">
        <v>0</v>
      </c>
      <c r="AZ504" s="22">
        <v>45049</v>
      </c>
      <c r="BA504" s="26">
        <f t="shared" ca="1" si="42"/>
        <v>0.52400547352985039</v>
      </c>
      <c r="BB504" s="29">
        <v>0</v>
      </c>
      <c r="BC504"/>
      <c r="BD504" s="25"/>
      <c r="BF504" s="22">
        <v>45049</v>
      </c>
      <c r="BG504" s="26">
        <f t="shared" ca="1" si="43"/>
        <v>0.84576418510073781</v>
      </c>
      <c r="BH504" s="29">
        <v>0</v>
      </c>
      <c r="BJ504" s="22">
        <v>45049</v>
      </c>
      <c r="BK504" s="26">
        <f t="shared" ca="1" si="44"/>
        <v>0.74781859615764168</v>
      </c>
      <c r="BL504" s="29">
        <v>0</v>
      </c>
      <c r="BN504" s="22">
        <v>45049</v>
      </c>
      <c r="BO504" s="26">
        <f t="shared" ca="1" si="45"/>
        <v>0.256912322187973</v>
      </c>
      <c r="BP504" s="29">
        <v>0</v>
      </c>
      <c r="BR504" s="22">
        <v>45049</v>
      </c>
      <c r="BS504" s="26">
        <f t="shared" ca="1" si="46"/>
        <v>0.63656538248051764</v>
      </c>
      <c r="BT504" s="29">
        <v>0</v>
      </c>
      <c r="BV504" s="22">
        <v>45049</v>
      </c>
      <c r="BW504" s="26">
        <f t="shared" ca="1" si="47"/>
        <v>4.0588810917184137E-2</v>
      </c>
      <c r="BX504" s="29">
        <v>0</v>
      </c>
    </row>
    <row r="505" spans="2:77" ht="12.75" x14ac:dyDescent="0.2">
      <c r="B505" s="22">
        <v>45050</v>
      </c>
      <c r="C505" s="26">
        <f t="shared" ca="1" si="68"/>
        <v>0.89600554545750111</v>
      </c>
      <c r="D505" s="29">
        <f t="shared" ca="1" si="77"/>
        <v>101</v>
      </c>
      <c r="F505" s="22">
        <v>45050</v>
      </c>
      <c r="G505" s="26">
        <f t="shared" ca="1" si="31"/>
        <v>0.40762828257982742</v>
      </c>
      <c r="H505" s="29">
        <f t="shared" ca="1" si="69"/>
        <v>213</v>
      </c>
      <c r="J505" s="22">
        <v>45050</v>
      </c>
      <c r="K505" s="26">
        <f t="shared" ca="1" si="32"/>
        <v>0.62748831674491967</v>
      </c>
      <c r="L505" s="29">
        <f t="shared" ca="1" si="70"/>
        <v>154</v>
      </c>
      <c r="N505" s="22">
        <v>45050</v>
      </c>
      <c r="O505" s="26">
        <f t="shared" ca="1" si="33"/>
        <v>0.59975561466862537</v>
      </c>
      <c r="P505" s="29">
        <f t="shared" ca="1" si="71"/>
        <v>234</v>
      </c>
      <c r="R505" s="22">
        <v>45050</v>
      </c>
      <c r="S505" s="26">
        <f t="shared" ca="1" si="34"/>
        <v>0.56280520537679324</v>
      </c>
      <c r="T505" s="29">
        <f t="shared" ca="1" si="72"/>
        <v>141</v>
      </c>
      <c r="V505" s="22">
        <v>45050</v>
      </c>
      <c r="W505" s="26">
        <f t="shared" ca="1" si="35"/>
        <v>0.68776480276172969</v>
      </c>
      <c r="X505" s="29">
        <f t="shared" ca="1" si="73"/>
        <v>233</v>
      </c>
      <c r="Z505" s="22">
        <v>45050</v>
      </c>
      <c r="AA505" s="26">
        <f t="shared" ca="1" si="36"/>
        <v>0.49041038110856194</v>
      </c>
      <c r="AB505" s="29">
        <f t="shared" ca="1" si="74"/>
        <v>270</v>
      </c>
      <c r="AC505"/>
      <c r="AD505" s="25"/>
      <c r="AF505" s="22">
        <v>45050</v>
      </c>
      <c r="AG505" s="26">
        <f t="shared" ca="1" si="37"/>
        <v>0.38130864131992359</v>
      </c>
      <c r="AH505" s="29">
        <f t="shared" ca="1" si="75"/>
        <v>301</v>
      </c>
      <c r="AJ505" s="22">
        <v>45050</v>
      </c>
      <c r="AK505" s="26">
        <f t="shared" ca="1" si="38"/>
        <v>0.55160386960223251</v>
      </c>
      <c r="AL505" s="29">
        <f t="shared" ca="1" si="76"/>
        <v>177</v>
      </c>
      <c r="AN505" s="22">
        <v>45050</v>
      </c>
      <c r="AO505" s="26">
        <f t="shared" ca="1" si="39"/>
        <v>0.14794366887314958</v>
      </c>
      <c r="AP505" s="29">
        <f t="shared" ca="1" si="78"/>
        <v>168</v>
      </c>
      <c r="AR505" s="22">
        <v>45050</v>
      </c>
      <c r="AS505" s="26">
        <f t="shared" ca="1" si="40"/>
        <v>0.69952128383844825</v>
      </c>
      <c r="AT505" s="29">
        <v>0</v>
      </c>
      <c r="AV505" s="22">
        <v>45050</v>
      </c>
      <c r="AW505" s="26">
        <f t="shared" ca="1" si="41"/>
        <v>0.87923749379011029</v>
      </c>
      <c r="AX505" s="29">
        <v>0</v>
      </c>
      <c r="AZ505" s="22">
        <v>45050</v>
      </c>
      <c r="BA505" s="26">
        <f t="shared" ca="1" si="42"/>
        <v>0.33136440174809578</v>
      </c>
      <c r="BB505" s="29">
        <v>0</v>
      </c>
      <c r="BC505"/>
      <c r="BD505" s="25"/>
      <c r="BF505" s="22">
        <v>45050</v>
      </c>
      <c r="BG505" s="26">
        <f t="shared" ca="1" si="43"/>
        <v>0.69413469575057796</v>
      </c>
      <c r="BH505" s="29">
        <v>0</v>
      </c>
      <c r="BJ505" s="22">
        <v>45050</v>
      </c>
      <c r="BK505" s="26">
        <f t="shared" ca="1" si="44"/>
        <v>0.46886523052939555</v>
      </c>
      <c r="BL505" s="29">
        <v>0</v>
      </c>
      <c r="BN505" s="22">
        <v>45050</v>
      </c>
      <c r="BO505" s="26">
        <f t="shared" ca="1" si="45"/>
        <v>0.12310876902891355</v>
      </c>
      <c r="BP505" s="29">
        <v>0</v>
      </c>
      <c r="BR505" s="22">
        <v>45050</v>
      </c>
      <c r="BS505" s="26">
        <f t="shared" ca="1" si="46"/>
        <v>0.8632571225363469</v>
      </c>
      <c r="BT505" s="29">
        <v>0</v>
      </c>
      <c r="BV505" s="22">
        <v>45050</v>
      </c>
      <c r="BW505" s="26">
        <f t="shared" ca="1" si="47"/>
        <v>0.32595724189271758</v>
      </c>
      <c r="BX505" s="29">
        <v>0</v>
      </c>
    </row>
    <row r="506" spans="2:77" ht="12.75" x14ac:dyDescent="0.2">
      <c r="B506" s="22">
        <v>45051</v>
      </c>
      <c r="C506" s="26">
        <f t="shared" ca="1" si="68"/>
        <v>0.53253353380388024</v>
      </c>
      <c r="D506" s="29">
        <f t="shared" ca="1" si="77"/>
        <v>77</v>
      </c>
      <c r="F506" s="22">
        <v>45051</v>
      </c>
      <c r="G506" s="26">
        <f t="shared" ca="1" si="31"/>
        <v>0.22354198928615021</v>
      </c>
      <c r="H506" s="29">
        <f t="shared" ca="1" si="69"/>
        <v>205</v>
      </c>
      <c r="J506" s="22">
        <v>45051</v>
      </c>
      <c r="K506" s="26">
        <f t="shared" ca="1" si="32"/>
        <v>0.84019436625480759</v>
      </c>
      <c r="L506" s="29">
        <f t="shared" ca="1" si="70"/>
        <v>160</v>
      </c>
      <c r="N506" s="22">
        <v>45051</v>
      </c>
      <c r="O506" s="26">
        <f t="shared" ca="1" si="33"/>
        <v>0.1580938068559149</v>
      </c>
      <c r="P506" s="29">
        <f t="shared" ca="1" si="71"/>
        <v>215</v>
      </c>
      <c r="R506" s="22">
        <v>45051</v>
      </c>
      <c r="S506" s="26">
        <f t="shared" ca="1" si="34"/>
        <v>0.34907545640078586</v>
      </c>
      <c r="T506" s="29">
        <f t="shared" ca="1" si="72"/>
        <v>136</v>
      </c>
      <c r="V506" s="22">
        <v>45051</v>
      </c>
      <c r="W506" s="26">
        <f t="shared" ca="1" si="35"/>
        <v>4.1558540343733075E-2</v>
      </c>
      <c r="X506" s="29">
        <f t="shared" ca="1" si="73"/>
        <v>200</v>
      </c>
      <c r="Z506" s="22">
        <v>45051</v>
      </c>
      <c r="AA506" s="26">
        <f t="shared" ca="1" si="36"/>
        <v>0.23019137167926063</v>
      </c>
      <c r="AB506" s="29">
        <f t="shared" ca="1" si="74"/>
        <v>257</v>
      </c>
      <c r="AC506"/>
      <c r="AD506" s="25"/>
      <c r="AF506" s="22">
        <v>45051</v>
      </c>
      <c r="AG506" s="26">
        <f t="shared" ca="1" si="37"/>
        <v>0.82485826565305465</v>
      </c>
      <c r="AH506" s="29">
        <f t="shared" ca="1" si="75"/>
        <v>409</v>
      </c>
      <c r="AJ506" s="22">
        <v>45051</v>
      </c>
      <c r="AK506" s="26">
        <f t="shared" ca="1" si="38"/>
        <v>0.28299771399501339</v>
      </c>
      <c r="AL506" s="29">
        <f t="shared" ca="1" si="76"/>
        <v>145</v>
      </c>
      <c r="AN506" s="22">
        <v>45051</v>
      </c>
      <c r="AO506" s="26">
        <f t="shared" ca="1" si="39"/>
        <v>0.91526458216820972</v>
      </c>
      <c r="AP506" s="29">
        <f t="shared" ca="1" si="78"/>
        <v>318</v>
      </c>
      <c r="AR506" s="22">
        <v>45051</v>
      </c>
      <c r="AS506" s="26">
        <f t="shared" ca="1" si="40"/>
        <v>0.13709582833554157</v>
      </c>
      <c r="AT506" s="29">
        <v>0</v>
      </c>
      <c r="AV506" s="22">
        <v>45051</v>
      </c>
      <c r="AW506" s="26">
        <f t="shared" ca="1" si="41"/>
        <v>0.59320531543801613</v>
      </c>
      <c r="AX506" s="29">
        <v>0</v>
      </c>
      <c r="AZ506" s="22">
        <v>45051</v>
      </c>
      <c r="BA506" s="26">
        <f t="shared" ca="1" si="42"/>
        <v>0.76652579683486455</v>
      </c>
      <c r="BB506" s="29">
        <v>0</v>
      </c>
      <c r="BC506"/>
      <c r="BD506" s="25"/>
      <c r="BF506" s="22">
        <v>45051</v>
      </c>
      <c r="BG506" s="26">
        <f t="shared" ca="1" si="43"/>
        <v>0.46484493224923529</v>
      </c>
      <c r="BH506" s="29">
        <v>0</v>
      </c>
      <c r="BJ506" s="22">
        <v>45051</v>
      </c>
      <c r="BK506" s="26">
        <f t="shared" ca="1" si="44"/>
        <v>0.28171890515314435</v>
      </c>
      <c r="BL506" s="29">
        <v>0</v>
      </c>
      <c r="BN506" s="22">
        <v>45051</v>
      </c>
      <c r="BO506" s="26">
        <f t="shared" ca="1" si="45"/>
        <v>0.64393161776731866</v>
      </c>
      <c r="BP506" s="29">
        <v>0</v>
      </c>
      <c r="BR506" s="22">
        <v>45051</v>
      </c>
      <c r="BS506" s="26">
        <f t="shared" ca="1" si="46"/>
        <v>0.8265798375085236</v>
      </c>
      <c r="BT506" s="29">
        <v>0</v>
      </c>
      <c r="BV506" s="22">
        <v>45051</v>
      </c>
      <c r="BW506" s="26">
        <f t="shared" ca="1" si="47"/>
        <v>0.52873454722082425</v>
      </c>
      <c r="BX506" s="29">
        <v>0</v>
      </c>
    </row>
    <row r="507" spans="2:77" ht="12.75" x14ac:dyDescent="0.2">
      <c r="B507" s="22">
        <v>45052</v>
      </c>
      <c r="C507" s="26">
        <f t="shared" ca="1" si="68"/>
        <v>0.17988345912235937</v>
      </c>
      <c r="D507" s="29">
        <f t="shared" ca="1" si="77"/>
        <v>57</v>
      </c>
      <c r="F507" s="22">
        <v>45052</v>
      </c>
      <c r="G507" s="26">
        <f t="shared" ca="1" si="31"/>
        <v>0.30901453129547274</v>
      </c>
      <c r="H507" s="29">
        <f t="shared" ca="1" si="69"/>
        <v>209</v>
      </c>
      <c r="J507" s="22">
        <v>45052</v>
      </c>
      <c r="K507" s="26">
        <f t="shared" ca="1" si="32"/>
        <v>0.24903930810761676</v>
      </c>
      <c r="L507" s="29">
        <f t="shared" ca="1" si="70"/>
        <v>144</v>
      </c>
      <c r="N507" s="22">
        <v>45052</v>
      </c>
      <c r="O507" s="26">
        <f t="shared" ca="1" si="33"/>
        <v>0.35737347909124684</v>
      </c>
      <c r="P507" s="29">
        <f t="shared" ca="1" si="71"/>
        <v>224</v>
      </c>
      <c r="R507" s="22">
        <v>45052</v>
      </c>
      <c r="S507" s="26">
        <f t="shared" ca="1" si="34"/>
        <v>0.4855185982503204</v>
      </c>
      <c r="T507" s="29">
        <f t="shared" ca="1" si="72"/>
        <v>139</v>
      </c>
      <c r="V507" s="22">
        <v>45052</v>
      </c>
      <c r="W507" s="26">
        <f t="shared" ca="1" si="35"/>
        <v>0.376233125823907</v>
      </c>
      <c r="X507" s="29">
        <f t="shared" ca="1" si="73"/>
        <v>221</v>
      </c>
      <c r="Z507" s="22">
        <v>45052</v>
      </c>
      <c r="AA507" s="26">
        <f t="shared" ca="1" si="36"/>
        <v>0.35643860269955074</v>
      </c>
      <c r="AB507" s="29">
        <f t="shared" ca="1" si="74"/>
        <v>264</v>
      </c>
      <c r="AC507"/>
      <c r="AD507" s="25"/>
      <c r="AF507" s="22">
        <v>45052</v>
      </c>
      <c r="AG507" s="26">
        <f t="shared" ca="1" si="37"/>
        <v>0.68271057835970361</v>
      </c>
      <c r="AH507" s="29">
        <f t="shared" ca="1" si="75"/>
        <v>369</v>
      </c>
      <c r="AJ507" s="22">
        <v>45052</v>
      </c>
      <c r="AK507" s="26">
        <f t="shared" ca="1" si="38"/>
        <v>0.18691711976998115</v>
      </c>
      <c r="AL507" s="29">
        <f t="shared" ca="1" si="76"/>
        <v>130</v>
      </c>
      <c r="AN507" s="22">
        <v>45052</v>
      </c>
      <c r="AO507" s="26">
        <f t="shared" ca="1" si="39"/>
        <v>0.90493502994747232</v>
      </c>
      <c r="AP507" s="29">
        <f t="shared" ca="1" si="78"/>
        <v>314</v>
      </c>
      <c r="AR507" s="22">
        <v>45052</v>
      </c>
      <c r="AS507" s="26">
        <f t="shared" ca="1" si="40"/>
        <v>0.5670360890980396</v>
      </c>
      <c r="AT507" s="29">
        <v>0</v>
      </c>
      <c r="AV507" s="22">
        <v>45052</v>
      </c>
      <c r="AW507" s="26">
        <f t="shared" ca="1" si="41"/>
        <v>0.43893243989258646</v>
      </c>
      <c r="AX507" s="29">
        <v>0</v>
      </c>
      <c r="AZ507" s="22">
        <v>45052</v>
      </c>
      <c r="BA507" s="26">
        <f t="shared" ca="1" si="42"/>
        <v>0.68729853243817018</v>
      </c>
      <c r="BB507" s="29">
        <v>0</v>
      </c>
      <c r="BC507"/>
      <c r="BD507" s="25"/>
      <c r="BF507" s="22">
        <v>45052</v>
      </c>
      <c r="BG507" s="26">
        <f t="shared" ca="1" si="43"/>
        <v>0.94735983345015717</v>
      </c>
      <c r="BH507" s="29">
        <v>0</v>
      </c>
      <c r="BJ507" s="22">
        <v>45052</v>
      </c>
      <c r="BK507" s="26">
        <f t="shared" ca="1" si="44"/>
        <v>0.23100669795094431</v>
      </c>
      <c r="BL507" s="29">
        <v>0</v>
      </c>
      <c r="BN507" s="22">
        <v>45052</v>
      </c>
      <c r="BO507" s="26">
        <f t="shared" ca="1" si="45"/>
        <v>0.15373137094813161</v>
      </c>
      <c r="BP507" s="29">
        <v>0</v>
      </c>
      <c r="BR507" s="22">
        <v>45052</v>
      </c>
      <c r="BS507" s="26">
        <f t="shared" ca="1" si="46"/>
        <v>0.32027505313997917</v>
      </c>
      <c r="BT507" s="29">
        <v>0</v>
      </c>
      <c r="BV507" s="22">
        <v>45052</v>
      </c>
      <c r="BW507" s="26">
        <f t="shared" ca="1" si="47"/>
        <v>0.57612259813934075</v>
      </c>
      <c r="BX507" s="29">
        <v>0</v>
      </c>
    </row>
    <row r="508" spans="2:77" ht="12.75" x14ac:dyDescent="0.2">
      <c r="B508" s="22">
        <v>45053</v>
      </c>
      <c r="C508" s="26">
        <f t="shared" ca="1" si="68"/>
        <v>0.49303674573885503</v>
      </c>
      <c r="D508" s="29">
        <f t="shared" ca="1" si="77"/>
        <v>75</v>
      </c>
      <c r="F508" s="22">
        <v>45053</v>
      </c>
      <c r="G508" s="26">
        <f t="shared" ca="1" si="31"/>
        <v>0.69137899874744924</v>
      </c>
      <c r="H508" s="29">
        <f t="shared" ca="1" si="69"/>
        <v>223</v>
      </c>
      <c r="J508" s="22">
        <v>45053</v>
      </c>
      <c r="K508" s="26">
        <f t="shared" ca="1" si="32"/>
        <v>0.38542105208476929</v>
      </c>
      <c r="L508" s="29">
        <f t="shared" ca="1" si="70"/>
        <v>148</v>
      </c>
      <c r="N508" s="22">
        <v>45053</v>
      </c>
      <c r="O508" s="26">
        <f t="shared" ca="1" si="33"/>
        <v>0.82118191820631325</v>
      </c>
      <c r="P508" s="29">
        <f t="shared" ca="1" si="71"/>
        <v>244</v>
      </c>
      <c r="R508" s="22">
        <v>45053</v>
      </c>
      <c r="S508" s="26">
        <f t="shared" ca="1" si="34"/>
        <v>0.89593476370612679</v>
      </c>
      <c r="T508" s="29">
        <f t="shared" ca="1" si="72"/>
        <v>151</v>
      </c>
      <c r="V508" s="22">
        <v>45053</v>
      </c>
      <c r="W508" s="26">
        <f t="shared" ca="1" si="35"/>
        <v>0.22509033055814975</v>
      </c>
      <c r="X508" s="29">
        <f t="shared" ca="1" si="73"/>
        <v>214</v>
      </c>
      <c r="Z508" s="22">
        <v>45053</v>
      </c>
      <c r="AA508" s="26">
        <f t="shared" ca="1" si="36"/>
        <v>1.0818324846180838E-2</v>
      </c>
      <c r="AB508" s="29">
        <f t="shared" ca="1" si="74"/>
        <v>229</v>
      </c>
      <c r="AC508"/>
      <c r="AD508" s="25"/>
      <c r="AF508" s="22">
        <v>45053</v>
      </c>
      <c r="AG508" s="26">
        <f t="shared" ca="1" si="37"/>
        <v>0.15069976621355352</v>
      </c>
      <c r="AH508" s="29">
        <f t="shared" ca="1" si="75"/>
        <v>237</v>
      </c>
      <c r="AJ508" s="22">
        <v>45053</v>
      </c>
      <c r="AK508" s="26">
        <f t="shared" ca="1" si="38"/>
        <v>3.4699134679707089E-2</v>
      </c>
      <c r="AL508" s="29">
        <f t="shared" ca="1" si="76"/>
        <v>88</v>
      </c>
      <c r="AN508" s="22">
        <v>45053</v>
      </c>
      <c r="AO508" s="26">
        <f t="shared" ca="1" si="39"/>
        <v>0.58325251117572485</v>
      </c>
      <c r="AP508" s="29">
        <f t="shared" ca="1" si="78"/>
        <v>246</v>
      </c>
      <c r="AR508" s="22">
        <v>45053</v>
      </c>
      <c r="AS508" s="26">
        <f t="shared" ca="1" si="40"/>
        <v>0.33688742993042509</v>
      </c>
      <c r="AT508" s="29">
        <v>0</v>
      </c>
      <c r="AV508" s="22">
        <v>45053</v>
      </c>
      <c r="AW508" s="26">
        <f t="shared" ca="1" si="41"/>
        <v>0.78472214407000684</v>
      </c>
      <c r="AX508" s="29">
        <v>0</v>
      </c>
      <c r="AZ508" s="22">
        <v>45053</v>
      </c>
      <c r="BA508" s="26">
        <f t="shared" ca="1" si="42"/>
        <v>0.28264444177879589</v>
      </c>
      <c r="BB508" s="29">
        <v>0</v>
      </c>
      <c r="BC508"/>
      <c r="BD508" s="25"/>
      <c r="BF508" s="22">
        <v>45053</v>
      </c>
      <c r="BG508" s="26">
        <f t="shared" ca="1" si="43"/>
        <v>0.49819225072997575</v>
      </c>
      <c r="BH508" s="29">
        <v>0</v>
      </c>
      <c r="BJ508" s="22">
        <v>45053</v>
      </c>
      <c r="BK508" s="26">
        <f t="shared" ca="1" si="44"/>
        <v>0.21090818287677215</v>
      </c>
      <c r="BL508" s="29">
        <v>0</v>
      </c>
      <c r="BN508" s="22">
        <v>45053</v>
      </c>
      <c r="BO508" s="26">
        <f t="shared" ca="1" si="45"/>
        <v>0.71429225573419042</v>
      </c>
      <c r="BP508" s="29">
        <v>0</v>
      </c>
      <c r="BR508" s="22">
        <v>45053</v>
      </c>
      <c r="BS508" s="26">
        <f t="shared" ca="1" si="46"/>
        <v>0.23714368856815959</v>
      </c>
      <c r="BT508" s="29">
        <v>0</v>
      </c>
      <c r="BV508" s="22">
        <v>45053</v>
      </c>
      <c r="BW508" s="26">
        <f t="shared" ca="1" si="47"/>
        <v>0.76456206765179813</v>
      </c>
      <c r="BX508" s="29">
        <v>0</v>
      </c>
    </row>
    <row r="509" spans="2:77" ht="12.75" x14ac:dyDescent="0.2">
      <c r="B509" s="22">
        <v>45054</v>
      </c>
      <c r="C509" s="26">
        <f t="shared" ca="1" si="68"/>
        <v>0.69223134322177104</v>
      </c>
      <c r="D509" s="29">
        <f t="shared" ca="1" si="77"/>
        <v>86</v>
      </c>
      <c r="F509" s="22">
        <v>45054</v>
      </c>
      <c r="G509" s="26">
        <f t="shared" ca="1" si="31"/>
        <v>0.57098511649644534</v>
      </c>
      <c r="H509" s="29">
        <f t="shared" ca="1" si="69"/>
        <v>218</v>
      </c>
      <c r="J509" s="22">
        <v>45054</v>
      </c>
      <c r="K509" s="26">
        <f t="shared" ca="1" si="32"/>
        <v>0.82285392902094412</v>
      </c>
      <c r="L509" s="29">
        <f t="shared" ca="1" si="70"/>
        <v>160</v>
      </c>
      <c r="N509" s="22">
        <v>45054</v>
      </c>
      <c r="O509" s="26">
        <f t="shared" ca="1" si="33"/>
        <v>0.59729518967323869</v>
      </c>
      <c r="P509" s="29">
        <f t="shared" ca="1" si="71"/>
        <v>234</v>
      </c>
      <c r="R509" s="22">
        <v>45054</v>
      </c>
      <c r="S509" s="26">
        <f t="shared" ca="1" si="34"/>
        <v>0.38575806005903845</v>
      </c>
      <c r="T509" s="29">
        <f t="shared" ca="1" si="72"/>
        <v>137</v>
      </c>
      <c r="V509" s="22">
        <v>45054</v>
      </c>
      <c r="W509" s="26">
        <f t="shared" ca="1" si="35"/>
        <v>0.16008719607417954</v>
      </c>
      <c r="X509" s="29">
        <f t="shared" ca="1" si="73"/>
        <v>211</v>
      </c>
      <c r="Z509" s="22">
        <v>45054</v>
      </c>
      <c r="AA509" s="26">
        <f t="shared" ca="1" si="36"/>
        <v>0.7202907577234503</v>
      </c>
      <c r="AB509" s="29">
        <f t="shared" ca="1" si="74"/>
        <v>281</v>
      </c>
      <c r="AC509"/>
      <c r="AD509" s="25"/>
      <c r="AF509" s="22">
        <v>45054</v>
      </c>
      <c r="AG509" s="26">
        <f t="shared" ca="1" si="37"/>
        <v>9.2139775127533796E-2</v>
      </c>
      <c r="AH509" s="29">
        <f t="shared" ca="1" si="75"/>
        <v>212</v>
      </c>
      <c r="AJ509" s="22">
        <v>45054</v>
      </c>
      <c r="AK509" s="26">
        <f t="shared" ca="1" si="38"/>
        <v>0.41117328087280747</v>
      </c>
      <c r="AL509" s="29">
        <f t="shared" ca="1" si="76"/>
        <v>161</v>
      </c>
      <c r="AN509" s="22">
        <v>45054</v>
      </c>
      <c r="AO509" s="26">
        <f t="shared" ca="1" si="39"/>
        <v>0.67312169848017533</v>
      </c>
      <c r="AP509" s="29">
        <f t="shared" ca="1" si="78"/>
        <v>260</v>
      </c>
      <c r="AR509" s="22">
        <v>45054</v>
      </c>
      <c r="AS509" s="26">
        <f t="shared" ca="1" si="40"/>
        <v>0.64739993423027919</v>
      </c>
      <c r="AT509" s="29">
        <v>0</v>
      </c>
      <c r="AV509" s="22">
        <v>45054</v>
      </c>
      <c r="AW509" s="26">
        <f t="shared" ca="1" si="41"/>
        <v>0.70263018116525522</v>
      </c>
      <c r="AX509" s="29">
        <v>0</v>
      </c>
      <c r="AZ509" s="22">
        <v>45054</v>
      </c>
      <c r="BA509" s="26">
        <f t="shared" ca="1" si="42"/>
        <v>0.27285145615094986</v>
      </c>
      <c r="BB509" s="29">
        <v>0</v>
      </c>
      <c r="BC509"/>
      <c r="BD509" s="25"/>
      <c r="BF509" s="22">
        <v>45054</v>
      </c>
      <c r="BG509" s="26">
        <f t="shared" ca="1" si="43"/>
        <v>0.97630865718041826</v>
      </c>
      <c r="BH509" s="29">
        <v>0</v>
      </c>
      <c r="BJ509" s="22">
        <v>45054</v>
      </c>
      <c r="BK509" s="26">
        <f t="shared" ca="1" si="44"/>
        <v>0.20678988221835948</v>
      </c>
      <c r="BL509" s="29">
        <v>0</v>
      </c>
      <c r="BN509" s="22">
        <v>45054</v>
      </c>
      <c r="BO509" s="26">
        <f t="shared" ca="1" si="45"/>
        <v>0.3518678846061335</v>
      </c>
      <c r="BP509" s="29">
        <v>0</v>
      </c>
      <c r="BR509" s="22">
        <v>45054</v>
      </c>
      <c r="BS509" s="26">
        <f t="shared" ca="1" si="46"/>
        <v>0.28138639081248196</v>
      </c>
      <c r="BT509" s="29">
        <v>0</v>
      </c>
      <c r="BV509" s="22">
        <v>45054</v>
      </c>
      <c r="BW509" s="26">
        <f t="shared" ca="1" si="47"/>
        <v>0.84608257711453427</v>
      </c>
      <c r="BX509" s="29">
        <v>0</v>
      </c>
    </row>
    <row r="510" spans="2:77" ht="12.75" x14ac:dyDescent="0.2">
      <c r="B510" s="22">
        <v>45055</v>
      </c>
      <c r="C510" s="26">
        <f t="shared" ca="1" si="68"/>
        <v>0.87270282054720838</v>
      </c>
      <c r="D510" s="29">
        <f t="shared" ca="1" si="77"/>
        <v>98</v>
      </c>
      <c r="F510" s="22">
        <v>45055</v>
      </c>
      <c r="G510" s="26">
        <f t="shared" ca="1" si="31"/>
        <v>0.98849662118215986</v>
      </c>
      <c r="H510" s="29">
        <f t="shared" ca="1" si="69"/>
        <v>249</v>
      </c>
      <c r="J510" s="22">
        <v>45055</v>
      </c>
      <c r="K510" s="26">
        <f t="shared" ca="1" si="32"/>
        <v>0.48212033945342114</v>
      </c>
      <c r="L510" s="29">
        <f t="shared" ca="1" si="70"/>
        <v>150</v>
      </c>
      <c r="N510" s="22">
        <v>45055</v>
      </c>
      <c r="O510" s="26">
        <f t="shared" ca="1" si="33"/>
        <v>0.90522947973468193</v>
      </c>
      <c r="P510" s="29">
        <f t="shared" ca="1" si="71"/>
        <v>250</v>
      </c>
      <c r="R510" s="22">
        <v>45055</v>
      </c>
      <c r="S510" s="26">
        <f t="shared" ca="1" si="34"/>
        <v>0.38761083586617973</v>
      </c>
      <c r="T510" s="29">
        <f t="shared" ca="1" si="72"/>
        <v>137</v>
      </c>
      <c r="V510" s="22">
        <v>45055</v>
      </c>
      <c r="W510" s="26">
        <f t="shared" ca="1" si="35"/>
        <v>0.30241166693571486</v>
      </c>
      <c r="X510" s="29">
        <f t="shared" ca="1" si="73"/>
        <v>218</v>
      </c>
      <c r="Z510" s="22">
        <v>45055</v>
      </c>
      <c r="AA510" s="26">
        <f t="shared" ca="1" si="36"/>
        <v>0.48483983872877268</v>
      </c>
      <c r="AB510" s="29">
        <f t="shared" ca="1" si="74"/>
        <v>270</v>
      </c>
      <c r="AC510"/>
      <c r="AD510" s="25"/>
      <c r="AF510" s="22">
        <v>45055</v>
      </c>
      <c r="AG510" s="26">
        <f t="shared" ca="1" si="37"/>
        <v>0.88524944407194217</v>
      </c>
      <c r="AH510" s="29">
        <f t="shared" ca="1" si="75"/>
        <v>432</v>
      </c>
      <c r="AJ510" s="22">
        <v>45055</v>
      </c>
      <c r="AK510" s="26">
        <f t="shared" ca="1" si="38"/>
        <v>0.13312440689913752</v>
      </c>
      <c r="AL510" s="29">
        <f t="shared" ca="1" si="76"/>
        <v>120</v>
      </c>
      <c r="AN510" s="22">
        <v>45055</v>
      </c>
      <c r="AO510" s="26">
        <f t="shared" ca="1" si="39"/>
        <v>0.37592708438807199</v>
      </c>
      <c r="AP510" s="29">
        <f t="shared" ca="1" si="78"/>
        <v>213</v>
      </c>
      <c r="AR510" s="22">
        <v>45055</v>
      </c>
      <c r="AS510" s="26">
        <f t="shared" ca="1" si="40"/>
        <v>0.74706192950738637</v>
      </c>
      <c r="AT510" s="29">
        <v>0</v>
      </c>
      <c r="AV510" s="22">
        <v>45055</v>
      </c>
      <c r="AW510" s="26">
        <f t="shared" ca="1" si="41"/>
        <v>0.38829782504847687</v>
      </c>
      <c r="AX510" s="29">
        <v>0</v>
      </c>
      <c r="AZ510" s="22">
        <v>45055</v>
      </c>
      <c r="BA510" s="26">
        <f t="shared" ca="1" si="42"/>
        <v>0.86203549640325527</v>
      </c>
      <c r="BB510" s="29">
        <v>0</v>
      </c>
      <c r="BC510"/>
      <c r="BD510" s="25"/>
      <c r="BF510" s="22">
        <v>45055</v>
      </c>
      <c r="BG510" s="26">
        <f t="shared" ca="1" si="43"/>
        <v>0.49365649075057427</v>
      </c>
      <c r="BH510" s="29">
        <v>0</v>
      </c>
      <c r="BJ510" s="22">
        <v>45055</v>
      </c>
      <c r="BK510" s="26">
        <f t="shared" ca="1" si="44"/>
        <v>0.48209859814011113</v>
      </c>
      <c r="BL510" s="29">
        <v>0</v>
      </c>
      <c r="BN510" s="22">
        <v>45055</v>
      </c>
      <c r="BO510" s="26">
        <f t="shared" ca="1" si="45"/>
        <v>0.34735369816227357</v>
      </c>
      <c r="BP510" s="29">
        <v>0</v>
      </c>
      <c r="BR510" s="22">
        <v>45055</v>
      </c>
      <c r="BS510" s="26">
        <f t="shared" ca="1" si="46"/>
        <v>0.86610134510976189</v>
      </c>
      <c r="BT510" s="29">
        <v>0</v>
      </c>
      <c r="BV510" s="22">
        <v>45055</v>
      </c>
      <c r="BW510" s="26">
        <f t="shared" ca="1" si="47"/>
        <v>0.10549918046598672</v>
      </c>
      <c r="BX510" s="29">
        <v>0</v>
      </c>
    </row>
    <row r="511" spans="2:77" ht="12.75" x14ac:dyDescent="0.2">
      <c r="B511" s="22">
        <v>45056</v>
      </c>
      <c r="C511" s="26">
        <f t="shared" ca="1" si="68"/>
        <v>0.75309508709777084</v>
      </c>
      <c r="D511" s="29">
        <f t="shared" ca="1" si="77"/>
        <v>89</v>
      </c>
      <c r="F511" s="22">
        <v>45056</v>
      </c>
      <c r="G511" s="26">
        <f t="shared" ca="1" si="31"/>
        <v>0.61266804151564069</v>
      </c>
      <c r="H511" s="29">
        <f t="shared" ca="1" si="69"/>
        <v>220</v>
      </c>
      <c r="J511" s="22">
        <v>45056</v>
      </c>
      <c r="K511" s="26">
        <f t="shared" ca="1" si="32"/>
        <v>0.29571297465691437</v>
      </c>
      <c r="L511" s="29">
        <f t="shared" ca="1" si="70"/>
        <v>145</v>
      </c>
      <c r="N511" s="22">
        <v>45056</v>
      </c>
      <c r="O511" s="26">
        <f t="shared" ca="1" si="33"/>
        <v>3.1612308406098522E-2</v>
      </c>
      <c r="P511" s="29">
        <f t="shared" ca="1" si="71"/>
        <v>201</v>
      </c>
      <c r="R511" s="22">
        <v>45056</v>
      </c>
      <c r="S511" s="26">
        <f t="shared" ca="1" si="34"/>
        <v>0.69680189140039683</v>
      </c>
      <c r="T511" s="29">
        <f t="shared" ca="1" si="72"/>
        <v>144</v>
      </c>
      <c r="V511" s="22">
        <v>45056</v>
      </c>
      <c r="W511" s="26">
        <f t="shared" ca="1" si="35"/>
        <v>0.42960607410283369</v>
      </c>
      <c r="X511" s="29">
        <f t="shared" ca="1" si="73"/>
        <v>223</v>
      </c>
      <c r="Z511" s="22">
        <v>45056</v>
      </c>
      <c r="AA511" s="26">
        <f t="shared" ca="1" si="36"/>
        <v>0.99064324645615354</v>
      </c>
      <c r="AB511" s="29">
        <f t="shared" ca="1" si="74"/>
        <v>313</v>
      </c>
      <c r="AC511"/>
      <c r="AD511" s="25"/>
      <c r="AF511" s="22">
        <v>45056</v>
      </c>
      <c r="AG511" s="26">
        <f t="shared" ca="1" si="37"/>
        <v>0.31165429290957014</v>
      </c>
      <c r="AH511" s="29">
        <f t="shared" ca="1" si="75"/>
        <v>285</v>
      </c>
      <c r="AJ511" s="22">
        <v>45056</v>
      </c>
      <c r="AK511" s="26">
        <f t="shared" ca="1" si="38"/>
        <v>0.28976828908702223</v>
      </c>
      <c r="AL511" s="29">
        <f t="shared" ca="1" si="76"/>
        <v>146</v>
      </c>
      <c r="AN511" s="22">
        <v>45056</v>
      </c>
      <c r="AO511" s="26">
        <f t="shared" ca="1" si="39"/>
        <v>0.82400788267845171</v>
      </c>
      <c r="AP511" s="29">
        <f t="shared" ca="1" si="78"/>
        <v>290</v>
      </c>
      <c r="AR511" s="22">
        <v>45056</v>
      </c>
      <c r="AS511" s="26">
        <f t="shared" ca="1" si="40"/>
        <v>0.96905393560706132</v>
      </c>
      <c r="AT511" s="29">
        <v>0</v>
      </c>
      <c r="AV511" s="22">
        <v>45056</v>
      </c>
      <c r="AW511" s="26">
        <f t="shared" ca="1" si="41"/>
        <v>0.86202557783719502</v>
      </c>
      <c r="AX511" s="29">
        <v>0</v>
      </c>
      <c r="AZ511" s="22">
        <v>45056</v>
      </c>
      <c r="BA511" s="26">
        <f t="shared" ca="1" si="42"/>
        <v>0.21126356550211323</v>
      </c>
      <c r="BB511" s="29">
        <v>0</v>
      </c>
      <c r="BC511"/>
      <c r="BD511" s="25"/>
      <c r="BF511" s="22">
        <v>45056</v>
      </c>
      <c r="BG511" s="26">
        <f t="shared" ca="1" si="43"/>
        <v>0.30066133744861445</v>
      </c>
      <c r="BH511" s="29">
        <v>0</v>
      </c>
      <c r="BJ511" s="22">
        <v>45056</v>
      </c>
      <c r="BK511" s="26">
        <f t="shared" ca="1" si="44"/>
        <v>0.650861883359106</v>
      </c>
      <c r="BL511" s="29">
        <v>0</v>
      </c>
      <c r="BN511" s="22">
        <v>45056</v>
      </c>
      <c r="BO511" s="26">
        <f t="shared" ca="1" si="45"/>
        <v>0.32571110202049758</v>
      </c>
      <c r="BP511" s="29">
        <v>0</v>
      </c>
      <c r="BR511" s="22">
        <v>45056</v>
      </c>
      <c r="BS511" s="26">
        <f t="shared" ca="1" si="46"/>
        <v>0.99806479543626703</v>
      </c>
      <c r="BT511" s="29">
        <v>0</v>
      </c>
      <c r="BV511" s="22">
        <v>45056</v>
      </c>
      <c r="BW511" s="26">
        <f t="shared" ca="1" si="47"/>
        <v>0.76604395522474866</v>
      </c>
      <c r="BX511" s="29">
        <v>0</v>
      </c>
    </row>
    <row r="512" spans="2:77" ht="12.75" x14ac:dyDescent="0.2">
      <c r="B512" s="22">
        <v>45057</v>
      </c>
      <c r="C512" s="26">
        <f t="shared" ca="1" si="68"/>
        <v>0.46892066740503402</v>
      </c>
      <c r="D512" s="29">
        <f t="shared" ca="1" si="77"/>
        <v>74</v>
      </c>
      <c r="F512" s="22">
        <v>45057</v>
      </c>
      <c r="G512" s="26">
        <f t="shared" ca="1" si="31"/>
        <v>0.40191515149406387</v>
      </c>
      <c r="H512" s="29">
        <f t="shared" ca="1" si="69"/>
        <v>212</v>
      </c>
      <c r="J512" s="22">
        <v>45057</v>
      </c>
      <c r="K512" s="26">
        <f t="shared" ca="1" si="32"/>
        <v>0.76099779411839974</v>
      </c>
      <c r="L512" s="29">
        <f t="shared" ca="1" si="70"/>
        <v>158</v>
      </c>
      <c r="N512" s="22">
        <v>45057</v>
      </c>
      <c r="O512" s="26">
        <f t="shared" ca="1" si="33"/>
        <v>0.44735547509323714</v>
      </c>
      <c r="P512" s="29">
        <f t="shared" ca="1" si="71"/>
        <v>228</v>
      </c>
      <c r="R512" s="22">
        <v>45057</v>
      </c>
      <c r="S512" s="26">
        <f t="shared" ca="1" si="34"/>
        <v>0.10610622950049309</v>
      </c>
      <c r="T512" s="29">
        <f t="shared" ca="1" si="72"/>
        <v>128</v>
      </c>
      <c r="V512" s="22">
        <v>45057</v>
      </c>
      <c r="W512" s="26">
        <f t="shared" ca="1" si="35"/>
        <v>0.8856749091406948</v>
      </c>
      <c r="X512" s="29">
        <f t="shared" ca="1" si="73"/>
        <v>244</v>
      </c>
      <c r="Z512" s="22">
        <v>45057</v>
      </c>
      <c r="AA512" s="26">
        <f t="shared" ca="1" si="36"/>
        <v>9.6472338438828742E-2</v>
      </c>
      <c r="AB512" s="29">
        <f t="shared" ca="1" si="74"/>
        <v>247</v>
      </c>
      <c r="AC512"/>
      <c r="AD512" s="25"/>
      <c r="AF512" s="22">
        <v>45057</v>
      </c>
      <c r="AG512" s="26">
        <f t="shared" ca="1" si="37"/>
        <v>0.43034872089273324</v>
      </c>
      <c r="AH512" s="29">
        <f t="shared" ca="1" si="75"/>
        <v>312</v>
      </c>
      <c r="AJ512" s="22">
        <v>45057</v>
      </c>
      <c r="AK512" s="26">
        <f t="shared" ca="1" si="38"/>
        <v>0.87768625915985732</v>
      </c>
      <c r="AL512" s="29">
        <f t="shared" ca="1" si="76"/>
        <v>224</v>
      </c>
      <c r="AN512" s="22">
        <v>45057</v>
      </c>
      <c r="AO512" s="26">
        <f t="shared" ca="1" si="39"/>
        <v>0.96324548647970687</v>
      </c>
      <c r="AP512" s="29">
        <f t="shared" ca="1" si="78"/>
        <v>343</v>
      </c>
      <c r="AR512" s="22">
        <v>45057</v>
      </c>
      <c r="AS512" s="26">
        <f t="shared" ca="1" si="40"/>
        <v>0.45149367559189524</v>
      </c>
      <c r="AT512" s="29">
        <v>0</v>
      </c>
      <c r="AV512" s="22">
        <v>45057</v>
      </c>
      <c r="AW512" s="26">
        <f t="shared" ca="1" si="41"/>
        <v>0.72937622509065825</v>
      </c>
      <c r="AX512" s="29">
        <v>0</v>
      </c>
      <c r="AZ512" s="22">
        <v>45057</v>
      </c>
      <c r="BA512" s="26">
        <f t="shared" ca="1" si="42"/>
        <v>0.69950027073204879</v>
      </c>
      <c r="BB512" s="29">
        <v>0</v>
      </c>
      <c r="BC512"/>
      <c r="BD512" s="25"/>
      <c r="BF512" s="22">
        <v>45057</v>
      </c>
      <c r="BG512" s="26">
        <f t="shared" ca="1" si="43"/>
        <v>0.55523897706378844</v>
      </c>
      <c r="BH512" s="29">
        <v>0</v>
      </c>
      <c r="BJ512" s="22">
        <v>45057</v>
      </c>
      <c r="BK512" s="26">
        <f t="shared" ca="1" si="44"/>
        <v>0.49465581624783117</v>
      </c>
      <c r="BL512" s="29">
        <v>0</v>
      </c>
      <c r="BN512" s="22">
        <v>45057</v>
      </c>
      <c r="BO512" s="26">
        <f t="shared" ca="1" si="45"/>
        <v>0.71229048698319708</v>
      </c>
      <c r="BP512" s="29">
        <v>0</v>
      </c>
      <c r="BR512" s="22">
        <v>45057</v>
      </c>
      <c r="BS512" s="26">
        <f t="shared" ca="1" si="46"/>
        <v>0.31913597968363283</v>
      </c>
      <c r="BT512" s="29">
        <v>0</v>
      </c>
      <c r="BV512" s="22">
        <v>45057</v>
      </c>
      <c r="BW512" s="26">
        <f t="shared" ca="1" si="47"/>
        <v>0.23909754929567162</v>
      </c>
      <c r="BX512" s="29">
        <v>0</v>
      </c>
    </row>
    <row r="513" spans="2:76" ht="12.75" x14ac:dyDescent="0.2">
      <c r="B513" s="22">
        <v>45058</v>
      </c>
      <c r="C513" s="26">
        <f t="shared" ca="1" si="68"/>
        <v>0.15954235694965679</v>
      </c>
      <c r="D513" s="29">
        <f t="shared" ca="1" si="77"/>
        <v>56</v>
      </c>
      <c r="F513" s="22">
        <v>45058</v>
      </c>
      <c r="G513" s="26">
        <f t="shared" ca="1" si="31"/>
        <v>0.74971646713463458</v>
      </c>
      <c r="H513" s="29">
        <f t="shared" ca="1" si="69"/>
        <v>226</v>
      </c>
      <c r="J513" s="22">
        <v>45058</v>
      </c>
      <c r="K513" s="26">
        <f t="shared" ca="1" si="32"/>
        <v>0.21558529111463276</v>
      </c>
      <c r="L513" s="29">
        <f t="shared" ca="1" si="70"/>
        <v>143</v>
      </c>
      <c r="N513" s="22">
        <v>45058</v>
      </c>
      <c r="O513" s="26">
        <f t="shared" ca="1" si="33"/>
        <v>0.43469257423947039</v>
      </c>
      <c r="P513" s="29">
        <f t="shared" ca="1" si="71"/>
        <v>227</v>
      </c>
      <c r="R513" s="22">
        <v>45058</v>
      </c>
      <c r="S513" s="26">
        <f t="shared" ca="1" si="34"/>
        <v>0.69112007342444759</v>
      </c>
      <c r="T513" s="29">
        <f t="shared" ca="1" si="72"/>
        <v>144</v>
      </c>
      <c r="V513" s="22">
        <v>45058</v>
      </c>
      <c r="W513" s="26">
        <f t="shared" ca="1" si="35"/>
        <v>3.1434695398841472E-2</v>
      </c>
      <c r="X513" s="29">
        <f t="shared" ca="1" si="73"/>
        <v>198</v>
      </c>
      <c r="Z513" s="22">
        <v>45058</v>
      </c>
      <c r="AA513" s="26">
        <f t="shared" ca="1" si="36"/>
        <v>0.97252013669095039</v>
      </c>
      <c r="AB513" s="29">
        <f t="shared" ca="1" si="74"/>
        <v>305</v>
      </c>
      <c r="AC513"/>
      <c r="AD513" s="25"/>
      <c r="AF513" s="22">
        <v>45058</v>
      </c>
      <c r="AG513" s="26">
        <f t="shared" ca="1" si="37"/>
        <v>0.44094804789825104</v>
      </c>
      <c r="AH513" s="29">
        <f t="shared" ca="1" si="75"/>
        <v>315</v>
      </c>
      <c r="AJ513" s="22">
        <v>45058</v>
      </c>
      <c r="AK513" s="26">
        <f t="shared" ca="1" si="38"/>
        <v>0.78933321007732749</v>
      </c>
      <c r="AL513" s="29">
        <f t="shared" ca="1" si="76"/>
        <v>207</v>
      </c>
      <c r="AN513" s="22">
        <v>45058</v>
      </c>
      <c r="AO513" s="26">
        <f t="shared" ca="1" si="39"/>
        <v>0.1022619725167514</v>
      </c>
      <c r="AP513" s="29">
        <f t="shared" ca="1" si="78"/>
        <v>154</v>
      </c>
      <c r="AR513" s="22">
        <v>45058</v>
      </c>
      <c r="AS513" s="26">
        <f t="shared" ca="1" si="40"/>
        <v>0.59069262691531166</v>
      </c>
      <c r="AT513" s="29">
        <v>0</v>
      </c>
      <c r="AV513" s="22">
        <v>45058</v>
      </c>
      <c r="AW513" s="26">
        <f t="shared" ca="1" si="41"/>
        <v>0.65196517139289589</v>
      </c>
      <c r="AX513" s="29">
        <v>0</v>
      </c>
      <c r="AZ513" s="22">
        <v>45058</v>
      </c>
      <c r="BA513" s="26">
        <f t="shared" ca="1" si="42"/>
        <v>0.18278093025405728</v>
      </c>
      <c r="BB513" s="29">
        <v>0</v>
      </c>
      <c r="BC513"/>
      <c r="BD513" s="25"/>
      <c r="BF513" s="22">
        <v>45058</v>
      </c>
      <c r="BG513" s="26">
        <f t="shared" ca="1" si="43"/>
        <v>0.77105966115771807</v>
      </c>
      <c r="BH513" s="29">
        <v>0</v>
      </c>
      <c r="BJ513" s="22">
        <v>45058</v>
      </c>
      <c r="BK513" s="26">
        <f t="shared" ca="1" si="44"/>
        <v>0.18685489823147494</v>
      </c>
      <c r="BL513" s="29">
        <v>0</v>
      </c>
      <c r="BN513" s="22">
        <v>45058</v>
      </c>
      <c r="BO513" s="26">
        <f t="shared" ca="1" si="45"/>
        <v>6.4091800456160475E-2</v>
      </c>
      <c r="BP513" s="29">
        <v>0</v>
      </c>
      <c r="BR513" s="22">
        <v>45058</v>
      </c>
      <c r="BS513" s="26">
        <f t="shared" ca="1" si="46"/>
        <v>0.46202881786835848</v>
      </c>
      <c r="BT513" s="29">
        <v>0</v>
      </c>
      <c r="BV513" s="22">
        <v>45058</v>
      </c>
      <c r="BW513" s="26">
        <f t="shared" ca="1" si="47"/>
        <v>0.854224119588331</v>
      </c>
      <c r="BX513" s="29">
        <v>0</v>
      </c>
    </row>
    <row r="514" spans="2:76" ht="12.75" x14ac:dyDescent="0.2">
      <c r="B514" s="22">
        <v>45059</v>
      </c>
      <c r="C514" s="26">
        <f t="shared" ca="1" si="68"/>
        <v>0.89949348609807855</v>
      </c>
      <c r="D514" s="29">
        <f t="shared" ca="1" si="77"/>
        <v>101</v>
      </c>
      <c r="F514" s="22">
        <v>45059</v>
      </c>
      <c r="G514" s="26">
        <f t="shared" ca="1" si="31"/>
        <v>0.23081930610499746</v>
      </c>
      <c r="H514" s="29">
        <f t="shared" ca="1" si="69"/>
        <v>205</v>
      </c>
      <c r="J514" s="22">
        <v>45059</v>
      </c>
      <c r="K514" s="26">
        <f t="shared" ca="1" si="32"/>
        <v>0.2755448928214399</v>
      </c>
      <c r="L514" s="29">
        <f t="shared" ca="1" si="70"/>
        <v>145</v>
      </c>
      <c r="N514" s="22">
        <v>45059</v>
      </c>
      <c r="O514" s="26">
        <f t="shared" ca="1" si="33"/>
        <v>2.9608147866374779E-2</v>
      </c>
      <c r="P514" s="29">
        <f t="shared" ca="1" si="71"/>
        <v>201</v>
      </c>
      <c r="R514" s="22">
        <v>45059</v>
      </c>
      <c r="S514" s="26">
        <f t="shared" ca="1" si="34"/>
        <v>0.19872262952045583</v>
      </c>
      <c r="T514" s="29">
        <f t="shared" ca="1" si="72"/>
        <v>131</v>
      </c>
      <c r="V514" s="22">
        <v>45059</v>
      </c>
      <c r="W514" s="26">
        <f t="shared" ca="1" si="35"/>
        <v>0.33974173075279446</v>
      </c>
      <c r="X514" s="29">
        <f t="shared" ca="1" si="73"/>
        <v>219</v>
      </c>
      <c r="Z514" s="22">
        <v>45059</v>
      </c>
      <c r="AA514" s="26">
        <f t="shared" ca="1" si="36"/>
        <v>0.79097517620637547</v>
      </c>
      <c r="AB514" s="29">
        <f t="shared" ca="1" si="74"/>
        <v>285</v>
      </c>
      <c r="AC514"/>
      <c r="AD514" s="25"/>
      <c r="AF514" s="22">
        <v>45059</v>
      </c>
      <c r="AG514" s="26">
        <f t="shared" ca="1" si="37"/>
        <v>0.64884896778166989</v>
      </c>
      <c r="AH514" s="29">
        <f t="shared" ca="1" si="75"/>
        <v>361</v>
      </c>
      <c r="AJ514" s="22">
        <v>45059</v>
      </c>
      <c r="AK514" s="26">
        <f t="shared" ca="1" si="38"/>
        <v>0.37229703356251942</v>
      </c>
      <c r="AL514" s="29">
        <f t="shared" ca="1" si="76"/>
        <v>156</v>
      </c>
      <c r="AN514" s="22">
        <v>45059</v>
      </c>
      <c r="AO514" s="26">
        <f t="shared" ca="1" si="39"/>
        <v>0.60873264115505699</v>
      </c>
      <c r="AP514" s="29">
        <f t="shared" ca="1" si="78"/>
        <v>250</v>
      </c>
      <c r="AR514" s="22">
        <v>45059</v>
      </c>
      <c r="AS514" s="26">
        <f t="shared" ca="1" si="40"/>
        <v>0.23683762087142912</v>
      </c>
      <c r="AT514" s="29">
        <v>0</v>
      </c>
      <c r="AV514" s="22">
        <v>45059</v>
      </c>
      <c r="AW514" s="26">
        <f t="shared" ca="1" si="41"/>
        <v>0.17203114742964376</v>
      </c>
      <c r="AX514" s="29">
        <v>0</v>
      </c>
      <c r="AZ514" s="22">
        <v>45059</v>
      </c>
      <c r="BA514" s="26">
        <f t="shared" ca="1" si="42"/>
        <v>0.60503762828664998</v>
      </c>
      <c r="BB514" s="29">
        <v>0</v>
      </c>
      <c r="BC514"/>
      <c r="BD514" s="25"/>
      <c r="BF514" s="22">
        <v>45059</v>
      </c>
      <c r="BG514" s="26">
        <f t="shared" ca="1" si="43"/>
        <v>0.82484151382449655</v>
      </c>
      <c r="BH514" s="29">
        <v>0</v>
      </c>
      <c r="BJ514" s="22">
        <v>45059</v>
      </c>
      <c r="BK514" s="26">
        <f t="shared" ca="1" si="44"/>
        <v>0.80438723731307182</v>
      </c>
      <c r="BL514" s="29">
        <v>0</v>
      </c>
      <c r="BN514" s="22">
        <v>45059</v>
      </c>
      <c r="BO514" s="26">
        <f t="shared" ca="1" si="45"/>
        <v>0.89017797299663171</v>
      </c>
      <c r="BP514" s="29">
        <v>0</v>
      </c>
      <c r="BR514" s="22">
        <v>45059</v>
      </c>
      <c r="BS514" s="26">
        <f t="shared" ca="1" si="46"/>
        <v>2.8173500443872235E-2</v>
      </c>
      <c r="BT514" s="29">
        <v>0</v>
      </c>
      <c r="BV514" s="22">
        <v>45059</v>
      </c>
      <c r="BW514" s="26">
        <f t="shared" ca="1" si="47"/>
        <v>0.22729980290007645</v>
      </c>
      <c r="BX514" s="29">
        <v>0</v>
      </c>
    </row>
    <row r="515" spans="2:76" ht="12.75" x14ac:dyDescent="0.2">
      <c r="B515" s="22">
        <v>45060</v>
      </c>
      <c r="C515" s="26">
        <f t="shared" ca="1" si="68"/>
        <v>0.99772864757465529</v>
      </c>
      <c r="D515" s="29">
        <f t="shared" ca="1" si="77"/>
        <v>132</v>
      </c>
      <c r="F515" s="22">
        <v>45060</v>
      </c>
      <c r="G515" s="26">
        <f t="shared" ca="1" si="31"/>
        <v>0.82995418472408333</v>
      </c>
      <c r="H515" s="29">
        <f t="shared" ca="1" si="69"/>
        <v>230</v>
      </c>
      <c r="J515" s="22">
        <v>45060</v>
      </c>
      <c r="K515" s="26">
        <f t="shared" ca="1" si="32"/>
        <v>0.57206343609252974</v>
      </c>
      <c r="L515" s="29">
        <f t="shared" ca="1" si="70"/>
        <v>152</v>
      </c>
      <c r="N515" s="22">
        <v>45060</v>
      </c>
      <c r="O515" s="26">
        <f t="shared" ca="1" si="33"/>
        <v>0.71891191649871977</v>
      </c>
      <c r="P515" s="29">
        <f t="shared" ca="1" si="71"/>
        <v>239</v>
      </c>
      <c r="R515" s="22">
        <v>45060</v>
      </c>
      <c r="S515" s="26">
        <f t="shared" ca="1" si="34"/>
        <v>0.86298501197562771</v>
      </c>
      <c r="T515" s="29">
        <f t="shared" ca="1" si="72"/>
        <v>149</v>
      </c>
      <c r="V515" s="22">
        <v>45060</v>
      </c>
      <c r="W515" s="26">
        <f t="shared" ca="1" si="35"/>
        <v>0.80094246312368533</v>
      </c>
      <c r="X515" s="29">
        <f t="shared" ca="1" si="73"/>
        <v>238</v>
      </c>
      <c r="Z515" s="22">
        <v>45060</v>
      </c>
      <c r="AA515" s="26">
        <f t="shared" ca="1" si="36"/>
        <v>0.15754612334944695</v>
      </c>
      <c r="AB515" s="29">
        <f t="shared" ca="1" si="74"/>
        <v>252</v>
      </c>
      <c r="AC515"/>
      <c r="AD515" s="25"/>
      <c r="AF515" s="22">
        <v>45060</v>
      </c>
      <c r="AG515" s="26">
        <f t="shared" ca="1" si="37"/>
        <v>0.24385689610629502</v>
      </c>
      <c r="AH515" s="29">
        <f t="shared" ca="1" si="75"/>
        <v>267</v>
      </c>
      <c r="AJ515" s="22">
        <v>45060</v>
      </c>
      <c r="AK515" s="26">
        <f t="shared" ca="1" si="38"/>
        <v>0.44821792547954298</v>
      </c>
      <c r="AL515" s="29">
        <f t="shared" ca="1" si="76"/>
        <v>165</v>
      </c>
      <c r="AN515" s="22">
        <v>45060</v>
      </c>
      <c r="AO515" s="26">
        <f t="shared" ca="1" si="39"/>
        <v>0.52448040247762717</v>
      </c>
      <c r="AP515" s="29">
        <f t="shared" ca="1" si="78"/>
        <v>236</v>
      </c>
      <c r="AR515" s="22">
        <v>45060</v>
      </c>
      <c r="AS515" s="26">
        <f t="shared" ca="1" si="40"/>
        <v>0.5309838045569385</v>
      </c>
      <c r="AT515" s="29">
        <v>0</v>
      </c>
      <c r="AV515" s="22">
        <v>45060</v>
      </c>
      <c r="AW515" s="26">
        <f t="shared" ca="1" si="41"/>
        <v>0.78786961459952876</v>
      </c>
      <c r="AX515" s="29">
        <v>0</v>
      </c>
      <c r="AZ515" s="22">
        <v>45060</v>
      </c>
      <c r="BA515" s="26">
        <f t="shared" ca="1" si="42"/>
        <v>0.66951190995892373</v>
      </c>
      <c r="BB515" s="29">
        <v>0</v>
      </c>
      <c r="BC515"/>
      <c r="BD515" s="25"/>
      <c r="BF515" s="22">
        <v>45060</v>
      </c>
      <c r="BG515" s="26">
        <f t="shared" ca="1" si="43"/>
        <v>0.67527296754394994</v>
      </c>
      <c r="BH515" s="29">
        <v>0</v>
      </c>
      <c r="BJ515" s="22">
        <v>45060</v>
      </c>
      <c r="BK515" s="26">
        <f t="shared" ca="1" si="44"/>
        <v>0.5217699306807867</v>
      </c>
      <c r="BL515" s="29">
        <v>0</v>
      </c>
      <c r="BN515" s="22">
        <v>45060</v>
      </c>
      <c r="BO515" s="26">
        <f t="shared" ca="1" si="45"/>
        <v>5.9792957073821706E-2</v>
      </c>
      <c r="BP515" s="29">
        <v>0</v>
      </c>
      <c r="BR515" s="22">
        <v>45060</v>
      </c>
      <c r="BS515" s="26">
        <f t="shared" ca="1" si="46"/>
        <v>0.25539188496518539</v>
      </c>
      <c r="BT515" s="29">
        <v>0</v>
      </c>
      <c r="BV515" s="22">
        <v>45060</v>
      </c>
      <c r="BW515" s="26">
        <f t="shared" ca="1" si="47"/>
        <v>0.11709180596353685</v>
      </c>
      <c r="BX515" s="29">
        <v>0</v>
      </c>
    </row>
    <row r="516" spans="2:76" ht="12.75" x14ac:dyDescent="0.2">
      <c r="B516" s="22">
        <v>45061</v>
      </c>
      <c r="C516" s="26">
        <f t="shared" ca="1" si="68"/>
        <v>0.15769859144449982</v>
      </c>
      <c r="D516" s="29">
        <f t="shared" ca="1" si="77"/>
        <v>55</v>
      </c>
      <c r="F516" s="22">
        <v>45061</v>
      </c>
      <c r="G516" s="26">
        <f t="shared" ca="1" si="31"/>
        <v>0.11055590202470356</v>
      </c>
      <c r="H516" s="29">
        <f t="shared" ref="H516:H568" ca="1" si="79">ROUNDUP(_xlfn.NORM.INV(G516,G$10,G$12),0)</f>
        <v>198</v>
      </c>
      <c r="J516" s="22">
        <v>45061</v>
      </c>
      <c r="K516" s="26">
        <f t="shared" ca="1" si="32"/>
        <v>4.1838187331021071E-2</v>
      </c>
      <c r="L516" s="29">
        <f t="shared" ref="L516:L568" ca="1" si="80">ROUNDUP(_xlfn.NORM.INV(K516,K$10,K$12),0)</f>
        <v>133</v>
      </c>
      <c r="N516" s="22">
        <v>45061</v>
      </c>
      <c r="O516" s="26">
        <f t="shared" ca="1" si="33"/>
        <v>0.1103213848896899</v>
      </c>
      <c r="P516" s="29">
        <f t="shared" ref="P516:P568" ca="1" si="81">ROUNDUP(_xlfn.NORM.INV(O516,O$10,O$12),0)</f>
        <v>211</v>
      </c>
      <c r="R516" s="22">
        <v>45061</v>
      </c>
      <c r="S516" s="26">
        <f t="shared" ca="1" si="34"/>
        <v>0.27804285910086046</v>
      </c>
      <c r="T516" s="29">
        <f t="shared" ref="T516:T568" ca="1" si="82">ROUNDUP(_xlfn.NORM.INV(S516,S$10,S$12),0)</f>
        <v>134</v>
      </c>
      <c r="V516" s="22">
        <v>45061</v>
      </c>
      <c r="W516" s="26">
        <f t="shared" ca="1" si="35"/>
        <v>0.54329269709355865</v>
      </c>
      <c r="X516" s="29">
        <f t="shared" ref="X516:X568" ca="1" si="83">ROUNDUP(_xlfn.NORM.INV(W516,W$10,W$12),0)</f>
        <v>227</v>
      </c>
      <c r="Z516" s="22">
        <v>45061</v>
      </c>
      <c r="AA516" s="26">
        <f t="shared" ca="1" si="36"/>
        <v>0.24745899655748205</v>
      </c>
      <c r="AB516" s="29">
        <f t="shared" ref="AB516:AB568" ca="1" si="84">ROUNDUP(_xlfn.NORM.INV(AA516,AA$10,AA$12),0)</f>
        <v>258</v>
      </c>
      <c r="AC516"/>
      <c r="AD516" s="25"/>
      <c r="AF516" s="22">
        <v>45061</v>
      </c>
      <c r="AG516" s="26">
        <f t="shared" ca="1" si="37"/>
        <v>0.88723962557711411</v>
      </c>
      <c r="AH516" s="29">
        <f t="shared" ref="AH516:AH568" ca="1" si="85">ROUNDUP(_xlfn.NORM.INV(AG516,AG$10,AG$12),0)</f>
        <v>433</v>
      </c>
      <c r="AJ516" s="22">
        <v>45061</v>
      </c>
      <c r="AK516" s="26">
        <f t="shared" ca="1" si="38"/>
        <v>0.10243170809642665</v>
      </c>
      <c r="AL516" s="29">
        <f t="shared" ref="AL516:AL568" ca="1" si="86">ROUNDUP(_xlfn.NORM.INV(AK516,AK$10,AK$12),0)</f>
        <v>113</v>
      </c>
      <c r="AN516" s="22">
        <v>45061</v>
      </c>
      <c r="AO516" s="26">
        <f t="shared" ca="1" si="39"/>
        <v>7.6396603775270577E-2</v>
      </c>
      <c r="AP516" s="29">
        <f t="shared" ref="AP516:AP568" ca="1" si="87">ROUNDUP(_xlfn.NORM.INV(AO516,AO$10,AO$12),0)</f>
        <v>144</v>
      </c>
      <c r="AR516" s="22">
        <v>45061</v>
      </c>
      <c r="AS516" s="26">
        <f t="shared" ca="1" si="40"/>
        <v>0.22421371151530289</v>
      </c>
      <c r="AT516" s="29">
        <v>0</v>
      </c>
      <c r="AV516" s="22">
        <v>45061</v>
      </c>
      <c r="AW516" s="26">
        <f t="shared" ca="1" si="41"/>
        <v>0.30109278019048813</v>
      </c>
      <c r="AX516" s="29">
        <v>0</v>
      </c>
      <c r="AZ516" s="22">
        <v>45061</v>
      </c>
      <c r="BA516" s="26">
        <f t="shared" ca="1" si="42"/>
        <v>0.81321046070714365</v>
      </c>
      <c r="BB516" s="29">
        <v>0</v>
      </c>
      <c r="BC516"/>
      <c r="BD516" s="25"/>
      <c r="BF516" s="22">
        <v>45061</v>
      </c>
      <c r="BG516" s="26">
        <f t="shared" ca="1" si="43"/>
        <v>0.35709201215576347</v>
      </c>
      <c r="BH516" s="29">
        <v>0</v>
      </c>
      <c r="BJ516" s="22">
        <v>45061</v>
      </c>
      <c r="BK516" s="26">
        <f t="shared" ca="1" si="44"/>
        <v>0.90809716025811094</v>
      </c>
      <c r="BL516" s="29">
        <v>0</v>
      </c>
      <c r="BN516" s="22">
        <v>45061</v>
      </c>
      <c r="BO516" s="26">
        <f t="shared" ca="1" si="45"/>
        <v>0.82380825969073868</v>
      </c>
      <c r="BP516" s="29">
        <v>0</v>
      </c>
      <c r="BR516" s="22">
        <v>45061</v>
      </c>
      <c r="BS516" s="26">
        <f t="shared" ca="1" si="46"/>
        <v>3.1328361027120222E-2</v>
      </c>
      <c r="BT516" s="29">
        <v>0</v>
      </c>
      <c r="BV516" s="22">
        <v>45061</v>
      </c>
      <c r="BW516" s="26">
        <f t="shared" ca="1" si="47"/>
        <v>0.58602043442303475</v>
      </c>
      <c r="BX516" s="29">
        <v>0</v>
      </c>
    </row>
    <row r="517" spans="2:76" ht="12.75" x14ac:dyDescent="0.2">
      <c r="B517" s="22">
        <v>45062</v>
      </c>
      <c r="C517" s="26">
        <f t="shared" ca="1" si="68"/>
        <v>0.93086685511269518</v>
      </c>
      <c r="D517" s="29">
        <f t="shared" ca="1" si="77"/>
        <v>105</v>
      </c>
      <c r="F517" s="22">
        <v>45062</v>
      </c>
      <c r="G517" s="26">
        <f t="shared" ca="1" si="31"/>
        <v>0.55599234813975984</v>
      </c>
      <c r="H517" s="29">
        <f t="shared" ca="1" si="79"/>
        <v>218</v>
      </c>
      <c r="J517" s="22">
        <v>45062</v>
      </c>
      <c r="K517" s="26">
        <f t="shared" ca="1" si="32"/>
        <v>0.84378722664195815</v>
      </c>
      <c r="L517" s="29">
        <f t="shared" ca="1" si="80"/>
        <v>161</v>
      </c>
      <c r="N517" s="22">
        <v>45062</v>
      </c>
      <c r="O517" s="26">
        <f t="shared" ca="1" si="33"/>
        <v>0.77621666920812682</v>
      </c>
      <c r="P517" s="29">
        <f t="shared" ca="1" si="81"/>
        <v>241</v>
      </c>
      <c r="R517" s="22">
        <v>45062</v>
      </c>
      <c r="S517" s="26">
        <f t="shared" ca="1" si="34"/>
        <v>0.27788608937842529</v>
      </c>
      <c r="T517" s="29">
        <f t="shared" ca="1" si="82"/>
        <v>134</v>
      </c>
      <c r="V517" s="22">
        <v>45062</v>
      </c>
      <c r="W517" s="26">
        <f t="shared" ca="1" si="35"/>
        <v>0.52067484613204218</v>
      </c>
      <c r="X517" s="29">
        <f t="shared" ca="1" si="83"/>
        <v>226</v>
      </c>
      <c r="Z517" s="22">
        <v>45062</v>
      </c>
      <c r="AA517" s="26">
        <f t="shared" ca="1" si="36"/>
        <v>0.84984866872761788</v>
      </c>
      <c r="AB517" s="29">
        <f t="shared" ca="1" si="84"/>
        <v>289</v>
      </c>
      <c r="AC517"/>
      <c r="AD517" s="25"/>
      <c r="AF517" s="22">
        <v>45062</v>
      </c>
      <c r="AG517" s="26">
        <f t="shared" ca="1" si="37"/>
        <v>0.55826538565290718</v>
      </c>
      <c r="AH517" s="29">
        <f t="shared" ca="1" si="85"/>
        <v>340</v>
      </c>
      <c r="AJ517" s="22">
        <v>45062</v>
      </c>
      <c r="AK517" s="26">
        <f t="shared" ca="1" si="38"/>
        <v>0.63842415008849973</v>
      </c>
      <c r="AL517" s="29">
        <f t="shared" ca="1" si="86"/>
        <v>187</v>
      </c>
      <c r="AN517" s="22">
        <v>45062</v>
      </c>
      <c r="AO517" s="26">
        <f t="shared" ca="1" si="39"/>
        <v>0.80088025769457327</v>
      </c>
      <c r="AP517" s="29">
        <f t="shared" ca="1" si="87"/>
        <v>285</v>
      </c>
      <c r="AR517" s="22">
        <v>45062</v>
      </c>
      <c r="AS517" s="26">
        <f t="shared" ca="1" si="40"/>
        <v>0.32735634351555953</v>
      </c>
      <c r="AT517" s="29">
        <v>0</v>
      </c>
      <c r="AV517" s="22">
        <v>45062</v>
      </c>
      <c r="AW517" s="26">
        <f t="shared" ca="1" si="41"/>
        <v>0.97904883098829298</v>
      </c>
      <c r="AX517" s="29">
        <v>0</v>
      </c>
      <c r="AZ517" s="22">
        <v>45062</v>
      </c>
      <c r="BA517" s="26">
        <f t="shared" ca="1" si="42"/>
        <v>0.82026420374743658</v>
      </c>
      <c r="BB517" s="29">
        <v>0</v>
      </c>
      <c r="BC517"/>
      <c r="BD517" s="25"/>
      <c r="BF517" s="22">
        <v>45062</v>
      </c>
      <c r="BG517" s="26">
        <f t="shared" ca="1" si="43"/>
        <v>0.79179842804727374</v>
      </c>
      <c r="BH517" s="29">
        <v>0</v>
      </c>
      <c r="BJ517" s="22">
        <v>45062</v>
      </c>
      <c r="BK517" s="26">
        <f t="shared" ca="1" si="44"/>
        <v>2.9540035970001544E-3</v>
      </c>
      <c r="BL517" s="29">
        <v>0</v>
      </c>
      <c r="BN517" s="22">
        <v>45062</v>
      </c>
      <c r="BO517" s="26">
        <f t="shared" ca="1" si="45"/>
        <v>0.34650328232214045</v>
      </c>
      <c r="BP517" s="29">
        <v>0</v>
      </c>
      <c r="BR517" s="22">
        <v>45062</v>
      </c>
      <c r="BS517" s="26">
        <f t="shared" ca="1" si="46"/>
        <v>0.7850164292175843</v>
      </c>
      <c r="BT517" s="29">
        <v>0</v>
      </c>
      <c r="BV517" s="22">
        <v>45062</v>
      </c>
      <c r="BW517" s="26">
        <f t="shared" ca="1" si="47"/>
        <v>0.43165430370975277</v>
      </c>
      <c r="BX517" s="29">
        <v>0</v>
      </c>
    </row>
    <row r="518" spans="2:76" ht="12.75" x14ac:dyDescent="0.2">
      <c r="B518" s="22">
        <v>45063</v>
      </c>
      <c r="C518" s="26">
        <f t="shared" ca="1" si="68"/>
        <v>0.48577080585930255</v>
      </c>
      <c r="D518" s="29">
        <f t="shared" ca="1" si="77"/>
        <v>75</v>
      </c>
      <c r="F518" s="22">
        <v>45063</v>
      </c>
      <c r="G518" s="26">
        <f t="shared" ca="1" si="31"/>
        <v>0.28108584820675675</v>
      </c>
      <c r="H518" s="29">
        <f t="shared" ca="1" si="79"/>
        <v>208</v>
      </c>
      <c r="J518" s="22">
        <v>45063</v>
      </c>
      <c r="K518" s="26">
        <f t="shared" ca="1" si="32"/>
        <v>0.564207759516971</v>
      </c>
      <c r="L518" s="29">
        <f t="shared" ca="1" si="80"/>
        <v>152</v>
      </c>
      <c r="N518" s="22">
        <v>45063</v>
      </c>
      <c r="O518" s="26">
        <f t="shared" ca="1" si="33"/>
        <v>0.49854394655436152</v>
      </c>
      <c r="P518" s="29">
        <f t="shared" ca="1" si="81"/>
        <v>230</v>
      </c>
      <c r="R518" s="22">
        <v>45063</v>
      </c>
      <c r="S518" s="26">
        <f t="shared" ca="1" si="34"/>
        <v>0.41139281788257898</v>
      </c>
      <c r="T518" s="29">
        <f t="shared" ca="1" si="82"/>
        <v>137</v>
      </c>
      <c r="V518" s="22">
        <v>45063</v>
      </c>
      <c r="W518" s="26">
        <f t="shared" ca="1" si="35"/>
        <v>0.95590904191726289</v>
      </c>
      <c r="X518" s="29">
        <f t="shared" ca="1" si="83"/>
        <v>251</v>
      </c>
      <c r="Z518" s="22">
        <v>45063</v>
      </c>
      <c r="AA518" s="26">
        <f t="shared" ca="1" si="36"/>
        <v>0.96907996101179938</v>
      </c>
      <c r="AB518" s="29">
        <f t="shared" ca="1" si="84"/>
        <v>304</v>
      </c>
      <c r="AC518"/>
      <c r="AD518" s="25"/>
      <c r="AF518" s="22">
        <v>45063</v>
      </c>
      <c r="AG518" s="26">
        <f t="shared" ca="1" si="37"/>
        <v>0.13809929506691743</v>
      </c>
      <c r="AH518" s="29">
        <f t="shared" ca="1" si="85"/>
        <v>233</v>
      </c>
      <c r="AJ518" s="22">
        <v>45063</v>
      </c>
      <c r="AK518" s="26">
        <f t="shared" ca="1" si="38"/>
        <v>0.6781236994316816</v>
      </c>
      <c r="AL518" s="29">
        <f t="shared" ca="1" si="86"/>
        <v>192</v>
      </c>
      <c r="AN518" s="22">
        <v>45063</v>
      </c>
      <c r="AO518" s="26">
        <f t="shared" ca="1" si="39"/>
        <v>0.65640477023280097</v>
      </c>
      <c r="AP518" s="29">
        <f t="shared" ca="1" si="87"/>
        <v>257</v>
      </c>
      <c r="AR518" s="22">
        <v>45063</v>
      </c>
      <c r="AS518" s="26">
        <f t="shared" ca="1" si="40"/>
        <v>0.59133715547371635</v>
      </c>
      <c r="AT518" s="29">
        <v>0</v>
      </c>
      <c r="AV518" s="22">
        <v>45063</v>
      </c>
      <c r="AW518" s="26">
        <f t="shared" ca="1" si="41"/>
        <v>0.52710752682580042</v>
      </c>
      <c r="AX518" s="29">
        <v>0</v>
      </c>
      <c r="AZ518" s="22">
        <v>45063</v>
      </c>
      <c r="BA518" s="26">
        <f t="shared" ca="1" si="42"/>
        <v>0.36698650213215256</v>
      </c>
      <c r="BB518" s="29">
        <v>0</v>
      </c>
      <c r="BC518"/>
      <c r="BD518" s="25"/>
      <c r="BF518" s="22">
        <v>45063</v>
      </c>
      <c r="BG518" s="26">
        <f t="shared" ca="1" si="43"/>
        <v>9.4273653060149898E-2</v>
      </c>
      <c r="BH518" s="29">
        <v>0</v>
      </c>
      <c r="BJ518" s="22">
        <v>45063</v>
      </c>
      <c r="BK518" s="26">
        <f t="shared" ca="1" si="44"/>
        <v>0.19094142880143161</v>
      </c>
      <c r="BL518" s="29">
        <v>0</v>
      </c>
      <c r="BN518" s="22">
        <v>45063</v>
      </c>
      <c r="BO518" s="26">
        <f t="shared" ca="1" si="45"/>
        <v>0.87639108679111033</v>
      </c>
      <c r="BP518" s="29">
        <v>0</v>
      </c>
      <c r="BR518" s="22">
        <v>45063</v>
      </c>
      <c r="BS518" s="26">
        <f t="shared" ca="1" si="46"/>
        <v>0.10246228086145992</v>
      </c>
      <c r="BT518" s="29">
        <v>0</v>
      </c>
      <c r="BV518" s="22">
        <v>45063</v>
      </c>
      <c r="BW518" s="26">
        <f t="shared" ca="1" si="47"/>
        <v>0.75758268212771185</v>
      </c>
      <c r="BX518" s="29">
        <v>0</v>
      </c>
    </row>
    <row r="519" spans="2:76" ht="12.75" x14ac:dyDescent="0.2">
      <c r="B519" s="22">
        <v>45064</v>
      </c>
      <c r="C519" s="26">
        <f t="shared" ca="1" si="68"/>
        <v>0.64386670539744728</v>
      </c>
      <c r="D519" s="29">
        <f t="shared" ca="1" si="77"/>
        <v>83</v>
      </c>
      <c r="F519" s="22">
        <v>45064</v>
      </c>
      <c r="G519" s="26">
        <f t="shared" ca="1" si="31"/>
        <v>0.79148080675104571</v>
      </c>
      <c r="H519" s="29">
        <f t="shared" ca="1" si="79"/>
        <v>228</v>
      </c>
      <c r="J519" s="22">
        <v>45064</v>
      </c>
      <c r="K519" s="26">
        <f t="shared" ca="1" si="32"/>
        <v>0.15128969687562654</v>
      </c>
      <c r="L519" s="29">
        <f t="shared" ca="1" si="80"/>
        <v>140</v>
      </c>
      <c r="N519" s="22">
        <v>45064</v>
      </c>
      <c r="O519" s="26">
        <f t="shared" ca="1" si="33"/>
        <v>0.62608948105334861</v>
      </c>
      <c r="P519" s="29">
        <f t="shared" ca="1" si="81"/>
        <v>235</v>
      </c>
      <c r="R519" s="22">
        <v>45064</v>
      </c>
      <c r="S519" s="26">
        <f t="shared" ca="1" si="34"/>
        <v>0.82971681051339341</v>
      </c>
      <c r="T519" s="29">
        <f t="shared" ca="1" si="82"/>
        <v>148</v>
      </c>
      <c r="V519" s="22">
        <v>45064</v>
      </c>
      <c r="W519" s="26">
        <f t="shared" ca="1" si="35"/>
        <v>0.2951868557709395</v>
      </c>
      <c r="X519" s="29">
        <f t="shared" ca="1" si="83"/>
        <v>217</v>
      </c>
      <c r="Z519" s="22">
        <v>45064</v>
      </c>
      <c r="AA519" s="26">
        <f t="shared" ca="1" si="36"/>
        <v>8.2090291659280279E-3</v>
      </c>
      <c r="AB519" s="29">
        <f t="shared" ca="1" si="84"/>
        <v>227</v>
      </c>
      <c r="AC519"/>
      <c r="AD519" s="25"/>
      <c r="AF519" s="22">
        <v>45064</v>
      </c>
      <c r="AG519" s="26">
        <f t="shared" ca="1" si="37"/>
        <v>0.41567823633451584</v>
      </c>
      <c r="AH519" s="29">
        <f t="shared" ca="1" si="85"/>
        <v>309</v>
      </c>
      <c r="AJ519" s="22">
        <v>45064</v>
      </c>
      <c r="AK519" s="26">
        <f t="shared" ca="1" si="38"/>
        <v>0.10220653566387039</v>
      </c>
      <c r="AL519" s="29">
        <f t="shared" ca="1" si="86"/>
        <v>113</v>
      </c>
      <c r="AN519" s="22">
        <v>45064</v>
      </c>
      <c r="AO519" s="26">
        <f t="shared" ca="1" si="39"/>
        <v>0.13644143117168561</v>
      </c>
      <c r="AP519" s="29">
        <f t="shared" ca="1" si="87"/>
        <v>165</v>
      </c>
      <c r="AR519" s="22">
        <v>45064</v>
      </c>
      <c r="AS519" s="26">
        <f t="shared" ca="1" si="40"/>
        <v>0.47833761611936798</v>
      </c>
      <c r="AT519" s="29">
        <v>0</v>
      </c>
      <c r="AV519" s="22">
        <v>45064</v>
      </c>
      <c r="AW519" s="26">
        <f t="shared" ca="1" si="41"/>
        <v>9.0665290702429457E-2</v>
      </c>
      <c r="AX519" s="29">
        <v>0</v>
      </c>
      <c r="AZ519" s="22">
        <v>45064</v>
      </c>
      <c r="BA519" s="26">
        <f t="shared" ca="1" si="42"/>
        <v>0.93426583053661871</v>
      </c>
      <c r="BB519" s="29">
        <v>0</v>
      </c>
      <c r="BC519"/>
      <c r="BD519" s="25"/>
      <c r="BF519" s="22">
        <v>45064</v>
      </c>
      <c r="BG519" s="26">
        <f t="shared" ca="1" si="43"/>
        <v>0.6553193643019366</v>
      </c>
      <c r="BH519" s="29">
        <v>0</v>
      </c>
      <c r="BJ519" s="22">
        <v>45064</v>
      </c>
      <c r="BK519" s="26">
        <f t="shared" ca="1" si="44"/>
        <v>9.0580500038031087E-2</v>
      </c>
      <c r="BL519" s="29">
        <v>0</v>
      </c>
      <c r="BN519" s="22">
        <v>45064</v>
      </c>
      <c r="BO519" s="26">
        <f t="shared" ca="1" si="45"/>
        <v>0.73634539813461841</v>
      </c>
      <c r="BP519" s="29">
        <v>0</v>
      </c>
      <c r="BR519" s="22">
        <v>45064</v>
      </c>
      <c r="BS519" s="26">
        <f t="shared" ca="1" si="46"/>
        <v>0.9587126204151265</v>
      </c>
      <c r="BT519" s="29">
        <v>0</v>
      </c>
      <c r="BV519" s="22">
        <v>45064</v>
      </c>
      <c r="BW519" s="26">
        <f t="shared" ca="1" si="47"/>
        <v>0.39909254630442648</v>
      </c>
      <c r="BX519" s="29">
        <v>0</v>
      </c>
    </row>
    <row r="520" spans="2:76" ht="12.75" x14ac:dyDescent="0.2">
      <c r="B520" s="22">
        <v>45065</v>
      </c>
      <c r="C520" s="26">
        <f t="shared" ca="1" si="68"/>
        <v>0.18326368380359437</v>
      </c>
      <c r="D520" s="29">
        <f t="shared" ca="1" si="77"/>
        <v>57</v>
      </c>
      <c r="F520" s="22">
        <v>45065</v>
      </c>
      <c r="G520" s="26">
        <f t="shared" ca="1" si="31"/>
        <v>0.94016810936113882</v>
      </c>
      <c r="H520" s="29">
        <f t="shared" ca="1" si="79"/>
        <v>238</v>
      </c>
      <c r="J520" s="22">
        <v>45065</v>
      </c>
      <c r="K520" s="26">
        <f t="shared" ca="1" si="32"/>
        <v>7.2108902263138264E-2</v>
      </c>
      <c r="L520" s="29">
        <f t="shared" ca="1" si="80"/>
        <v>136</v>
      </c>
      <c r="N520" s="22">
        <v>45065</v>
      </c>
      <c r="O520" s="26">
        <f t="shared" ca="1" si="33"/>
        <v>0.78573009787579606</v>
      </c>
      <c r="P520" s="29">
        <f t="shared" ca="1" si="81"/>
        <v>242</v>
      </c>
      <c r="R520" s="22">
        <v>45065</v>
      </c>
      <c r="S520" s="26">
        <f t="shared" ca="1" si="34"/>
        <v>0.18922735900058829</v>
      </c>
      <c r="T520" s="29">
        <f t="shared" ca="1" si="82"/>
        <v>131</v>
      </c>
      <c r="V520" s="22">
        <v>45065</v>
      </c>
      <c r="W520" s="26">
        <f t="shared" ca="1" si="35"/>
        <v>0.17581583857392047</v>
      </c>
      <c r="X520" s="29">
        <f t="shared" ca="1" si="83"/>
        <v>212</v>
      </c>
      <c r="Z520" s="22">
        <v>45065</v>
      </c>
      <c r="AA520" s="26">
        <f t="shared" ca="1" si="36"/>
        <v>0.87689207805897551</v>
      </c>
      <c r="AB520" s="29">
        <f t="shared" ca="1" si="84"/>
        <v>291</v>
      </c>
      <c r="AC520"/>
      <c r="AD520" s="25"/>
      <c r="AF520" s="22">
        <v>45065</v>
      </c>
      <c r="AG520" s="26">
        <f t="shared" ca="1" si="37"/>
        <v>0.56279796224269596</v>
      </c>
      <c r="AH520" s="29">
        <f t="shared" ca="1" si="85"/>
        <v>341</v>
      </c>
      <c r="AJ520" s="22">
        <v>45065</v>
      </c>
      <c r="AK520" s="26">
        <f t="shared" ca="1" si="38"/>
        <v>0.75203923067016809</v>
      </c>
      <c r="AL520" s="29">
        <f t="shared" ca="1" si="86"/>
        <v>202</v>
      </c>
      <c r="AN520" s="22">
        <v>45065</v>
      </c>
      <c r="AO520" s="26">
        <f t="shared" ca="1" si="39"/>
        <v>0.88840674093113225</v>
      </c>
      <c r="AP520" s="29">
        <f t="shared" ca="1" si="87"/>
        <v>308</v>
      </c>
      <c r="AR520" s="22">
        <v>45065</v>
      </c>
      <c r="AS520" s="26">
        <f t="shared" ca="1" si="40"/>
        <v>0.89106127355301112</v>
      </c>
      <c r="AT520" s="29">
        <v>0</v>
      </c>
      <c r="AV520" s="22">
        <v>45065</v>
      </c>
      <c r="AW520" s="26">
        <f t="shared" ca="1" si="41"/>
        <v>0.18494800948296231</v>
      </c>
      <c r="AX520" s="29">
        <v>0</v>
      </c>
      <c r="AZ520" s="22">
        <v>45065</v>
      </c>
      <c r="BA520" s="26">
        <f t="shared" ca="1" si="42"/>
        <v>0.71616835615304675</v>
      </c>
      <c r="BB520" s="29">
        <v>0</v>
      </c>
      <c r="BC520"/>
      <c r="BD520" s="25"/>
      <c r="BF520" s="22">
        <v>45065</v>
      </c>
      <c r="BG520" s="26">
        <f t="shared" ca="1" si="43"/>
        <v>0.35617616939283936</v>
      </c>
      <c r="BH520" s="29">
        <v>0</v>
      </c>
      <c r="BJ520" s="22">
        <v>45065</v>
      </c>
      <c r="BK520" s="26">
        <f t="shared" ca="1" si="44"/>
        <v>0.25514722766322773</v>
      </c>
      <c r="BL520" s="29">
        <v>0</v>
      </c>
      <c r="BN520" s="22">
        <v>45065</v>
      </c>
      <c r="BO520" s="26">
        <f t="shared" ca="1" si="45"/>
        <v>0.63485912675503731</v>
      </c>
      <c r="BP520" s="29">
        <v>0</v>
      </c>
      <c r="BR520" s="22">
        <v>45065</v>
      </c>
      <c r="BS520" s="26">
        <f t="shared" ca="1" si="46"/>
        <v>0.1877216938139521</v>
      </c>
      <c r="BT520" s="29">
        <v>0</v>
      </c>
      <c r="BV520" s="22">
        <v>45065</v>
      </c>
      <c r="BW520" s="26">
        <f t="shared" ca="1" si="47"/>
        <v>0.41548285820412789</v>
      </c>
      <c r="BX520" s="29">
        <v>0</v>
      </c>
    </row>
    <row r="521" spans="2:76" ht="12.75" x14ac:dyDescent="0.2">
      <c r="B521" s="22">
        <v>45066</v>
      </c>
      <c r="C521" s="26">
        <f t="shared" ca="1" si="68"/>
        <v>0.45895294282375754</v>
      </c>
      <c r="D521" s="29">
        <f t="shared" ca="1" si="77"/>
        <v>73</v>
      </c>
      <c r="F521" s="22">
        <v>45066</v>
      </c>
      <c r="G521" s="26">
        <f t="shared" ca="1" si="31"/>
        <v>0.86292460428934581</v>
      </c>
      <c r="H521" s="29">
        <f t="shared" ca="1" si="79"/>
        <v>232</v>
      </c>
      <c r="J521" s="22">
        <v>45066</v>
      </c>
      <c r="K521" s="26">
        <f t="shared" ca="1" si="32"/>
        <v>0.29739988676395823</v>
      </c>
      <c r="L521" s="29">
        <f t="shared" ca="1" si="80"/>
        <v>145</v>
      </c>
      <c r="N521" s="22">
        <v>45066</v>
      </c>
      <c r="O521" s="26">
        <f t="shared" ca="1" si="33"/>
        <v>0.53930026035269685</v>
      </c>
      <c r="P521" s="29">
        <f t="shared" ca="1" si="81"/>
        <v>231</v>
      </c>
      <c r="R521" s="22">
        <v>45066</v>
      </c>
      <c r="S521" s="26">
        <f t="shared" ca="1" si="34"/>
        <v>0.95396702704977565</v>
      </c>
      <c r="T521" s="29">
        <f t="shared" ca="1" si="82"/>
        <v>155</v>
      </c>
      <c r="V521" s="22">
        <v>45066</v>
      </c>
      <c r="W521" s="26">
        <f t="shared" ca="1" si="35"/>
        <v>0.82401302864260095</v>
      </c>
      <c r="X521" s="29">
        <f t="shared" ca="1" si="83"/>
        <v>239</v>
      </c>
      <c r="Z521" s="22">
        <v>45066</v>
      </c>
      <c r="AA521" s="26">
        <f t="shared" ca="1" si="36"/>
        <v>0.27869244160132778</v>
      </c>
      <c r="AB521" s="29">
        <f t="shared" ca="1" si="84"/>
        <v>260</v>
      </c>
      <c r="AC521"/>
      <c r="AD521" s="25"/>
      <c r="AF521" s="22">
        <v>45066</v>
      </c>
      <c r="AG521" s="26">
        <f t="shared" ca="1" si="37"/>
        <v>0.44217750982145987</v>
      </c>
      <c r="AH521" s="29">
        <f t="shared" ca="1" si="85"/>
        <v>315</v>
      </c>
      <c r="AJ521" s="22">
        <v>45066</v>
      </c>
      <c r="AK521" s="26">
        <f t="shared" ca="1" si="38"/>
        <v>0.66827398442708619</v>
      </c>
      <c r="AL521" s="29">
        <f t="shared" ca="1" si="86"/>
        <v>191</v>
      </c>
      <c r="AN521" s="22">
        <v>45066</v>
      </c>
      <c r="AO521" s="26">
        <f t="shared" ca="1" si="39"/>
        <v>0.97715908798281481</v>
      </c>
      <c r="AP521" s="29">
        <f t="shared" ca="1" si="87"/>
        <v>356</v>
      </c>
      <c r="AR521" s="22">
        <v>45066</v>
      </c>
      <c r="AS521" s="26">
        <f t="shared" ca="1" si="40"/>
        <v>0.43619701195252991</v>
      </c>
      <c r="AT521" s="29">
        <v>0</v>
      </c>
      <c r="AV521" s="22">
        <v>45066</v>
      </c>
      <c r="AW521" s="26">
        <f t="shared" ca="1" si="41"/>
        <v>0.90230232026940327</v>
      </c>
      <c r="AX521" s="29">
        <v>0</v>
      </c>
      <c r="AZ521" s="22">
        <v>45066</v>
      </c>
      <c r="BA521" s="26">
        <f t="shared" ca="1" si="42"/>
        <v>0.19396117267705615</v>
      </c>
      <c r="BB521" s="29">
        <v>0</v>
      </c>
      <c r="BC521"/>
      <c r="BD521" s="25"/>
      <c r="BF521" s="22">
        <v>45066</v>
      </c>
      <c r="BG521" s="26">
        <f t="shared" ca="1" si="43"/>
        <v>0.64052738364283468</v>
      </c>
      <c r="BH521" s="29">
        <v>0</v>
      </c>
      <c r="BJ521" s="22">
        <v>45066</v>
      </c>
      <c r="BK521" s="26">
        <f t="shared" ca="1" si="44"/>
        <v>0.10083697319601304</v>
      </c>
      <c r="BL521" s="29">
        <v>0</v>
      </c>
      <c r="BN521" s="22">
        <v>45066</v>
      </c>
      <c r="BO521" s="26">
        <f t="shared" ca="1" si="45"/>
        <v>0.26455988574722888</v>
      </c>
      <c r="BP521" s="29">
        <v>0</v>
      </c>
      <c r="BR521" s="22">
        <v>45066</v>
      </c>
      <c r="BS521" s="26">
        <f t="shared" ca="1" si="46"/>
        <v>0.15703674893659059</v>
      </c>
      <c r="BT521" s="29">
        <v>0</v>
      </c>
      <c r="BV521" s="22">
        <v>45066</v>
      </c>
      <c r="BW521" s="26">
        <f t="shared" ca="1" si="47"/>
        <v>0.53593822865239238</v>
      </c>
      <c r="BX521" s="29">
        <v>0</v>
      </c>
    </row>
    <row r="522" spans="2:76" ht="12.75" x14ac:dyDescent="0.2">
      <c r="B522" s="22">
        <v>45067</v>
      </c>
      <c r="C522" s="26">
        <f t="shared" ca="1" si="68"/>
        <v>0.56048223141170161</v>
      </c>
      <c r="D522" s="29">
        <f t="shared" ca="1" si="77"/>
        <v>79</v>
      </c>
      <c r="F522" s="22">
        <v>45067</v>
      </c>
      <c r="G522" s="26">
        <f t="shared" ca="1" si="31"/>
        <v>0.84159899070683852</v>
      </c>
      <c r="H522" s="29">
        <f t="shared" ca="1" si="79"/>
        <v>230</v>
      </c>
      <c r="J522" s="22">
        <v>45067</v>
      </c>
      <c r="K522" s="26">
        <f t="shared" ca="1" si="32"/>
        <v>0.43939870827793814</v>
      </c>
      <c r="L522" s="29">
        <f t="shared" ca="1" si="80"/>
        <v>149</v>
      </c>
      <c r="N522" s="22">
        <v>45067</v>
      </c>
      <c r="O522" s="26">
        <f t="shared" ca="1" si="33"/>
        <v>0.43457012127870298</v>
      </c>
      <c r="P522" s="29">
        <f t="shared" ca="1" si="81"/>
        <v>227</v>
      </c>
      <c r="R522" s="22">
        <v>45067</v>
      </c>
      <c r="S522" s="26">
        <f t="shared" ca="1" si="34"/>
        <v>0.95524834372487666</v>
      </c>
      <c r="T522" s="29">
        <f t="shared" ca="1" si="82"/>
        <v>155</v>
      </c>
      <c r="V522" s="22">
        <v>45067</v>
      </c>
      <c r="W522" s="26">
        <f t="shared" ca="1" si="35"/>
        <v>0.2988161275254565</v>
      </c>
      <c r="X522" s="29">
        <f t="shared" ca="1" si="83"/>
        <v>218</v>
      </c>
      <c r="Z522" s="22">
        <v>45067</v>
      </c>
      <c r="AA522" s="26">
        <f t="shared" ca="1" si="36"/>
        <v>0.82338129039278873</v>
      </c>
      <c r="AB522" s="29">
        <f t="shared" ca="1" si="84"/>
        <v>287</v>
      </c>
      <c r="AC522"/>
      <c r="AD522" s="25"/>
      <c r="AF522" s="22">
        <v>45067</v>
      </c>
      <c r="AG522" s="26">
        <f t="shared" ca="1" si="37"/>
        <v>0.19267341683905792</v>
      </c>
      <c r="AH522" s="29">
        <f t="shared" ca="1" si="85"/>
        <v>252</v>
      </c>
      <c r="AJ522" s="22">
        <v>45067</v>
      </c>
      <c r="AK522" s="26">
        <f t="shared" ca="1" si="38"/>
        <v>0.64633479015620232</v>
      </c>
      <c r="AL522" s="29">
        <f t="shared" ca="1" si="86"/>
        <v>188</v>
      </c>
      <c r="AN522" s="22">
        <v>45067</v>
      </c>
      <c r="AO522" s="26">
        <f t="shared" ca="1" si="39"/>
        <v>0.72404386288722566</v>
      </c>
      <c r="AP522" s="29">
        <f t="shared" ca="1" si="87"/>
        <v>269</v>
      </c>
      <c r="AR522" s="22">
        <v>45067</v>
      </c>
      <c r="AS522" s="26">
        <f t="shared" ca="1" si="40"/>
        <v>0.74885447316209497</v>
      </c>
      <c r="AT522" s="29">
        <v>0</v>
      </c>
      <c r="AV522" s="22">
        <v>45067</v>
      </c>
      <c r="AW522" s="26">
        <f t="shared" ca="1" si="41"/>
        <v>0.75242046244008609</v>
      </c>
      <c r="AX522" s="29">
        <v>0</v>
      </c>
      <c r="AZ522" s="22">
        <v>45067</v>
      </c>
      <c r="BA522" s="26">
        <f t="shared" ca="1" si="42"/>
        <v>0.70147043330363379</v>
      </c>
      <c r="BB522" s="29">
        <v>0</v>
      </c>
      <c r="BC522"/>
      <c r="BD522" s="25"/>
      <c r="BF522" s="22">
        <v>45067</v>
      </c>
      <c r="BG522" s="26">
        <f t="shared" ca="1" si="43"/>
        <v>0.48130071759904358</v>
      </c>
      <c r="BH522" s="29">
        <v>0</v>
      </c>
      <c r="BJ522" s="22">
        <v>45067</v>
      </c>
      <c r="BK522" s="26">
        <f t="shared" ca="1" si="44"/>
        <v>0.60139575374630727</v>
      </c>
      <c r="BL522" s="29">
        <v>0</v>
      </c>
      <c r="BN522" s="22">
        <v>45067</v>
      </c>
      <c r="BO522" s="26">
        <f t="shared" ca="1" si="45"/>
        <v>0.63810144287833426</v>
      </c>
      <c r="BP522" s="29">
        <v>0</v>
      </c>
      <c r="BR522" s="22">
        <v>45067</v>
      </c>
      <c r="BS522" s="26">
        <f t="shared" ca="1" si="46"/>
        <v>0.34940152299439409</v>
      </c>
      <c r="BT522" s="29">
        <v>0</v>
      </c>
      <c r="BV522" s="22">
        <v>45067</v>
      </c>
      <c r="BW522" s="26">
        <f t="shared" ca="1" si="47"/>
        <v>0.63170073782975511</v>
      </c>
      <c r="BX522" s="29">
        <v>0</v>
      </c>
    </row>
    <row r="523" spans="2:76" ht="12.75" x14ac:dyDescent="0.2">
      <c r="B523" s="22">
        <v>45068</v>
      </c>
      <c r="C523" s="26">
        <f t="shared" ca="1" si="68"/>
        <v>0.73419084737313312</v>
      </c>
      <c r="D523" s="29">
        <f t="shared" ca="1" si="77"/>
        <v>88</v>
      </c>
      <c r="F523" s="22">
        <v>45068</v>
      </c>
      <c r="G523" s="26">
        <f t="shared" ca="1" si="31"/>
        <v>0.90547434698330387</v>
      </c>
      <c r="H523" s="29">
        <f t="shared" ca="1" si="79"/>
        <v>235</v>
      </c>
      <c r="J523" s="22">
        <v>45068</v>
      </c>
      <c r="K523" s="26">
        <f t="shared" ca="1" si="32"/>
        <v>0.13061035034245772</v>
      </c>
      <c r="L523" s="29">
        <f t="shared" ca="1" si="80"/>
        <v>139</v>
      </c>
      <c r="N523" s="22">
        <v>45068</v>
      </c>
      <c r="O523" s="26">
        <f t="shared" ca="1" si="33"/>
        <v>0.69379110373299102</v>
      </c>
      <c r="P523" s="29">
        <f t="shared" ca="1" si="81"/>
        <v>238</v>
      </c>
      <c r="R523" s="22">
        <v>45068</v>
      </c>
      <c r="S523" s="26">
        <f t="shared" ca="1" si="34"/>
        <v>0.64029008632768125</v>
      </c>
      <c r="T523" s="29">
        <f t="shared" ca="1" si="82"/>
        <v>143</v>
      </c>
      <c r="V523" s="22">
        <v>45068</v>
      </c>
      <c r="W523" s="26">
        <f t="shared" ca="1" si="35"/>
        <v>0.85225886327616052</v>
      </c>
      <c r="X523" s="29">
        <f t="shared" ca="1" si="83"/>
        <v>241</v>
      </c>
      <c r="Z523" s="22">
        <v>45068</v>
      </c>
      <c r="AA523" s="26">
        <f t="shared" ca="1" si="36"/>
        <v>2.3862635833589829E-2</v>
      </c>
      <c r="AB523" s="29">
        <f t="shared" ca="1" si="84"/>
        <v>235</v>
      </c>
      <c r="AC523"/>
      <c r="AD523" s="25"/>
      <c r="AF523" s="22">
        <v>45068</v>
      </c>
      <c r="AG523" s="26">
        <f t="shared" ca="1" si="37"/>
        <v>0.42177650466935412</v>
      </c>
      <c r="AH523" s="29">
        <f t="shared" ca="1" si="85"/>
        <v>310</v>
      </c>
      <c r="AJ523" s="22">
        <v>45068</v>
      </c>
      <c r="AK523" s="26">
        <f t="shared" ca="1" si="38"/>
        <v>0.54361622963908596</v>
      </c>
      <c r="AL523" s="29">
        <f t="shared" ca="1" si="86"/>
        <v>176</v>
      </c>
      <c r="AN523" s="22">
        <v>45068</v>
      </c>
      <c r="AO523" s="26">
        <f t="shared" ca="1" si="39"/>
        <v>7.0247934378943722E-2</v>
      </c>
      <c r="AP523" s="29">
        <f t="shared" ca="1" si="87"/>
        <v>141</v>
      </c>
      <c r="AR523" s="22">
        <v>45068</v>
      </c>
      <c r="AS523" s="26">
        <f t="shared" ca="1" si="40"/>
        <v>0.22539729893256666</v>
      </c>
      <c r="AT523" s="29">
        <v>0</v>
      </c>
      <c r="AV523" s="22">
        <v>45068</v>
      </c>
      <c r="AW523" s="26">
        <f t="shared" ca="1" si="41"/>
        <v>0.98879525654538458</v>
      </c>
      <c r="AX523" s="29">
        <v>0</v>
      </c>
      <c r="AZ523" s="22">
        <v>45068</v>
      </c>
      <c r="BA523" s="26">
        <f t="shared" ca="1" si="42"/>
        <v>0.41827642128467579</v>
      </c>
      <c r="BB523" s="29">
        <v>0</v>
      </c>
      <c r="BC523"/>
      <c r="BD523" s="25"/>
      <c r="BF523" s="22">
        <v>45068</v>
      </c>
      <c r="BG523" s="26">
        <f t="shared" ca="1" si="43"/>
        <v>0.55708919017066771</v>
      </c>
      <c r="BH523" s="29">
        <v>0</v>
      </c>
      <c r="BJ523" s="22">
        <v>45068</v>
      </c>
      <c r="BK523" s="26">
        <f t="shared" ca="1" si="44"/>
        <v>0.37610094490703783</v>
      </c>
      <c r="BL523" s="29">
        <v>0</v>
      </c>
      <c r="BN523" s="22">
        <v>45068</v>
      </c>
      <c r="BO523" s="26">
        <f t="shared" ca="1" si="45"/>
        <v>0.92944545897790332</v>
      </c>
      <c r="BP523" s="29">
        <v>0</v>
      </c>
      <c r="BR523" s="22">
        <v>45068</v>
      </c>
      <c r="BS523" s="26">
        <f t="shared" ca="1" si="46"/>
        <v>0.64095890458788252</v>
      </c>
      <c r="BT523" s="29">
        <v>0</v>
      </c>
      <c r="BV523" s="22">
        <v>45068</v>
      </c>
      <c r="BW523" s="26">
        <f t="shared" ca="1" si="47"/>
        <v>0.53268250690496888</v>
      </c>
      <c r="BX523" s="29">
        <v>0</v>
      </c>
    </row>
    <row r="524" spans="2:76" ht="12.75" x14ac:dyDescent="0.2">
      <c r="B524" s="22">
        <v>45069</v>
      </c>
      <c r="C524" s="26">
        <f t="shared" ca="1" si="68"/>
        <v>0.58241797396853745</v>
      </c>
      <c r="D524" s="29">
        <f t="shared" ca="1" si="77"/>
        <v>80</v>
      </c>
      <c r="F524" s="22">
        <v>45069</v>
      </c>
      <c r="G524" s="26">
        <f t="shared" ca="1" si="31"/>
        <v>0.90089462171724144</v>
      </c>
      <c r="H524" s="29">
        <f t="shared" ca="1" si="79"/>
        <v>234</v>
      </c>
      <c r="J524" s="22">
        <v>45069</v>
      </c>
      <c r="K524" s="26">
        <f t="shared" ca="1" si="32"/>
        <v>0.90935476218955869</v>
      </c>
      <c r="L524" s="29">
        <f t="shared" ca="1" si="80"/>
        <v>164</v>
      </c>
      <c r="N524" s="22">
        <v>45069</v>
      </c>
      <c r="O524" s="26">
        <f t="shared" ca="1" si="33"/>
        <v>0.95312829292035717</v>
      </c>
      <c r="P524" s="29">
        <f t="shared" ca="1" si="81"/>
        <v>255</v>
      </c>
      <c r="R524" s="22">
        <v>45069</v>
      </c>
      <c r="S524" s="26">
        <f t="shared" ca="1" si="34"/>
        <v>0.16501618747312474</v>
      </c>
      <c r="T524" s="29">
        <f t="shared" ca="1" si="82"/>
        <v>130</v>
      </c>
      <c r="V524" s="22">
        <v>45069</v>
      </c>
      <c r="W524" s="26">
        <f t="shared" ca="1" si="35"/>
        <v>0.89786286856191877</v>
      </c>
      <c r="X524" s="29">
        <f t="shared" ca="1" si="83"/>
        <v>245</v>
      </c>
      <c r="Z524" s="22">
        <v>45069</v>
      </c>
      <c r="AA524" s="26">
        <f t="shared" ca="1" si="36"/>
        <v>0.8548097753947187</v>
      </c>
      <c r="AB524" s="29">
        <f t="shared" ca="1" si="84"/>
        <v>290</v>
      </c>
      <c r="AC524"/>
      <c r="AD524" s="25"/>
      <c r="AF524" s="22">
        <v>45069</v>
      </c>
      <c r="AG524" s="26">
        <f t="shared" ca="1" si="37"/>
        <v>0.89350177276161324</v>
      </c>
      <c r="AH524" s="29">
        <f t="shared" ca="1" si="85"/>
        <v>436</v>
      </c>
      <c r="AJ524" s="22">
        <v>45069</v>
      </c>
      <c r="AK524" s="26">
        <f t="shared" ca="1" si="38"/>
        <v>0.19732902271179953</v>
      </c>
      <c r="AL524" s="29">
        <f t="shared" ca="1" si="86"/>
        <v>132</v>
      </c>
      <c r="AN524" s="22">
        <v>45069</v>
      </c>
      <c r="AO524" s="26">
        <f t="shared" ca="1" si="39"/>
        <v>0.59871358213925485</v>
      </c>
      <c r="AP524" s="29">
        <f t="shared" ca="1" si="87"/>
        <v>248</v>
      </c>
      <c r="AR524" s="22">
        <v>45069</v>
      </c>
      <c r="AS524" s="26">
        <f t="shared" ca="1" si="40"/>
        <v>0.82912043639608846</v>
      </c>
      <c r="AT524" s="29">
        <v>0</v>
      </c>
      <c r="AV524" s="22">
        <v>45069</v>
      </c>
      <c r="AW524" s="26">
        <f t="shared" ca="1" si="41"/>
        <v>0.74864708887391329</v>
      </c>
      <c r="AX524" s="29">
        <v>0</v>
      </c>
      <c r="AZ524" s="22">
        <v>45069</v>
      </c>
      <c r="BA524" s="26">
        <f t="shared" ca="1" si="42"/>
        <v>0.37020587193496846</v>
      </c>
      <c r="BB524" s="29">
        <v>0</v>
      </c>
      <c r="BC524"/>
      <c r="BD524" s="25"/>
      <c r="BF524" s="22">
        <v>45069</v>
      </c>
      <c r="BG524" s="26">
        <f t="shared" ca="1" si="43"/>
        <v>0.17370587596322085</v>
      </c>
      <c r="BH524" s="29">
        <v>0</v>
      </c>
      <c r="BJ524" s="22">
        <v>45069</v>
      </c>
      <c r="BK524" s="26">
        <f t="shared" ca="1" si="44"/>
        <v>0.23210073737026504</v>
      </c>
      <c r="BL524" s="29">
        <v>0</v>
      </c>
      <c r="BN524" s="22">
        <v>45069</v>
      </c>
      <c r="BO524" s="26">
        <f t="shared" ca="1" si="45"/>
        <v>0.53037759495582437</v>
      </c>
      <c r="BP524" s="29">
        <v>0</v>
      </c>
      <c r="BR524" s="22">
        <v>45069</v>
      </c>
      <c r="BS524" s="26">
        <f t="shared" ca="1" si="46"/>
        <v>0.77534431446912022</v>
      </c>
      <c r="BT524" s="29">
        <v>0</v>
      </c>
      <c r="BV524" s="22">
        <v>45069</v>
      </c>
      <c r="BW524" s="26">
        <f t="shared" ca="1" si="47"/>
        <v>4.1988300753477259E-2</v>
      </c>
      <c r="BX524" s="29">
        <v>0</v>
      </c>
    </row>
    <row r="525" spans="2:76" ht="12.75" x14ac:dyDescent="0.2">
      <c r="B525" s="22">
        <v>45070</v>
      </c>
      <c r="C525" s="26">
        <f t="shared" ca="1" si="68"/>
        <v>0.34638597902958379</v>
      </c>
      <c r="D525" s="29">
        <f t="shared" ca="1" si="77"/>
        <v>68</v>
      </c>
      <c r="F525" s="22">
        <v>45070</v>
      </c>
      <c r="G525" s="26">
        <f t="shared" ca="1" si="31"/>
        <v>0.32842242755807061</v>
      </c>
      <c r="H525" s="29">
        <f t="shared" ca="1" si="79"/>
        <v>210</v>
      </c>
      <c r="J525" s="22">
        <v>45070</v>
      </c>
      <c r="K525" s="26">
        <f t="shared" ca="1" si="32"/>
        <v>0.61971316885895944</v>
      </c>
      <c r="L525" s="29">
        <f t="shared" ca="1" si="80"/>
        <v>154</v>
      </c>
      <c r="N525" s="22">
        <v>45070</v>
      </c>
      <c r="O525" s="26">
        <f t="shared" ca="1" si="33"/>
        <v>0.36854527326508568</v>
      </c>
      <c r="P525" s="29">
        <f t="shared" ca="1" si="81"/>
        <v>225</v>
      </c>
      <c r="R525" s="22">
        <v>45070</v>
      </c>
      <c r="S525" s="26">
        <f t="shared" ca="1" si="34"/>
        <v>0.99263318403578205</v>
      </c>
      <c r="T525" s="29">
        <f t="shared" ca="1" si="82"/>
        <v>162</v>
      </c>
      <c r="V525" s="22">
        <v>45070</v>
      </c>
      <c r="W525" s="26">
        <f t="shared" ca="1" si="35"/>
        <v>0.16416975505689158</v>
      </c>
      <c r="X525" s="29">
        <f t="shared" ca="1" si="83"/>
        <v>211</v>
      </c>
      <c r="Z525" s="22">
        <v>45070</v>
      </c>
      <c r="AA525" s="26">
        <f t="shared" ca="1" si="36"/>
        <v>0.34875149534609984</v>
      </c>
      <c r="AB525" s="29">
        <f t="shared" ca="1" si="84"/>
        <v>264</v>
      </c>
      <c r="AC525"/>
      <c r="AD525" s="25"/>
      <c r="AF525" s="22">
        <v>45070</v>
      </c>
      <c r="AG525" s="26">
        <f t="shared" ca="1" si="37"/>
        <v>0.65776074214760472</v>
      </c>
      <c r="AH525" s="29">
        <f t="shared" ca="1" si="85"/>
        <v>363</v>
      </c>
      <c r="AJ525" s="22">
        <v>45070</v>
      </c>
      <c r="AK525" s="26">
        <f t="shared" ca="1" si="38"/>
        <v>0.27935681805888768</v>
      </c>
      <c r="AL525" s="29">
        <f t="shared" ca="1" si="86"/>
        <v>144</v>
      </c>
      <c r="AN525" s="22">
        <v>45070</v>
      </c>
      <c r="AO525" s="26">
        <f t="shared" ca="1" si="39"/>
        <v>0.16391702117363716</v>
      </c>
      <c r="AP525" s="29">
        <f t="shared" ca="1" si="87"/>
        <v>172</v>
      </c>
      <c r="AR525" s="22">
        <v>45070</v>
      </c>
      <c r="AS525" s="26">
        <f t="shared" ca="1" si="40"/>
        <v>0.53199908852794575</v>
      </c>
      <c r="AT525" s="29">
        <v>0</v>
      </c>
      <c r="AV525" s="22">
        <v>45070</v>
      </c>
      <c r="AW525" s="26">
        <f t="shared" ca="1" si="41"/>
        <v>0.39128952308433262</v>
      </c>
      <c r="AX525" s="29">
        <v>0</v>
      </c>
      <c r="AZ525" s="22">
        <v>45070</v>
      </c>
      <c r="BA525" s="26">
        <f t="shared" ca="1" si="42"/>
        <v>0.11879182000911837</v>
      </c>
      <c r="BB525" s="29">
        <v>0</v>
      </c>
      <c r="BC525"/>
      <c r="BD525" s="25"/>
      <c r="BF525" s="22">
        <v>45070</v>
      </c>
      <c r="BG525" s="26">
        <f t="shared" ca="1" si="43"/>
        <v>0.4221671929478571</v>
      </c>
      <c r="BH525" s="29">
        <v>0</v>
      </c>
      <c r="BJ525" s="22">
        <v>45070</v>
      </c>
      <c r="BK525" s="26">
        <f t="shared" ca="1" si="44"/>
        <v>0.51774081941483274</v>
      </c>
      <c r="BL525" s="29">
        <v>0</v>
      </c>
      <c r="BN525" s="22">
        <v>45070</v>
      </c>
      <c r="BO525" s="26">
        <f t="shared" ca="1" si="45"/>
        <v>0.69547495918672542</v>
      </c>
      <c r="BP525" s="29">
        <v>0</v>
      </c>
      <c r="BR525" s="22">
        <v>45070</v>
      </c>
      <c r="BS525" s="26">
        <f t="shared" ca="1" si="46"/>
        <v>0.36292727578290296</v>
      </c>
      <c r="BT525" s="29">
        <v>0</v>
      </c>
      <c r="BV525" s="22">
        <v>45070</v>
      </c>
      <c r="BW525" s="26">
        <f t="shared" ca="1" si="47"/>
        <v>0.31523941621543738</v>
      </c>
      <c r="BX525" s="29">
        <v>0</v>
      </c>
    </row>
    <row r="526" spans="2:76" ht="12.75" x14ac:dyDescent="0.2">
      <c r="B526" s="22">
        <v>45071</v>
      </c>
      <c r="C526" s="26">
        <f t="shared" ca="1" si="68"/>
        <v>0.4112209715512829</v>
      </c>
      <c r="D526" s="29">
        <f t="shared" ca="1" si="77"/>
        <v>71</v>
      </c>
      <c r="F526" s="22">
        <v>45071</v>
      </c>
      <c r="G526" s="26">
        <f t="shared" ca="1" si="31"/>
        <v>0.80049331865311324</v>
      </c>
      <c r="H526" s="29">
        <f t="shared" ca="1" si="79"/>
        <v>228</v>
      </c>
      <c r="J526" s="22">
        <v>45071</v>
      </c>
      <c r="K526" s="26">
        <f t="shared" ca="1" si="32"/>
        <v>0.20973112924334347</v>
      </c>
      <c r="L526" s="29">
        <f t="shared" ca="1" si="80"/>
        <v>142</v>
      </c>
      <c r="N526" s="22">
        <v>45071</v>
      </c>
      <c r="O526" s="26">
        <f t="shared" ca="1" si="33"/>
        <v>0.94521119908727613</v>
      </c>
      <c r="P526" s="29">
        <f t="shared" ca="1" si="81"/>
        <v>254</v>
      </c>
      <c r="R526" s="22">
        <v>45071</v>
      </c>
      <c r="S526" s="26">
        <f t="shared" ca="1" si="34"/>
        <v>0.45260029636577559</v>
      </c>
      <c r="T526" s="29">
        <f t="shared" ca="1" si="82"/>
        <v>138</v>
      </c>
      <c r="V526" s="22">
        <v>45071</v>
      </c>
      <c r="W526" s="26">
        <f t="shared" ca="1" si="35"/>
        <v>0.93467622632212211</v>
      </c>
      <c r="X526" s="29">
        <f t="shared" ca="1" si="83"/>
        <v>248</v>
      </c>
      <c r="Z526" s="22">
        <v>45071</v>
      </c>
      <c r="AA526" s="26">
        <f t="shared" ca="1" si="36"/>
        <v>0.9932058374730417</v>
      </c>
      <c r="AB526" s="29">
        <f t="shared" ca="1" si="84"/>
        <v>315</v>
      </c>
      <c r="AC526"/>
      <c r="AD526" s="25"/>
      <c r="AF526" s="22">
        <v>45071</v>
      </c>
      <c r="AG526" s="26">
        <f t="shared" ca="1" si="37"/>
        <v>0.32384061309360912</v>
      </c>
      <c r="AH526" s="29">
        <f t="shared" ca="1" si="85"/>
        <v>288</v>
      </c>
      <c r="AJ526" s="22">
        <v>45071</v>
      </c>
      <c r="AK526" s="26">
        <f t="shared" ca="1" si="38"/>
        <v>0.27209610392807293</v>
      </c>
      <c r="AL526" s="29">
        <f t="shared" ca="1" si="86"/>
        <v>143</v>
      </c>
      <c r="AN526" s="22">
        <v>45071</v>
      </c>
      <c r="AO526" s="26">
        <f t="shared" ca="1" si="39"/>
        <v>0.79246820730514222</v>
      </c>
      <c r="AP526" s="29">
        <f t="shared" ca="1" si="87"/>
        <v>283</v>
      </c>
      <c r="AR526" s="22">
        <v>45071</v>
      </c>
      <c r="AS526" s="26">
        <f t="shared" ca="1" si="40"/>
        <v>0.24452057487343082</v>
      </c>
      <c r="AT526" s="29">
        <v>0</v>
      </c>
      <c r="AV526" s="22">
        <v>45071</v>
      </c>
      <c r="AW526" s="26">
        <f t="shared" ca="1" si="41"/>
        <v>0.42193740507987887</v>
      </c>
      <c r="AX526" s="29">
        <v>0</v>
      </c>
      <c r="AZ526" s="22">
        <v>45071</v>
      </c>
      <c r="BA526" s="26">
        <f t="shared" ca="1" si="42"/>
        <v>0.41571467723173183</v>
      </c>
      <c r="BB526" s="29">
        <v>0</v>
      </c>
      <c r="BC526"/>
      <c r="BD526" s="25"/>
      <c r="BF526" s="22">
        <v>45071</v>
      </c>
      <c r="BG526" s="26">
        <f t="shared" ca="1" si="43"/>
        <v>0.34544613096474297</v>
      </c>
      <c r="BH526" s="29">
        <v>0</v>
      </c>
      <c r="BJ526" s="22">
        <v>45071</v>
      </c>
      <c r="BK526" s="26">
        <f t="shared" ca="1" si="44"/>
        <v>0.82055721368810119</v>
      </c>
      <c r="BL526" s="29">
        <v>0</v>
      </c>
      <c r="BN526" s="22">
        <v>45071</v>
      </c>
      <c r="BO526" s="26">
        <f t="shared" ca="1" si="45"/>
        <v>6.052919493608333E-2</v>
      </c>
      <c r="BP526" s="29">
        <v>0</v>
      </c>
      <c r="BR526" s="22">
        <v>45071</v>
      </c>
      <c r="BS526" s="26">
        <f t="shared" ca="1" si="46"/>
        <v>0.51624578107301689</v>
      </c>
      <c r="BT526" s="29">
        <v>0</v>
      </c>
      <c r="BV526" s="22">
        <v>45071</v>
      </c>
      <c r="BW526" s="26">
        <f t="shared" ca="1" si="47"/>
        <v>3.5086873817212982E-2</v>
      </c>
      <c r="BX526" s="29">
        <v>0</v>
      </c>
    </row>
    <row r="527" spans="2:76" ht="12.75" x14ac:dyDescent="0.2">
      <c r="B527" s="22">
        <v>45072</v>
      </c>
      <c r="C527" s="26">
        <f t="shared" ca="1" si="68"/>
        <v>0.7484078722880152</v>
      </c>
      <c r="D527" s="29">
        <f t="shared" ca="1" si="77"/>
        <v>89</v>
      </c>
      <c r="F527" s="22">
        <v>45072</v>
      </c>
      <c r="G527" s="26">
        <f t="shared" ref="G527:G737" ca="1" si="88">RAND()</f>
        <v>0.66162796975992377</v>
      </c>
      <c r="H527" s="29">
        <f t="shared" ca="1" si="79"/>
        <v>222</v>
      </c>
      <c r="J527" s="22">
        <v>45072</v>
      </c>
      <c r="K527" s="26">
        <f t="shared" ref="K527:K737" ca="1" si="89">RAND()</f>
        <v>0.78490893470403134</v>
      </c>
      <c r="L527" s="29">
        <f t="shared" ca="1" si="80"/>
        <v>158</v>
      </c>
      <c r="N527" s="22">
        <v>45072</v>
      </c>
      <c r="O527" s="26">
        <f t="shared" ref="O527:O737" ca="1" si="90">RAND()</f>
        <v>0.27529085328449454</v>
      </c>
      <c r="P527" s="29">
        <f t="shared" ca="1" si="81"/>
        <v>221</v>
      </c>
      <c r="R527" s="22">
        <v>45072</v>
      </c>
      <c r="S527" s="26">
        <f t="shared" ref="S527:S737" ca="1" si="91">RAND()</f>
        <v>0.4684271755221241</v>
      </c>
      <c r="T527" s="29">
        <f t="shared" ca="1" si="82"/>
        <v>139</v>
      </c>
      <c r="V527" s="22">
        <v>45072</v>
      </c>
      <c r="W527" s="26">
        <f t="shared" ref="W527:W737" ca="1" si="92">RAND()</f>
        <v>5.2095963181008842E-2</v>
      </c>
      <c r="X527" s="29">
        <f t="shared" ca="1" si="83"/>
        <v>201</v>
      </c>
      <c r="Z527" s="22">
        <v>45072</v>
      </c>
      <c r="AA527" s="26">
        <f t="shared" ref="AA527:AA737" ca="1" si="93">RAND()</f>
        <v>0.39940032394621194</v>
      </c>
      <c r="AB527" s="29">
        <f t="shared" ca="1" si="84"/>
        <v>266</v>
      </c>
      <c r="AC527"/>
      <c r="AD527" s="25"/>
      <c r="AF527" s="22">
        <v>45072</v>
      </c>
      <c r="AG527" s="26">
        <f t="shared" ref="AG527:AG737" ca="1" si="94">RAND()</f>
        <v>0.22469388547031022</v>
      </c>
      <c r="AH527" s="29">
        <f t="shared" ca="1" si="85"/>
        <v>262</v>
      </c>
      <c r="AJ527" s="22">
        <v>45072</v>
      </c>
      <c r="AK527" s="26">
        <f t="shared" ref="AK527:AK737" ca="1" si="95">RAND()</f>
        <v>0.77427513164192285</v>
      </c>
      <c r="AL527" s="29">
        <f t="shared" ca="1" si="86"/>
        <v>205</v>
      </c>
      <c r="AN527" s="22">
        <v>45072</v>
      </c>
      <c r="AO527" s="26">
        <f t="shared" ref="AO527:AO737" ca="1" si="96">RAND()</f>
        <v>9.722811117744512E-2</v>
      </c>
      <c r="AP527" s="29">
        <f t="shared" ca="1" si="87"/>
        <v>152</v>
      </c>
      <c r="AR527" s="22">
        <v>45072</v>
      </c>
      <c r="AS527" s="26">
        <f t="shared" ref="AS527:AS737" ca="1" si="97">RAND()</f>
        <v>0.79184375371784277</v>
      </c>
      <c r="AT527" s="29">
        <v>0</v>
      </c>
      <c r="AV527" s="22">
        <v>45072</v>
      </c>
      <c r="AW527" s="26">
        <f t="shared" ref="AW527:AW737" ca="1" si="98">RAND()</f>
        <v>0.25803124576168812</v>
      </c>
      <c r="AX527" s="29">
        <v>0</v>
      </c>
      <c r="AZ527" s="22">
        <v>45072</v>
      </c>
      <c r="BA527" s="26">
        <f t="shared" ref="BA527:BA737" ca="1" si="99">RAND()</f>
        <v>0.60457184373096928</v>
      </c>
      <c r="BB527" s="29">
        <v>0</v>
      </c>
      <c r="BC527"/>
      <c r="BD527" s="25"/>
      <c r="BF527" s="22">
        <v>45072</v>
      </c>
      <c r="BG527" s="26">
        <f t="shared" ref="BG527:BG737" ca="1" si="100">RAND()</f>
        <v>0.65855919017558684</v>
      </c>
      <c r="BH527" s="29">
        <v>0</v>
      </c>
      <c r="BJ527" s="22">
        <v>45072</v>
      </c>
      <c r="BK527" s="26">
        <f t="shared" ref="BK527:BK737" ca="1" si="101">RAND()</f>
        <v>0.67252564300442141</v>
      </c>
      <c r="BL527" s="29">
        <v>0</v>
      </c>
      <c r="BN527" s="22">
        <v>45072</v>
      </c>
      <c r="BO527" s="26">
        <f t="shared" ref="BO527:BO737" ca="1" si="102">RAND()</f>
        <v>0.48374708791438803</v>
      </c>
      <c r="BP527" s="29">
        <v>0</v>
      </c>
      <c r="BR527" s="22">
        <v>45072</v>
      </c>
      <c r="BS527" s="26">
        <f t="shared" ref="BS527:BS737" ca="1" si="103">RAND()</f>
        <v>0.43944165265100377</v>
      </c>
      <c r="BT527" s="29">
        <v>0</v>
      </c>
      <c r="BV527" s="22">
        <v>45072</v>
      </c>
      <c r="BW527" s="26">
        <f t="shared" ref="BW527:BW737" ca="1" si="104">RAND()</f>
        <v>0.10505454963675542</v>
      </c>
      <c r="BX527" s="29">
        <v>0</v>
      </c>
    </row>
    <row r="528" spans="2:76" ht="12.75" x14ac:dyDescent="0.2">
      <c r="B528" s="22">
        <v>45073</v>
      </c>
      <c r="C528" s="26">
        <f t="shared" ca="1" si="68"/>
        <v>0.54784837711166523</v>
      </c>
      <c r="D528" s="29">
        <f t="shared" ca="1" si="77"/>
        <v>78</v>
      </c>
      <c r="F528" s="22">
        <v>45073</v>
      </c>
      <c r="G528" s="26">
        <f t="shared" ca="1" si="88"/>
        <v>0.65593722032095747</v>
      </c>
      <c r="H528" s="29">
        <f t="shared" ca="1" si="79"/>
        <v>222</v>
      </c>
      <c r="J528" s="22">
        <v>45073</v>
      </c>
      <c r="K528" s="26">
        <f t="shared" ca="1" si="89"/>
        <v>0.97785713761214133</v>
      </c>
      <c r="L528" s="29">
        <f t="shared" ca="1" si="80"/>
        <v>171</v>
      </c>
      <c r="N528" s="22">
        <v>45073</v>
      </c>
      <c r="O528" s="26">
        <f t="shared" ca="1" si="90"/>
        <v>0.41779973104122559</v>
      </c>
      <c r="P528" s="29">
        <f t="shared" ca="1" si="81"/>
        <v>227</v>
      </c>
      <c r="R528" s="22">
        <v>45073</v>
      </c>
      <c r="S528" s="26">
        <f t="shared" ca="1" si="91"/>
        <v>0.84818659229555138</v>
      </c>
      <c r="T528" s="29">
        <f t="shared" ca="1" si="82"/>
        <v>149</v>
      </c>
      <c r="V528" s="22">
        <v>45073</v>
      </c>
      <c r="W528" s="26">
        <f t="shared" ca="1" si="92"/>
        <v>0.8165824178196156</v>
      </c>
      <c r="X528" s="29">
        <f t="shared" ca="1" si="83"/>
        <v>239</v>
      </c>
      <c r="Z528" s="22">
        <v>45073</v>
      </c>
      <c r="AA528" s="26">
        <f t="shared" ca="1" si="93"/>
        <v>0.35884212643234348</v>
      </c>
      <c r="AB528" s="29">
        <f t="shared" ca="1" si="84"/>
        <v>264</v>
      </c>
      <c r="AC528"/>
      <c r="AD528" s="25"/>
      <c r="AF528" s="22">
        <v>45073</v>
      </c>
      <c r="AG528" s="26">
        <f t="shared" ca="1" si="94"/>
        <v>0.52586693152771335</v>
      </c>
      <c r="AH528" s="29">
        <f t="shared" ca="1" si="85"/>
        <v>333</v>
      </c>
      <c r="AJ528" s="22">
        <v>45073</v>
      </c>
      <c r="AK528" s="26">
        <f t="shared" ca="1" si="95"/>
        <v>0.44719405969142667</v>
      </c>
      <c r="AL528" s="29">
        <f t="shared" ca="1" si="86"/>
        <v>165</v>
      </c>
      <c r="AN528" s="22">
        <v>45073</v>
      </c>
      <c r="AO528" s="26">
        <f t="shared" ca="1" si="96"/>
        <v>0.64565676645553172</v>
      </c>
      <c r="AP528" s="29">
        <f t="shared" ca="1" si="87"/>
        <v>256</v>
      </c>
      <c r="AR528" s="22">
        <v>45073</v>
      </c>
      <c r="AS528" s="26">
        <f t="shared" ca="1" si="97"/>
        <v>0.31861796031537881</v>
      </c>
      <c r="AT528" s="29">
        <v>0</v>
      </c>
      <c r="AV528" s="22">
        <v>45073</v>
      </c>
      <c r="AW528" s="26">
        <f t="shared" ca="1" si="98"/>
        <v>0.48859809282845379</v>
      </c>
      <c r="AX528" s="29">
        <v>0</v>
      </c>
      <c r="AZ528" s="22">
        <v>45073</v>
      </c>
      <c r="BA528" s="26">
        <f t="shared" ca="1" si="99"/>
        <v>0.29448903497389134</v>
      </c>
      <c r="BB528" s="29">
        <v>0</v>
      </c>
      <c r="BC528"/>
      <c r="BD528" s="25"/>
      <c r="BF528" s="22">
        <v>45073</v>
      </c>
      <c r="BG528" s="26">
        <f t="shared" ca="1" si="100"/>
        <v>0.54822517099053014</v>
      </c>
      <c r="BH528" s="29">
        <v>0</v>
      </c>
      <c r="BJ528" s="22">
        <v>45073</v>
      </c>
      <c r="BK528" s="26">
        <f t="shared" ca="1" si="101"/>
        <v>0.80521845394722269</v>
      </c>
      <c r="BL528" s="29">
        <v>0</v>
      </c>
      <c r="BN528" s="22">
        <v>45073</v>
      </c>
      <c r="BO528" s="26">
        <f t="shared" ca="1" si="102"/>
        <v>0.65281996760654304</v>
      </c>
      <c r="BP528" s="29">
        <v>0</v>
      </c>
      <c r="BR528" s="22">
        <v>45073</v>
      </c>
      <c r="BS528" s="26">
        <f t="shared" ca="1" si="103"/>
        <v>0.57176608989995936</v>
      </c>
      <c r="BT528" s="29">
        <v>0</v>
      </c>
      <c r="BV528" s="22">
        <v>45073</v>
      </c>
      <c r="BW528" s="26">
        <f t="shared" ca="1" si="104"/>
        <v>0.1815394483493995</v>
      </c>
      <c r="BX528" s="29">
        <v>0</v>
      </c>
    </row>
    <row r="529" spans="2:77" ht="12.75" x14ac:dyDescent="0.2">
      <c r="B529" s="22">
        <v>45074</v>
      </c>
      <c r="C529" s="26">
        <f t="shared" ca="1" si="68"/>
        <v>0.39725256380642715</v>
      </c>
      <c r="D529" s="29">
        <f t="shared" ca="1" si="77"/>
        <v>70</v>
      </c>
      <c r="F529" s="22">
        <v>45074</v>
      </c>
      <c r="G529" s="26">
        <f t="shared" ca="1" si="88"/>
        <v>0.10065877702565051</v>
      </c>
      <c r="H529" s="29">
        <f t="shared" ca="1" si="79"/>
        <v>198</v>
      </c>
      <c r="J529" s="22">
        <v>45074</v>
      </c>
      <c r="K529" s="26">
        <f t="shared" ca="1" si="89"/>
        <v>0.73289630513277515</v>
      </c>
      <c r="L529" s="29">
        <f t="shared" ca="1" si="80"/>
        <v>157</v>
      </c>
      <c r="N529" s="22">
        <v>45074</v>
      </c>
      <c r="O529" s="26">
        <f t="shared" ca="1" si="90"/>
        <v>0.79142818686908378</v>
      </c>
      <c r="P529" s="29">
        <f t="shared" ca="1" si="81"/>
        <v>242</v>
      </c>
      <c r="R529" s="22">
        <v>45074</v>
      </c>
      <c r="S529" s="26">
        <f t="shared" ca="1" si="91"/>
        <v>0.1890768016684613</v>
      </c>
      <c r="T529" s="29">
        <f t="shared" ca="1" si="82"/>
        <v>131</v>
      </c>
      <c r="V529" s="22">
        <v>45074</v>
      </c>
      <c r="W529" s="26">
        <f t="shared" ca="1" si="92"/>
        <v>0.41120057164308221</v>
      </c>
      <c r="X529" s="29">
        <f t="shared" ca="1" si="83"/>
        <v>222</v>
      </c>
      <c r="Z529" s="22">
        <v>45074</v>
      </c>
      <c r="AA529" s="26">
        <f t="shared" ca="1" si="93"/>
        <v>0.16145434654347579</v>
      </c>
      <c r="AB529" s="29">
        <f t="shared" ca="1" si="84"/>
        <v>253</v>
      </c>
      <c r="AC529"/>
      <c r="AD529" s="25"/>
      <c r="AF529" s="22">
        <v>45074</v>
      </c>
      <c r="AG529" s="26">
        <f t="shared" ca="1" si="94"/>
        <v>0.5837888266411595</v>
      </c>
      <c r="AH529" s="29">
        <f t="shared" ca="1" si="85"/>
        <v>346</v>
      </c>
      <c r="AJ529" s="22">
        <v>45074</v>
      </c>
      <c r="AK529" s="26">
        <f t="shared" ca="1" si="95"/>
        <v>0.93445277826228701</v>
      </c>
      <c r="AL529" s="29">
        <f t="shared" ca="1" si="86"/>
        <v>240</v>
      </c>
      <c r="AN529" s="22">
        <v>45074</v>
      </c>
      <c r="AO529" s="26">
        <f t="shared" ca="1" si="96"/>
        <v>0.83447153050989298</v>
      </c>
      <c r="AP529" s="29">
        <f t="shared" ca="1" si="87"/>
        <v>293</v>
      </c>
      <c r="AR529" s="22">
        <v>45074</v>
      </c>
      <c r="AS529" s="26">
        <f t="shared" ca="1" si="97"/>
        <v>1.3409100327921308E-4</v>
      </c>
      <c r="AT529" s="29">
        <v>0</v>
      </c>
      <c r="AV529" s="22">
        <v>45074</v>
      </c>
      <c r="AW529" s="26">
        <f t="shared" ca="1" si="98"/>
        <v>0.52731273024874148</v>
      </c>
      <c r="AX529" s="29">
        <v>0</v>
      </c>
      <c r="AZ529" s="22">
        <v>45074</v>
      </c>
      <c r="BA529" s="26">
        <f t="shared" ca="1" si="99"/>
        <v>0.2147339087991883</v>
      </c>
      <c r="BB529" s="29">
        <v>0</v>
      </c>
      <c r="BC529"/>
      <c r="BD529" s="25"/>
      <c r="BF529" s="22">
        <v>45074</v>
      </c>
      <c r="BG529" s="26">
        <f t="shared" ca="1" si="100"/>
        <v>9.6080710455715868E-2</v>
      </c>
      <c r="BH529" s="29">
        <v>0</v>
      </c>
      <c r="BJ529" s="22">
        <v>45074</v>
      </c>
      <c r="BK529" s="26">
        <f t="shared" ca="1" si="101"/>
        <v>0.76083402351722351</v>
      </c>
      <c r="BL529" s="29">
        <v>0</v>
      </c>
      <c r="BN529" s="22">
        <v>45074</v>
      </c>
      <c r="BO529" s="26">
        <f t="shared" ca="1" si="102"/>
        <v>0.8518733886075387</v>
      </c>
      <c r="BP529" s="29">
        <v>0</v>
      </c>
      <c r="BR529" s="22">
        <v>45074</v>
      </c>
      <c r="BS529" s="26">
        <f t="shared" ca="1" si="103"/>
        <v>0.71982581661743006</v>
      </c>
      <c r="BT529" s="29">
        <v>0</v>
      </c>
      <c r="BV529" s="22">
        <v>45074</v>
      </c>
      <c r="BW529" s="26">
        <f t="shared" ca="1" si="104"/>
        <v>0.36001032139718037</v>
      </c>
      <c r="BX529" s="29">
        <v>0</v>
      </c>
    </row>
    <row r="530" spans="2:77" ht="12.75" x14ac:dyDescent="0.2">
      <c r="B530" s="22">
        <v>45075</v>
      </c>
      <c r="C530" s="26">
        <f t="shared" ca="1" si="68"/>
        <v>0.81467458430579021</v>
      </c>
      <c r="D530" s="29">
        <f t="shared" ref="D530:D568" ca="1" si="105">ROUNDUP(_xlfn.NORM.INV(C530,C$10,C$12),0)</f>
        <v>93</v>
      </c>
      <c r="F530" s="22">
        <v>45075</v>
      </c>
      <c r="G530" s="26">
        <f t="shared" ca="1" si="88"/>
        <v>0.46687348228714276</v>
      </c>
      <c r="H530" s="29">
        <f t="shared" ca="1" si="79"/>
        <v>215</v>
      </c>
      <c r="J530" s="22">
        <v>45075</v>
      </c>
      <c r="K530" s="26">
        <f t="shared" ca="1" si="89"/>
        <v>0.98575609463898406</v>
      </c>
      <c r="L530" s="29">
        <f t="shared" ca="1" si="80"/>
        <v>172</v>
      </c>
      <c r="N530" s="22">
        <v>45075</v>
      </c>
      <c r="O530" s="26">
        <f t="shared" ca="1" si="90"/>
        <v>0.19191008037630719</v>
      </c>
      <c r="P530" s="29">
        <f t="shared" ca="1" si="81"/>
        <v>217</v>
      </c>
      <c r="R530" s="22">
        <v>45075</v>
      </c>
      <c r="S530" s="26">
        <f t="shared" ca="1" si="91"/>
        <v>0.9651402787479999</v>
      </c>
      <c r="T530" s="29">
        <f t="shared" ca="1" si="82"/>
        <v>156</v>
      </c>
      <c r="V530" s="22">
        <v>45075</v>
      </c>
      <c r="W530" s="26">
        <f t="shared" ca="1" si="92"/>
        <v>0.77399655168444526</v>
      </c>
      <c r="X530" s="29">
        <f t="shared" ca="1" si="83"/>
        <v>237</v>
      </c>
      <c r="Z530" s="22">
        <v>45075</v>
      </c>
      <c r="AA530" s="26">
        <f t="shared" ca="1" si="93"/>
        <v>0.1890568840812954</v>
      </c>
      <c r="AB530" s="29">
        <f t="shared" ca="1" si="84"/>
        <v>255</v>
      </c>
      <c r="AC530"/>
      <c r="AD530" s="25"/>
      <c r="AF530" s="22">
        <v>45075</v>
      </c>
      <c r="AG530" s="26">
        <f t="shared" ca="1" si="94"/>
        <v>0.3658599542026032</v>
      </c>
      <c r="AH530" s="29">
        <f t="shared" ca="1" si="85"/>
        <v>298</v>
      </c>
      <c r="AJ530" s="22">
        <v>45075</v>
      </c>
      <c r="AK530" s="26">
        <f t="shared" ca="1" si="95"/>
        <v>0.63970423373402974</v>
      </c>
      <c r="AL530" s="29">
        <f t="shared" ca="1" si="86"/>
        <v>187</v>
      </c>
      <c r="AN530" s="22">
        <v>45075</v>
      </c>
      <c r="AO530" s="26">
        <f t="shared" ca="1" si="96"/>
        <v>0.13932540086959511</v>
      </c>
      <c r="AP530" s="29">
        <f t="shared" ca="1" si="87"/>
        <v>166</v>
      </c>
      <c r="AR530" s="22">
        <v>45075</v>
      </c>
      <c r="AS530" s="26">
        <f t="shared" ca="1" si="97"/>
        <v>0.99890377648258311</v>
      </c>
      <c r="AT530" s="29">
        <v>0</v>
      </c>
      <c r="AV530" s="22">
        <v>45075</v>
      </c>
      <c r="AW530" s="26">
        <f t="shared" ca="1" si="98"/>
        <v>6.4021627875425202E-2</v>
      </c>
      <c r="AX530" s="29">
        <v>0</v>
      </c>
      <c r="AZ530" s="22">
        <v>45075</v>
      </c>
      <c r="BA530" s="26">
        <f t="shared" ca="1" si="99"/>
        <v>0.15198957693300674</v>
      </c>
      <c r="BB530" s="29">
        <v>0</v>
      </c>
      <c r="BC530"/>
      <c r="BD530" s="25"/>
      <c r="BF530" s="22">
        <v>45075</v>
      </c>
      <c r="BG530" s="26">
        <f t="shared" ca="1" si="100"/>
        <v>0.343676901363688</v>
      </c>
      <c r="BH530" s="29">
        <v>0</v>
      </c>
      <c r="BJ530" s="22">
        <v>45075</v>
      </c>
      <c r="BK530" s="26">
        <f t="shared" ca="1" si="101"/>
        <v>0.68482390025233664</v>
      </c>
      <c r="BL530" s="29">
        <v>0</v>
      </c>
      <c r="BN530" s="22">
        <v>45075</v>
      </c>
      <c r="BO530" s="26">
        <f t="shared" ca="1" si="102"/>
        <v>0.36730334074082038</v>
      </c>
      <c r="BP530" s="29">
        <v>0</v>
      </c>
      <c r="BR530" s="22">
        <v>45075</v>
      </c>
      <c r="BS530" s="26">
        <f t="shared" ca="1" si="103"/>
        <v>0.25069336342337822</v>
      </c>
      <c r="BT530" s="29">
        <v>0</v>
      </c>
      <c r="BV530" s="22">
        <v>45075</v>
      </c>
      <c r="BW530" s="26">
        <f t="shared" ca="1" si="104"/>
        <v>0.82962436412905394</v>
      </c>
      <c r="BX530" s="29">
        <v>0</v>
      </c>
    </row>
    <row r="531" spans="2:77" ht="12.75" x14ac:dyDescent="0.2">
      <c r="B531" s="22">
        <v>45076</v>
      </c>
      <c r="C531" s="26">
        <f t="shared" ca="1" si="68"/>
        <v>0.87793972053493052</v>
      </c>
      <c r="D531" s="29">
        <f t="shared" ca="1" si="105"/>
        <v>99</v>
      </c>
      <c r="F531" s="22">
        <v>45076</v>
      </c>
      <c r="G531" s="26">
        <f t="shared" ca="1" si="88"/>
        <v>0.1860488373890794</v>
      </c>
      <c r="H531" s="29">
        <f t="shared" ca="1" si="79"/>
        <v>203</v>
      </c>
      <c r="J531" s="22">
        <v>45076</v>
      </c>
      <c r="K531" s="26">
        <f t="shared" ca="1" si="89"/>
        <v>6.1796895429786391E-2</v>
      </c>
      <c r="L531" s="29">
        <f t="shared" ca="1" si="80"/>
        <v>135</v>
      </c>
      <c r="N531" s="22">
        <v>45076</v>
      </c>
      <c r="O531" s="26">
        <f t="shared" ca="1" si="90"/>
        <v>0.46567851530982884</v>
      </c>
      <c r="P531" s="29">
        <f t="shared" ca="1" si="81"/>
        <v>229</v>
      </c>
      <c r="R531" s="22">
        <v>45076</v>
      </c>
      <c r="S531" s="26">
        <f t="shared" ca="1" si="91"/>
        <v>6.7331213332588402E-2</v>
      </c>
      <c r="T531" s="29">
        <f t="shared" ca="1" si="82"/>
        <v>125</v>
      </c>
      <c r="V531" s="22">
        <v>45076</v>
      </c>
      <c r="W531" s="26">
        <f t="shared" ca="1" si="92"/>
        <v>0.23860737792053677</v>
      </c>
      <c r="X531" s="29">
        <f t="shared" ca="1" si="83"/>
        <v>215</v>
      </c>
      <c r="Z531" s="22">
        <v>45076</v>
      </c>
      <c r="AA531" s="26">
        <f t="shared" ca="1" si="93"/>
        <v>0.1284623074958221</v>
      </c>
      <c r="AB531" s="29">
        <f t="shared" ca="1" si="84"/>
        <v>250</v>
      </c>
      <c r="AC531"/>
      <c r="AD531" s="25"/>
      <c r="AF531" s="22">
        <v>45076</v>
      </c>
      <c r="AG531" s="26">
        <f t="shared" ca="1" si="94"/>
        <v>0.49426479699602055</v>
      </c>
      <c r="AH531" s="29">
        <f t="shared" ca="1" si="85"/>
        <v>326</v>
      </c>
      <c r="AJ531" s="22">
        <v>45076</v>
      </c>
      <c r="AK531" s="26">
        <f t="shared" ca="1" si="95"/>
        <v>0.72261375996545896</v>
      </c>
      <c r="AL531" s="29">
        <f t="shared" ca="1" si="86"/>
        <v>198</v>
      </c>
      <c r="AN531" s="22">
        <v>45076</v>
      </c>
      <c r="AO531" s="26">
        <f t="shared" ca="1" si="96"/>
        <v>0.42111245127237984</v>
      </c>
      <c r="AP531" s="29">
        <f t="shared" ca="1" si="87"/>
        <v>220</v>
      </c>
      <c r="AR531" s="22">
        <v>45076</v>
      </c>
      <c r="AS531" s="26">
        <f t="shared" ca="1" si="97"/>
        <v>7.7632631930354523E-2</v>
      </c>
      <c r="AT531" s="29">
        <v>0</v>
      </c>
      <c r="AV531" s="22">
        <v>45076</v>
      </c>
      <c r="AW531" s="26">
        <f t="shared" ca="1" si="98"/>
        <v>0.37673152468764048</v>
      </c>
      <c r="AX531" s="29">
        <v>0</v>
      </c>
      <c r="AZ531" s="22">
        <v>45076</v>
      </c>
      <c r="BA531" s="26">
        <f t="shared" ca="1" si="99"/>
        <v>0.92266984133354302</v>
      </c>
      <c r="BB531" s="29">
        <v>0</v>
      </c>
      <c r="BC531"/>
      <c r="BD531" s="25"/>
      <c r="BF531" s="22">
        <v>45076</v>
      </c>
      <c r="BG531" s="26">
        <f t="shared" ca="1" si="100"/>
        <v>0.77608542806880376</v>
      </c>
      <c r="BH531" s="29">
        <v>0</v>
      </c>
      <c r="BJ531" s="22">
        <v>45076</v>
      </c>
      <c r="BK531" s="26">
        <f t="shared" ca="1" si="101"/>
        <v>0.27312949741265025</v>
      </c>
      <c r="BL531" s="29">
        <v>0</v>
      </c>
      <c r="BN531" s="22">
        <v>45076</v>
      </c>
      <c r="BO531" s="26">
        <f t="shared" ca="1" si="102"/>
        <v>0.2469666869355267</v>
      </c>
      <c r="BP531" s="29">
        <v>0</v>
      </c>
      <c r="BR531" s="22">
        <v>45076</v>
      </c>
      <c r="BS531" s="26">
        <f t="shared" ca="1" si="103"/>
        <v>0.43984883395374974</v>
      </c>
      <c r="BT531" s="29">
        <v>0</v>
      </c>
      <c r="BV531" s="22">
        <v>45076</v>
      </c>
      <c r="BW531" s="26">
        <f t="shared" ca="1" si="104"/>
        <v>0.89066122338935594</v>
      </c>
      <c r="BX531" s="29">
        <v>0</v>
      </c>
    </row>
    <row r="532" spans="2:77" ht="12.75" x14ac:dyDescent="0.2">
      <c r="B532" s="22">
        <v>45077</v>
      </c>
      <c r="C532" s="26">
        <f t="shared" ca="1" si="68"/>
        <v>0.86517617390272661</v>
      </c>
      <c r="D532" s="29">
        <f t="shared" ca="1" si="105"/>
        <v>98</v>
      </c>
      <c r="E532">
        <v>2262</v>
      </c>
      <c r="F532" s="22">
        <v>45077</v>
      </c>
      <c r="G532" s="26">
        <f t="shared" ca="1" si="88"/>
        <v>0.63042883816519624</v>
      </c>
      <c r="H532" s="29">
        <f t="shared" ca="1" si="79"/>
        <v>221</v>
      </c>
      <c r="I532">
        <v>6684</v>
      </c>
      <c r="J532" s="22">
        <v>45077</v>
      </c>
      <c r="K532" s="26">
        <f t="shared" ca="1" si="89"/>
        <v>0.37660571251334551</v>
      </c>
      <c r="L532" s="29">
        <f t="shared" ca="1" si="80"/>
        <v>147</v>
      </c>
      <c r="M532">
        <v>4705</v>
      </c>
      <c r="N532" s="22">
        <v>45077</v>
      </c>
      <c r="O532" s="26">
        <f t="shared" ca="1" si="90"/>
        <v>0.2188636279241799</v>
      </c>
      <c r="P532" s="29">
        <f t="shared" ca="1" si="81"/>
        <v>218</v>
      </c>
      <c r="Q532">
        <v>7121</v>
      </c>
      <c r="R532" s="22">
        <v>45077</v>
      </c>
      <c r="S532" s="26">
        <f t="shared" ca="1" si="91"/>
        <v>0.84452117382492176</v>
      </c>
      <c r="T532" s="29">
        <f t="shared" ca="1" si="82"/>
        <v>149</v>
      </c>
      <c r="U532">
        <v>4341</v>
      </c>
      <c r="V532" s="22">
        <v>45077</v>
      </c>
      <c r="W532" s="26">
        <f t="shared" ca="1" si="92"/>
        <v>0.82300833111249483</v>
      </c>
      <c r="X532" s="29">
        <f t="shared" ca="1" si="83"/>
        <v>239</v>
      </c>
      <c r="Y532">
        <v>7145</v>
      </c>
      <c r="Z532" s="22">
        <v>45077</v>
      </c>
      <c r="AA532" s="26">
        <f t="shared" ca="1" si="93"/>
        <v>0.70167410951620013</v>
      </c>
      <c r="AB532" s="29">
        <f t="shared" ca="1" si="84"/>
        <v>280</v>
      </c>
      <c r="AC532">
        <v>8303</v>
      </c>
      <c r="AD532" s="25"/>
      <c r="AF532" s="22">
        <v>45077</v>
      </c>
      <c r="AG532" s="26">
        <f t="shared" ca="1" si="94"/>
        <v>0.47633566392408178</v>
      </c>
      <c r="AH532" s="29">
        <f t="shared" ca="1" si="85"/>
        <v>322</v>
      </c>
      <c r="AI532">
        <v>10012</v>
      </c>
      <c r="AJ532" s="22">
        <v>45077</v>
      </c>
      <c r="AK532" s="26">
        <f t="shared" ca="1" si="95"/>
        <v>0.14843244206894823</v>
      </c>
      <c r="AL532" s="29">
        <f t="shared" ca="1" si="86"/>
        <v>123</v>
      </c>
      <c r="AM532">
        <v>5487</v>
      </c>
      <c r="AN532" s="22">
        <v>45077</v>
      </c>
      <c r="AO532" s="26">
        <f t="shared" ca="1" si="96"/>
        <v>0.45864359806189592</v>
      </c>
      <c r="AP532" s="29">
        <f t="shared" ca="1" si="87"/>
        <v>226</v>
      </c>
      <c r="AQ532">
        <v>4221</v>
      </c>
      <c r="AR532" s="22">
        <v>45077</v>
      </c>
      <c r="AS532" s="26">
        <f t="shared" ca="1" si="97"/>
        <v>0.58400397571510232</v>
      </c>
      <c r="AT532" s="29">
        <v>0</v>
      </c>
      <c r="AU532">
        <v>0</v>
      </c>
      <c r="AV532" s="22">
        <v>45077</v>
      </c>
      <c r="AW532" s="26">
        <f t="shared" ca="1" si="98"/>
        <v>0.63221245534329484</v>
      </c>
      <c r="AX532" s="29">
        <v>0</v>
      </c>
      <c r="AY532">
        <v>0</v>
      </c>
      <c r="AZ532" s="22">
        <v>45077</v>
      </c>
      <c r="BA532" s="26">
        <f t="shared" ca="1" si="99"/>
        <v>0.79171133821739881</v>
      </c>
      <c r="BB532" s="29">
        <v>0</v>
      </c>
      <c r="BC532">
        <v>0</v>
      </c>
      <c r="BD532" s="25"/>
      <c r="BF532" s="22">
        <v>45077</v>
      </c>
      <c r="BG532" s="26">
        <f t="shared" ca="1" si="100"/>
        <v>0.35236190716393323</v>
      </c>
      <c r="BH532" s="29">
        <v>0</v>
      </c>
      <c r="BI532">
        <v>0</v>
      </c>
      <c r="BJ532" s="22">
        <v>45077</v>
      </c>
      <c r="BK532" s="26">
        <f t="shared" ca="1" si="101"/>
        <v>2.9018547564541586E-2</v>
      </c>
      <c r="BL532" s="29">
        <v>0</v>
      </c>
      <c r="BM532">
        <v>0</v>
      </c>
      <c r="BN532" s="22">
        <v>45077</v>
      </c>
      <c r="BO532" s="26">
        <f t="shared" ca="1" si="102"/>
        <v>0.88512074638598492</v>
      </c>
      <c r="BP532" s="29">
        <v>0</v>
      </c>
      <c r="BQ532">
        <v>0</v>
      </c>
      <c r="BR532" s="22">
        <v>45077</v>
      </c>
      <c r="BS532" s="26">
        <f t="shared" ca="1" si="103"/>
        <v>0.89894846466866152</v>
      </c>
      <c r="BT532" s="29">
        <v>0</v>
      </c>
      <c r="BU532">
        <v>0</v>
      </c>
      <c r="BV532" s="22">
        <v>45077</v>
      </c>
      <c r="BW532" s="26">
        <f t="shared" ca="1" si="104"/>
        <v>8.8630502229736119E-2</v>
      </c>
      <c r="BX532" s="29">
        <v>0</v>
      </c>
      <c r="BY532">
        <v>0</v>
      </c>
    </row>
    <row r="533" spans="2:77" ht="12.75" x14ac:dyDescent="0.2">
      <c r="B533" s="22">
        <v>45078</v>
      </c>
      <c r="C533" s="26">
        <f t="shared" ca="1" si="68"/>
        <v>0.89232694431551951</v>
      </c>
      <c r="D533" s="29">
        <f ca="1">ROUNDUP(_xlfn.NORM.INV(C532,C$10,C$12),0)</f>
        <v>98</v>
      </c>
      <c r="F533" s="22">
        <v>45078</v>
      </c>
      <c r="G533" s="26">
        <f t="shared" ca="1" si="88"/>
        <v>0.58340479492615915</v>
      </c>
      <c r="H533" s="29">
        <f ca="1">ROUNDUP(_xlfn.NORM.INV(G532,G$10,G$12),0)</f>
        <v>221</v>
      </c>
      <c r="J533" s="22">
        <v>45078</v>
      </c>
      <c r="K533" s="26">
        <f t="shared" ca="1" si="89"/>
        <v>0.17870841173580787</v>
      </c>
      <c r="L533" s="29">
        <f ca="1">ROUNDUP(_xlfn.NORM.INV(K532,K$10,K$12),0)</f>
        <v>147</v>
      </c>
      <c r="N533" s="22">
        <v>45078</v>
      </c>
      <c r="O533" s="26">
        <f t="shared" ca="1" si="90"/>
        <v>0.63315760751250927</v>
      </c>
      <c r="P533" s="29">
        <f ca="1">ROUNDUP(_xlfn.NORM.INV(O532,O$10,O$12),0)</f>
        <v>218</v>
      </c>
      <c r="R533" s="22">
        <v>45078</v>
      </c>
      <c r="S533" s="26">
        <f t="shared" ca="1" si="91"/>
        <v>0.75530023594652718</v>
      </c>
      <c r="T533" s="29">
        <f ca="1">ROUNDUP(_xlfn.NORM.INV(S532,S$10,S$12),0)</f>
        <v>149</v>
      </c>
      <c r="V533" s="22">
        <v>45078</v>
      </c>
      <c r="W533" s="26">
        <f t="shared" ca="1" si="92"/>
        <v>0.39271646063520926</v>
      </c>
      <c r="X533" s="29">
        <f ca="1">ROUNDUP(_xlfn.NORM.INV(W532,W$10,W$12),0)</f>
        <v>239</v>
      </c>
      <c r="Z533" s="22">
        <v>45078</v>
      </c>
      <c r="AA533" s="26">
        <f t="shared" ca="1" si="93"/>
        <v>0.80869805734165978</v>
      </c>
      <c r="AB533" s="29">
        <f ca="1">ROUNDUP(_xlfn.NORM.INV(AA532,AA$10,AA$12),0)</f>
        <v>280</v>
      </c>
      <c r="AC533"/>
      <c r="AD533" s="25"/>
      <c r="AF533" s="22">
        <v>45078</v>
      </c>
      <c r="AG533" s="26">
        <f t="shared" ca="1" si="94"/>
        <v>0.74797729674998459</v>
      </c>
      <c r="AH533" s="29">
        <f ca="1">ROUNDUP(_xlfn.NORM.INV(AG532,AG$10,AG$12),0)</f>
        <v>322</v>
      </c>
      <c r="AJ533" s="22">
        <v>45078</v>
      </c>
      <c r="AK533" s="26">
        <f t="shared" ca="1" si="95"/>
        <v>0.28705074748991866</v>
      </c>
      <c r="AL533" s="29">
        <f ca="1">ROUNDUP(_xlfn.NORM.INV(AK532,AK$10,AK$12),0)</f>
        <v>123</v>
      </c>
      <c r="AN533" s="22">
        <v>45078</v>
      </c>
      <c r="AO533" s="26">
        <f t="shared" ca="1" si="96"/>
        <v>0.82132643512058545</v>
      </c>
      <c r="AP533" s="29">
        <f ca="1">ROUNDUP(_xlfn.NORM.INV(AO532,AO$10,AO$12),0)</f>
        <v>226</v>
      </c>
      <c r="AR533" s="22">
        <v>45078</v>
      </c>
      <c r="AS533" s="26">
        <f t="shared" ca="1" si="97"/>
        <v>0.55805249511839339</v>
      </c>
      <c r="AT533" s="29">
        <v>0</v>
      </c>
      <c r="AV533" s="22">
        <v>45078</v>
      </c>
      <c r="AW533" s="26">
        <f t="shared" ca="1" si="98"/>
        <v>0.92503555074170773</v>
      </c>
      <c r="AX533" s="29">
        <v>0</v>
      </c>
      <c r="AZ533" s="22">
        <v>45078</v>
      </c>
      <c r="BA533" s="26">
        <f t="shared" ca="1" si="99"/>
        <v>0.6906775860876877</v>
      </c>
      <c r="BB533" s="29">
        <v>0</v>
      </c>
      <c r="BC533"/>
      <c r="BD533" s="25"/>
      <c r="BF533" s="22">
        <v>45078</v>
      </c>
      <c r="BG533" s="26">
        <f t="shared" ca="1" si="100"/>
        <v>0.8662819281929276</v>
      </c>
      <c r="BH533" s="29">
        <v>0</v>
      </c>
      <c r="BJ533" s="22">
        <v>45078</v>
      </c>
      <c r="BK533" s="26">
        <f t="shared" ca="1" si="101"/>
        <v>0.51792941183658014</v>
      </c>
      <c r="BL533" s="29">
        <v>0</v>
      </c>
      <c r="BN533" s="22">
        <v>45078</v>
      </c>
      <c r="BO533" s="26">
        <f t="shared" ca="1" si="102"/>
        <v>0.77898386595683122</v>
      </c>
      <c r="BP533" s="29">
        <v>0</v>
      </c>
      <c r="BR533" s="22">
        <v>45078</v>
      </c>
      <c r="BS533" s="26">
        <f t="shared" ca="1" si="103"/>
        <v>0.85476271288466488</v>
      </c>
      <c r="BT533" s="29">
        <v>0</v>
      </c>
      <c r="BV533" s="22">
        <v>45078</v>
      </c>
      <c r="BW533" s="26">
        <f t="shared" ca="1" si="104"/>
        <v>0.95524518472557607</v>
      </c>
      <c r="BX533" s="29">
        <v>0</v>
      </c>
    </row>
    <row r="534" spans="2:77" ht="12.75" x14ac:dyDescent="0.2">
      <c r="B534" s="22">
        <v>45079</v>
      </c>
      <c r="C534" s="26">
        <f t="shared" ca="1" si="68"/>
        <v>0.13303730523310675</v>
      </c>
      <c r="D534" s="29">
        <f t="shared" ca="1" si="105"/>
        <v>53</v>
      </c>
      <c r="F534" s="22">
        <v>45079</v>
      </c>
      <c r="G534" s="26">
        <f t="shared" ca="1" si="88"/>
        <v>0.72849094017543758</v>
      </c>
      <c r="H534" s="29">
        <f t="shared" ca="1" si="79"/>
        <v>225</v>
      </c>
      <c r="J534" s="22">
        <v>45079</v>
      </c>
      <c r="K534" s="26">
        <f t="shared" ca="1" si="89"/>
        <v>0.25239331762631145</v>
      </c>
      <c r="L534" s="29">
        <f t="shared" ca="1" si="80"/>
        <v>144</v>
      </c>
      <c r="N534" s="22">
        <v>45079</v>
      </c>
      <c r="O534" s="26">
        <f t="shared" ca="1" si="90"/>
        <v>6.3596826340980184E-2</v>
      </c>
      <c r="P534" s="29">
        <f t="shared" ca="1" si="81"/>
        <v>207</v>
      </c>
      <c r="R534" s="22">
        <v>45079</v>
      </c>
      <c r="S534" s="26">
        <f t="shared" ca="1" si="91"/>
        <v>6.2228597348151449E-2</v>
      </c>
      <c r="T534" s="29">
        <f t="shared" ca="1" si="82"/>
        <v>125</v>
      </c>
      <c r="V534" s="22">
        <v>45079</v>
      </c>
      <c r="W534" s="26">
        <f t="shared" ca="1" si="92"/>
        <v>0.49757627055093179</v>
      </c>
      <c r="X534" s="29">
        <f t="shared" ca="1" si="83"/>
        <v>225</v>
      </c>
      <c r="Z534" s="22">
        <v>45079</v>
      </c>
      <c r="AA534" s="26">
        <f t="shared" ca="1" si="93"/>
        <v>0.42167080750577579</v>
      </c>
      <c r="AB534" s="29">
        <f t="shared" ca="1" si="84"/>
        <v>267</v>
      </c>
      <c r="AC534"/>
      <c r="AD534" s="25"/>
      <c r="AF534" s="22">
        <v>45079</v>
      </c>
      <c r="AG534" s="26">
        <f t="shared" ca="1" si="94"/>
        <v>0.60694927706732005</v>
      </c>
      <c r="AH534" s="29">
        <f t="shared" ca="1" si="85"/>
        <v>351</v>
      </c>
      <c r="AJ534" s="22">
        <v>45079</v>
      </c>
      <c r="AK534" s="26">
        <f t="shared" ca="1" si="95"/>
        <v>0.77615550840487657</v>
      </c>
      <c r="AL534" s="29">
        <f t="shared" ca="1" si="86"/>
        <v>205</v>
      </c>
      <c r="AN534" s="22">
        <v>45079</v>
      </c>
      <c r="AO534" s="26">
        <f t="shared" ca="1" si="96"/>
        <v>0.80674838237937663</v>
      </c>
      <c r="AP534" s="29">
        <f t="shared" ca="1" si="87"/>
        <v>286</v>
      </c>
      <c r="AR534" s="22">
        <v>45079</v>
      </c>
      <c r="AS534" s="26">
        <f t="shared" ca="1" si="97"/>
        <v>0.20900087045606619</v>
      </c>
      <c r="AT534" s="29">
        <v>0</v>
      </c>
      <c r="AV534" s="22">
        <v>45079</v>
      </c>
      <c r="AW534" s="26">
        <f t="shared" ca="1" si="98"/>
        <v>0.45447215465998048</v>
      </c>
      <c r="AX534" s="29">
        <v>0</v>
      </c>
      <c r="AZ534" s="22">
        <v>45079</v>
      </c>
      <c r="BA534" s="26">
        <f t="shared" ca="1" si="99"/>
        <v>0.55302406121111114</v>
      </c>
      <c r="BB534" s="29">
        <v>0</v>
      </c>
      <c r="BC534"/>
      <c r="BD534" s="25"/>
      <c r="BF534" s="22">
        <v>45079</v>
      </c>
      <c r="BG534" s="26">
        <f t="shared" ca="1" si="100"/>
        <v>0.88123698280020168</v>
      </c>
      <c r="BH534" s="29">
        <v>0</v>
      </c>
      <c r="BJ534" s="22">
        <v>45079</v>
      </c>
      <c r="BK534" s="26">
        <f t="shared" ca="1" si="101"/>
        <v>0.90570975331397074</v>
      </c>
      <c r="BL534" s="29">
        <v>0</v>
      </c>
      <c r="BN534" s="22">
        <v>45079</v>
      </c>
      <c r="BO534" s="26">
        <f t="shared" ca="1" si="102"/>
        <v>0.9997613012242319</v>
      </c>
      <c r="BP534" s="29">
        <v>0</v>
      </c>
      <c r="BR534" s="22">
        <v>45079</v>
      </c>
      <c r="BS534" s="26">
        <f t="shared" ca="1" si="103"/>
        <v>0.63731780922517345</v>
      </c>
      <c r="BT534" s="29">
        <v>0</v>
      </c>
      <c r="BV534" s="22">
        <v>45079</v>
      </c>
      <c r="BW534" s="26">
        <f t="shared" ca="1" si="104"/>
        <v>0.5299621658580953</v>
      </c>
      <c r="BX534" s="29">
        <v>0</v>
      </c>
    </row>
    <row r="535" spans="2:77" ht="12.75" x14ac:dyDescent="0.2">
      <c r="B535" s="22">
        <v>45080</v>
      </c>
      <c r="C535" s="26">
        <f t="shared" ca="1" si="68"/>
        <v>0.70493033320366127</v>
      </c>
      <c r="D535" s="29">
        <f t="shared" ca="1" si="105"/>
        <v>86</v>
      </c>
      <c r="F535" s="22">
        <v>45080</v>
      </c>
      <c r="G535" s="26">
        <f t="shared" ca="1" si="88"/>
        <v>0.6386031497072604</v>
      </c>
      <c r="H535" s="29">
        <f t="shared" ca="1" si="79"/>
        <v>221</v>
      </c>
      <c r="J535" s="22">
        <v>45080</v>
      </c>
      <c r="K535" s="26">
        <f t="shared" ca="1" si="89"/>
        <v>1.9312384925066706E-2</v>
      </c>
      <c r="L535" s="29">
        <f t="shared" ca="1" si="80"/>
        <v>130</v>
      </c>
      <c r="N535" s="22">
        <v>45080</v>
      </c>
      <c r="O535" s="26">
        <f t="shared" ca="1" si="90"/>
        <v>0.51368322002254019</v>
      </c>
      <c r="P535" s="29">
        <f t="shared" ca="1" si="81"/>
        <v>230</v>
      </c>
      <c r="R535" s="22">
        <v>45080</v>
      </c>
      <c r="S535" s="26">
        <f t="shared" ca="1" si="91"/>
        <v>0.4623162144829478</v>
      </c>
      <c r="T535" s="29">
        <f t="shared" ca="1" si="82"/>
        <v>138</v>
      </c>
      <c r="V535" s="22">
        <v>45080</v>
      </c>
      <c r="W535" s="26">
        <f t="shared" ca="1" si="92"/>
        <v>0.90022472088208882</v>
      </c>
      <c r="X535" s="29">
        <f t="shared" ca="1" si="83"/>
        <v>245</v>
      </c>
      <c r="Z535" s="22">
        <v>45080</v>
      </c>
      <c r="AA535" s="26">
        <f t="shared" ca="1" si="93"/>
        <v>5.6415527946283683E-2</v>
      </c>
      <c r="AB535" s="29">
        <f t="shared" ca="1" si="84"/>
        <v>242</v>
      </c>
      <c r="AC535"/>
      <c r="AD535" s="25"/>
      <c r="AF535" s="22">
        <v>45080</v>
      </c>
      <c r="AG535" s="26">
        <f t="shared" ca="1" si="94"/>
        <v>0.57297154350516921</v>
      </c>
      <c r="AH535" s="29">
        <f t="shared" ca="1" si="85"/>
        <v>344</v>
      </c>
      <c r="AJ535" s="22">
        <v>45080</v>
      </c>
      <c r="AK535" s="26">
        <f t="shared" ca="1" si="95"/>
        <v>0.86861833824432966</v>
      </c>
      <c r="AL535" s="29">
        <f t="shared" ca="1" si="86"/>
        <v>222</v>
      </c>
      <c r="AN535" s="22">
        <v>45080</v>
      </c>
      <c r="AO535" s="26">
        <f t="shared" ca="1" si="96"/>
        <v>0.93888498245040086</v>
      </c>
      <c r="AP535" s="29">
        <f t="shared" ca="1" si="87"/>
        <v>328</v>
      </c>
      <c r="AR535" s="22">
        <v>45080</v>
      </c>
      <c r="AS535" s="26">
        <f t="shared" ca="1" si="97"/>
        <v>0.34101731432512228</v>
      </c>
      <c r="AT535" s="29">
        <v>0</v>
      </c>
      <c r="AV535" s="22">
        <v>45080</v>
      </c>
      <c r="AW535" s="26">
        <f t="shared" ca="1" si="98"/>
        <v>0.37153742508018306</v>
      </c>
      <c r="AX535" s="29">
        <v>0</v>
      </c>
      <c r="AZ535" s="22">
        <v>45080</v>
      </c>
      <c r="BA535" s="26">
        <f t="shared" ca="1" si="99"/>
        <v>2.1968180293565509E-2</v>
      </c>
      <c r="BB535" s="29">
        <v>0</v>
      </c>
      <c r="BC535"/>
      <c r="BD535" s="25"/>
      <c r="BF535" s="22">
        <v>45080</v>
      </c>
      <c r="BG535" s="26">
        <f t="shared" ca="1" si="100"/>
        <v>0.27885967013109436</v>
      </c>
      <c r="BH535" s="29">
        <v>0</v>
      </c>
      <c r="BJ535" s="22">
        <v>45080</v>
      </c>
      <c r="BK535" s="26">
        <f t="shared" ca="1" si="101"/>
        <v>0.2563090773584431</v>
      </c>
      <c r="BL535" s="29">
        <v>0</v>
      </c>
      <c r="BN535" s="22">
        <v>45080</v>
      </c>
      <c r="BO535" s="26">
        <f t="shared" ca="1" si="102"/>
        <v>0.83018659275922091</v>
      </c>
      <c r="BP535" s="29">
        <v>0</v>
      </c>
      <c r="BR535" s="22">
        <v>45080</v>
      </c>
      <c r="BS535" s="26">
        <f t="shared" ca="1" si="103"/>
        <v>0.71186188553584029</v>
      </c>
      <c r="BT535" s="29">
        <v>0</v>
      </c>
      <c r="BV535" s="22">
        <v>45080</v>
      </c>
      <c r="BW535" s="26">
        <f t="shared" ca="1" si="104"/>
        <v>0.7321588189394056</v>
      </c>
      <c r="BX535" s="29">
        <v>0</v>
      </c>
    </row>
    <row r="536" spans="2:77" ht="12.75" x14ac:dyDescent="0.2">
      <c r="B536" s="22">
        <v>45081</v>
      </c>
      <c r="C536" s="26">
        <f t="shared" ca="1" si="68"/>
        <v>0.35659518178355398</v>
      </c>
      <c r="D536" s="29">
        <f t="shared" ca="1" si="105"/>
        <v>68</v>
      </c>
      <c r="F536" s="22">
        <v>45081</v>
      </c>
      <c r="G536" s="26">
        <f t="shared" ca="1" si="88"/>
        <v>0.36066142284645542</v>
      </c>
      <c r="H536" s="29">
        <f t="shared" ca="1" si="79"/>
        <v>211</v>
      </c>
      <c r="J536" s="22">
        <v>45081</v>
      </c>
      <c r="K536" s="26">
        <f t="shared" ca="1" si="89"/>
        <v>0.60919761679584639</v>
      </c>
      <c r="L536" s="29">
        <f t="shared" ca="1" si="80"/>
        <v>153</v>
      </c>
      <c r="N536" s="22">
        <v>45081</v>
      </c>
      <c r="O536" s="26">
        <f t="shared" ca="1" si="90"/>
        <v>0.39667436463486927</v>
      </c>
      <c r="P536" s="29">
        <f t="shared" ca="1" si="81"/>
        <v>226</v>
      </c>
      <c r="R536" s="22">
        <v>45081</v>
      </c>
      <c r="S536" s="26">
        <f t="shared" ca="1" si="91"/>
        <v>0.12488828422475995</v>
      </c>
      <c r="T536" s="29">
        <f t="shared" ca="1" si="82"/>
        <v>129</v>
      </c>
      <c r="V536" s="22">
        <v>45081</v>
      </c>
      <c r="W536" s="26">
        <f t="shared" ca="1" si="92"/>
        <v>0.91971768607519766</v>
      </c>
      <c r="X536" s="29">
        <f t="shared" ca="1" si="83"/>
        <v>247</v>
      </c>
      <c r="Z536" s="22">
        <v>45081</v>
      </c>
      <c r="AA536" s="26">
        <f t="shared" ca="1" si="93"/>
        <v>0.63587379930704602</v>
      </c>
      <c r="AB536" s="29">
        <f t="shared" ca="1" si="84"/>
        <v>277</v>
      </c>
      <c r="AC536"/>
      <c r="AD536" s="25"/>
      <c r="AF536" s="22">
        <v>45081</v>
      </c>
      <c r="AG536" s="26">
        <f t="shared" ca="1" si="94"/>
        <v>0.90942179090574371</v>
      </c>
      <c r="AH536" s="29">
        <f t="shared" ca="1" si="85"/>
        <v>444</v>
      </c>
      <c r="AJ536" s="22">
        <v>45081</v>
      </c>
      <c r="AK536" s="26">
        <f t="shared" ca="1" si="95"/>
        <v>6.6016159220890769E-2</v>
      </c>
      <c r="AL536" s="29">
        <f t="shared" ca="1" si="86"/>
        <v>102</v>
      </c>
      <c r="AN536" s="22">
        <v>45081</v>
      </c>
      <c r="AO536" s="26">
        <f t="shared" ca="1" si="96"/>
        <v>0.83283496629486575</v>
      </c>
      <c r="AP536" s="29">
        <f t="shared" ca="1" si="87"/>
        <v>292</v>
      </c>
      <c r="AR536" s="22">
        <v>45081</v>
      </c>
      <c r="AS536" s="26">
        <f t="shared" ca="1" si="97"/>
        <v>0.72709230382514678</v>
      </c>
      <c r="AT536" s="29">
        <v>0</v>
      </c>
      <c r="AV536" s="22">
        <v>45081</v>
      </c>
      <c r="AW536" s="26">
        <f t="shared" ca="1" si="98"/>
        <v>0.4144224645450274</v>
      </c>
      <c r="AX536" s="29">
        <v>0</v>
      </c>
      <c r="AZ536" s="22">
        <v>45081</v>
      </c>
      <c r="BA536" s="26">
        <f t="shared" ca="1" si="99"/>
        <v>0.25628192656340609</v>
      </c>
      <c r="BB536" s="29">
        <v>0</v>
      </c>
      <c r="BC536"/>
      <c r="BD536" s="25"/>
      <c r="BF536" s="22">
        <v>45081</v>
      </c>
      <c r="BG536" s="26">
        <f t="shared" ca="1" si="100"/>
        <v>0.9998008882315953</v>
      </c>
      <c r="BH536" s="29">
        <v>0</v>
      </c>
      <c r="BJ536" s="22">
        <v>45081</v>
      </c>
      <c r="BK536" s="26">
        <f t="shared" ca="1" si="101"/>
        <v>0.22656604113049628</v>
      </c>
      <c r="BL536" s="29">
        <v>0</v>
      </c>
      <c r="BN536" s="22">
        <v>45081</v>
      </c>
      <c r="BO536" s="26">
        <f t="shared" ca="1" si="102"/>
        <v>0.25745857297827335</v>
      </c>
      <c r="BP536" s="29">
        <v>0</v>
      </c>
      <c r="BR536" s="22">
        <v>45081</v>
      </c>
      <c r="BS536" s="26">
        <f t="shared" ca="1" si="103"/>
        <v>0.81688887355756978</v>
      </c>
      <c r="BT536" s="29">
        <v>0</v>
      </c>
      <c r="BV536" s="22">
        <v>45081</v>
      </c>
      <c r="BW536" s="26">
        <f t="shared" ca="1" si="104"/>
        <v>0.45251043172903616</v>
      </c>
      <c r="BX536" s="29">
        <v>0</v>
      </c>
    </row>
    <row r="537" spans="2:77" ht="12.75" x14ac:dyDescent="0.2">
      <c r="B537" s="22">
        <v>45082</v>
      </c>
      <c r="C537" s="26">
        <f t="shared" ca="1" si="68"/>
        <v>0.56174806982848058</v>
      </c>
      <c r="D537" s="29">
        <f t="shared" ca="1" si="105"/>
        <v>79</v>
      </c>
      <c r="F537" s="22">
        <v>45082</v>
      </c>
      <c r="G537" s="26">
        <f t="shared" ca="1" si="88"/>
        <v>0.6261832775019307</v>
      </c>
      <c r="H537" s="29">
        <f t="shared" ca="1" si="79"/>
        <v>221</v>
      </c>
      <c r="J537" s="22">
        <v>45082</v>
      </c>
      <c r="K537" s="26">
        <f t="shared" ca="1" si="89"/>
        <v>0.33049574750982091</v>
      </c>
      <c r="L537" s="29">
        <f t="shared" ca="1" si="80"/>
        <v>146</v>
      </c>
      <c r="N537" s="22">
        <v>45082</v>
      </c>
      <c r="O537" s="26">
        <f t="shared" ca="1" si="90"/>
        <v>0.56189469727253205</v>
      </c>
      <c r="P537" s="29">
        <f t="shared" ca="1" si="81"/>
        <v>232</v>
      </c>
      <c r="R537" s="22">
        <v>45082</v>
      </c>
      <c r="S537" s="26">
        <f t="shared" ca="1" si="91"/>
        <v>0.67345649938605923</v>
      </c>
      <c r="T537" s="29">
        <f t="shared" ca="1" si="82"/>
        <v>143</v>
      </c>
      <c r="V537" s="22">
        <v>45082</v>
      </c>
      <c r="W537" s="26">
        <f t="shared" ca="1" si="92"/>
        <v>0.15454160451334442</v>
      </c>
      <c r="X537" s="29">
        <f t="shared" ca="1" si="83"/>
        <v>210</v>
      </c>
      <c r="Z537" s="22">
        <v>45082</v>
      </c>
      <c r="AA537" s="26">
        <f t="shared" ca="1" si="93"/>
        <v>0.20807363783613098</v>
      </c>
      <c r="AB537" s="29">
        <f t="shared" ca="1" si="84"/>
        <v>256</v>
      </c>
      <c r="AC537"/>
      <c r="AD537" s="25"/>
      <c r="AF537" s="22">
        <v>45082</v>
      </c>
      <c r="AG537" s="26">
        <f t="shared" ca="1" si="94"/>
        <v>0.5782884864388439</v>
      </c>
      <c r="AH537" s="29">
        <f t="shared" ca="1" si="85"/>
        <v>345</v>
      </c>
      <c r="AJ537" s="22">
        <v>45082</v>
      </c>
      <c r="AK537" s="26">
        <f t="shared" ca="1" si="95"/>
        <v>0.92791903837297052</v>
      </c>
      <c r="AL537" s="29">
        <f t="shared" ca="1" si="86"/>
        <v>237</v>
      </c>
      <c r="AN537" s="22">
        <v>45082</v>
      </c>
      <c r="AO537" s="26">
        <f t="shared" ca="1" si="96"/>
        <v>0.26130510557552022</v>
      </c>
      <c r="AP537" s="29">
        <f t="shared" ca="1" si="87"/>
        <v>193</v>
      </c>
      <c r="AR537" s="22">
        <v>45082</v>
      </c>
      <c r="AS537" s="26">
        <f t="shared" ca="1" si="97"/>
        <v>6.1959715985926422E-3</v>
      </c>
      <c r="AT537" s="29">
        <v>0</v>
      </c>
      <c r="AV537" s="22">
        <v>45082</v>
      </c>
      <c r="AW537" s="26">
        <f t="shared" ca="1" si="98"/>
        <v>0.53142755297738109</v>
      </c>
      <c r="AX537" s="29">
        <v>0</v>
      </c>
      <c r="AZ537" s="22">
        <v>45082</v>
      </c>
      <c r="BA537" s="26">
        <f t="shared" ca="1" si="99"/>
        <v>0.64093754655804391</v>
      </c>
      <c r="BB537" s="29">
        <v>0</v>
      </c>
      <c r="BC537"/>
      <c r="BD537" s="25"/>
      <c r="BF537" s="22">
        <v>45082</v>
      </c>
      <c r="BG537" s="26">
        <f t="shared" ca="1" si="100"/>
        <v>0.73082512892196594</v>
      </c>
      <c r="BH537" s="29">
        <v>0</v>
      </c>
      <c r="BJ537" s="22">
        <v>45082</v>
      </c>
      <c r="BK537" s="26">
        <f t="shared" ca="1" si="101"/>
        <v>0.80723451121191692</v>
      </c>
      <c r="BL537" s="29">
        <v>0</v>
      </c>
      <c r="BN537" s="22">
        <v>45082</v>
      </c>
      <c r="BO537" s="26">
        <f t="shared" ca="1" si="102"/>
        <v>0.45618751311358519</v>
      </c>
      <c r="BP537" s="29">
        <v>0</v>
      </c>
      <c r="BR537" s="22">
        <v>45082</v>
      </c>
      <c r="BS537" s="26">
        <f t="shared" ca="1" si="103"/>
        <v>0.37287579892443179</v>
      </c>
      <c r="BT537" s="29">
        <v>0</v>
      </c>
      <c r="BV537" s="22">
        <v>45082</v>
      </c>
      <c r="BW537" s="26">
        <f t="shared" ca="1" si="104"/>
        <v>0.88403129623413146</v>
      </c>
      <c r="BX537" s="29">
        <v>0</v>
      </c>
    </row>
    <row r="538" spans="2:77" ht="12.75" x14ac:dyDescent="0.2">
      <c r="B538" s="22">
        <v>45083</v>
      </c>
      <c r="C538" s="26">
        <f t="shared" ca="1" si="68"/>
        <v>0.62096931034650016</v>
      </c>
      <c r="D538" s="29">
        <f t="shared" ca="1" si="105"/>
        <v>82</v>
      </c>
      <c r="F538" s="22">
        <v>45083</v>
      </c>
      <c r="G538" s="26">
        <f t="shared" ca="1" si="88"/>
        <v>0.59052033183186525</v>
      </c>
      <c r="H538" s="29">
        <f t="shared" ca="1" si="79"/>
        <v>219</v>
      </c>
      <c r="J538" s="22">
        <v>45083</v>
      </c>
      <c r="K538" s="26">
        <f t="shared" ca="1" si="89"/>
        <v>6.6823349777046959E-2</v>
      </c>
      <c r="L538" s="29">
        <f t="shared" ca="1" si="80"/>
        <v>136</v>
      </c>
      <c r="N538" s="22">
        <v>45083</v>
      </c>
      <c r="O538" s="26">
        <f t="shared" ca="1" si="90"/>
        <v>0.37423345970171906</v>
      </c>
      <c r="P538" s="29">
        <f t="shared" ca="1" si="81"/>
        <v>225</v>
      </c>
      <c r="R538" s="22">
        <v>45083</v>
      </c>
      <c r="S538" s="26">
        <f t="shared" ca="1" si="91"/>
        <v>0.81732356509071313</v>
      </c>
      <c r="T538" s="29">
        <f t="shared" ca="1" si="82"/>
        <v>148</v>
      </c>
      <c r="V538" s="22">
        <v>45083</v>
      </c>
      <c r="W538" s="26">
        <f t="shared" ca="1" si="92"/>
        <v>0.70298979069370826</v>
      </c>
      <c r="X538" s="29">
        <f t="shared" ca="1" si="83"/>
        <v>233</v>
      </c>
      <c r="Z538" s="22">
        <v>45083</v>
      </c>
      <c r="AA538" s="26">
        <f t="shared" ca="1" si="93"/>
        <v>0.19796718514207678</v>
      </c>
      <c r="AB538" s="29">
        <f t="shared" ca="1" si="84"/>
        <v>255</v>
      </c>
      <c r="AC538"/>
      <c r="AD538" s="25"/>
      <c r="AF538" s="22">
        <v>45083</v>
      </c>
      <c r="AG538" s="26">
        <f t="shared" ca="1" si="94"/>
        <v>0.96921675762075865</v>
      </c>
      <c r="AH538" s="29">
        <f t="shared" ca="1" si="85"/>
        <v>491</v>
      </c>
      <c r="AJ538" s="22">
        <v>45083</v>
      </c>
      <c r="AK538" s="26">
        <f t="shared" ca="1" si="95"/>
        <v>0.1381274809073687</v>
      </c>
      <c r="AL538" s="29">
        <f t="shared" ca="1" si="86"/>
        <v>121</v>
      </c>
      <c r="AN538" s="22">
        <v>45083</v>
      </c>
      <c r="AO538" s="26">
        <f t="shared" ca="1" si="96"/>
        <v>4.6714761772403413E-2</v>
      </c>
      <c r="AP538" s="29">
        <f t="shared" ca="1" si="87"/>
        <v>129</v>
      </c>
      <c r="AR538" s="22">
        <v>45083</v>
      </c>
      <c r="AS538" s="26">
        <f t="shared" ca="1" si="97"/>
        <v>0.93668546801402019</v>
      </c>
      <c r="AT538" s="29">
        <v>0</v>
      </c>
      <c r="AV538" s="22">
        <v>45083</v>
      </c>
      <c r="AW538" s="26">
        <f t="shared" ca="1" si="98"/>
        <v>0.47561211878202969</v>
      </c>
      <c r="AX538" s="29">
        <v>0</v>
      </c>
      <c r="AZ538" s="22">
        <v>45083</v>
      </c>
      <c r="BA538" s="26">
        <f t="shared" ca="1" si="99"/>
        <v>0.87222919833796664</v>
      </c>
      <c r="BB538" s="29">
        <v>0</v>
      </c>
      <c r="BC538"/>
      <c r="BD538" s="25"/>
      <c r="BF538" s="22">
        <v>45083</v>
      </c>
      <c r="BG538" s="26">
        <f t="shared" ca="1" si="100"/>
        <v>0.72185856982561858</v>
      </c>
      <c r="BH538" s="29">
        <v>0</v>
      </c>
      <c r="BJ538" s="22">
        <v>45083</v>
      </c>
      <c r="BK538" s="26">
        <f t="shared" ca="1" si="101"/>
        <v>0.70783967185881358</v>
      </c>
      <c r="BL538" s="29">
        <v>0</v>
      </c>
      <c r="BN538" s="22">
        <v>45083</v>
      </c>
      <c r="BO538" s="26">
        <f t="shared" ca="1" si="102"/>
        <v>0.88385230525722325</v>
      </c>
      <c r="BP538" s="29">
        <v>0</v>
      </c>
      <c r="BR538" s="22">
        <v>45083</v>
      </c>
      <c r="BS538" s="26">
        <f t="shared" ca="1" si="103"/>
        <v>0.64053666266258313</v>
      </c>
      <c r="BT538" s="29">
        <v>0</v>
      </c>
      <c r="BV538" s="22">
        <v>45083</v>
      </c>
      <c r="BW538" s="26">
        <f t="shared" ca="1" si="104"/>
        <v>0.74098321153471214</v>
      </c>
      <c r="BX538" s="29">
        <v>0</v>
      </c>
    </row>
    <row r="539" spans="2:77" ht="12.75" x14ac:dyDescent="0.2">
      <c r="B539" s="22">
        <v>45084</v>
      </c>
      <c r="C539" s="26">
        <f t="shared" ca="1" si="68"/>
        <v>0.82400569123897494</v>
      </c>
      <c r="D539" s="29">
        <f t="shared" ca="1" si="105"/>
        <v>94</v>
      </c>
      <c r="F539" s="22">
        <v>45084</v>
      </c>
      <c r="G539" s="26">
        <f t="shared" ca="1" si="88"/>
        <v>0.60005208849313207</v>
      </c>
      <c r="H539" s="29">
        <f t="shared" ca="1" si="79"/>
        <v>220</v>
      </c>
      <c r="J539" s="22">
        <v>45084</v>
      </c>
      <c r="K539" s="26">
        <f t="shared" ca="1" si="89"/>
        <v>0.91314009357985881</v>
      </c>
      <c r="L539" s="29">
        <f t="shared" ca="1" si="80"/>
        <v>164</v>
      </c>
      <c r="N539" s="22">
        <v>45084</v>
      </c>
      <c r="O539" s="26">
        <f t="shared" ca="1" si="90"/>
        <v>0.63568183048335303</v>
      </c>
      <c r="P539" s="29">
        <f t="shared" ca="1" si="81"/>
        <v>235</v>
      </c>
      <c r="R539" s="22">
        <v>45084</v>
      </c>
      <c r="S539" s="26">
        <f t="shared" ca="1" si="91"/>
        <v>0.5708525329631905</v>
      </c>
      <c r="T539" s="29">
        <f t="shared" ca="1" si="82"/>
        <v>141</v>
      </c>
      <c r="V539" s="22">
        <v>45084</v>
      </c>
      <c r="W539" s="26">
        <f t="shared" ca="1" si="92"/>
        <v>0.37026886487820243</v>
      </c>
      <c r="X539" s="29">
        <f t="shared" ca="1" si="83"/>
        <v>221</v>
      </c>
      <c r="Z539" s="22">
        <v>45084</v>
      </c>
      <c r="AA539" s="26">
        <f t="shared" ca="1" si="93"/>
        <v>0.64191931109631095</v>
      </c>
      <c r="AB539" s="29">
        <f t="shared" ca="1" si="84"/>
        <v>277</v>
      </c>
      <c r="AC539"/>
      <c r="AD539" s="25"/>
      <c r="AF539" s="22">
        <v>45084</v>
      </c>
      <c r="AG539" s="26">
        <f t="shared" ca="1" si="94"/>
        <v>0.21858179519355714</v>
      </c>
      <c r="AH539" s="29">
        <f t="shared" ca="1" si="85"/>
        <v>260</v>
      </c>
      <c r="AJ539" s="22">
        <v>45084</v>
      </c>
      <c r="AK539" s="26">
        <f t="shared" ca="1" si="95"/>
        <v>0.59023437259412126</v>
      </c>
      <c r="AL539" s="29">
        <f t="shared" ca="1" si="86"/>
        <v>181</v>
      </c>
      <c r="AN539" s="22">
        <v>45084</v>
      </c>
      <c r="AO539" s="26">
        <f t="shared" ca="1" si="96"/>
        <v>0.67255225734116597</v>
      </c>
      <c r="AP539" s="29">
        <f t="shared" ca="1" si="87"/>
        <v>260</v>
      </c>
      <c r="AR539" s="22">
        <v>45084</v>
      </c>
      <c r="AS539" s="26">
        <f t="shared" ca="1" si="97"/>
        <v>0.43640823944258611</v>
      </c>
      <c r="AT539" s="29">
        <v>0</v>
      </c>
      <c r="AV539" s="22">
        <v>45084</v>
      </c>
      <c r="AW539" s="26">
        <f t="shared" ca="1" si="98"/>
        <v>0.85985787012489912</v>
      </c>
      <c r="AX539" s="29">
        <v>0</v>
      </c>
      <c r="AZ539" s="22">
        <v>45084</v>
      </c>
      <c r="BA539" s="26">
        <f t="shared" ca="1" si="99"/>
        <v>0.72702894892672543</v>
      </c>
      <c r="BB539" s="29">
        <v>0</v>
      </c>
      <c r="BC539"/>
      <c r="BD539" s="25"/>
      <c r="BF539" s="22">
        <v>45084</v>
      </c>
      <c r="BG539" s="26">
        <f t="shared" ca="1" si="100"/>
        <v>0.50660295937172917</v>
      </c>
      <c r="BH539" s="29">
        <v>0</v>
      </c>
      <c r="BJ539" s="22">
        <v>45084</v>
      </c>
      <c r="BK539" s="26">
        <f t="shared" ca="1" si="101"/>
        <v>0.706879209534228</v>
      </c>
      <c r="BL539" s="29">
        <v>0</v>
      </c>
      <c r="BN539" s="22">
        <v>45084</v>
      </c>
      <c r="BO539" s="26">
        <f t="shared" ca="1" si="102"/>
        <v>0.19661102266416663</v>
      </c>
      <c r="BP539" s="29">
        <v>0</v>
      </c>
      <c r="BR539" s="22">
        <v>45084</v>
      </c>
      <c r="BS539" s="26">
        <f t="shared" ca="1" si="103"/>
        <v>0.95029827989884053</v>
      </c>
      <c r="BT539" s="29">
        <v>0</v>
      </c>
      <c r="BV539" s="22">
        <v>45084</v>
      </c>
      <c r="BW539" s="26">
        <f t="shared" ca="1" si="104"/>
        <v>0.37733781143625211</v>
      </c>
      <c r="BX539" s="29">
        <v>0</v>
      </c>
    </row>
    <row r="540" spans="2:77" ht="12.75" x14ac:dyDescent="0.2">
      <c r="B540" s="22">
        <v>45085</v>
      </c>
      <c r="C540" s="26">
        <f t="shared" ca="1" si="68"/>
        <v>4.7705174858201249E-2</v>
      </c>
      <c r="D540" s="29">
        <f t="shared" ca="1" si="105"/>
        <v>42</v>
      </c>
      <c r="F540" s="22">
        <v>45085</v>
      </c>
      <c r="G540" s="26">
        <f t="shared" ca="1" si="88"/>
        <v>0.19996190892547472</v>
      </c>
      <c r="H540" s="29">
        <f t="shared" ca="1" si="79"/>
        <v>204</v>
      </c>
      <c r="J540" s="22">
        <v>45085</v>
      </c>
      <c r="K540" s="26">
        <f t="shared" ca="1" si="89"/>
        <v>0.33455469571845009</v>
      </c>
      <c r="L540" s="29">
        <f t="shared" ca="1" si="80"/>
        <v>146</v>
      </c>
      <c r="N540" s="22">
        <v>45085</v>
      </c>
      <c r="O540" s="26">
        <f t="shared" ca="1" si="90"/>
        <v>0.77786992995982629</v>
      </c>
      <c r="P540" s="29">
        <f t="shared" ca="1" si="81"/>
        <v>242</v>
      </c>
      <c r="R540" s="22">
        <v>45085</v>
      </c>
      <c r="S540" s="26">
        <f t="shared" ca="1" si="91"/>
        <v>0.83495414082106789</v>
      </c>
      <c r="T540" s="29">
        <f t="shared" ca="1" si="82"/>
        <v>148</v>
      </c>
      <c r="V540" s="22">
        <v>45085</v>
      </c>
      <c r="W540" s="26">
        <f t="shared" ca="1" si="92"/>
        <v>0.9877746836912944</v>
      </c>
      <c r="X540" s="29">
        <f t="shared" ca="1" si="83"/>
        <v>259</v>
      </c>
      <c r="Z540" s="22">
        <v>45085</v>
      </c>
      <c r="AA540" s="26">
        <f t="shared" ca="1" si="93"/>
        <v>0.24713130096430169</v>
      </c>
      <c r="AB540" s="29">
        <f t="shared" ca="1" si="84"/>
        <v>258</v>
      </c>
      <c r="AC540"/>
      <c r="AD540" s="25"/>
      <c r="AF540" s="22">
        <v>45085</v>
      </c>
      <c r="AG540" s="26">
        <f t="shared" ca="1" si="94"/>
        <v>0.11245872785677558</v>
      </c>
      <c r="AH540" s="29">
        <f t="shared" ca="1" si="85"/>
        <v>222</v>
      </c>
      <c r="AJ540" s="22">
        <v>45085</v>
      </c>
      <c r="AK540" s="26">
        <f t="shared" ca="1" si="95"/>
        <v>0.60411988458873789</v>
      </c>
      <c r="AL540" s="29">
        <f t="shared" ca="1" si="86"/>
        <v>183</v>
      </c>
      <c r="AN540" s="22">
        <v>45085</v>
      </c>
      <c r="AO540" s="26">
        <f t="shared" ca="1" si="96"/>
        <v>0.6171398746704887</v>
      </c>
      <c r="AP540" s="29">
        <f t="shared" ca="1" si="87"/>
        <v>251</v>
      </c>
      <c r="AR540" s="22">
        <v>45085</v>
      </c>
      <c r="AS540" s="26">
        <f t="shared" ca="1" si="97"/>
        <v>0.78915524113951596</v>
      </c>
      <c r="AT540" s="29">
        <v>0</v>
      </c>
      <c r="AV540" s="22">
        <v>45085</v>
      </c>
      <c r="AW540" s="26">
        <f t="shared" ca="1" si="98"/>
        <v>0.51026772042650947</v>
      </c>
      <c r="AX540" s="29">
        <v>0</v>
      </c>
      <c r="AZ540" s="22">
        <v>45085</v>
      </c>
      <c r="BA540" s="26">
        <f t="shared" ca="1" si="99"/>
        <v>0.34742363202131088</v>
      </c>
      <c r="BB540" s="29">
        <v>0</v>
      </c>
      <c r="BC540"/>
      <c r="BD540" s="25"/>
      <c r="BF540" s="22">
        <v>45085</v>
      </c>
      <c r="BG540" s="26">
        <f t="shared" ca="1" si="100"/>
        <v>0.24360209751896167</v>
      </c>
      <c r="BH540" s="29">
        <v>0</v>
      </c>
      <c r="BJ540" s="22">
        <v>45085</v>
      </c>
      <c r="BK540" s="26">
        <f t="shared" ca="1" si="101"/>
        <v>0.90745209504785085</v>
      </c>
      <c r="BL540" s="29">
        <v>0</v>
      </c>
      <c r="BN540" s="22">
        <v>45085</v>
      </c>
      <c r="BO540" s="26">
        <f t="shared" ca="1" si="102"/>
        <v>0.73370041693777233</v>
      </c>
      <c r="BP540" s="29">
        <v>0</v>
      </c>
      <c r="BR540" s="22">
        <v>45085</v>
      </c>
      <c r="BS540" s="26">
        <f t="shared" ca="1" si="103"/>
        <v>0.23896789501450832</v>
      </c>
      <c r="BT540" s="29">
        <v>0</v>
      </c>
      <c r="BV540" s="22">
        <v>45085</v>
      </c>
      <c r="BW540" s="26">
        <f t="shared" ca="1" si="104"/>
        <v>0.33649860095165174</v>
      </c>
      <c r="BX540" s="29">
        <v>0</v>
      </c>
    </row>
    <row r="541" spans="2:77" ht="12.75" x14ac:dyDescent="0.2">
      <c r="B541" s="22">
        <v>45086</v>
      </c>
      <c r="C541" s="26">
        <f t="shared" ca="1" si="68"/>
        <v>0.90182474128243795</v>
      </c>
      <c r="D541" s="29">
        <f t="shared" ca="1" si="105"/>
        <v>101</v>
      </c>
      <c r="F541" s="22">
        <v>45086</v>
      </c>
      <c r="G541" s="26">
        <f t="shared" ca="1" si="88"/>
        <v>0.77833311715649289</v>
      </c>
      <c r="H541" s="29">
        <f t="shared" ca="1" si="79"/>
        <v>227</v>
      </c>
      <c r="J541" s="22">
        <v>45086</v>
      </c>
      <c r="K541" s="26">
        <f t="shared" ca="1" si="89"/>
        <v>0.86717329875875504</v>
      </c>
      <c r="L541" s="29">
        <f t="shared" ca="1" si="80"/>
        <v>162</v>
      </c>
      <c r="N541" s="22">
        <v>45086</v>
      </c>
      <c r="O541" s="26">
        <f t="shared" ca="1" si="90"/>
        <v>0.98622020975608493</v>
      </c>
      <c r="P541" s="29">
        <f t="shared" ca="1" si="81"/>
        <v>264</v>
      </c>
      <c r="R541" s="22">
        <v>45086</v>
      </c>
      <c r="S541" s="26">
        <f t="shared" ca="1" si="91"/>
        <v>0.4700110184576648</v>
      </c>
      <c r="T541" s="29">
        <f t="shared" ca="1" si="82"/>
        <v>139</v>
      </c>
      <c r="V541" s="22">
        <v>45086</v>
      </c>
      <c r="W541" s="26">
        <f t="shared" ca="1" si="92"/>
        <v>0.76736160961537048</v>
      </c>
      <c r="X541" s="29">
        <f t="shared" ca="1" si="83"/>
        <v>236</v>
      </c>
      <c r="Z541" s="22">
        <v>45086</v>
      </c>
      <c r="AA541" s="26">
        <f t="shared" ca="1" si="93"/>
        <v>0.75098289387199857</v>
      </c>
      <c r="AB541" s="29">
        <f t="shared" ca="1" si="84"/>
        <v>283</v>
      </c>
      <c r="AC541"/>
      <c r="AD541" s="25"/>
      <c r="AF541" s="22">
        <v>45086</v>
      </c>
      <c r="AG541" s="26">
        <f t="shared" ca="1" si="94"/>
        <v>0.42197883674388614</v>
      </c>
      <c r="AH541" s="29">
        <f t="shared" ca="1" si="85"/>
        <v>310</v>
      </c>
      <c r="AJ541" s="22">
        <v>45086</v>
      </c>
      <c r="AK541" s="26">
        <f t="shared" ca="1" si="95"/>
        <v>0.24950527564344593</v>
      </c>
      <c r="AL541" s="29">
        <f t="shared" ca="1" si="86"/>
        <v>140</v>
      </c>
      <c r="AN541" s="22">
        <v>45086</v>
      </c>
      <c r="AO541" s="26">
        <f t="shared" ca="1" si="96"/>
        <v>0.43375648549128643</v>
      </c>
      <c r="AP541" s="29">
        <f t="shared" ca="1" si="87"/>
        <v>222</v>
      </c>
      <c r="AR541" s="22">
        <v>45086</v>
      </c>
      <c r="AS541" s="26">
        <f t="shared" ca="1" si="97"/>
        <v>0.70738808008360055</v>
      </c>
      <c r="AT541" s="29">
        <v>0</v>
      </c>
      <c r="AV541" s="22">
        <v>45086</v>
      </c>
      <c r="AW541" s="26">
        <f t="shared" ca="1" si="98"/>
        <v>4.0363559556062301E-2</v>
      </c>
      <c r="AX541" s="29">
        <v>0</v>
      </c>
      <c r="AZ541" s="22">
        <v>45086</v>
      </c>
      <c r="BA541" s="26">
        <f t="shared" ca="1" si="99"/>
        <v>0.40621925938693526</v>
      </c>
      <c r="BB541" s="29">
        <v>0</v>
      </c>
      <c r="BC541"/>
      <c r="BD541" s="25"/>
      <c r="BF541" s="22">
        <v>45086</v>
      </c>
      <c r="BG541" s="26">
        <f t="shared" ca="1" si="100"/>
        <v>0.7824404375670202</v>
      </c>
      <c r="BH541" s="29">
        <v>0</v>
      </c>
      <c r="BJ541" s="22">
        <v>45086</v>
      </c>
      <c r="BK541" s="26">
        <f t="shared" ca="1" si="101"/>
        <v>0.80924582289553093</v>
      </c>
      <c r="BL541" s="29">
        <v>0</v>
      </c>
      <c r="BN541" s="22">
        <v>45086</v>
      </c>
      <c r="BO541" s="26">
        <f t="shared" ca="1" si="102"/>
        <v>0.27719093112313764</v>
      </c>
      <c r="BP541" s="29">
        <v>0</v>
      </c>
      <c r="BR541" s="22">
        <v>45086</v>
      </c>
      <c r="BS541" s="26">
        <f t="shared" ca="1" si="103"/>
        <v>0.9566444099348187</v>
      </c>
      <c r="BT541" s="29">
        <v>0</v>
      </c>
      <c r="BV541" s="22">
        <v>45086</v>
      </c>
      <c r="BW541" s="26">
        <f t="shared" ca="1" si="104"/>
        <v>0.55128677146783056</v>
      </c>
      <c r="BX541" s="29">
        <v>0</v>
      </c>
    </row>
    <row r="542" spans="2:77" ht="12.75" x14ac:dyDescent="0.2">
      <c r="B542" s="22">
        <v>45087</v>
      </c>
      <c r="C542" s="26">
        <f t="shared" ca="1" si="68"/>
        <v>0.82368600605491482</v>
      </c>
      <c r="D542" s="29">
        <f t="shared" ca="1" si="105"/>
        <v>94</v>
      </c>
      <c r="F542" s="22">
        <v>45087</v>
      </c>
      <c r="G542" s="26">
        <f t="shared" ca="1" si="88"/>
        <v>0.75446936949485843</v>
      </c>
      <c r="H542" s="29">
        <f t="shared" ca="1" si="79"/>
        <v>226</v>
      </c>
      <c r="J542" s="22">
        <v>45087</v>
      </c>
      <c r="K542" s="26">
        <f t="shared" ca="1" si="89"/>
        <v>0.21192814287920381</v>
      </c>
      <c r="L542" s="29">
        <f t="shared" ca="1" si="80"/>
        <v>143</v>
      </c>
      <c r="N542" s="22">
        <v>45087</v>
      </c>
      <c r="O542" s="26">
        <f t="shared" ca="1" si="90"/>
        <v>9.7916280139250578E-2</v>
      </c>
      <c r="P542" s="29">
        <f t="shared" ca="1" si="81"/>
        <v>210</v>
      </c>
      <c r="R542" s="22">
        <v>45087</v>
      </c>
      <c r="S542" s="26">
        <f t="shared" ca="1" si="91"/>
        <v>0.68678568920850092</v>
      </c>
      <c r="T542" s="29">
        <f t="shared" ca="1" si="82"/>
        <v>144</v>
      </c>
      <c r="V542" s="22">
        <v>45087</v>
      </c>
      <c r="W542" s="26">
        <f t="shared" ca="1" si="92"/>
        <v>0.52825026710108169</v>
      </c>
      <c r="X542" s="29">
        <f t="shared" ca="1" si="83"/>
        <v>227</v>
      </c>
      <c r="Z542" s="22">
        <v>45087</v>
      </c>
      <c r="AA542" s="26">
        <f t="shared" ca="1" si="93"/>
        <v>0.25209394854380152</v>
      </c>
      <c r="AB542" s="29">
        <f t="shared" ca="1" si="84"/>
        <v>258</v>
      </c>
      <c r="AC542"/>
      <c r="AD542" s="25"/>
      <c r="AF542" s="22">
        <v>45087</v>
      </c>
      <c r="AG542" s="26">
        <f t="shared" ca="1" si="94"/>
        <v>0.92559686788513018</v>
      </c>
      <c r="AH542" s="29">
        <f t="shared" ca="1" si="85"/>
        <v>453</v>
      </c>
      <c r="AJ542" s="22">
        <v>45087</v>
      </c>
      <c r="AK542" s="26">
        <f t="shared" ca="1" si="95"/>
        <v>0.39832299030561791</v>
      </c>
      <c r="AL542" s="29">
        <f t="shared" ca="1" si="86"/>
        <v>159</v>
      </c>
      <c r="AN542" s="22">
        <v>45087</v>
      </c>
      <c r="AO542" s="26">
        <f t="shared" ca="1" si="96"/>
        <v>0.97048126671460933</v>
      </c>
      <c r="AP542" s="29">
        <f t="shared" ca="1" si="87"/>
        <v>349</v>
      </c>
      <c r="AR542" s="22">
        <v>45087</v>
      </c>
      <c r="AS542" s="26">
        <f t="shared" ca="1" si="97"/>
        <v>0.13700715349150894</v>
      </c>
      <c r="AT542" s="29">
        <v>0</v>
      </c>
      <c r="AV542" s="22">
        <v>45087</v>
      </c>
      <c r="AW542" s="26">
        <f t="shared" ca="1" si="98"/>
        <v>0.79191664128999062</v>
      </c>
      <c r="AX542" s="29">
        <v>0</v>
      </c>
      <c r="AZ542" s="22">
        <v>45087</v>
      </c>
      <c r="BA542" s="26">
        <f t="shared" ca="1" si="99"/>
        <v>0.76234095573304228</v>
      </c>
      <c r="BB542" s="29">
        <v>0</v>
      </c>
      <c r="BC542"/>
      <c r="BD542" s="25"/>
      <c r="BF542" s="22">
        <v>45087</v>
      </c>
      <c r="BG542" s="26">
        <f t="shared" ca="1" si="100"/>
        <v>0.40793851446594287</v>
      </c>
      <c r="BH542" s="29">
        <v>0</v>
      </c>
      <c r="BJ542" s="22">
        <v>45087</v>
      </c>
      <c r="BK542" s="26">
        <f t="shared" ca="1" si="101"/>
        <v>0.23645198549151725</v>
      </c>
      <c r="BL542" s="29">
        <v>0</v>
      </c>
      <c r="BN542" s="22">
        <v>45087</v>
      </c>
      <c r="BO542" s="26">
        <f t="shared" ca="1" si="102"/>
        <v>7.9469115545674263E-2</v>
      </c>
      <c r="BP542" s="29">
        <v>0</v>
      </c>
      <c r="BR542" s="22">
        <v>45087</v>
      </c>
      <c r="BS542" s="26">
        <f t="shared" ca="1" si="103"/>
        <v>7.6713927110427127E-2</v>
      </c>
      <c r="BT542" s="29">
        <v>0</v>
      </c>
      <c r="BV542" s="22">
        <v>45087</v>
      </c>
      <c r="BW542" s="26">
        <f t="shared" ca="1" si="104"/>
        <v>0.27058947465227834</v>
      </c>
      <c r="BX542" s="29">
        <v>0</v>
      </c>
    </row>
    <row r="543" spans="2:77" ht="12.75" x14ac:dyDescent="0.2">
      <c r="B543" s="22">
        <v>45088</v>
      </c>
      <c r="C543" s="26">
        <f t="shared" ca="1" si="68"/>
        <v>0.52272907102025301</v>
      </c>
      <c r="D543" s="29">
        <f t="shared" ca="1" si="105"/>
        <v>77</v>
      </c>
      <c r="F543" s="22">
        <v>45088</v>
      </c>
      <c r="G543" s="26">
        <f t="shared" ca="1" si="88"/>
        <v>2.6878788525803277E-2</v>
      </c>
      <c r="H543" s="29">
        <f t="shared" ca="1" si="79"/>
        <v>188</v>
      </c>
      <c r="J543" s="22">
        <v>45088</v>
      </c>
      <c r="K543" s="26">
        <f t="shared" ca="1" si="89"/>
        <v>0.33352919935008529</v>
      </c>
      <c r="L543" s="29">
        <f t="shared" ca="1" si="80"/>
        <v>146</v>
      </c>
      <c r="N543" s="22">
        <v>45088</v>
      </c>
      <c r="O543" s="26">
        <f t="shared" ca="1" si="90"/>
        <v>0.37661653656150595</v>
      </c>
      <c r="P543" s="29">
        <f t="shared" ca="1" si="81"/>
        <v>225</v>
      </c>
      <c r="R543" s="22">
        <v>45088</v>
      </c>
      <c r="S543" s="26">
        <f t="shared" ca="1" si="91"/>
        <v>0.96603426287449634</v>
      </c>
      <c r="T543" s="29">
        <f t="shared" ca="1" si="82"/>
        <v>156</v>
      </c>
      <c r="V543" s="22">
        <v>45088</v>
      </c>
      <c r="W543" s="26">
        <f t="shared" ca="1" si="92"/>
        <v>0.37237270488426311</v>
      </c>
      <c r="X543" s="29">
        <f t="shared" ca="1" si="83"/>
        <v>221</v>
      </c>
      <c r="Z543" s="22">
        <v>45088</v>
      </c>
      <c r="AA543" s="26">
        <f t="shared" ca="1" si="93"/>
        <v>0.39462725460111636</v>
      </c>
      <c r="AB543" s="29">
        <f t="shared" ca="1" si="84"/>
        <v>266</v>
      </c>
      <c r="AC543"/>
      <c r="AD543" s="25"/>
      <c r="AF543" s="22">
        <v>45088</v>
      </c>
      <c r="AG543" s="26">
        <f t="shared" ca="1" si="94"/>
        <v>0.27025536195435762</v>
      </c>
      <c r="AH543" s="29">
        <f t="shared" ca="1" si="85"/>
        <v>274</v>
      </c>
      <c r="AJ543" s="22">
        <v>45088</v>
      </c>
      <c r="AK543" s="26">
        <f t="shared" ca="1" si="95"/>
        <v>0.94211712221661226</v>
      </c>
      <c r="AL543" s="29">
        <f t="shared" ca="1" si="86"/>
        <v>242</v>
      </c>
      <c r="AN543" s="22">
        <v>45088</v>
      </c>
      <c r="AO543" s="26">
        <f t="shared" ca="1" si="96"/>
        <v>0.85575832908328386</v>
      </c>
      <c r="AP543" s="29">
        <f t="shared" ca="1" si="87"/>
        <v>298</v>
      </c>
      <c r="AR543" s="22">
        <v>45088</v>
      </c>
      <c r="AS543" s="26">
        <f t="shared" ca="1" si="97"/>
        <v>0.81861664370214082</v>
      </c>
      <c r="AT543" s="29">
        <v>0</v>
      </c>
      <c r="AV543" s="22">
        <v>45088</v>
      </c>
      <c r="AW543" s="26">
        <f t="shared" ca="1" si="98"/>
        <v>0.64555846078903067</v>
      </c>
      <c r="AX543" s="29">
        <v>0</v>
      </c>
      <c r="AZ543" s="22">
        <v>45088</v>
      </c>
      <c r="BA543" s="26">
        <f t="shared" ca="1" si="99"/>
        <v>0.74245609568310866</v>
      </c>
      <c r="BB543" s="29">
        <v>0</v>
      </c>
      <c r="BC543"/>
      <c r="BD543" s="25"/>
      <c r="BF543" s="22">
        <v>45088</v>
      </c>
      <c r="BG543" s="26">
        <f t="shared" ca="1" si="100"/>
        <v>0.51142883478645385</v>
      </c>
      <c r="BH543" s="29">
        <v>0</v>
      </c>
      <c r="BJ543" s="22">
        <v>45088</v>
      </c>
      <c r="BK543" s="26">
        <f t="shared" ca="1" si="101"/>
        <v>0.57679140133345497</v>
      </c>
      <c r="BL543" s="29">
        <v>0</v>
      </c>
      <c r="BN543" s="22">
        <v>45088</v>
      </c>
      <c r="BO543" s="26">
        <f t="shared" ca="1" si="102"/>
        <v>0.67547999286956995</v>
      </c>
      <c r="BP543" s="29">
        <v>0</v>
      </c>
      <c r="BR543" s="22">
        <v>45088</v>
      </c>
      <c r="BS543" s="26">
        <f t="shared" ca="1" si="103"/>
        <v>0.21733802693272397</v>
      </c>
      <c r="BT543" s="29">
        <v>0</v>
      </c>
      <c r="BV543" s="22">
        <v>45088</v>
      </c>
      <c r="BW543" s="26">
        <f t="shared" ca="1" si="104"/>
        <v>0.31894116423895058</v>
      </c>
      <c r="BX543" s="29">
        <v>0</v>
      </c>
    </row>
    <row r="544" spans="2:77" ht="12.75" x14ac:dyDescent="0.2">
      <c r="B544" s="22">
        <v>45089</v>
      </c>
      <c r="C544" s="26">
        <f t="shared" ca="1" si="68"/>
        <v>0.45080692027395264</v>
      </c>
      <c r="D544" s="29">
        <f t="shared" ca="1" si="105"/>
        <v>73</v>
      </c>
      <c r="F544" s="22">
        <v>45089</v>
      </c>
      <c r="G544" s="26">
        <f t="shared" ca="1" si="88"/>
        <v>0.74410702716136978</v>
      </c>
      <c r="H544" s="29">
        <f t="shared" ca="1" si="79"/>
        <v>225</v>
      </c>
      <c r="J544" s="22">
        <v>45089</v>
      </c>
      <c r="K544" s="26">
        <f t="shared" ca="1" si="89"/>
        <v>0.24076290007466761</v>
      </c>
      <c r="L544" s="29">
        <f t="shared" ca="1" si="80"/>
        <v>143</v>
      </c>
      <c r="N544" s="22">
        <v>45089</v>
      </c>
      <c r="O544" s="26">
        <f t="shared" ca="1" si="90"/>
        <v>0.70433136252215334</v>
      </c>
      <c r="P544" s="29">
        <f t="shared" ca="1" si="81"/>
        <v>238</v>
      </c>
      <c r="R544" s="22">
        <v>45089</v>
      </c>
      <c r="S544" s="26">
        <f t="shared" ca="1" si="91"/>
        <v>0.77210426906174201</v>
      </c>
      <c r="T544" s="29">
        <f t="shared" ca="1" si="82"/>
        <v>146</v>
      </c>
      <c r="V544" s="22">
        <v>45089</v>
      </c>
      <c r="W544" s="26">
        <f t="shared" ca="1" si="92"/>
        <v>0.52418477476356296</v>
      </c>
      <c r="X544" s="29">
        <f t="shared" ca="1" si="83"/>
        <v>226</v>
      </c>
      <c r="Z544" s="22">
        <v>45089</v>
      </c>
      <c r="AA544" s="26">
        <f t="shared" ca="1" si="93"/>
        <v>0.48026903123825893</v>
      </c>
      <c r="AB544" s="29">
        <f t="shared" ca="1" si="84"/>
        <v>270</v>
      </c>
      <c r="AC544"/>
      <c r="AD544" s="25"/>
      <c r="AF544" s="22">
        <v>45089</v>
      </c>
      <c r="AG544" s="26">
        <f t="shared" ca="1" si="94"/>
        <v>0.56630456813570851</v>
      </c>
      <c r="AH544" s="29">
        <f t="shared" ca="1" si="85"/>
        <v>342</v>
      </c>
      <c r="AJ544" s="22">
        <v>45089</v>
      </c>
      <c r="AK544" s="26">
        <f t="shared" ca="1" si="95"/>
        <v>0.94463301853499426</v>
      </c>
      <c r="AL544" s="29">
        <f t="shared" ca="1" si="86"/>
        <v>243</v>
      </c>
      <c r="AN544" s="22">
        <v>45089</v>
      </c>
      <c r="AO544" s="26">
        <f t="shared" ca="1" si="96"/>
        <v>6.3091746531594328E-2</v>
      </c>
      <c r="AP544" s="29">
        <f t="shared" ca="1" si="87"/>
        <v>138</v>
      </c>
      <c r="AR544" s="22">
        <v>45089</v>
      </c>
      <c r="AS544" s="26">
        <f t="shared" ca="1" si="97"/>
        <v>0.25792175983021126</v>
      </c>
      <c r="AT544" s="29">
        <v>0</v>
      </c>
      <c r="AV544" s="22">
        <v>45089</v>
      </c>
      <c r="AW544" s="26">
        <f t="shared" ca="1" si="98"/>
        <v>0.53015184154155892</v>
      </c>
      <c r="AX544" s="29">
        <v>0</v>
      </c>
      <c r="AZ544" s="22">
        <v>45089</v>
      </c>
      <c r="BA544" s="26">
        <f t="shared" ca="1" si="99"/>
        <v>0.23575883098412587</v>
      </c>
      <c r="BB544" s="29">
        <v>0</v>
      </c>
      <c r="BC544"/>
      <c r="BD544" s="25"/>
      <c r="BF544" s="22">
        <v>45089</v>
      </c>
      <c r="BG544" s="26">
        <f t="shared" ca="1" si="100"/>
        <v>0.57279075068256147</v>
      </c>
      <c r="BH544" s="29">
        <v>0</v>
      </c>
      <c r="BJ544" s="22">
        <v>45089</v>
      </c>
      <c r="BK544" s="26">
        <f t="shared" ca="1" si="101"/>
        <v>3.0048233291393389E-2</v>
      </c>
      <c r="BL544" s="29">
        <v>0</v>
      </c>
      <c r="BN544" s="22">
        <v>45089</v>
      </c>
      <c r="BO544" s="26">
        <f t="shared" ca="1" si="102"/>
        <v>6.5973446006797776E-2</v>
      </c>
      <c r="BP544" s="29">
        <v>0</v>
      </c>
      <c r="BR544" s="22">
        <v>45089</v>
      </c>
      <c r="BS544" s="26">
        <f t="shared" ca="1" si="103"/>
        <v>0.57034956007398641</v>
      </c>
      <c r="BT544" s="29">
        <v>0</v>
      </c>
      <c r="BV544" s="22">
        <v>45089</v>
      </c>
      <c r="BW544" s="26">
        <f t="shared" ca="1" si="104"/>
        <v>0.25189660533762248</v>
      </c>
      <c r="BX544" s="29">
        <v>0</v>
      </c>
    </row>
    <row r="545" spans="2:76" ht="12.75" x14ac:dyDescent="0.2">
      <c r="B545" s="22">
        <v>45090</v>
      </c>
      <c r="C545" s="26">
        <f t="shared" ca="1" si="68"/>
        <v>9.2861199461061084E-2</v>
      </c>
      <c r="D545" s="29">
        <f t="shared" ca="1" si="105"/>
        <v>49</v>
      </c>
      <c r="F545" s="22">
        <v>45090</v>
      </c>
      <c r="G545" s="26">
        <f t="shared" ca="1" si="88"/>
        <v>0.95922015117203774</v>
      </c>
      <c r="H545" s="29">
        <f t="shared" ca="1" si="79"/>
        <v>241</v>
      </c>
      <c r="J545" s="22">
        <v>45090</v>
      </c>
      <c r="K545" s="26">
        <f t="shared" ca="1" si="89"/>
        <v>0.59443370976520604</v>
      </c>
      <c r="L545" s="29">
        <f t="shared" ca="1" si="80"/>
        <v>153</v>
      </c>
      <c r="N545" s="22">
        <v>45090</v>
      </c>
      <c r="O545" s="26">
        <f t="shared" ca="1" si="90"/>
        <v>0.23072826348144604</v>
      </c>
      <c r="P545" s="29">
        <f t="shared" ca="1" si="81"/>
        <v>219</v>
      </c>
      <c r="R545" s="22">
        <v>45090</v>
      </c>
      <c r="S545" s="26">
        <f t="shared" ca="1" si="91"/>
        <v>0.87771552939385622</v>
      </c>
      <c r="T545" s="29">
        <f t="shared" ca="1" si="82"/>
        <v>150</v>
      </c>
      <c r="V545" s="22">
        <v>45090</v>
      </c>
      <c r="W545" s="26">
        <f t="shared" ca="1" si="92"/>
        <v>0.8606466678456911</v>
      </c>
      <c r="X545" s="29">
        <f t="shared" ca="1" si="83"/>
        <v>242</v>
      </c>
      <c r="Z545" s="22">
        <v>45090</v>
      </c>
      <c r="AA545" s="26">
        <f t="shared" ca="1" si="93"/>
        <v>0.37194021795888954</v>
      </c>
      <c r="AB545" s="29">
        <f t="shared" ca="1" si="84"/>
        <v>265</v>
      </c>
      <c r="AC545"/>
      <c r="AD545" s="25"/>
      <c r="AF545" s="22">
        <v>45090</v>
      </c>
      <c r="AG545" s="26">
        <f t="shared" ca="1" si="94"/>
        <v>3.5284176128401845E-2</v>
      </c>
      <c r="AH545" s="29">
        <f t="shared" ca="1" si="85"/>
        <v>170</v>
      </c>
      <c r="AJ545" s="22">
        <v>45090</v>
      </c>
      <c r="AK545" s="26">
        <f t="shared" ca="1" si="95"/>
        <v>0.54320236683180401</v>
      </c>
      <c r="AL545" s="29">
        <f t="shared" ca="1" si="86"/>
        <v>176</v>
      </c>
      <c r="AN545" s="22">
        <v>45090</v>
      </c>
      <c r="AO545" s="26">
        <f t="shared" ca="1" si="96"/>
        <v>0.68641732280428847</v>
      </c>
      <c r="AP545" s="29">
        <f t="shared" ca="1" si="87"/>
        <v>263</v>
      </c>
      <c r="AR545" s="22">
        <v>45090</v>
      </c>
      <c r="AS545" s="26">
        <f t="shared" ca="1" si="97"/>
        <v>0.93329271470516106</v>
      </c>
      <c r="AT545" s="29">
        <v>0</v>
      </c>
      <c r="AV545" s="22">
        <v>45090</v>
      </c>
      <c r="AW545" s="26">
        <f t="shared" ca="1" si="98"/>
        <v>0.44737389613735512</v>
      </c>
      <c r="AX545" s="29">
        <v>0</v>
      </c>
      <c r="AZ545" s="22">
        <v>45090</v>
      </c>
      <c r="BA545" s="26">
        <f t="shared" ca="1" si="99"/>
        <v>0.1022029010147707</v>
      </c>
      <c r="BB545" s="29">
        <v>0</v>
      </c>
      <c r="BC545"/>
      <c r="BD545" s="25"/>
      <c r="BF545" s="22">
        <v>45090</v>
      </c>
      <c r="BG545" s="26">
        <f t="shared" ca="1" si="100"/>
        <v>0.50916905030462234</v>
      </c>
      <c r="BH545" s="29">
        <v>0</v>
      </c>
      <c r="BJ545" s="22">
        <v>45090</v>
      </c>
      <c r="BK545" s="26">
        <f t="shared" ca="1" si="101"/>
        <v>0.72807018739676799</v>
      </c>
      <c r="BL545" s="29">
        <v>0</v>
      </c>
      <c r="BN545" s="22">
        <v>45090</v>
      </c>
      <c r="BO545" s="26">
        <f t="shared" ca="1" si="102"/>
        <v>0.58037118311327496</v>
      </c>
      <c r="BP545" s="29">
        <v>0</v>
      </c>
      <c r="BR545" s="22">
        <v>45090</v>
      </c>
      <c r="BS545" s="26">
        <f t="shared" ca="1" si="103"/>
        <v>0.42608240607429904</v>
      </c>
      <c r="BT545" s="29">
        <v>0</v>
      </c>
      <c r="BV545" s="22">
        <v>45090</v>
      </c>
      <c r="BW545" s="26">
        <f t="shared" ca="1" si="104"/>
        <v>0.81113863889131466</v>
      </c>
      <c r="BX545" s="29">
        <v>0</v>
      </c>
    </row>
    <row r="546" spans="2:76" ht="12.75" x14ac:dyDescent="0.2">
      <c r="B546" s="22">
        <v>45091</v>
      </c>
      <c r="C546" s="26">
        <f t="shared" ca="1" si="68"/>
        <v>0.42797406027567197</v>
      </c>
      <c r="D546" s="29">
        <f t="shared" ca="1" si="105"/>
        <v>72</v>
      </c>
      <c r="F546" s="22">
        <v>45091</v>
      </c>
      <c r="G546" s="26">
        <f t="shared" ca="1" si="88"/>
        <v>0.42743495969641054</v>
      </c>
      <c r="H546" s="29">
        <f t="shared" ca="1" si="79"/>
        <v>213</v>
      </c>
      <c r="J546" s="22">
        <v>45091</v>
      </c>
      <c r="K546" s="26">
        <f t="shared" ca="1" si="89"/>
        <v>0.26842885597957666</v>
      </c>
      <c r="L546" s="29">
        <f t="shared" ca="1" si="80"/>
        <v>144</v>
      </c>
      <c r="N546" s="22">
        <v>45091</v>
      </c>
      <c r="O546" s="26">
        <f t="shared" ca="1" si="90"/>
        <v>0.32426788818718566</v>
      </c>
      <c r="P546" s="29">
        <f t="shared" ca="1" si="81"/>
        <v>223</v>
      </c>
      <c r="R546" s="22">
        <v>45091</v>
      </c>
      <c r="S546" s="26">
        <f t="shared" ca="1" si="91"/>
        <v>0.61818159391870775</v>
      </c>
      <c r="T546" s="29">
        <f t="shared" ca="1" si="82"/>
        <v>142</v>
      </c>
      <c r="V546" s="22">
        <v>45091</v>
      </c>
      <c r="W546" s="26">
        <f t="shared" ca="1" si="92"/>
        <v>0.72764053707009413</v>
      </c>
      <c r="X546" s="29">
        <f t="shared" ca="1" si="83"/>
        <v>235</v>
      </c>
      <c r="Z546" s="22">
        <v>45091</v>
      </c>
      <c r="AA546" s="26">
        <f t="shared" ca="1" si="93"/>
        <v>3.2412102772000906E-2</v>
      </c>
      <c r="AB546" s="29">
        <f t="shared" ca="1" si="84"/>
        <v>237</v>
      </c>
      <c r="AC546"/>
      <c r="AD546" s="25"/>
      <c r="AF546" s="22">
        <v>45091</v>
      </c>
      <c r="AG546" s="26">
        <f t="shared" ca="1" si="94"/>
        <v>0.3549183507605036</v>
      </c>
      <c r="AH546" s="29">
        <f t="shared" ca="1" si="85"/>
        <v>295</v>
      </c>
      <c r="AJ546" s="22">
        <v>45091</v>
      </c>
      <c r="AK546" s="26">
        <f t="shared" ca="1" si="95"/>
        <v>0.42033340239326911</v>
      </c>
      <c r="AL546" s="29">
        <f t="shared" ca="1" si="86"/>
        <v>162</v>
      </c>
      <c r="AN546" s="22">
        <v>45091</v>
      </c>
      <c r="AO546" s="26">
        <f t="shared" ca="1" si="96"/>
        <v>0.80195871029324695</v>
      </c>
      <c r="AP546" s="29">
        <f t="shared" ca="1" si="87"/>
        <v>285</v>
      </c>
      <c r="AR546" s="22">
        <v>45091</v>
      </c>
      <c r="AS546" s="26">
        <f t="shared" ca="1" si="97"/>
        <v>0.28880868322207176</v>
      </c>
      <c r="AT546" s="29">
        <v>0</v>
      </c>
      <c r="AV546" s="22">
        <v>45091</v>
      </c>
      <c r="AW546" s="26">
        <f t="shared" ca="1" si="98"/>
        <v>0.58755180947250019</v>
      </c>
      <c r="AX546" s="29">
        <v>0</v>
      </c>
      <c r="AZ546" s="22">
        <v>45091</v>
      </c>
      <c r="BA546" s="26">
        <f t="shared" ca="1" si="99"/>
        <v>0.78213754674160429</v>
      </c>
      <c r="BB546" s="29">
        <v>0</v>
      </c>
      <c r="BC546"/>
      <c r="BD546" s="25"/>
      <c r="BF546" s="22">
        <v>45091</v>
      </c>
      <c r="BG546" s="26">
        <f t="shared" ca="1" si="100"/>
        <v>2.8099309314640553E-2</v>
      </c>
      <c r="BH546" s="29">
        <v>0</v>
      </c>
      <c r="BJ546" s="22">
        <v>45091</v>
      </c>
      <c r="BK546" s="26">
        <f t="shared" ca="1" si="101"/>
        <v>0.34914633102372805</v>
      </c>
      <c r="BL546" s="29">
        <v>0</v>
      </c>
      <c r="BN546" s="22">
        <v>45091</v>
      </c>
      <c r="BO546" s="26">
        <f t="shared" ca="1" si="102"/>
        <v>5.9941265814270284E-2</v>
      </c>
      <c r="BP546" s="29">
        <v>0</v>
      </c>
      <c r="BR546" s="22">
        <v>45091</v>
      </c>
      <c r="BS546" s="26">
        <f t="shared" ca="1" si="103"/>
        <v>0.11122523837967246</v>
      </c>
      <c r="BT546" s="29">
        <v>0</v>
      </c>
      <c r="BV546" s="22">
        <v>45091</v>
      </c>
      <c r="BW546" s="26">
        <f t="shared" ca="1" si="104"/>
        <v>2.0296416372278525E-4</v>
      </c>
      <c r="BX546" s="29">
        <v>0</v>
      </c>
    </row>
    <row r="547" spans="2:76" ht="12.75" x14ac:dyDescent="0.2">
      <c r="B547" s="22">
        <v>45092</v>
      </c>
      <c r="C547" s="26">
        <f t="shared" ca="1" si="68"/>
        <v>0.98354212985594036</v>
      </c>
      <c r="D547" s="29">
        <f t="shared" ca="1" si="105"/>
        <v>118</v>
      </c>
      <c r="F547" s="22">
        <v>45092</v>
      </c>
      <c r="G547" s="26">
        <f t="shared" ca="1" si="88"/>
        <v>0.15885051669023675</v>
      </c>
      <c r="H547" s="29">
        <f t="shared" ca="1" si="79"/>
        <v>202</v>
      </c>
      <c r="J547" s="22">
        <v>45092</v>
      </c>
      <c r="K547" s="26">
        <f t="shared" ca="1" si="89"/>
        <v>0.69501490624735307</v>
      </c>
      <c r="L547" s="29">
        <f t="shared" ca="1" si="80"/>
        <v>156</v>
      </c>
      <c r="N547" s="22">
        <v>45092</v>
      </c>
      <c r="O547" s="26">
        <f t="shared" ca="1" si="90"/>
        <v>0.25062856515621623</v>
      </c>
      <c r="P547" s="29">
        <f t="shared" ca="1" si="81"/>
        <v>220</v>
      </c>
      <c r="R547" s="22">
        <v>45092</v>
      </c>
      <c r="S547" s="26">
        <f t="shared" ca="1" si="91"/>
        <v>0.29456898227570405</v>
      </c>
      <c r="T547" s="29">
        <f t="shared" ca="1" si="82"/>
        <v>134</v>
      </c>
      <c r="V547" s="22">
        <v>45092</v>
      </c>
      <c r="W547" s="26">
        <f t="shared" ca="1" si="92"/>
        <v>0.62491960714370809</v>
      </c>
      <c r="X547" s="29">
        <f t="shared" ca="1" si="83"/>
        <v>230</v>
      </c>
      <c r="Z547" s="22">
        <v>45092</v>
      </c>
      <c r="AA547" s="26">
        <f t="shared" ca="1" si="93"/>
        <v>0.37594907342953021</v>
      </c>
      <c r="AB547" s="29">
        <f t="shared" ca="1" si="84"/>
        <v>265</v>
      </c>
      <c r="AC547"/>
      <c r="AD547" s="25"/>
      <c r="AF547" s="22">
        <v>45092</v>
      </c>
      <c r="AG547" s="26">
        <f t="shared" ca="1" si="94"/>
        <v>0.53398738417613911</v>
      </c>
      <c r="AH547" s="29">
        <f t="shared" ca="1" si="85"/>
        <v>335</v>
      </c>
      <c r="AJ547" s="22">
        <v>45092</v>
      </c>
      <c r="AK547" s="26">
        <f t="shared" ca="1" si="95"/>
        <v>0.99299173231822746</v>
      </c>
      <c r="AL547" s="29">
        <f t="shared" ca="1" si="86"/>
        <v>283</v>
      </c>
      <c r="AN547" s="22">
        <v>45092</v>
      </c>
      <c r="AO547" s="26">
        <f t="shared" ca="1" si="96"/>
        <v>0.95455374460600562</v>
      </c>
      <c r="AP547" s="29">
        <f t="shared" ca="1" si="87"/>
        <v>337</v>
      </c>
      <c r="AR547" s="22">
        <v>45092</v>
      </c>
      <c r="AS547" s="26">
        <f t="shared" ca="1" si="97"/>
        <v>0.28901506497418361</v>
      </c>
      <c r="AT547" s="29">
        <v>0</v>
      </c>
      <c r="AV547" s="22">
        <v>45092</v>
      </c>
      <c r="AW547" s="26">
        <f t="shared" ca="1" si="98"/>
        <v>0.98800716928532073</v>
      </c>
      <c r="AX547" s="29">
        <v>0</v>
      </c>
      <c r="AZ547" s="22">
        <v>45092</v>
      </c>
      <c r="BA547" s="26">
        <f t="shared" ca="1" si="99"/>
        <v>0.77032807517320612</v>
      </c>
      <c r="BB547" s="29">
        <v>0</v>
      </c>
      <c r="BC547"/>
      <c r="BD547" s="25"/>
      <c r="BF547" s="22">
        <v>45092</v>
      </c>
      <c r="BG547" s="26">
        <f t="shared" ca="1" si="100"/>
        <v>0.51682695513716881</v>
      </c>
      <c r="BH547" s="29">
        <v>0</v>
      </c>
      <c r="BJ547" s="22">
        <v>45092</v>
      </c>
      <c r="BK547" s="26">
        <f t="shared" ca="1" si="101"/>
        <v>0.50604849256377016</v>
      </c>
      <c r="BL547" s="29">
        <v>0</v>
      </c>
      <c r="BN547" s="22">
        <v>45092</v>
      </c>
      <c r="BO547" s="26">
        <f t="shared" ca="1" si="102"/>
        <v>0.78080769137249328</v>
      </c>
      <c r="BP547" s="29">
        <v>0</v>
      </c>
      <c r="BR547" s="22">
        <v>45092</v>
      </c>
      <c r="BS547" s="26">
        <f t="shared" ca="1" si="103"/>
        <v>0.4379345329387565</v>
      </c>
      <c r="BT547" s="29">
        <v>0</v>
      </c>
      <c r="BV547" s="22">
        <v>45092</v>
      </c>
      <c r="BW547" s="26">
        <f t="shared" ca="1" si="104"/>
        <v>0.25802523580970838</v>
      </c>
      <c r="BX547" s="29">
        <v>0</v>
      </c>
    </row>
    <row r="548" spans="2:76" ht="12.75" x14ac:dyDescent="0.2">
      <c r="B548" s="22">
        <v>45093</v>
      </c>
      <c r="C548" s="26">
        <f t="shared" ca="1" si="68"/>
        <v>0.14171718536368472</v>
      </c>
      <c r="D548" s="29">
        <f t="shared" ca="1" si="105"/>
        <v>54</v>
      </c>
      <c r="F548" s="22">
        <v>45093</v>
      </c>
      <c r="G548" s="26">
        <f t="shared" ca="1" si="88"/>
        <v>0.25628621491611125</v>
      </c>
      <c r="H548" s="29">
        <f t="shared" ca="1" si="79"/>
        <v>206</v>
      </c>
      <c r="J548" s="22">
        <v>45093</v>
      </c>
      <c r="K548" s="26">
        <f t="shared" ca="1" si="89"/>
        <v>0.1155151943706213</v>
      </c>
      <c r="L548" s="29">
        <f t="shared" ca="1" si="80"/>
        <v>139</v>
      </c>
      <c r="N548" s="22">
        <v>45093</v>
      </c>
      <c r="O548" s="26">
        <f t="shared" ca="1" si="90"/>
        <v>0.89525409819533208</v>
      </c>
      <c r="P548" s="29">
        <f t="shared" ca="1" si="81"/>
        <v>249</v>
      </c>
      <c r="R548" s="22">
        <v>45093</v>
      </c>
      <c r="S548" s="26">
        <f t="shared" ca="1" si="91"/>
        <v>0.75225092411823336</v>
      </c>
      <c r="T548" s="29">
        <f t="shared" ca="1" si="82"/>
        <v>146</v>
      </c>
      <c r="V548" s="22">
        <v>45093</v>
      </c>
      <c r="W548" s="26">
        <f t="shared" ca="1" si="92"/>
        <v>0.82843373492117967</v>
      </c>
      <c r="X548" s="29">
        <f t="shared" ca="1" si="83"/>
        <v>240</v>
      </c>
      <c r="Z548" s="22">
        <v>45093</v>
      </c>
      <c r="AA548" s="26">
        <f t="shared" ca="1" si="93"/>
        <v>0.63604707743057265</v>
      </c>
      <c r="AB548" s="29">
        <f t="shared" ca="1" si="84"/>
        <v>277</v>
      </c>
      <c r="AC548"/>
      <c r="AD548" s="25"/>
      <c r="AF548" s="22">
        <v>45093</v>
      </c>
      <c r="AG548" s="26">
        <f t="shared" ca="1" si="94"/>
        <v>0.39677818498108119</v>
      </c>
      <c r="AH548" s="29">
        <f t="shared" ca="1" si="85"/>
        <v>305</v>
      </c>
      <c r="AJ548" s="22">
        <v>45093</v>
      </c>
      <c r="AK548" s="26">
        <f t="shared" ca="1" si="95"/>
        <v>7.5770401852771063E-2</v>
      </c>
      <c r="AL548" s="29">
        <f t="shared" ca="1" si="86"/>
        <v>106</v>
      </c>
      <c r="AN548" s="22">
        <v>45093</v>
      </c>
      <c r="AO548" s="26">
        <f t="shared" ca="1" si="96"/>
        <v>0.86234545992325806</v>
      </c>
      <c r="AP548" s="29">
        <f t="shared" ca="1" si="87"/>
        <v>300</v>
      </c>
      <c r="AR548" s="22">
        <v>45093</v>
      </c>
      <c r="AS548" s="26">
        <f t="shared" ca="1" si="97"/>
        <v>0.6359445481376963</v>
      </c>
      <c r="AT548" s="29">
        <v>0</v>
      </c>
      <c r="AV548" s="22">
        <v>45093</v>
      </c>
      <c r="AW548" s="26">
        <f t="shared" ca="1" si="98"/>
        <v>0.35041322653476381</v>
      </c>
      <c r="AX548" s="29">
        <v>0</v>
      </c>
      <c r="AZ548" s="22">
        <v>45093</v>
      </c>
      <c r="BA548" s="26">
        <f t="shared" ca="1" si="99"/>
        <v>7.1194785404973038E-2</v>
      </c>
      <c r="BB548" s="29">
        <v>0</v>
      </c>
      <c r="BC548"/>
      <c r="BD548" s="25"/>
      <c r="BF548" s="22">
        <v>45093</v>
      </c>
      <c r="BG548" s="26">
        <f t="shared" ca="1" si="100"/>
        <v>0.83643546995253149</v>
      </c>
      <c r="BH548" s="29">
        <v>0</v>
      </c>
      <c r="BJ548" s="22">
        <v>45093</v>
      </c>
      <c r="BK548" s="26">
        <f t="shared" ca="1" si="101"/>
        <v>0.1293547246528659</v>
      </c>
      <c r="BL548" s="29">
        <v>0</v>
      </c>
      <c r="BN548" s="22">
        <v>45093</v>
      </c>
      <c r="BO548" s="26">
        <f t="shared" ca="1" si="102"/>
        <v>5.9492924184596618E-2</v>
      </c>
      <c r="BP548" s="29">
        <v>0</v>
      </c>
      <c r="BR548" s="22">
        <v>45093</v>
      </c>
      <c r="BS548" s="26">
        <f t="shared" ca="1" si="103"/>
        <v>0.80935349202200413</v>
      </c>
      <c r="BT548" s="29">
        <v>0</v>
      </c>
      <c r="BV548" s="22">
        <v>45093</v>
      </c>
      <c r="BW548" s="26">
        <f t="shared" ca="1" si="104"/>
        <v>0.69915001063748505</v>
      </c>
      <c r="BX548" s="29">
        <v>0</v>
      </c>
    </row>
    <row r="549" spans="2:76" ht="12.75" x14ac:dyDescent="0.2">
      <c r="B549" s="22">
        <v>45094</v>
      </c>
      <c r="C549" s="26">
        <f t="shared" ca="1" si="68"/>
        <v>0.9814791129137872</v>
      </c>
      <c r="D549" s="29">
        <f t="shared" ca="1" si="105"/>
        <v>117</v>
      </c>
      <c r="F549" s="22">
        <v>45094</v>
      </c>
      <c r="G549" s="26">
        <f t="shared" ca="1" si="88"/>
        <v>0.88136684063993742</v>
      </c>
      <c r="H549" s="29">
        <f t="shared" ca="1" si="79"/>
        <v>233</v>
      </c>
      <c r="J549" s="22">
        <v>45094</v>
      </c>
      <c r="K549" s="26">
        <f t="shared" ca="1" si="89"/>
        <v>0.59091689660015556</v>
      </c>
      <c r="L549" s="29">
        <f t="shared" ca="1" si="80"/>
        <v>153</v>
      </c>
      <c r="N549" s="22">
        <v>45094</v>
      </c>
      <c r="O549" s="26">
        <f t="shared" ca="1" si="90"/>
        <v>0.91635990269201539</v>
      </c>
      <c r="P549" s="29">
        <f t="shared" ca="1" si="81"/>
        <v>251</v>
      </c>
      <c r="R549" s="22">
        <v>45094</v>
      </c>
      <c r="S549" s="26">
        <f t="shared" ca="1" si="91"/>
        <v>0.60755085699235689</v>
      </c>
      <c r="T549" s="29">
        <f t="shared" ca="1" si="82"/>
        <v>142</v>
      </c>
      <c r="V549" s="22">
        <v>45094</v>
      </c>
      <c r="W549" s="26">
        <f t="shared" ca="1" si="92"/>
        <v>0.40917076910604089</v>
      </c>
      <c r="X549" s="29">
        <f t="shared" ca="1" si="83"/>
        <v>222</v>
      </c>
      <c r="Z549" s="22">
        <v>45094</v>
      </c>
      <c r="AA549" s="26">
        <f t="shared" ca="1" si="93"/>
        <v>0.10390492664438455</v>
      </c>
      <c r="AB549" s="29">
        <f t="shared" ca="1" si="84"/>
        <v>248</v>
      </c>
      <c r="AC549"/>
      <c r="AD549" s="25"/>
      <c r="AF549" s="22">
        <v>45094</v>
      </c>
      <c r="AG549" s="26">
        <f t="shared" ca="1" si="94"/>
        <v>0.85308629787795598</v>
      </c>
      <c r="AH549" s="29">
        <f t="shared" ca="1" si="85"/>
        <v>419</v>
      </c>
      <c r="AJ549" s="22">
        <v>45094</v>
      </c>
      <c r="AK549" s="26">
        <f t="shared" ca="1" si="95"/>
        <v>0.73393046020057706</v>
      </c>
      <c r="AL549" s="29">
        <f t="shared" ca="1" si="86"/>
        <v>199</v>
      </c>
      <c r="AN549" s="22">
        <v>45094</v>
      </c>
      <c r="AO549" s="26">
        <f t="shared" ca="1" si="96"/>
        <v>0.16321575521508003</v>
      </c>
      <c r="AP549" s="29">
        <f t="shared" ca="1" si="87"/>
        <v>172</v>
      </c>
      <c r="AR549" s="22">
        <v>45094</v>
      </c>
      <c r="AS549" s="26">
        <f t="shared" ca="1" si="97"/>
        <v>0.93684177480831088</v>
      </c>
      <c r="AT549" s="29">
        <v>0</v>
      </c>
      <c r="AV549" s="22">
        <v>45094</v>
      </c>
      <c r="AW549" s="26">
        <f t="shared" ca="1" si="98"/>
        <v>0.42109804111949212</v>
      </c>
      <c r="AX549" s="29">
        <v>0</v>
      </c>
      <c r="AZ549" s="22">
        <v>45094</v>
      </c>
      <c r="BA549" s="26">
        <f t="shared" ca="1" si="99"/>
        <v>5.8697816810035164E-2</v>
      </c>
      <c r="BB549" s="29">
        <v>0</v>
      </c>
      <c r="BC549"/>
      <c r="BD549" s="25"/>
      <c r="BF549" s="22">
        <v>45094</v>
      </c>
      <c r="BG549" s="26">
        <f t="shared" ca="1" si="100"/>
        <v>0.78645911572809613</v>
      </c>
      <c r="BH549" s="29">
        <v>0</v>
      </c>
      <c r="BJ549" s="22">
        <v>45094</v>
      </c>
      <c r="BK549" s="26">
        <f t="shared" ca="1" si="101"/>
        <v>0.10918193307716861</v>
      </c>
      <c r="BL549" s="29">
        <v>0</v>
      </c>
      <c r="BN549" s="22">
        <v>45094</v>
      </c>
      <c r="BO549" s="26">
        <f t="shared" ca="1" si="102"/>
        <v>0.20942187132899892</v>
      </c>
      <c r="BP549" s="29">
        <v>0</v>
      </c>
      <c r="BR549" s="22">
        <v>45094</v>
      </c>
      <c r="BS549" s="26">
        <f t="shared" ca="1" si="103"/>
        <v>0.30539115101366698</v>
      </c>
      <c r="BT549" s="29">
        <v>0</v>
      </c>
      <c r="BV549" s="22">
        <v>45094</v>
      </c>
      <c r="BW549" s="26">
        <f t="shared" ca="1" si="104"/>
        <v>0.1377771913853757</v>
      </c>
      <c r="BX549" s="29">
        <v>0</v>
      </c>
    </row>
    <row r="550" spans="2:76" ht="12.75" x14ac:dyDescent="0.2">
      <c r="B550" s="22">
        <v>45095</v>
      </c>
      <c r="C550" s="26">
        <f t="shared" ca="1" si="68"/>
        <v>0.43591120557591134</v>
      </c>
      <c r="D550" s="29">
        <f t="shared" ca="1" si="105"/>
        <v>72</v>
      </c>
      <c r="F550" s="22">
        <v>45095</v>
      </c>
      <c r="G550" s="26">
        <f t="shared" ca="1" si="88"/>
        <v>4.751523833130078E-2</v>
      </c>
      <c r="H550" s="29">
        <f t="shared" ca="1" si="79"/>
        <v>192</v>
      </c>
      <c r="J550" s="22">
        <v>45095</v>
      </c>
      <c r="K550" s="26">
        <f t="shared" ca="1" si="89"/>
        <v>0.88358961978050776</v>
      </c>
      <c r="L550" s="29">
        <f t="shared" ca="1" si="80"/>
        <v>162</v>
      </c>
      <c r="N550" s="22">
        <v>45095</v>
      </c>
      <c r="O550" s="26">
        <f t="shared" ca="1" si="90"/>
        <v>0.79366421292836931</v>
      </c>
      <c r="P550" s="29">
        <f t="shared" ca="1" si="81"/>
        <v>242</v>
      </c>
      <c r="R550" s="22">
        <v>45095</v>
      </c>
      <c r="S550" s="26">
        <f t="shared" ca="1" si="91"/>
        <v>0.23330717336648887</v>
      </c>
      <c r="T550" s="29">
        <f t="shared" ca="1" si="82"/>
        <v>133</v>
      </c>
      <c r="V550" s="22">
        <v>45095</v>
      </c>
      <c r="W550" s="26">
        <f t="shared" ca="1" si="92"/>
        <v>4.7479552167755124E-2</v>
      </c>
      <c r="X550" s="29">
        <f t="shared" ca="1" si="83"/>
        <v>200</v>
      </c>
      <c r="Z550" s="22">
        <v>45095</v>
      </c>
      <c r="AA550" s="26">
        <f t="shared" ca="1" si="93"/>
        <v>0.7418194779513646</v>
      </c>
      <c r="AB550" s="29">
        <f t="shared" ca="1" si="84"/>
        <v>282</v>
      </c>
      <c r="AC550"/>
      <c r="AD550" s="25"/>
      <c r="AF550" s="22">
        <v>45095</v>
      </c>
      <c r="AG550" s="26">
        <f t="shared" ca="1" si="94"/>
        <v>0.13472349518770921</v>
      </c>
      <c r="AH550" s="29">
        <f t="shared" ca="1" si="85"/>
        <v>231</v>
      </c>
      <c r="AJ550" s="22">
        <v>45095</v>
      </c>
      <c r="AK550" s="26">
        <f t="shared" ca="1" si="95"/>
        <v>0.78532775549350653</v>
      </c>
      <c r="AL550" s="29">
        <f t="shared" ca="1" si="86"/>
        <v>207</v>
      </c>
      <c r="AN550" s="22">
        <v>45095</v>
      </c>
      <c r="AO550" s="26">
        <f t="shared" ca="1" si="96"/>
        <v>9.8862894792859368E-3</v>
      </c>
      <c r="AP550" s="29">
        <f t="shared" ca="1" si="87"/>
        <v>88</v>
      </c>
      <c r="AR550" s="22">
        <v>45095</v>
      </c>
      <c r="AS550" s="26">
        <f t="shared" ca="1" si="97"/>
        <v>0.50525256304315802</v>
      </c>
      <c r="AT550" s="29">
        <v>0</v>
      </c>
      <c r="AV550" s="22">
        <v>45095</v>
      </c>
      <c r="AW550" s="26">
        <f t="shared" ca="1" si="98"/>
        <v>0.92033904253233889</v>
      </c>
      <c r="AX550" s="29">
        <v>0</v>
      </c>
      <c r="AZ550" s="22">
        <v>45095</v>
      </c>
      <c r="BA550" s="26">
        <f t="shared" ca="1" si="99"/>
        <v>8.4094778210872967E-2</v>
      </c>
      <c r="BB550" s="29">
        <v>0</v>
      </c>
      <c r="BC550"/>
      <c r="BD550" s="25"/>
      <c r="BF550" s="22">
        <v>45095</v>
      </c>
      <c r="BG550" s="26">
        <f t="shared" ca="1" si="100"/>
        <v>0.8881086113296528</v>
      </c>
      <c r="BH550" s="29">
        <v>0</v>
      </c>
      <c r="BJ550" s="22">
        <v>45095</v>
      </c>
      <c r="BK550" s="26">
        <f t="shared" ca="1" si="101"/>
        <v>0.23224901476584625</v>
      </c>
      <c r="BL550" s="29">
        <v>0</v>
      </c>
      <c r="BN550" s="22">
        <v>45095</v>
      </c>
      <c r="BO550" s="26">
        <f t="shared" ca="1" si="102"/>
        <v>0.57151273694429716</v>
      </c>
      <c r="BP550" s="29">
        <v>0</v>
      </c>
      <c r="BR550" s="22">
        <v>45095</v>
      </c>
      <c r="BS550" s="26">
        <f t="shared" ca="1" si="103"/>
        <v>0.91851787978069765</v>
      </c>
      <c r="BT550" s="29">
        <v>0</v>
      </c>
      <c r="BV550" s="22">
        <v>45095</v>
      </c>
      <c r="BW550" s="26">
        <f t="shared" ca="1" si="104"/>
        <v>0.15625986421353411</v>
      </c>
      <c r="BX550" s="29">
        <v>0</v>
      </c>
    </row>
    <row r="551" spans="2:76" ht="12.75" x14ac:dyDescent="0.2">
      <c r="B551" s="22">
        <v>45096</v>
      </c>
      <c r="C551" s="26">
        <f t="shared" ca="1" si="68"/>
        <v>0.57525541313246886</v>
      </c>
      <c r="D551" s="29">
        <f t="shared" ca="1" si="105"/>
        <v>79</v>
      </c>
      <c r="F551" s="22">
        <v>45096</v>
      </c>
      <c r="G551" s="26">
        <f t="shared" ca="1" si="88"/>
        <v>0.40680128458150744</v>
      </c>
      <c r="H551" s="29">
        <f t="shared" ca="1" si="79"/>
        <v>213</v>
      </c>
      <c r="J551" s="22">
        <v>45096</v>
      </c>
      <c r="K551" s="26">
        <f t="shared" ca="1" si="89"/>
        <v>0.551794526739248</v>
      </c>
      <c r="L551" s="29">
        <f t="shared" ca="1" si="80"/>
        <v>152</v>
      </c>
      <c r="N551" s="22">
        <v>45096</v>
      </c>
      <c r="O551" s="26">
        <f t="shared" ca="1" si="90"/>
        <v>0.12890836683301332</v>
      </c>
      <c r="P551" s="29">
        <f t="shared" ca="1" si="81"/>
        <v>213</v>
      </c>
      <c r="R551" s="22">
        <v>45096</v>
      </c>
      <c r="S551" s="26">
        <f t="shared" ca="1" si="91"/>
        <v>0.84426533906316825</v>
      </c>
      <c r="T551" s="29">
        <f t="shared" ca="1" si="82"/>
        <v>149</v>
      </c>
      <c r="V551" s="22">
        <v>45096</v>
      </c>
      <c r="W551" s="26">
        <f t="shared" ca="1" si="92"/>
        <v>0.93564958895433026</v>
      </c>
      <c r="X551" s="29">
        <f t="shared" ca="1" si="83"/>
        <v>248</v>
      </c>
      <c r="Z551" s="22">
        <v>45096</v>
      </c>
      <c r="AA551" s="26">
        <f t="shared" ca="1" si="93"/>
        <v>3.0603278736111128E-2</v>
      </c>
      <c r="AB551" s="29">
        <f t="shared" ca="1" si="84"/>
        <v>237</v>
      </c>
      <c r="AC551"/>
      <c r="AD551" s="25"/>
      <c r="AF551" s="22">
        <v>45096</v>
      </c>
      <c r="AG551" s="26">
        <f t="shared" ca="1" si="94"/>
        <v>0.98811809543438411</v>
      </c>
      <c r="AH551" s="29">
        <f t="shared" ca="1" si="85"/>
        <v>525</v>
      </c>
      <c r="AJ551" s="22">
        <v>45096</v>
      </c>
      <c r="AK551" s="26">
        <f t="shared" ca="1" si="95"/>
        <v>0.5369929844568212</v>
      </c>
      <c r="AL551" s="29">
        <f t="shared" ca="1" si="86"/>
        <v>175</v>
      </c>
      <c r="AN551" s="22">
        <v>45096</v>
      </c>
      <c r="AO551" s="26">
        <f t="shared" ca="1" si="96"/>
        <v>0.36118547892259567</v>
      </c>
      <c r="AP551" s="29">
        <f t="shared" ca="1" si="87"/>
        <v>211</v>
      </c>
      <c r="AR551" s="22">
        <v>45096</v>
      </c>
      <c r="AS551" s="26">
        <f t="shared" ca="1" si="97"/>
        <v>0.99000255285558425</v>
      </c>
      <c r="AT551" s="29">
        <v>0</v>
      </c>
      <c r="AV551" s="22">
        <v>45096</v>
      </c>
      <c r="AW551" s="26">
        <f t="shared" ca="1" si="98"/>
        <v>0.79735529065512911</v>
      </c>
      <c r="AX551" s="29">
        <v>0</v>
      </c>
      <c r="AZ551" s="22">
        <v>45096</v>
      </c>
      <c r="BA551" s="26">
        <f t="shared" ca="1" si="99"/>
        <v>0.82907609610552147</v>
      </c>
      <c r="BB551" s="29">
        <v>0</v>
      </c>
      <c r="BC551"/>
      <c r="BD551" s="25"/>
      <c r="BF551" s="22">
        <v>45096</v>
      </c>
      <c r="BG551" s="26">
        <f t="shared" ca="1" si="100"/>
        <v>0.83342448385943702</v>
      </c>
      <c r="BH551" s="29">
        <v>0</v>
      </c>
      <c r="BJ551" s="22">
        <v>45096</v>
      </c>
      <c r="BK551" s="26">
        <f t="shared" ca="1" si="101"/>
        <v>0.38457955024422963</v>
      </c>
      <c r="BL551" s="29">
        <v>0</v>
      </c>
      <c r="BN551" s="22">
        <v>45096</v>
      </c>
      <c r="BO551" s="26">
        <f t="shared" ca="1" si="102"/>
        <v>0.49497886299927563</v>
      </c>
      <c r="BP551" s="29">
        <v>0</v>
      </c>
      <c r="BR551" s="22">
        <v>45096</v>
      </c>
      <c r="BS551" s="26">
        <f t="shared" ca="1" si="103"/>
        <v>0.77676200668618789</v>
      </c>
      <c r="BT551" s="29">
        <v>0</v>
      </c>
      <c r="BV551" s="22">
        <v>45096</v>
      </c>
      <c r="BW551" s="26">
        <f t="shared" ca="1" si="104"/>
        <v>0.36225301360872508</v>
      </c>
      <c r="BX551" s="29">
        <v>0</v>
      </c>
    </row>
    <row r="552" spans="2:76" ht="12.75" x14ac:dyDescent="0.2">
      <c r="B552" s="22">
        <v>45097</v>
      </c>
      <c r="C552" s="26">
        <f t="shared" ca="1" si="68"/>
        <v>0.63397547872469151</v>
      </c>
      <c r="D552" s="29">
        <f t="shared" ca="1" si="105"/>
        <v>82</v>
      </c>
      <c r="F552" s="22">
        <v>45097</v>
      </c>
      <c r="G552" s="26">
        <f t="shared" ca="1" si="88"/>
        <v>0.29549888743387165</v>
      </c>
      <c r="H552" s="29">
        <f t="shared" ca="1" si="79"/>
        <v>208</v>
      </c>
      <c r="J552" s="22">
        <v>45097</v>
      </c>
      <c r="K552" s="26">
        <f t="shared" ca="1" si="89"/>
        <v>0.91211314816347533</v>
      </c>
      <c r="L552" s="29">
        <f t="shared" ca="1" si="80"/>
        <v>164</v>
      </c>
      <c r="N552" s="22">
        <v>45097</v>
      </c>
      <c r="O552" s="26">
        <f t="shared" ca="1" si="90"/>
        <v>0.52741851561433817</v>
      </c>
      <c r="P552" s="29">
        <f t="shared" ca="1" si="81"/>
        <v>231</v>
      </c>
      <c r="R552" s="22">
        <v>45097</v>
      </c>
      <c r="S552" s="26">
        <f t="shared" ca="1" si="91"/>
        <v>0.76539322104675978</v>
      </c>
      <c r="T552" s="29">
        <f t="shared" ca="1" si="82"/>
        <v>146</v>
      </c>
      <c r="V552" s="22">
        <v>45097</v>
      </c>
      <c r="W552" s="26">
        <f t="shared" ca="1" si="92"/>
        <v>0.75297067457039413</v>
      </c>
      <c r="X552" s="29">
        <f t="shared" ca="1" si="83"/>
        <v>236</v>
      </c>
      <c r="Z552" s="22">
        <v>45097</v>
      </c>
      <c r="AA552" s="26">
        <f t="shared" ca="1" si="93"/>
        <v>2.2508432991961147E-2</v>
      </c>
      <c r="AB552" s="29">
        <f t="shared" ca="1" si="84"/>
        <v>234</v>
      </c>
      <c r="AC552"/>
      <c r="AD552" s="25"/>
      <c r="AF552" s="22">
        <v>45097</v>
      </c>
      <c r="AG552" s="26">
        <f t="shared" ca="1" si="94"/>
        <v>6.1862427912589335E-2</v>
      </c>
      <c r="AH552" s="29">
        <f t="shared" ca="1" si="85"/>
        <v>193</v>
      </c>
      <c r="AJ552" s="22">
        <v>45097</v>
      </c>
      <c r="AK552" s="26">
        <f t="shared" ca="1" si="95"/>
        <v>0.95328595096659086</v>
      </c>
      <c r="AL552" s="29">
        <f t="shared" ca="1" si="86"/>
        <v>247</v>
      </c>
      <c r="AN552" s="22">
        <v>45097</v>
      </c>
      <c r="AO552" s="26">
        <f t="shared" ca="1" si="96"/>
        <v>0.51373423807276786</v>
      </c>
      <c r="AP552" s="29">
        <f t="shared" ca="1" si="87"/>
        <v>235</v>
      </c>
      <c r="AR552" s="22">
        <v>45097</v>
      </c>
      <c r="AS552" s="26">
        <f t="shared" ca="1" si="97"/>
        <v>0.30237394491523772</v>
      </c>
      <c r="AT552" s="29">
        <v>0</v>
      </c>
      <c r="AV552" s="22">
        <v>45097</v>
      </c>
      <c r="AW552" s="26">
        <f t="shared" ca="1" si="98"/>
        <v>0.79090283709764098</v>
      </c>
      <c r="AX552" s="29">
        <v>0</v>
      </c>
      <c r="AZ552" s="22">
        <v>45097</v>
      </c>
      <c r="BA552" s="26">
        <f t="shared" ca="1" si="99"/>
        <v>0.45727896887485742</v>
      </c>
      <c r="BB552" s="29">
        <v>0</v>
      </c>
      <c r="BC552"/>
      <c r="BD552" s="25"/>
      <c r="BF552" s="22">
        <v>45097</v>
      </c>
      <c r="BG552" s="26">
        <f t="shared" ca="1" si="100"/>
        <v>0.14341043774145834</v>
      </c>
      <c r="BH552" s="29">
        <v>0</v>
      </c>
      <c r="BJ552" s="22">
        <v>45097</v>
      </c>
      <c r="BK552" s="26">
        <f t="shared" ca="1" si="101"/>
        <v>0.98382948454180641</v>
      </c>
      <c r="BL552" s="29">
        <v>0</v>
      </c>
      <c r="BN552" s="22">
        <v>45097</v>
      </c>
      <c r="BO552" s="26">
        <f t="shared" ca="1" si="102"/>
        <v>1.8242342408233081E-2</v>
      </c>
      <c r="BP552" s="29">
        <v>0</v>
      </c>
      <c r="BR552" s="22">
        <v>45097</v>
      </c>
      <c r="BS552" s="26">
        <f t="shared" ca="1" si="103"/>
        <v>0.46310956324718622</v>
      </c>
      <c r="BT552" s="29">
        <v>0</v>
      </c>
      <c r="BV552" s="22">
        <v>45097</v>
      </c>
      <c r="BW552" s="26">
        <f t="shared" ca="1" si="104"/>
        <v>0.39180868925171297</v>
      </c>
      <c r="BX552" s="29">
        <v>0</v>
      </c>
    </row>
    <row r="553" spans="2:76" ht="12.75" x14ac:dyDescent="0.2">
      <c r="B553" s="22">
        <v>45098</v>
      </c>
      <c r="C553" s="26">
        <f t="shared" ca="1" si="68"/>
        <v>0.70870489866951014</v>
      </c>
      <c r="D553" s="29">
        <f t="shared" ca="1" si="105"/>
        <v>86</v>
      </c>
      <c r="F553" s="22">
        <v>45098</v>
      </c>
      <c r="G553" s="26">
        <f t="shared" ca="1" si="88"/>
        <v>0.57373340057142819</v>
      </c>
      <c r="H553" s="29">
        <f t="shared" ca="1" si="79"/>
        <v>219</v>
      </c>
      <c r="J553" s="22">
        <v>45098</v>
      </c>
      <c r="K553" s="26">
        <f t="shared" ca="1" si="89"/>
        <v>0.36307171417925876</v>
      </c>
      <c r="L553" s="29">
        <f t="shared" ca="1" si="80"/>
        <v>147</v>
      </c>
      <c r="N553" s="22">
        <v>45098</v>
      </c>
      <c r="O553" s="26">
        <f t="shared" ca="1" si="90"/>
        <v>0.51958386945131374</v>
      </c>
      <c r="P553" s="29">
        <f t="shared" ca="1" si="81"/>
        <v>231</v>
      </c>
      <c r="R553" s="22">
        <v>45098</v>
      </c>
      <c r="S553" s="26">
        <f t="shared" ca="1" si="91"/>
        <v>0.67804894192222731</v>
      </c>
      <c r="T553" s="29">
        <f t="shared" ca="1" si="82"/>
        <v>144</v>
      </c>
      <c r="V553" s="22">
        <v>45098</v>
      </c>
      <c r="W553" s="26">
        <f t="shared" ca="1" si="92"/>
        <v>0.58589964883476298</v>
      </c>
      <c r="X553" s="29">
        <f t="shared" ca="1" si="83"/>
        <v>229</v>
      </c>
      <c r="Z553" s="22">
        <v>45098</v>
      </c>
      <c r="AA553" s="26">
        <f t="shared" ca="1" si="93"/>
        <v>0.43975391580044021</v>
      </c>
      <c r="AB553" s="29">
        <f t="shared" ca="1" si="84"/>
        <v>268</v>
      </c>
      <c r="AC553"/>
      <c r="AD553" s="25"/>
      <c r="AF553" s="22">
        <v>45098</v>
      </c>
      <c r="AG553" s="26">
        <f t="shared" ca="1" si="94"/>
        <v>0.58900142139329503</v>
      </c>
      <c r="AH553" s="29">
        <f t="shared" ca="1" si="85"/>
        <v>347</v>
      </c>
      <c r="AJ553" s="22">
        <v>45098</v>
      </c>
      <c r="AK553" s="26">
        <f t="shared" ca="1" si="95"/>
        <v>0.15980920604037252</v>
      </c>
      <c r="AL553" s="29">
        <f t="shared" ca="1" si="86"/>
        <v>126</v>
      </c>
      <c r="AN553" s="22">
        <v>45098</v>
      </c>
      <c r="AO553" s="26">
        <f t="shared" ca="1" si="96"/>
        <v>0.27193706457572719</v>
      </c>
      <c r="AP553" s="29">
        <f t="shared" ca="1" si="87"/>
        <v>195</v>
      </c>
      <c r="AR553" s="22">
        <v>45098</v>
      </c>
      <c r="AS553" s="26">
        <f t="shared" ca="1" si="97"/>
        <v>0.72939686050933383</v>
      </c>
      <c r="AT553" s="29">
        <v>0</v>
      </c>
      <c r="AV553" s="22">
        <v>45098</v>
      </c>
      <c r="AW553" s="26">
        <f t="shared" ca="1" si="98"/>
        <v>0.57343078820668347</v>
      </c>
      <c r="AX553" s="29">
        <v>0</v>
      </c>
      <c r="AZ553" s="22">
        <v>45098</v>
      </c>
      <c r="BA553" s="26">
        <f t="shared" ca="1" si="99"/>
        <v>3.1569316877303466E-2</v>
      </c>
      <c r="BB553" s="29">
        <v>0</v>
      </c>
      <c r="BC553"/>
      <c r="BD553" s="25"/>
      <c r="BF553" s="22">
        <v>45098</v>
      </c>
      <c r="BG553" s="26">
        <f t="shared" ca="1" si="100"/>
        <v>0.55928000146288448</v>
      </c>
      <c r="BH553" s="29">
        <v>0</v>
      </c>
      <c r="BJ553" s="22">
        <v>45098</v>
      </c>
      <c r="BK553" s="26">
        <f t="shared" ca="1" si="101"/>
        <v>0.67461251588411031</v>
      </c>
      <c r="BL553" s="29">
        <v>0</v>
      </c>
      <c r="BN553" s="22">
        <v>45098</v>
      </c>
      <c r="BO553" s="26">
        <f t="shared" ca="1" si="102"/>
        <v>0.3371596157004223</v>
      </c>
      <c r="BP553" s="29">
        <v>0</v>
      </c>
      <c r="BR553" s="22">
        <v>45098</v>
      </c>
      <c r="BS553" s="26">
        <f t="shared" ca="1" si="103"/>
        <v>0.54186646989315568</v>
      </c>
      <c r="BT553" s="29">
        <v>0</v>
      </c>
      <c r="BV553" s="22">
        <v>45098</v>
      </c>
      <c r="BW553" s="26">
        <f t="shared" ca="1" si="104"/>
        <v>5.9785374688212434E-2</v>
      </c>
      <c r="BX553" s="29">
        <v>0</v>
      </c>
    </row>
    <row r="554" spans="2:76" ht="12.75" x14ac:dyDescent="0.2">
      <c r="B554" s="22">
        <v>45099</v>
      </c>
      <c r="C554" s="26">
        <f t="shared" ca="1" si="68"/>
        <v>0.6209062119761114</v>
      </c>
      <c r="D554" s="29">
        <f t="shared" ca="1" si="105"/>
        <v>82</v>
      </c>
      <c r="F554" s="22">
        <v>45099</v>
      </c>
      <c r="G554" s="26">
        <f t="shared" ca="1" si="88"/>
        <v>0.4293707474486318</v>
      </c>
      <c r="H554" s="29">
        <f t="shared" ca="1" si="79"/>
        <v>213</v>
      </c>
      <c r="J554" s="22">
        <v>45099</v>
      </c>
      <c r="K554" s="26">
        <f t="shared" ca="1" si="89"/>
        <v>0.95334454966835658</v>
      </c>
      <c r="L554" s="29">
        <f t="shared" ca="1" si="80"/>
        <v>167</v>
      </c>
      <c r="N554" s="22">
        <v>45099</v>
      </c>
      <c r="O554" s="26">
        <f t="shared" ca="1" si="90"/>
        <v>0.13409107554059663</v>
      </c>
      <c r="P554" s="29">
        <f t="shared" ca="1" si="81"/>
        <v>213</v>
      </c>
      <c r="R554" s="22">
        <v>45099</v>
      </c>
      <c r="S554" s="26">
        <f t="shared" ca="1" si="91"/>
        <v>0.55050228982180427</v>
      </c>
      <c r="T554" s="29">
        <f t="shared" ca="1" si="82"/>
        <v>140</v>
      </c>
      <c r="V554" s="22">
        <v>45099</v>
      </c>
      <c r="W554" s="26">
        <f t="shared" ca="1" si="92"/>
        <v>0.89942089286262927</v>
      </c>
      <c r="X554" s="29">
        <f t="shared" ca="1" si="83"/>
        <v>245</v>
      </c>
      <c r="Z554" s="22">
        <v>45099</v>
      </c>
      <c r="AA554" s="26">
        <f t="shared" ca="1" si="93"/>
        <v>0.48131946861888331</v>
      </c>
      <c r="AB554" s="29">
        <f t="shared" ca="1" si="84"/>
        <v>270</v>
      </c>
      <c r="AC554"/>
      <c r="AD554" s="25"/>
      <c r="AF554" s="22">
        <v>45099</v>
      </c>
      <c r="AG554" s="26">
        <f t="shared" ca="1" si="94"/>
        <v>8.0321535825455426E-2</v>
      </c>
      <c r="AH554" s="29">
        <f t="shared" ca="1" si="85"/>
        <v>205</v>
      </c>
      <c r="AJ554" s="22">
        <v>45099</v>
      </c>
      <c r="AK554" s="26">
        <f t="shared" ca="1" si="95"/>
        <v>0.29334846038526441</v>
      </c>
      <c r="AL554" s="29">
        <f t="shared" ca="1" si="86"/>
        <v>146</v>
      </c>
      <c r="AN554" s="22">
        <v>45099</v>
      </c>
      <c r="AO554" s="26">
        <f t="shared" ca="1" si="96"/>
        <v>0.21284893752757739</v>
      </c>
      <c r="AP554" s="29">
        <f t="shared" ca="1" si="87"/>
        <v>183</v>
      </c>
      <c r="AR554" s="22">
        <v>45099</v>
      </c>
      <c r="AS554" s="26">
        <f t="shared" ca="1" si="97"/>
        <v>0.40413956827021102</v>
      </c>
      <c r="AT554" s="29">
        <v>0</v>
      </c>
      <c r="AV554" s="22">
        <v>45099</v>
      </c>
      <c r="AW554" s="26">
        <f t="shared" ca="1" si="98"/>
        <v>0.69183700796818715</v>
      </c>
      <c r="AX554" s="29">
        <v>0</v>
      </c>
      <c r="AZ554" s="22">
        <v>45099</v>
      </c>
      <c r="BA554" s="26">
        <f t="shared" ca="1" si="99"/>
        <v>0.15954338088012898</v>
      </c>
      <c r="BB554" s="29">
        <v>0</v>
      </c>
      <c r="BC554"/>
      <c r="BD554" s="25"/>
      <c r="BF554" s="22">
        <v>45099</v>
      </c>
      <c r="BG554" s="26">
        <f t="shared" ca="1" si="100"/>
        <v>0.55139555847492217</v>
      </c>
      <c r="BH554" s="29">
        <v>0</v>
      </c>
      <c r="BJ554" s="22">
        <v>45099</v>
      </c>
      <c r="BK554" s="26">
        <f t="shared" ca="1" si="101"/>
        <v>0.95296886136321668</v>
      </c>
      <c r="BL554" s="29">
        <v>0</v>
      </c>
      <c r="BN554" s="22">
        <v>45099</v>
      </c>
      <c r="BO554" s="26">
        <f t="shared" ca="1" si="102"/>
        <v>0.54782401877252618</v>
      </c>
      <c r="BP554" s="29">
        <v>0</v>
      </c>
      <c r="BR554" s="22">
        <v>45099</v>
      </c>
      <c r="BS554" s="26">
        <f t="shared" ca="1" si="103"/>
        <v>0.72391499856055386</v>
      </c>
      <c r="BT554" s="29">
        <v>0</v>
      </c>
      <c r="BV554" s="22">
        <v>45099</v>
      </c>
      <c r="BW554" s="26">
        <f t="shared" ca="1" si="104"/>
        <v>0.3190826167441928</v>
      </c>
      <c r="BX554" s="29">
        <v>0</v>
      </c>
    </row>
    <row r="555" spans="2:76" ht="12.75" x14ac:dyDescent="0.2">
      <c r="B555" s="22">
        <v>45100</v>
      </c>
      <c r="C555" s="26">
        <f t="shared" ca="1" si="68"/>
        <v>0.82433022430675273</v>
      </c>
      <c r="D555" s="29">
        <f t="shared" ca="1" si="105"/>
        <v>94</v>
      </c>
      <c r="F555" s="22">
        <v>45100</v>
      </c>
      <c r="G555" s="26">
        <f t="shared" ca="1" si="88"/>
        <v>0.67849173632628257</v>
      </c>
      <c r="H555" s="29">
        <f t="shared" ca="1" si="79"/>
        <v>223</v>
      </c>
      <c r="J555" s="22">
        <v>45100</v>
      </c>
      <c r="K555" s="26">
        <f t="shared" ca="1" si="89"/>
        <v>0.87964355440706743</v>
      </c>
      <c r="L555" s="29">
        <f t="shared" ca="1" si="80"/>
        <v>162</v>
      </c>
      <c r="N555" s="22">
        <v>45100</v>
      </c>
      <c r="O555" s="26">
        <f t="shared" ca="1" si="90"/>
        <v>0.30325963008806223</v>
      </c>
      <c r="P555" s="29">
        <f t="shared" ca="1" si="81"/>
        <v>222</v>
      </c>
      <c r="R555" s="22">
        <v>45100</v>
      </c>
      <c r="S555" s="26">
        <f t="shared" ca="1" si="91"/>
        <v>0.37151533555331662</v>
      </c>
      <c r="T555" s="29">
        <f t="shared" ca="1" si="82"/>
        <v>136</v>
      </c>
      <c r="V555" s="22">
        <v>45100</v>
      </c>
      <c r="W555" s="26">
        <f t="shared" ca="1" si="92"/>
        <v>0.21235401956350652</v>
      </c>
      <c r="X555" s="29">
        <f t="shared" ca="1" si="83"/>
        <v>214</v>
      </c>
      <c r="Z555" s="22">
        <v>45100</v>
      </c>
      <c r="AA555" s="26">
        <f t="shared" ca="1" si="93"/>
        <v>9.844531448330085E-3</v>
      </c>
      <c r="AB555" s="29">
        <f t="shared" ca="1" si="84"/>
        <v>229</v>
      </c>
      <c r="AC555"/>
      <c r="AD555" s="25"/>
      <c r="AF555" s="22">
        <v>45100</v>
      </c>
      <c r="AG555" s="26">
        <f t="shared" ca="1" si="94"/>
        <v>0.1715386196342169</v>
      </c>
      <c r="AH555" s="29">
        <f t="shared" ca="1" si="85"/>
        <v>245</v>
      </c>
      <c r="AJ555" s="22">
        <v>45100</v>
      </c>
      <c r="AK555" s="26">
        <f t="shared" ca="1" si="95"/>
        <v>0.53869301356409538</v>
      </c>
      <c r="AL555" s="29">
        <f t="shared" ca="1" si="86"/>
        <v>175</v>
      </c>
      <c r="AN555" s="22">
        <v>45100</v>
      </c>
      <c r="AO555" s="26">
        <f t="shared" ca="1" si="96"/>
        <v>0.22846129833337958</v>
      </c>
      <c r="AP555" s="29">
        <f t="shared" ca="1" si="87"/>
        <v>187</v>
      </c>
      <c r="AR555" s="22">
        <v>45100</v>
      </c>
      <c r="AS555" s="26">
        <f t="shared" ca="1" si="97"/>
        <v>0.15873973506569083</v>
      </c>
      <c r="AT555" s="29">
        <v>0</v>
      </c>
      <c r="AV555" s="22">
        <v>45100</v>
      </c>
      <c r="AW555" s="26">
        <f t="shared" ca="1" si="98"/>
        <v>0.48944488992701807</v>
      </c>
      <c r="AX555" s="29">
        <v>0</v>
      </c>
      <c r="AZ555" s="22">
        <v>45100</v>
      </c>
      <c r="BA555" s="26">
        <f t="shared" ca="1" si="99"/>
        <v>0.57584959688378801</v>
      </c>
      <c r="BB555" s="29">
        <v>0</v>
      </c>
      <c r="BC555"/>
      <c r="BD555" s="25"/>
      <c r="BF555" s="22">
        <v>45100</v>
      </c>
      <c r="BG555" s="26">
        <f t="shared" ca="1" si="100"/>
        <v>0.10592833464378781</v>
      </c>
      <c r="BH555" s="29">
        <v>0</v>
      </c>
      <c r="BJ555" s="22">
        <v>45100</v>
      </c>
      <c r="BK555" s="26">
        <f t="shared" ca="1" si="101"/>
        <v>0.42253206575893953</v>
      </c>
      <c r="BL555" s="29">
        <v>0</v>
      </c>
      <c r="BN555" s="22">
        <v>45100</v>
      </c>
      <c r="BO555" s="26">
        <f t="shared" ca="1" si="102"/>
        <v>0.22147454189421356</v>
      </c>
      <c r="BP555" s="29">
        <v>0</v>
      </c>
      <c r="BR555" s="22">
        <v>45100</v>
      </c>
      <c r="BS555" s="26">
        <f t="shared" ca="1" si="103"/>
        <v>0.30109699974181992</v>
      </c>
      <c r="BT555" s="29">
        <v>0</v>
      </c>
      <c r="BV555" s="22">
        <v>45100</v>
      </c>
      <c r="BW555" s="26">
        <f t="shared" ca="1" si="104"/>
        <v>0.64480777623716612</v>
      </c>
      <c r="BX555" s="29">
        <v>0</v>
      </c>
    </row>
    <row r="556" spans="2:76" ht="12.75" x14ac:dyDescent="0.2">
      <c r="B556" s="22">
        <v>45101</v>
      </c>
      <c r="C556" s="26">
        <f t="shared" ca="1" si="68"/>
        <v>7.1507410336005939E-2</v>
      </c>
      <c r="D556" s="29">
        <f t="shared" ca="1" si="105"/>
        <v>46</v>
      </c>
      <c r="F556" s="22">
        <v>45101</v>
      </c>
      <c r="G556" s="26">
        <f t="shared" ca="1" si="88"/>
        <v>9.3804940741273657E-2</v>
      </c>
      <c r="H556" s="29">
        <f t="shared" ca="1" si="79"/>
        <v>197</v>
      </c>
      <c r="J556" s="22">
        <v>45101</v>
      </c>
      <c r="K556" s="26">
        <f t="shared" ca="1" si="89"/>
        <v>0.2440023392917301</v>
      </c>
      <c r="L556" s="29">
        <f t="shared" ca="1" si="80"/>
        <v>144</v>
      </c>
      <c r="N556" s="22">
        <v>45101</v>
      </c>
      <c r="O556" s="26">
        <f t="shared" ca="1" si="90"/>
        <v>0.97076976308458696</v>
      </c>
      <c r="P556" s="29">
        <f t="shared" ca="1" si="81"/>
        <v>259</v>
      </c>
      <c r="R556" s="22">
        <v>45101</v>
      </c>
      <c r="S556" s="26">
        <f t="shared" ca="1" si="91"/>
        <v>0.7151241513971297</v>
      </c>
      <c r="T556" s="29">
        <f t="shared" ca="1" si="82"/>
        <v>145</v>
      </c>
      <c r="V556" s="22">
        <v>45101</v>
      </c>
      <c r="W556" s="26">
        <f t="shared" ca="1" si="92"/>
        <v>5.471667844743211E-2</v>
      </c>
      <c r="X556" s="29">
        <f t="shared" ca="1" si="83"/>
        <v>201</v>
      </c>
      <c r="Z556" s="22">
        <v>45101</v>
      </c>
      <c r="AA556" s="26">
        <f t="shared" ca="1" si="93"/>
        <v>0.72093320055132659</v>
      </c>
      <c r="AB556" s="29">
        <f t="shared" ca="1" si="84"/>
        <v>281</v>
      </c>
      <c r="AC556"/>
      <c r="AD556" s="25"/>
      <c r="AF556" s="22">
        <v>45101</v>
      </c>
      <c r="AG556" s="26">
        <f t="shared" ca="1" si="94"/>
        <v>0.96719353677079023</v>
      </c>
      <c r="AH556" s="29">
        <f t="shared" ca="1" si="85"/>
        <v>488</v>
      </c>
      <c r="AJ556" s="22">
        <v>45101</v>
      </c>
      <c r="AK556" s="26">
        <f t="shared" ca="1" si="95"/>
        <v>0.70812400967869105</v>
      </c>
      <c r="AL556" s="29">
        <f t="shared" ca="1" si="86"/>
        <v>196</v>
      </c>
      <c r="AN556" s="22">
        <v>45101</v>
      </c>
      <c r="AO556" s="26">
        <f t="shared" ca="1" si="96"/>
        <v>0.25047414496280751</v>
      </c>
      <c r="AP556" s="29">
        <f t="shared" ca="1" si="87"/>
        <v>191</v>
      </c>
      <c r="AR556" s="22">
        <v>45101</v>
      </c>
      <c r="AS556" s="26">
        <f t="shared" ca="1" si="97"/>
        <v>0.51840583393177764</v>
      </c>
      <c r="AT556" s="29">
        <v>0</v>
      </c>
      <c r="AV556" s="22">
        <v>45101</v>
      </c>
      <c r="AW556" s="26">
        <f t="shared" ca="1" si="98"/>
        <v>0.94525306401443243</v>
      </c>
      <c r="AX556" s="29">
        <v>0</v>
      </c>
      <c r="AZ556" s="22">
        <v>45101</v>
      </c>
      <c r="BA556" s="26">
        <f t="shared" ca="1" si="99"/>
        <v>0.49840718290243013</v>
      </c>
      <c r="BB556" s="29">
        <v>0</v>
      </c>
      <c r="BC556"/>
      <c r="BD556" s="25"/>
      <c r="BF556" s="22">
        <v>45101</v>
      </c>
      <c r="BG556" s="26">
        <f t="shared" ca="1" si="100"/>
        <v>0.3553979811480632</v>
      </c>
      <c r="BH556" s="29">
        <v>0</v>
      </c>
      <c r="BJ556" s="22">
        <v>45101</v>
      </c>
      <c r="BK556" s="26">
        <f t="shared" ca="1" si="101"/>
        <v>0.23874282810382452</v>
      </c>
      <c r="BL556" s="29">
        <v>0</v>
      </c>
      <c r="BN556" s="22">
        <v>45101</v>
      </c>
      <c r="BO556" s="26">
        <f t="shared" ca="1" si="102"/>
        <v>0.68699454817181582</v>
      </c>
      <c r="BP556" s="29">
        <v>0</v>
      </c>
      <c r="BR556" s="22">
        <v>45101</v>
      </c>
      <c r="BS556" s="26">
        <f t="shared" ca="1" si="103"/>
        <v>7.6678856569302845E-2</v>
      </c>
      <c r="BT556" s="29">
        <v>0</v>
      </c>
      <c r="BV556" s="22">
        <v>45101</v>
      </c>
      <c r="BW556" s="26">
        <f t="shared" ca="1" si="104"/>
        <v>0.81715057377703848</v>
      </c>
      <c r="BX556" s="29">
        <v>0</v>
      </c>
    </row>
    <row r="557" spans="2:76" ht="12.75" x14ac:dyDescent="0.2">
      <c r="B557" s="22">
        <v>45102</v>
      </c>
      <c r="C557" s="26">
        <f t="shared" ca="1" si="68"/>
        <v>0.37168375417073185</v>
      </c>
      <c r="D557" s="29">
        <f t="shared" ca="1" si="105"/>
        <v>69</v>
      </c>
      <c r="F557" s="22">
        <v>45102</v>
      </c>
      <c r="G557" s="26">
        <f t="shared" ca="1" si="88"/>
        <v>0.63006359099464382</v>
      </c>
      <c r="H557" s="29">
        <f t="shared" ca="1" si="79"/>
        <v>221</v>
      </c>
      <c r="J557" s="22">
        <v>45102</v>
      </c>
      <c r="K557" s="26">
        <f t="shared" ca="1" si="89"/>
        <v>0.13598663814087064</v>
      </c>
      <c r="L557" s="29">
        <f t="shared" ca="1" si="80"/>
        <v>140</v>
      </c>
      <c r="N557" s="22">
        <v>45102</v>
      </c>
      <c r="O557" s="26">
        <f t="shared" ca="1" si="90"/>
        <v>0.75275097547608161</v>
      </c>
      <c r="P557" s="29">
        <f t="shared" ca="1" si="81"/>
        <v>240</v>
      </c>
      <c r="R557" s="22">
        <v>45102</v>
      </c>
      <c r="S557" s="26">
        <f t="shared" ca="1" si="91"/>
        <v>0.47922994202433766</v>
      </c>
      <c r="T557" s="29">
        <f t="shared" ca="1" si="82"/>
        <v>139</v>
      </c>
      <c r="V557" s="22">
        <v>45102</v>
      </c>
      <c r="W557" s="26">
        <f t="shared" ca="1" si="92"/>
        <v>0.89557522472901863</v>
      </c>
      <c r="X557" s="29">
        <f t="shared" ca="1" si="83"/>
        <v>244</v>
      </c>
      <c r="Z557" s="22">
        <v>45102</v>
      </c>
      <c r="AA557" s="26">
        <f t="shared" ca="1" si="93"/>
        <v>0.75381055317887735</v>
      </c>
      <c r="AB557" s="29">
        <f t="shared" ca="1" si="84"/>
        <v>283</v>
      </c>
      <c r="AC557"/>
      <c r="AD557" s="25"/>
      <c r="AF557" s="22">
        <v>45102</v>
      </c>
      <c r="AG557" s="26">
        <f t="shared" ca="1" si="94"/>
        <v>5.6731697895376909E-3</v>
      </c>
      <c r="AH557" s="29">
        <f t="shared" ca="1" si="85"/>
        <v>107</v>
      </c>
      <c r="AJ557" s="22">
        <v>45102</v>
      </c>
      <c r="AK557" s="26">
        <f t="shared" ca="1" si="95"/>
        <v>0.16342857319028714</v>
      </c>
      <c r="AL557" s="29">
        <f t="shared" ca="1" si="86"/>
        <v>126</v>
      </c>
      <c r="AN557" s="22">
        <v>45102</v>
      </c>
      <c r="AO557" s="26">
        <f t="shared" ca="1" si="96"/>
        <v>0.51427373642956653</v>
      </c>
      <c r="AP557" s="29">
        <f t="shared" ca="1" si="87"/>
        <v>235</v>
      </c>
      <c r="AR557" s="22">
        <v>45102</v>
      </c>
      <c r="AS557" s="26">
        <f t="shared" ca="1" si="97"/>
        <v>0.43958447489969521</v>
      </c>
      <c r="AT557" s="29">
        <v>0</v>
      </c>
      <c r="AV557" s="22">
        <v>45102</v>
      </c>
      <c r="AW557" s="26">
        <f t="shared" ca="1" si="98"/>
        <v>1.3783087931240612E-2</v>
      </c>
      <c r="AX557" s="29">
        <v>0</v>
      </c>
      <c r="AZ557" s="22">
        <v>45102</v>
      </c>
      <c r="BA557" s="26">
        <f t="shared" ca="1" si="99"/>
        <v>0.89290302023119783</v>
      </c>
      <c r="BB557" s="29">
        <v>0</v>
      </c>
      <c r="BC557"/>
      <c r="BD557" s="25"/>
      <c r="BF557" s="22">
        <v>45102</v>
      </c>
      <c r="BG557" s="26">
        <f t="shared" ca="1" si="100"/>
        <v>0.81971430034740511</v>
      </c>
      <c r="BH557" s="29">
        <v>0</v>
      </c>
      <c r="BJ557" s="22">
        <v>45102</v>
      </c>
      <c r="BK557" s="26">
        <f t="shared" ca="1" si="101"/>
        <v>0.31059788010498235</v>
      </c>
      <c r="BL557" s="29">
        <v>0</v>
      </c>
      <c r="BN557" s="22">
        <v>45102</v>
      </c>
      <c r="BO557" s="26">
        <f t="shared" ca="1" si="102"/>
        <v>0.54579680601579816</v>
      </c>
      <c r="BP557" s="29">
        <v>0</v>
      </c>
      <c r="BR557" s="22">
        <v>45102</v>
      </c>
      <c r="BS557" s="26">
        <f t="shared" ca="1" si="103"/>
        <v>0.53526984608989947</v>
      </c>
      <c r="BT557" s="29">
        <v>0</v>
      </c>
      <c r="BV557" s="22">
        <v>45102</v>
      </c>
      <c r="BW557" s="26">
        <f t="shared" ca="1" si="104"/>
        <v>0.29116763842479099</v>
      </c>
      <c r="BX557" s="29">
        <v>0</v>
      </c>
    </row>
    <row r="558" spans="2:76" ht="12.75" x14ac:dyDescent="0.2">
      <c r="B558" s="22">
        <v>45103</v>
      </c>
      <c r="C558" s="26">
        <f t="shared" ca="1" si="68"/>
        <v>0.96949617777773112</v>
      </c>
      <c r="D558" s="29">
        <f t="shared" ca="1" si="105"/>
        <v>113</v>
      </c>
      <c r="F558" s="22">
        <v>45103</v>
      </c>
      <c r="G558" s="26">
        <f t="shared" ca="1" si="88"/>
        <v>0.16985033093753121</v>
      </c>
      <c r="H558" s="29">
        <f t="shared" ca="1" si="79"/>
        <v>202</v>
      </c>
      <c r="J558" s="22">
        <v>45103</v>
      </c>
      <c r="K558" s="26">
        <f t="shared" ca="1" si="89"/>
        <v>0.63664177471308481</v>
      </c>
      <c r="L558" s="29">
        <f t="shared" ca="1" si="80"/>
        <v>154</v>
      </c>
      <c r="N558" s="22">
        <v>45103</v>
      </c>
      <c r="O558" s="26">
        <f t="shared" ca="1" si="90"/>
        <v>0.62341376832847739</v>
      </c>
      <c r="P558" s="29">
        <f t="shared" ca="1" si="81"/>
        <v>235</v>
      </c>
      <c r="R558" s="22">
        <v>45103</v>
      </c>
      <c r="S558" s="26">
        <f t="shared" ca="1" si="91"/>
        <v>0.98003908606797163</v>
      </c>
      <c r="T558" s="29">
        <f t="shared" ca="1" si="82"/>
        <v>158</v>
      </c>
      <c r="V558" s="22">
        <v>45103</v>
      </c>
      <c r="W558" s="26">
        <f t="shared" ca="1" si="92"/>
        <v>0.92684710634734546</v>
      </c>
      <c r="X558" s="29">
        <f t="shared" ca="1" si="83"/>
        <v>247</v>
      </c>
      <c r="Z558" s="22">
        <v>45103</v>
      </c>
      <c r="AA558" s="26">
        <f t="shared" ca="1" si="93"/>
        <v>0.80424918901999676</v>
      </c>
      <c r="AB558" s="29">
        <f t="shared" ca="1" si="84"/>
        <v>286</v>
      </c>
      <c r="AC558"/>
      <c r="AD558" s="25"/>
      <c r="AF558" s="22">
        <v>45103</v>
      </c>
      <c r="AG558" s="26">
        <f t="shared" ca="1" si="94"/>
        <v>0.62117239362274745</v>
      </c>
      <c r="AH558" s="29">
        <f t="shared" ca="1" si="85"/>
        <v>354</v>
      </c>
      <c r="AJ558" s="22">
        <v>45103</v>
      </c>
      <c r="AK558" s="26">
        <f t="shared" ca="1" si="95"/>
        <v>0.20015939494811608</v>
      </c>
      <c r="AL558" s="29">
        <f t="shared" ca="1" si="86"/>
        <v>133</v>
      </c>
      <c r="AN558" s="22">
        <v>45103</v>
      </c>
      <c r="AO558" s="26">
        <f t="shared" ca="1" si="96"/>
        <v>0.1129041405326453</v>
      </c>
      <c r="AP558" s="29">
        <f t="shared" ca="1" si="87"/>
        <v>158</v>
      </c>
      <c r="AR558" s="22">
        <v>45103</v>
      </c>
      <c r="AS558" s="26">
        <f t="shared" ca="1" si="97"/>
        <v>3.5388917939738862E-2</v>
      </c>
      <c r="AT558" s="29">
        <v>0</v>
      </c>
      <c r="AV558" s="22">
        <v>45103</v>
      </c>
      <c r="AW558" s="26">
        <f t="shared" ca="1" si="98"/>
        <v>0.2158435839754782</v>
      </c>
      <c r="AX558" s="29">
        <v>0</v>
      </c>
      <c r="AZ558" s="22">
        <v>45103</v>
      </c>
      <c r="BA558" s="26">
        <f t="shared" ca="1" si="99"/>
        <v>0.51188766599680047</v>
      </c>
      <c r="BB558" s="29">
        <v>0</v>
      </c>
      <c r="BC558"/>
      <c r="BD558" s="25"/>
      <c r="BF558" s="22">
        <v>45103</v>
      </c>
      <c r="BG558" s="26">
        <f t="shared" ca="1" si="100"/>
        <v>0.4060617744832421</v>
      </c>
      <c r="BH558" s="29">
        <v>0</v>
      </c>
      <c r="BJ558" s="22">
        <v>45103</v>
      </c>
      <c r="BK558" s="26">
        <f t="shared" ca="1" si="101"/>
        <v>0.81463649706204333</v>
      </c>
      <c r="BL558" s="29">
        <v>0</v>
      </c>
      <c r="BN558" s="22">
        <v>45103</v>
      </c>
      <c r="BO558" s="26">
        <f t="shared" ca="1" si="102"/>
        <v>0.90665096396441935</v>
      </c>
      <c r="BP558" s="29">
        <v>0</v>
      </c>
      <c r="BR558" s="22">
        <v>45103</v>
      </c>
      <c r="BS558" s="26">
        <f t="shared" ca="1" si="103"/>
        <v>0.41712666973476253</v>
      </c>
      <c r="BT558" s="29">
        <v>0</v>
      </c>
      <c r="BV558" s="22">
        <v>45103</v>
      </c>
      <c r="BW558" s="26">
        <f t="shared" ca="1" si="104"/>
        <v>0.99834870839033696</v>
      </c>
      <c r="BX558" s="29">
        <v>0</v>
      </c>
    </row>
    <row r="559" spans="2:76" ht="12.75" x14ac:dyDescent="0.2">
      <c r="B559" s="22">
        <v>45104</v>
      </c>
      <c r="C559" s="26">
        <f t="shared" ca="1" si="68"/>
        <v>0.20804125082251346</v>
      </c>
      <c r="D559" s="29">
        <f t="shared" ca="1" si="105"/>
        <v>59</v>
      </c>
      <c r="F559" s="22">
        <v>45104</v>
      </c>
      <c r="G559" s="26">
        <f t="shared" ca="1" si="88"/>
        <v>0.20001561421206704</v>
      </c>
      <c r="H559" s="29">
        <f t="shared" ca="1" si="79"/>
        <v>204</v>
      </c>
      <c r="J559" s="22">
        <v>45104</v>
      </c>
      <c r="K559" s="26">
        <f t="shared" ca="1" si="89"/>
        <v>0.76137804737075021</v>
      </c>
      <c r="L559" s="29">
        <f t="shared" ca="1" si="80"/>
        <v>158</v>
      </c>
      <c r="N559" s="22">
        <v>45104</v>
      </c>
      <c r="O559" s="26">
        <f t="shared" ca="1" si="90"/>
        <v>0.35814996557131606</v>
      </c>
      <c r="P559" s="29">
        <f t="shared" ca="1" si="81"/>
        <v>224</v>
      </c>
      <c r="R559" s="22">
        <v>45104</v>
      </c>
      <c r="S559" s="26">
        <f t="shared" ca="1" si="91"/>
        <v>0.75808572342050107</v>
      </c>
      <c r="T559" s="29">
        <f t="shared" ca="1" si="82"/>
        <v>146</v>
      </c>
      <c r="V559" s="22">
        <v>45104</v>
      </c>
      <c r="W559" s="26">
        <f t="shared" ca="1" si="92"/>
        <v>0.45328279577386077</v>
      </c>
      <c r="X559" s="29">
        <f t="shared" ca="1" si="83"/>
        <v>224</v>
      </c>
      <c r="Z559" s="22">
        <v>45104</v>
      </c>
      <c r="AA559" s="26">
        <f t="shared" ca="1" si="93"/>
        <v>0.18324235023915381</v>
      </c>
      <c r="AB559" s="29">
        <f t="shared" ca="1" si="84"/>
        <v>254</v>
      </c>
      <c r="AC559"/>
      <c r="AD559" s="25"/>
      <c r="AF559" s="22">
        <v>45104</v>
      </c>
      <c r="AG559" s="26">
        <f t="shared" ca="1" si="94"/>
        <v>0.36964653805760772</v>
      </c>
      <c r="AH559" s="29">
        <f t="shared" ca="1" si="85"/>
        <v>298</v>
      </c>
      <c r="AJ559" s="22">
        <v>45104</v>
      </c>
      <c r="AK559" s="26">
        <f t="shared" ca="1" si="95"/>
        <v>0.71345976698649993</v>
      </c>
      <c r="AL559" s="29">
        <f t="shared" ca="1" si="86"/>
        <v>197</v>
      </c>
      <c r="AN559" s="22">
        <v>45104</v>
      </c>
      <c r="AO559" s="26">
        <f t="shared" ca="1" si="96"/>
        <v>0.38214680554799774</v>
      </c>
      <c r="AP559" s="29">
        <f t="shared" ca="1" si="87"/>
        <v>214</v>
      </c>
      <c r="AR559" s="22">
        <v>45104</v>
      </c>
      <c r="AS559" s="26">
        <f t="shared" ca="1" si="97"/>
        <v>0.43134760734560373</v>
      </c>
      <c r="AT559" s="29">
        <v>0</v>
      </c>
      <c r="AV559" s="22">
        <v>45104</v>
      </c>
      <c r="AW559" s="26">
        <f t="shared" ca="1" si="98"/>
        <v>5.4370834328474227E-2</v>
      </c>
      <c r="AX559" s="29">
        <v>0</v>
      </c>
      <c r="AZ559" s="22">
        <v>45104</v>
      </c>
      <c r="BA559" s="26">
        <f t="shared" ca="1" si="99"/>
        <v>0.29494090050212574</v>
      </c>
      <c r="BB559" s="29">
        <v>0</v>
      </c>
      <c r="BC559"/>
      <c r="BD559" s="25"/>
      <c r="BF559" s="22">
        <v>45104</v>
      </c>
      <c r="BG559" s="26">
        <f t="shared" ca="1" si="100"/>
        <v>0.85776319010344848</v>
      </c>
      <c r="BH559" s="29">
        <v>0</v>
      </c>
      <c r="BJ559" s="22">
        <v>45104</v>
      </c>
      <c r="BK559" s="26">
        <f t="shared" ca="1" si="101"/>
        <v>5.8739905491412281E-2</v>
      </c>
      <c r="BL559" s="29">
        <v>0</v>
      </c>
      <c r="BN559" s="22">
        <v>45104</v>
      </c>
      <c r="BO559" s="26">
        <f t="shared" ca="1" si="102"/>
        <v>0.15162416375065746</v>
      </c>
      <c r="BP559" s="29">
        <v>0</v>
      </c>
      <c r="BR559" s="22">
        <v>45104</v>
      </c>
      <c r="BS559" s="26">
        <f t="shared" ca="1" si="103"/>
        <v>0.12730042242238604</v>
      </c>
      <c r="BT559" s="29">
        <v>0</v>
      </c>
      <c r="BV559" s="22">
        <v>45104</v>
      </c>
      <c r="BW559" s="26">
        <f t="shared" ca="1" si="104"/>
        <v>0.14460206737314996</v>
      </c>
      <c r="BX559" s="29">
        <v>0</v>
      </c>
    </row>
    <row r="560" spans="2:76" ht="12.75" x14ac:dyDescent="0.2">
      <c r="B560" s="22">
        <v>45105</v>
      </c>
      <c r="C560" s="26">
        <f t="shared" ca="1" si="68"/>
        <v>2.8980654353628288E-2</v>
      </c>
      <c r="D560" s="29">
        <f t="shared" ca="1" si="105"/>
        <v>38</v>
      </c>
      <c r="F560" s="22">
        <v>45105</v>
      </c>
      <c r="G560" s="26">
        <f t="shared" ca="1" si="88"/>
        <v>0.55148996056983113</v>
      </c>
      <c r="H560" s="29">
        <f t="shared" ca="1" si="79"/>
        <v>218</v>
      </c>
      <c r="J560" s="22">
        <v>45105</v>
      </c>
      <c r="K560" s="26">
        <f t="shared" ca="1" si="89"/>
        <v>0.96550225265743961</v>
      </c>
      <c r="L560" s="29">
        <f t="shared" ca="1" si="80"/>
        <v>169</v>
      </c>
      <c r="N560" s="22">
        <v>45105</v>
      </c>
      <c r="O560" s="26">
        <f t="shared" ca="1" si="90"/>
        <v>0.72435176373578969</v>
      </c>
      <c r="P560" s="29">
        <f t="shared" ca="1" si="81"/>
        <v>239</v>
      </c>
      <c r="R560" s="22">
        <v>45105</v>
      </c>
      <c r="S560" s="26">
        <f t="shared" ca="1" si="91"/>
        <v>0.90022099232935548</v>
      </c>
      <c r="T560" s="29">
        <f t="shared" ca="1" si="82"/>
        <v>151</v>
      </c>
      <c r="V560" s="22">
        <v>45105</v>
      </c>
      <c r="W560" s="26">
        <f t="shared" ca="1" si="92"/>
        <v>0.44203849992288402</v>
      </c>
      <c r="X560" s="29">
        <f t="shared" ca="1" si="83"/>
        <v>223</v>
      </c>
      <c r="Z560" s="22">
        <v>45105</v>
      </c>
      <c r="AA560" s="26">
        <f t="shared" ca="1" si="93"/>
        <v>0.1875570948226295</v>
      </c>
      <c r="AB560" s="29">
        <f t="shared" ca="1" si="84"/>
        <v>255</v>
      </c>
      <c r="AC560"/>
      <c r="AD560" s="25"/>
      <c r="AF560" s="22">
        <v>45105</v>
      </c>
      <c r="AG560" s="26">
        <f t="shared" ca="1" si="94"/>
        <v>0.716523881875617</v>
      </c>
      <c r="AH560" s="29">
        <f t="shared" ca="1" si="85"/>
        <v>377</v>
      </c>
      <c r="AJ560" s="22">
        <v>45105</v>
      </c>
      <c r="AK560" s="26">
        <f t="shared" ca="1" si="95"/>
        <v>0.2026363309340482</v>
      </c>
      <c r="AL560" s="29">
        <f t="shared" ca="1" si="86"/>
        <v>133</v>
      </c>
      <c r="AN560" s="22">
        <v>45105</v>
      </c>
      <c r="AO560" s="26">
        <f t="shared" ca="1" si="96"/>
        <v>0.2126362373670595</v>
      </c>
      <c r="AP560" s="29">
        <f t="shared" ca="1" si="87"/>
        <v>183</v>
      </c>
      <c r="AR560" s="22">
        <v>45105</v>
      </c>
      <c r="AS560" s="26">
        <f t="shared" ca="1" si="97"/>
        <v>0.96092609961052355</v>
      </c>
      <c r="AT560" s="29">
        <v>0</v>
      </c>
      <c r="AV560" s="22">
        <v>45105</v>
      </c>
      <c r="AW560" s="26">
        <f t="shared" ca="1" si="98"/>
        <v>0.21194880930637849</v>
      </c>
      <c r="AX560" s="29">
        <v>0</v>
      </c>
      <c r="AZ560" s="22">
        <v>45105</v>
      </c>
      <c r="BA560" s="26">
        <f t="shared" ca="1" si="99"/>
        <v>0.11027888352695014</v>
      </c>
      <c r="BB560" s="29">
        <v>0</v>
      </c>
      <c r="BC560"/>
      <c r="BD560" s="25"/>
      <c r="BF560" s="22">
        <v>45105</v>
      </c>
      <c r="BG560" s="26">
        <f t="shared" ca="1" si="100"/>
        <v>5.6077487056427233E-2</v>
      </c>
      <c r="BH560" s="29">
        <v>0</v>
      </c>
      <c r="BJ560" s="22">
        <v>45105</v>
      </c>
      <c r="BK560" s="26">
        <f t="shared" ca="1" si="101"/>
        <v>0.93495785835696044</v>
      </c>
      <c r="BL560" s="29">
        <v>0</v>
      </c>
      <c r="BN560" s="22">
        <v>45105</v>
      </c>
      <c r="BO560" s="26">
        <f t="shared" ca="1" si="102"/>
        <v>0.13556374384776337</v>
      </c>
      <c r="BP560" s="29">
        <v>0</v>
      </c>
      <c r="BR560" s="22">
        <v>45105</v>
      </c>
      <c r="BS560" s="26">
        <f t="shared" ca="1" si="103"/>
        <v>0.79839624063176118</v>
      </c>
      <c r="BT560" s="29">
        <v>0</v>
      </c>
      <c r="BV560" s="22">
        <v>45105</v>
      </c>
      <c r="BW560" s="26">
        <f t="shared" ca="1" si="104"/>
        <v>0.27227171230431213</v>
      </c>
      <c r="BX560" s="29">
        <v>0</v>
      </c>
    </row>
    <row r="561" spans="2:77" ht="12.75" x14ac:dyDescent="0.2">
      <c r="B561" s="22">
        <v>45106</v>
      </c>
      <c r="C561" s="26">
        <f t="shared" ca="1" si="68"/>
        <v>0.94901454357832626</v>
      </c>
      <c r="D561" s="29">
        <f t="shared" ca="1" si="105"/>
        <v>108</v>
      </c>
      <c r="F561" s="22">
        <v>45106</v>
      </c>
      <c r="G561" s="26">
        <f t="shared" ca="1" si="88"/>
        <v>0.40486816936459835</v>
      </c>
      <c r="H561" s="29">
        <f t="shared" ca="1" si="79"/>
        <v>212</v>
      </c>
      <c r="J561" s="22">
        <v>45106</v>
      </c>
      <c r="K561" s="26">
        <f t="shared" ca="1" si="89"/>
        <v>0.16229580550369993</v>
      </c>
      <c r="L561" s="29">
        <f t="shared" ca="1" si="80"/>
        <v>141</v>
      </c>
      <c r="N561" s="22">
        <v>45106</v>
      </c>
      <c r="O561" s="26">
        <f t="shared" ca="1" si="90"/>
        <v>0.91659041035955691</v>
      </c>
      <c r="P561" s="29">
        <f t="shared" ca="1" si="81"/>
        <v>251</v>
      </c>
      <c r="R561" s="22">
        <v>45106</v>
      </c>
      <c r="S561" s="26">
        <f t="shared" ca="1" si="91"/>
        <v>0.36285359404757045</v>
      </c>
      <c r="T561" s="29">
        <f t="shared" ca="1" si="82"/>
        <v>136</v>
      </c>
      <c r="V561" s="22">
        <v>45106</v>
      </c>
      <c r="W561" s="26">
        <f t="shared" ca="1" si="92"/>
        <v>0.9067990725726871</v>
      </c>
      <c r="X561" s="29">
        <f t="shared" ca="1" si="83"/>
        <v>245</v>
      </c>
      <c r="Z561" s="22">
        <v>45106</v>
      </c>
      <c r="AA561" s="26">
        <f t="shared" ca="1" si="93"/>
        <v>0.29305560409261422</v>
      </c>
      <c r="AB561" s="29">
        <f t="shared" ca="1" si="84"/>
        <v>261</v>
      </c>
      <c r="AC561"/>
      <c r="AD561" s="25"/>
      <c r="AF561" s="22">
        <v>45106</v>
      </c>
      <c r="AG561" s="26">
        <f t="shared" ca="1" si="94"/>
        <v>0.89151954561769398</v>
      </c>
      <c r="AH561" s="29">
        <f t="shared" ca="1" si="85"/>
        <v>435</v>
      </c>
      <c r="AJ561" s="22">
        <v>45106</v>
      </c>
      <c r="AK561" s="26">
        <f t="shared" ca="1" si="95"/>
        <v>0.6385533367595243</v>
      </c>
      <c r="AL561" s="29">
        <f t="shared" ca="1" si="86"/>
        <v>187</v>
      </c>
      <c r="AN561" s="22">
        <v>45106</v>
      </c>
      <c r="AO561" s="26">
        <f t="shared" ca="1" si="96"/>
        <v>0.78191444480241656</v>
      </c>
      <c r="AP561" s="29">
        <f t="shared" ca="1" si="87"/>
        <v>281</v>
      </c>
      <c r="AR561" s="22">
        <v>45106</v>
      </c>
      <c r="AS561" s="26">
        <f t="shared" ca="1" si="97"/>
        <v>0.33027872347416365</v>
      </c>
      <c r="AT561" s="29">
        <v>0</v>
      </c>
      <c r="AV561" s="22">
        <v>45106</v>
      </c>
      <c r="AW561" s="26">
        <f t="shared" ca="1" si="98"/>
        <v>0.22582410550083887</v>
      </c>
      <c r="AX561" s="29">
        <v>0</v>
      </c>
      <c r="AZ561" s="22">
        <v>45106</v>
      </c>
      <c r="BA561" s="26">
        <f t="shared" ca="1" si="99"/>
        <v>0.57483191738021877</v>
      </c>
      <c r="BB561" s="29">
        <v>0</v>
      </c>
      <c r="BC561"/>
      <c r="BD561" s="25"/>
      <c r="BF561" s="22">
        <v>45106</v>
      </c>
      <c r="BG561" s="26">
        <f t="shared" ca="1" si="100"/>
        <v>9.8255855219948618E-3</v>
      </c>
      <c r="BH561" s="29">
        <v>0</v>
      </c>
      <c r="BJ561" s="22">
        <v>45106</v>
      </c>
      <c r="BK561" s="26">
        <f t="shared" ca="1" si="101"/>
        <v>0.49135251599692165</v>
      </c>
      <c r="BL561" s="29">
        <v>0</v>
      </c>
      <c r="BN561" s="22">
        <v>45106</v>
      </c>
      <c r="BO561" s="26">
        <f t="shared" ca="1" si="102"/>
        <v>0.7660910393698025</v>
      </c>
      <c r="BP561" s="29">
        <v>0</v>
      </c>
      <c r="BR561" s="22">
        <v>45106</v>
      </c>
      <c r="BS561" s="26">
        <f t="shared" ca="1" si="103"/>
        <v>0.41833851334212446</v>
      </c>
      <c r="BT561" s="29">
        <v>0</v>
      </c>
      <c r="BV561" s="22">
        <v>45106</v>
      </c>
      <c r="BW561" s="26">
        <f t="shared" ca="1" si="104"/>
        <v>0.75141417525185983</v>
      </c>
      <c r="BX561" s="29">
        <v>0</v>
      </c>
    </row>
    <row r="562" spans="2:77" ht="12.75" x14ac:dyDescent="0.2">
      <c r="B562" s="22">
        <v>45107</v>
      </c>
      <c r="C562" s="26">
        <f t="shared" ca="1" si="68"/>
        <v>0.82338969254734906</v>
      </c>
      <c r="D562" s="29">
        <f t="shared" ca="1" si="105"/>
        <v>94</v>
      </c>
      <c r="E562">
        <v>2213</v>
      </c>
      <c r="F562" s="22">
        <v>45107</v>
      </c>
      <c r="G562" s="26">
        <f t="shared" ca="1" si="88"/>
        <v>0.19372135276578872</v>
      </c>
      <c r="H562" s="29">
        <f t="shared" ca="1" si="79"/>
        <v>203</v>
      </c>
      <c r="I562">
        <v>6496</v>
      </c>
      <c r="J562" s="22">
        <v>45107</v>
      </c>
      <c r="K562" s="26">
        <f t="shared" ca="1" si="89"/>
        <v>0.37767438214479154</v>
      </c>
      <c r="L562" s="29">
        <f t="shared" ca="1" si="80"/>
        <v>147</v>
      </c>
      <c r="M562">
        <v>4527</v>
      </c>
      <c r="N562" s="22">
        <v>45107</v>
      </c>
      <c r="O562" s="26">
        <f t="shared" ca="1" si="90"/>
        <v>0.72546777272078711</v>
      </c>
      <c r="P562" s="29">
        <f t="shared" ca="1" si="81"/>
        <v>239</v>
      </c>
      <c r="Q562">
        <v>6846</v>
      </c>
      <c r="R562" s="22">
        <v>45107</v>
      </c>
      <c r="S562" s="26">
        <f t="shared" ca="1" si="91"/>
        <v>0.14900835002991042</v>
      </c>
      <c r="T562" s="29">
        <f t="shared" ca="1" si="82"/>
        <v>130</v>
      </c>
      <c r="U562">
        <v>4161</v>
      </c>
      <c r="V562" s="22">
        <v>45107</v>
      </c>
      <c r="W562" s="26">
        <f t="shared" ca="1" si="92"/>
        <v>0.57501070797005238</v>
      </c>
      <c r="X562" s="29">
        <f t="shared" ca="1" si="83"/>
        <v>228</v>
      </c>
      <c r="Y562">
        <v>6784</v>
      </c>
      <c r="Z562" s="22">
        <v>45107</v>
      </c>
      <c r="AA562" s="26">
        <f t="shared" ca="1" si="93"/>
        <v>0.76993623399415734</v>
      </c>
      <c r="AB562" s="29">
        <f t="shared" ca="1" si="84"/>
        <v>284</v>
      </c>
      <c r="AC562">
        <v>7978</v>
      </c>
      <c r="AD562" s="25"/>
      <c r="AF562" s="22">
        <v>45107</v>
      </c>
      <c r="AG562" s="26">
        <f t="shared" ca="1" si="94"/>
        <v>0.41608447282151062</v>
      </c>
      <c r="AH562" s="29">
        <f t="shared" ca="1" si="85"/>
        <v>309</v>
      </c>
      <c r="AI562">
        <v>10079</v>
      </c>
      <c r="AJ562" s="22">
        <v>45107</v>
      </c>
      <c r="AK562" s="26">
        <f t="shared" ca="1" si="95"/>
        <v>0.12792385709998699</v>
      </c>
      <c r="AL562" s="29">
        <f t="shared" ca="1" si="86"/>
        <v>119</v>
      </c>
      <c r="AM562">
        <v>5553</v>
      </c>
      <c r="AN562" s="22">
        <v>45107</v>
      </c>
      <c r="AO562" s="26">
        <f t="shared" ca="1" si="96"/>
        <v>8.3517059133169536E-2</v>
      </c>
      <c r="AP562" s="29">
        <f t="shared" ca="1" si="87"/>
        <v>147</v>
      </c>
      <c r="AQ562">
        <v>4424</v>
      </c>
      <c r="AR562" s="22">
        <v>45107</v>
      </c>
      <c r="AS562" s="26">
        <f t="shared" ca="1" si="97"/>
        <v>0.7405300851378589</v>
      </c>
      <c r="AT562" s="29">
        <v>0</v>
      </c>
      <c r="AU562">
        <v>0</v>
      </c>
      <c r="AV562" s="22">
        <v>45107</v>
      </c>
      <c r="AW562" s="26">
        <f t="shared" ca="1" si="98"/>
        <v>0.9698290767897676</v>
      </c>
      <c r="AX562" s="29">
        <v>0</v>
      </c>
      <c r="AY562">
        <v>0</v>
      </c>
      <c r="AZ562" s="22">
        <v>45107</v>
      </c>
      <c r="BA562" s="26">
        <f t="shared" ca="1" si="99"/>
        <v>0.50296451222466465</v>
      </c>
      <c r="BB562" s="29">
        <v>0</v>
      </c>
      <c r="BC562">
        <v>0</v>
      </c>
      <c r="BD562" s="25"/>
      <c r="BF562" s="22">
        <v>45107</v>
      </c>
      <c r="BG562" s="26">
        <f t="shared" ca="1" si="100"/>
        <v>0.63561165192903446</v>
      </c>
      <c r="BH562" s="29">
        <v>0</v>
      </c>
      <c r="BI562">
        <v>0</v>
      </c>
      <c r="BJ562" s="22">
        <v>45107</v>
      </c>
      <c r="BK562" s="26">
        <f t="shared" ca="1" si="101"/>
        <v>0.19329171431661996</v>
      </c>
      <c r="BL562" s="29">
        <v>0</v>
      </c>
      <c r="BM562">
        <v>0</v>
      </c>
      <c r="BN562" s="22">
        <v>45107</v>
      </c>
      <c r="BO562" s="26">
        <f t="shared" ca="1" si="102"/>
        <v>0.79157889172741891</v>
      </c>
      <c r="BP562" s="29">
        <v>0</v>
      </c>
      <c r="BQ562">
        <v>0</v>
      </c>
      <c r="BR562" s="22">
        <v>45107</v>
      </c>
      <c r="BS562" s="26">
        <f t="shared" ca="1" si="103"/>
        <v>9.0975296604150824E-2</v>
      </c>
      <c r="BT562" s="29">
        <v>0</v>
      </c>
      <c r="BU562">
        <v>0</v>
      </c>
      <c r="BV562" s="22">
        <v>45107</v>
      </c>
      <c r="BW562" s="26">
        <f t="shared" ca="1" si="104"/>
        <v>0.74359392501155486</v>
      </c>
      <c r="BX562" s="29">
        <v>0</v>
      </c>
      <c r="BY562">
        <v>0</v>
      </c>
    </row>
    <row r="563" spans="2:77" ht="12.75" x14ac:dyDescent="0.2">
      <c r="B563" s="22">
        <v>45108</v>
      </c>
      <c r="C563" s="26">
        <f t="shared" ca="1" si="68"/>
        <v>0.61651304232092152</v>
      </c>
      <c r="D563" s="29">
        <f ca="1">ROUNDUP(_xlfn.NORM.INV(C562,C$10,C$12),0)</f>
        <v>94</v>
      </c>
      <c r="F563" s="22">
        <v>45108</v>
      </c>
      <c r="G563" s="26">
        <f t="shared" ca="1" si="88"/>
        <v>0.28373878564765753</v>
      </c>
      <c r="H563" s="29">
        <f ca="1">ROUNDUP(_xlfn.NORM.INV(G562,G$10,G$12),0)</f>
        <v>203</v>
      </c>
      <c r="J563" s="22">
        <v>45108</v>
      </c>
      <c r="K563" s="26">
        <f t="shared" ca="1" si="89"/>
        <v>0.81684575312768359</v>
      </c>
      <c r="L563" s="29">
        <f ca="1">ROUNDUP(_xlfn.NORM.INV(K562,K$10,K$12),0)</f>
        <v>147</v>
      </c>
      <c r="N563" s="22">
        <v>45108</v>
      </c>
      <c r="O563" s="26">
        <f t="shared" ca="1" si="90"/>
        <v>0.25543344493005271</v>
      </c>
      <c r="P563" s="29">
        <f ca="1">ROUNDUP(_xlfn.NORM.INV(O562,O$10,O$12),0)</f>
        <v>239</v>
      </c>
      <c r="R563" s="22">
        <v>45108</v>
      </c>
      <c r="S563" s="26">
        <f t="shared" ca="1" si="91"/>
        <v>0.99086302445514085</v>
      </c>
      <c r="T563" s="29">
        <f ca="1">ROUNDUP(_xlfn.NORM.INV(S562,S$10,S$12),0)</f>
        <v>130</v>
      </c>
      <c r="V563" s="22">
        <v>45108</v>
      </c>
      <c r="W563" s="26">
        <f t="shared" ca="1" si="92"/>
        <v>1.6643690407128986E-2</v>
      </c>
      <c r="X563" s="29">
        <f ca="1">ROUNDUP(_xlfn.NORM.INV(W562,W$10,W$12),0)</f>
        <v>228</v>
      </c>
      <c r="Z563" s="22">
        <v>45108</v>
      </c>
      <c r="AA563" s="26">
        <f t="shared" ca="1" si="93"/>
        <v>0.30612654884226076</v>
      </c>
      <c r="AB563" s="29">
        <f ca="1">ROUNDUP(_xlfn.NORM.INV(AA562,AA$10,AA$12),0)</f>
        <v>284</v>
      </c>
      <c r="AC563"/>
      <c r="AD563" s="25"/>
      <c r="AF563" s="22">
        <v>45108</v>
      </c>
      <c r="AG563" s="26">
        <f t="shared" ca="1" si="94"/>
        <v>0.48442974301276009</v>
      </c>
      <c r="AH563" s="29">
        <f ca="1">ROUNDUP(_xlfn.NORM.INV(AG562,AG$10,AG$12),0)</f>
        <v>309</v>
      </c>
      <c r="AJ563" s="22">
        <v>45108</v>
      </c>
      <c r="AK563" s="26">
        <f t="shared" ca="1" si="95"/>
        <v>0.41595241571854202</v>
      </c>
      <c r="AL563" s="29">
        <f ca="1">ROUNDUP(_xlfn.NORM.INV(AK562,AK$10,AK$12),0)</f>
        <v>119</v>
      </c>
      <c r="AN563" s="22">
        <v>45108</v>
      </c>
      <c r="AO563" s="26">
        <f t="shared" ca="1" si="96"/>
        <v>0.52220406206595804</v>
      </c>
      <c r="AP563" s="29">
        <f ca="1">ROUNDUP(_xlfn.NORM.INV(AO562,AO$10,AO$12),0)</f>
        <v>147</v>
      </c>
      <c r="AR563" s="22">
        <v>45108</v>
      </c>
      <c r="AS563" s="26">
        <f t="shared" ca="1" si="97"/>
        <v>0.48320332406239241</v>
      </c>
      <c r="AT563" s="29">
        <v>0</v>
      </c>
      <c r="AV563" s="22">
        <v>45108</v>
      </c>
      <c r="AW563" s="26">
        <f t="shared" ca="1" si="98"/>
        <v>0.74681865742356568</v>
      </c>
      <c r="AX563" s="29">
        <v>0</v>
      </c>
      <c r="AZ563" s="22">
        <v>45108</v>
      </c>
      <c r="BA563" s="26">
        <f t="shared" ca="1" si="99"/>
        <v>0.63379107631075693</v>
      </c>
      <c r="BB563" s="29">
        <v>0</v>
      </c>
      <c r="BC563"/>
      <c r="BD563" s="25"/>
      <c r="BF563" s="22">
        <v>45108</v>
      </c>
      <c r="BG563" s="26">
        <f t="shared" ca="1" si="100"/>
        <v>0.65739049768543834</v>
      </c>
      <c r="BH563" s="29">
        <v>0</v>
      </c>
      <c r="BJ563" s="22">
        <v>45108</v>
      </c>
      <c r="BK563" s="26">
        <f t="shared" ca="1" si="101"/>
        <v>4.0623156694826079E-2</v>
      </c>
      <c r="BL563" s="29">
        <v>0</v>
      </c>
      <c r="BN563" s="22">
        <v>45108</v>
      </c>
      <c r="BO563" s="26">
        <f t="shared" ca="1" si="102"/>
        <v>0.71859512137548343</v>
      </c>
      <c r="BP563" s="29">
        <v>0</v>
      </c>
      <c r="BR563" s="22">
        <v>45108</v>
      </c>
      <c r="BS563" s="26">
        <f t="shared" ca="1" si="103"/>
        <v>0.86788771090681238</v>
      </c>
      <c r="BT563" s="29">
        <v>0</v>
      </c>
      <c r="BV563" s="22">
        <v>45108</v>
      </c>
      <c r="BW563" s="26">
        <f t="shared" ca="1" si="104"/>
        <v>0.68011959922299348</v>
      </c>
      <c r="BX563" s="29">
        <v>0</v>
      </c>
    </row>
    <row r="564" spans="2:77" ht="12.75" x14ac:dyDescent="0.2">
      <c r="B564" s="22">
        <v>45109</v>
      </c>
      <c r="C564" s="26">
        <f t="shared" ca="1" si="68"/>
        <v>0.1877988772970296</v>
      </c>
      <c r="D564" s="29">
        <f t="shared" ca="1" si="105"/>
        <v>58</v>
      </c>
      <c r="F564" s="22">
        <v>45109</v>
      </c>
      <c r="G564" s="26">
        <f t="shared" ca="1" si="88"/>
        <v>0.90741299455254054</v>
      </c>
      <c r="H564" s="29">
        <f t="shared" ca="1" si="79"/>
        <v>235</v>
      </c>
      <c r="J564" s="22">
        <v>45109</v>
      </c>
      <c r="K564" s="26">
        <f t="shared" ca="1" si="89"/>
        <v>0.45731754439935335</v>
      </c>
      <c r="L564" s="29">
        <f t="shared" ca="1" si="80"/>
        <v>149</v>
      </c>
      <c r="N564" s="22">
        <v>45109</v>
      </c>
      <c r="O564" s="26">
        <f t="shared" ca="1" si="90"/>
        <v>0.71485206601264517</v>
      </c>
      <c r="P564" s="29">
        <f t="shared" ca="1" si="81"/>
        <v>239</v>
      </c>
      <c r="R564" s="22">
        <v>45109</v>
      </c>
      <c r="S564" s="26">
        <f t="shared" ca="1" si="91"/>
        <v>0.21054782547298001</v>
      </c>
      <c r="T564" s="29">
        <f t="shared" ca="1" si="82"/>
        <v>132</v>
      </c>
      <c r="V564" s="22">
        <v>45109</v>
      </c>
      <c r="W564" s="26">
        <f t="shared" ca="1" si="92"/>
        <v>0.72281831722187384</v>
      </c>
      <c r="X564" s="29">
        <f t="shared" ca="1" si="83"/>
        <v>234</v>
      </c>
      <c r="Z564" s="22">
        <v>45109</v>
      </c>
      <c r="AA564" s="26">
        <f t="shared" ca="1" si="93"/>
        <v>0.21875178481682789</v>
      </c>
      <c r="AB564" s="29">
        <f t="shared" ca="1" si="84"/>
        <v>257</v>
      </c>
      <c r="AC564"/>
      <c r="AD564" s="25"/>
      <c r="AF564" s="22">
        <v>45109</v>
      </c>
      <c r="AG564" s="26">
        <f t="shared" ca="1" si="94"/>
        <v>0.13360351223585032</v>
      </c>
      <c r="AH564" s="29">
        <f t="shared" ca="1" si="85"/>
        <v>231</v>
      </c>
      <c r="AJ564" s="22">
        <v>45109</v>
      </c>
      <c r="AK564" s="26">
        <f t="shared" ca="1" si="95"/>
        <v>0.86663699608982803</v>
      </c>
      <c r="AL564" s="29">
        <f t="shared" ca="1" si="86"/>
        <v>221</v>
      </c>
      <c r="AN564" s="22">
        <v>45109</v>
      </c>
      <c r="AO564" s="26">
        <f t="shared" ca="1" si="96"/>
        <v>0.59425258264341052</v>
      </c>
      <c r="AP564" s="29">
        <f t="shared" ca="1" si="87"/>
        <v>247</v>
      </c>
      <c r="AR564" s="22">
        <v>45109</v>
      </c>
      <c r="AS564" s="26">
        <f t="shared" ca="1" si="97"/>
        <v>0.61118087050222558</v>
      </c>
      <c r="AT564" s="29">
        <v>0</v>
      </c>
      <c r="AV564" s="22">
        <v>45109</v>
      </c>
      <c r="AW564" s="26">
        <f t="shared" ca="1" si="98"/>
        <v>0.29346502817029141</v>
      </c>
      <c r="AX564" s="29">
        <v>0</v>
      </c>
      <c r="AZ564" s="22">
        <v>45109</v>
      </c>
      <c r="BA564" s="26">
        <f t="shared" ca="1" si="99"/>
        <v>0.67778580768062979</v>
      </c>
      <c r="BB564" s="29">
        <v>0</v>
      </c>
      <c r="BC564"/>
      <c r="BD564" s="25"/>
      <c r="BF564" s="22">
        <v>45109</v>
      </c>
      <c r="BG564" s="26">
        <f t="shared" ca="1" si="100"/>
        <v>0.4254023313942471</v>
      </c>
      <c r="BH564" s="29">
        <v>0</v>
      </c>
      <c r="BJ564" s="22">
        <v>45109</v>
      </c>
      <c r="BK564" s="26">
        <f t="shared" ca="1" si="101"/>
        <v>0.34229575379963195</v>
      </c>
      <c r="BL564" s="29">
        <v>0</v>
      </c>
      <c r="BN564" s="22">
        <v>45109</v>
      </c>
      <c r="BO564" s="26">
        <f t="shared" ca="1" si="102"/>
        <v>0.10852812882928786</v>
      </c>
      <c r="BP564" s="29">
        <v>0</v>
      </c>
      <c r="BR564" s="22">
        <v>45109</v>
      </c>
      <c r="BS564" s="26">
        <f t="shared" ca="1" si="103"/>
        <v>0.4927441696597441</v>
      </c>
      <c r="BT564" s="29">
        <v>0</v>
      </c>
      <c r="BV564" s="22">
        <v>45109</v>
      </c>
      <c r="BW564" s="26">
        <f t="shared" ca="1" si="104"/>
        <v>0.21804358768086118</v>
      </c>
      <c r="BX564" s="29">
        <v>0</v>
      </c>
    </row>
    <row r="565" spans="2:77" ht="12.75" x14ac:dyDescent="0.2">
      <c r="B565" s="22">
        <v>45110</v>
      </c>
      <c r="C565" s="26">
        <f t="shared" ca="1" si="68"/>
        <v>0.73969021881433361</v>
      </c>
      <c r="D565" s="29">
        <f t="shared" ca="1" si="105"/>
        <v>88</v>
      </c>
      <c r="F565" s="22">
        <v>45110</v>
      </c>
      <c r="G565" s="26">
        <f t="shared" ca="1" si="88"/>
        <v>0.27950485134806635</v>
      </c>
      <c r="H565" s="29">
        <f t="shared" ca="1" si="79"/>
        <v>208</v>
      </c>
      <c r="J565" s="22">
        <v>45110</v>
      </c>
      <c r="K565" s="26">
        <f t="shared" ca="1" si="89"/>
        <v>0.54624272356303782</v>
      </c>
      <c r="L565" s="29">
        <f t="shared" ca="1" si="80"/>
        <v>152</v>
      </c>
      <c r="N565" s="22">
        <v>45110</v>
      </c>
      <c r="O565" s="26">
        <f t="shared" ca="1" si="90"/>
        <v>0.65404184948855659</v>
      </c>
      <c r="P565" s="29">
        <f t="shared" ca="1" si="81"/>
        <v>236</v>
      </c>
      <c r="R565" s="22">
        <v>45110</v>
      </c>
      <c r="S565" s="26">
        <f t="shared" ca="1" si="91"/>
        <v>0.73010378917222551</v>
      </c>
      <c r="T565" s="29">
        <f t="shared" ca="1" si="82"/>
        <v>145</v>
      </c>
      <c r="V565" s="22">
        <v>45110</v>
      </c>
      <c r="W565" s="26">
        <f t="shared" ca="1" si="92"/>
        <v>0.79254021565717492</v>
      </c>
      <c r="X565" s="29">
        <f t="shared" ca="1" si="83"/>
        <v>238</v>
      </c>
      <c r="Z565" s="22">
        <v>45110</v>
      </c>
      <c r="AA565" s="26">
        <f t="shared" ca="1" si="93"/>
        <v>0.72145670598317801</v>
      </c>
      <c r="AB565" s="29">
        <f t="shared" ca="1" si="84"/>
        <v>281</v>
      </c>
      <c r="AC565"/>
      <c r="AD565" s="25"/>
      <c r="AF565" s="22">
        <v>45110</v>
      </c>
      <c r="AG565" s="26">
        <f t="shared" ca="1" si="94"/>
        <v>0.92917621399599037</v>
      </c>
      <c r="AH565" s="29">
        <f t="shared" ca="1" si="85"/>
        <v>456</v>
      </c>
      <c r="AJ565" s="22">
        <v>45110</v>
      </c>
      <c r="AK565" s="26">
        <f t="shared" ca="1" si="95"/>
        <v>0.7473859858796108</v>
      </c>
      <c r="AL565" s="29">
        <f t="shared" ca="1" si="86"/>
        <v>201</v>
      </c>
      <c r="AN565" s="22">
        <v>45110</v>
      </c>
      <c r="AO565" s="26">
        <f t="shared" ca="1" si="96"/>
        <v>0.18737874820787725</v>
      </c>
      <c r="AP565" s="29">
        <f t="shared" ca="1" si="87"/>
        <v>178</v>
      </c>
      <c r="AR565" s="22">
        <v>45110</v>
      </c>
      <c r="AS565" s="26">
        <f t="shared" ca="1" si="97"/>
        <v>0.55286309718883875</v>
      </c>
      <c r="AT565" s="29">
        <v>0</v>
      </c>
      <c r="AV565" s="22">
        <v>45110</v>
      </c>
      <c r="AW565" s="26">
        <f t="shared" ca="1" si="98"/>
        <v>0.12563043082780967</v>
      </c>
      <c r="AX565" s="29">
        <v>0</v>
      </c>
      <c r="AZ565" s="22">
        <v>45110</v>
      </c>
      <c r="BA565" s="26">
        <f t="shared" ca="1" si="99"/>
        <v>0.74429100200854204</v>
      </c>
      <c r="BB565" s="29">
        <v>0</v>
      </c>
      <c r="BC565"/>
      <c r="BD565" s="25"/>
      <c r="BF565" s="22">
        <v>45110</v>
      </c>
      <c r="BG565" s="26">
        <f t="shared" ca="1" si="100"/>
        <v>0.3470075217241364</v>
      </c>
      <c r="BH565" s="29">
        <v>0</v>
      </c>
      <c r="BJ565" s="22">
        <v>45110</v>
      </c>
      <c r="BK565" s="26">
        <f t="shared" ca="1" si="101"/>
        <v>0.86007285600716965</v>
      </c>
      <c r="BL565" s="29">
        <v>0</v>
      </c>
      <c r="BN565" s="22">
        <v>45110</v>
      </c>
      <c r="BO565" s="26">
        <f t="shared" ca="1" si="102"/>
        <v>0.4619642941970572</v>
      </c>
      <c r="BP565" s="29">
        <v>0</v>
      </c>
      <c r="BR565" s="22">
        <v>45110</v>
      </c>
      <c r="BS565" s="26">
        <f t="shared" ca="1" si="103"/>
        <v>0.58091606739412738</v>
      </c>
      <c r="BT565" s="29">
        <v>0</v>
      </c>
      <c r="BV565" s="22">
        <v>45110</v>
      </c>
      <c r="BW565" s="26">
        <f t="shared" ca="1" si="104"/>
        <v>0.45971340005745687</v>
      </c>
      <c r="BX565" s="29">
        <v>0</v>
      </c>
    </row>
    <row r="566" spans="2:77" ht="12.75" x14ac:dyDescent="0.2">
      <c r="B566" s="22">
        <v>45111</v>
      </c>
      <c r="C566" s="26">
        <f t="shared" ca="1" si="68"/>
        <v>0.76824811477895194</v>
      </c>
      <c r="D566" s="29">
        <f t="shared" ca="1" si="105"/>
        <v>90</v>
      </c>
      <c r="F566" s="22">
        <v>45111</v>
      </c>
      <c r="G566" s="26">
        <f t="shared" ca="1" si="88"/>
        <v>0.30698961208540121</v>
      </c>
      <c r="H566" s="29">
        <f t="shared" ca="1" si="79"/>
        <v>209</v>
      </c>
      <c r="J566" s="22">
        <v>45111</v>
      </c>
      <c r="K566" s="26">
        <f t="shared" ca="1" si="89"/>
        <v>0.3708165950052692</v>
      </c>
      <c r="L566" s="29">
        <f t="shared" ca="1" si="80"/>
        <v>147</v>
      </c>
      <c r="N566" s="22">
        <v>45111</v>
      </c>
      <c r="O566" s="26">
        <f t="shared" ca="1" si="90"/>
        <v>0.92734274647639081</v>
      </c>
      <c r="P566" s="29">
        <f t="shared" ca="1" si="81"/>
        <v>252</v>
      </c>
      <c r="R566" s="22">
        <v>45111</v>
      </c>
      <c r="S566" s="26">
        <f t="shared" ca="1" si="91"/>
        <v>0.10113340414180905</v>
      </c>
      <c r="T566" s="29">
        <f t="shared" ca="1" si="82"/>
        <v>127</v>
      </c>
      <c r="V566" s="22">
        <v>45111</v>
      </c>
      <c r="W566" s="26">
        <f t="shared" ca="1" si="92"/>
        <v>0.71158284929287952</v>
      </c>
      <c r="X566" s="29">
        <f t="shared" ca="1" si="83"/>
        <v>234</v>
      </c>
      <c r="Z566" s="22">
        <v>45111</v>
      </c>
      <c r="AA566" s="26">
        <f t="shared" ca="1" si="93"/>
        <v>0.96731181777535236</v>
      </c>
      <c r="AB566" s="29">
        <f t="shared" ca="1" si="84"/>
        <v>304</v>
      </c>
      <c r="AC566"/>
      <c r="AD566" s="25"/>
      <c r="AF566" s="22">
        <v>45111</v>
      </c>
      <c r="AG566" s="26">
        <f t="shared" ca="1" si="94"/>
        <v>0.77427743778702629</v>
      </c>
      <c r="AH566" s="29">
        <f t="shared" ca="1" si="85"/>
        <v>393</v>
      </c>
      <c r="AJ566" s="22">
        <v>45111</v>
      </c>
      <c r="AK566" s="26">
        <f t="shared" ca="1" si="95"/>
        <v>3.3925428746575115E-3</v>
      </c>
      <c r="AL566" s="29">
        <f t="shared" ca="1" si="86"/>
        <v>48</v>
      </c>
      <c r="AN566" s="22">
        <v>45111</v>
      </c>
      <c r="AO566" s="26">
        <f t="shared" ca="1" si="96"/>
        <v>0.84066494715995077</v>
      </c>
      <c r="AP566" s="29">
        <f t="shared" ca="1" si="87"/>
        <v>294</v>
      </c>
      <c r="AR566" s="22">
        <v>45111</v>
      </c>
      <c r="AS566" s="26">
        <f t="shared" ca="1" si="97"/>
        <v>0.84508839847935724</v>
      </c>
      <c r="AT566" s="29">
        <v>0</v>
      </c>
      <c r="AV566" s="22">
        <v>45111</v>
      </c>
      <c r="AW566" s="26">
        <f t="shared" ca="1" si="98"/>
        <v>0.93909461444579523</v>
      </c>
      <c r="AX566" s="29">
        <v>0</v>
      </c>
      <c r="AZ566" s="22">
        <v>45111</v>
      </c>
      <c r="BA566" s="26">
        <f t="shared" ca="1" si="99"/>
        <v>0.80958875237671568</v>
      </c>
      <c r="BB566" s="29">
        <v>0</v>
      </c>
      <c r="BC566"/>
      <c r="BD566" s="25"/>
      <c r="BF566" s="22">
        <v>45111</v>
      </c>
      <c r="BG566" s="26">
        <f t="shared" ca="1" si="100"/>
        <v>0.3569080851138603</v>
      </c>
      <c r="BH566" s="29">
        <v>0</v>
      </c>
      <c r="BJ566" s="22">
        <v>45111</v>
      </c>
      <c r="BK566" s="26">
        <f t="shared" ca="1" si="101"/>
        <v>8.4325699900359319E-2</v>
      </c>
      <c r="BL566" s="29">
        <v>0</v>
      </c>
      <c r="BN566" s="22">
        <v>45111</v>
      </c>
      <c r="BO566" s="26">
        <f t="shared" ca="1" si="102"/>
        <v>0.75670143181333749</v>
      </c>
      <c r="BP566" s="29">
        <v>0</v>
      </c>
      <c r="BR566" s="22">
        <v>45111</v>
      </c>
      <c r="BS566" s="26">
        <f t="shared" ca="1" si="103"/>
        <v>0.68214590932274799</v>
      </c>
      <c r="BT566" s="29">
        <v>0</v>
      </c>
      <c r="BV566" s="22">
        <v>45111</v>
      </c>
      <c r="BW566" s="26">
        <f t="shared" ca="1" si="104"/>
        <v>0.45490386379926728</v>
      </c>
      <c r="BX566" s="29">
        <v>0</v>
      </c>
    </row>
    <row r="567" spans="2:77" ht="12.75" x14ac:dyDescent="0.2">
      <c r="B567" s="22">
        <v>45112</v>
      </c>
      <c r="C567" s="26">
        <f t="shared" ca="1" si="68"/>
        <v>0.50323458561407741</v>
      </c>
      <c r="D567" s="29">
        <f t="shared" ca="1" si="105"/>
        <v>76</v>
      </c>
      <c r="F567" s="22">
        <v>45112</v>
      </c>
      <c r="G567" s="26">
        <f t="shared" ca="1" si="88"/>
        <v>0.69614169316989549</v>
      </c>
      <c r="H567" s="29">
        <f t="shared" ca="1" si="79"/>
        <v>223</v>
      </c>
      <c r="J567" s="22">
        <v>45112</v>
      </c>
      <c r="K567" s="26">
        <f t="shared" ca="1" si="89"/>
        <v>0.98259511253620169</v>
      </c>
      <c r="L567" s="29">
        <f t="shared" ca="1" si="80"/>
        <v>172</v>
      </c>
      <c r="N567" s="22">
        <v>45112</v>
      </c>
      <c r="O567" s="26">
        <f t="shared" ca="1" si="90"/>
        <v>0.14481414666271752</v>
      </c>
      <c r="P567" s="29">
        <f t="shared" ca="1" si="81"/>
        <v>214</v>
      </c>
      <c r="R567" s="22">
        <v>45112</v>
      </c>
      <c r="S567" s="26">
        <f t="shared" ca="1" si="91"/>
        <v>0.14843898411757572</v>
      </c>
      <c r="T567" s="29">
        <f t="shared" ca="1" si="82"/>
        <v>130</v>
      </c>
      <c r="V567" s="22">
        <v>45112</v>
      </c>
      <c r="W567" s="26">
        <f t="shared" ca="1" si="92"/>
        <v>0.57868926109236241</v>
      </c>
      <c r="X567" s="29">
        <f t="shared" ca="1" si="83"/>
        <v>228</v>
      </c>
      <c r="Z567" s="22">
        <v>45112</v>
      </c>
      <c r="AA567" s="26">
        <f t="shared" ca="1" si="93"/>
        <v>0.89921754583324054</v>
      </c>
      <c r="AB567" s="29">
        <f t="shared" ca="1" si="84"/>
        <v>293</v>
      </c>
      <c r="AC567"/>
      <c r="AD567" s="25"/>
      <c r="AF567" s="22">
        <v>45112</v>
      </c>
      <c r="AG567" s="26">
        <f t="shared" ca="1" si="94"/>
        <v>0.52727214193303651</v>
      </c>
      <c r="AH567" s="29">
        <f t="shared" ca="1" si="85"/>
        <v>333</v>
      </c>
      <c r="AJ567" s="22">
        <v>45112</v>
      </c>
      <c r="AK567" s="26">
        <f t="shared" ca="1" si="95"/>
        <v>0.74771218461049382</v>
      </c>
      <c r="AL567" s="29">
        <f t="shared" ca="1" si="86"/>
        <v>201</v>
      </c>
      <c r="AN567" s="22">
        <v>45112</v>
      </c>
      <c r="AO567" s="26">
        <f t="shared" ca="1" si="96"/>
        <v>0.10247122815325127</v>
      </c>
      <c r="AP567" s="29">
        <f t="shared" ca="1" si="87"/>
        <v>154</v>
      </c>
      <c r="AR567" s="22">
        <v>45112</v>
      </c>
      <c r="AS567" s="26">
        <f t="shared" ca="1" si="97"/>
        <v>0.17459255761643</v>
      </c>
      <c r="AT567" s="29">
        <v>0</v>
      </c>
      <c r="AV567" s="22">
        <v>45112</v>
      </c>
      <c r="AW567" s="26">
        <f t="shared" ca="1" si="98"/>
        <v>0.91843879055223487</v>
      </c>
      <c r="AX567" s="29">
        <v>0</v>
      </c>
      <c r="AZ567" s="22">
        <v>45112</v>
      </c>
      <c r="BA567" s="26">
        <f t="shared" ca="1" si="99"/>
        <v>0.88338955063785052</v>
      </c>
      <c r="BB567" s="29">
        <v>0</v>
      </c>
      <c r="BC567"/>
      <c r="BD567" s="25"/>
      <c r="BF567" s="22">
        <v>45112</v>
      </c>
      <c r="BG567" s="26">
        <f t="shared" ca="1" si="100"/>
        <v>0.81426461540511597</v>
      </c>
      <c r="BH567" s="29">
        <v>0</v>
      </c>
      <c r="BJ567" s="22">
        <v>45112</v>
      </c>
      <c r="BK567" s="26">
        <f t="shared" ca="1" si="101"/>
        <v>0.22306346546573197</v>
      </c>
      <c r="BL567" s="29">
        <v>0</v>
      </c>
      <c r="BN567" s="22">
        <v>45112</v>
      </c>
      <c r="BO567" s="26">
        <f t="shared" ca="1" si="102"/>
        <v>0.83507745674089551</v>
      </c>
      <c r="BP567" s="29">
        <v>0</v>
      </c>
      <c r="BR567" s="22">
        <v>45112</v>
      </c>
      <c r="BS567" s="26">
        <f t="shared" ca="1" si="103"/>
        <v>0.61557364097173395</v>
      </c>
      <c r="BT567" s="29">
        <v>0</v>
      </c>
      <c r="BV567" s="22">
        <v>45112</v>
      </c>
      <c r="BW567" s="26">
        <f t="shared" ca="1" si="104"/>
        <v>0.63445835385128202</v>
      </c>
      <c r="BX567" s="29">
        <v>0</v>
      </c>
    </row>
    <row r="568" spans="2:77" ht="12.75" x14ac:dyDescent="0.2">
      <c r="B568" s="22">
        <v>45113</v>
      </c>
      <c r="C568" s="26">
        <f t="shared" ca="1" si="68"/>
        <v>0.95273739194462193</v>
      </c>
      <c r="D568" s="29">
        <f t="shared" ca="1" si="105"/>
        <v>109</v>
      </c>
      <c r="F568" s="22">
        <v>45113</v>
      </c>
      <c r="G568" s="26">
        <f t="shared" ca="1" si="88"/>
        <v>0.31021054295069772</v>
      </c>
      <c r="H568" s="29">
        <f t="shared" ca="1" si="79"/>
        <v>209</v>
      </c>
      <c r="J568" s="22">
        <v>45113</v>
      </c>
      <c r="K568" s="26">
        <f t="shared" ca="1" si="89"/>
        <v>0.27382355573398964</v>
      </c>
      <c r="L568" s="29">
        <f t="shared" ca="1" si="80"/>
        <v>144</v>
      </c>
      <c r="N568" s="22">
        <v>45113</v>
      </c>
      <c r="O568" s="26">
        <f t="shared" ca="1" si="90"/>
        <v>0.91852961119873244</v>
      </c>
      <c r="P568" s="29">
        <f t="shared" ca="1" si="81"/>
        <v>251</v>
      </c>
      <c r="R568" s="22">
        <v>45113</v>
      </c>
      <c r="S568" s="26">
        <f t="shared" ca="1" si="91"/>
        <v>0.62169212033996268</v>
      </c>
      <c r="T568" s="29">
        <f t="shared" ca="1" si="82"/>
        <v>142</v>
      </c>
      <c r="V568" s="22">
        <v>45113</v>
      </c>
      <c r="W568" s="26">
        <f t="shared" ca="1" si="92"/>
        <v>0.29388933608718304</v>
      </c>
      <c r="X568" s="29">
        <f t="shared" ca="1" si="83"/>
        <v>217</v>
      </c>
      <c r="Z568" s="22">
        <v>45113</v>
      </c>
      <c r="AA568" s="26">
        <f t="shared" ca="1" si="93"/>
        <v>0.43891012866165102</v>
      </c>
      <c r="AB568" s="29">
        <f t="shared" ca="1" si="84"/>
        <v>268</v>
      </c>
      <c r="AC568"/>
      <c r="AD568" s="25"/>
      <c r="AF568" s="22">
        <v>45113</v>
      </c>
      <c r="AG568" s="26">
        <f t="shared" ca="1" si="94"/>
        <v>0.94218888711781379</v>
      </c>
      <c r="AH568" s="29">
        <f t="shared" ca="1" si="85"/>
        <v>465</v>
      </c>
      <c r="AJ568" s="22">
        <v>45113</v>
      </c>
      <c r="AK568" s="26">
        <f t="shared" ca="1" si="95"/>
        <v>0.30529601287837194</v>
      </c>
      <c r="AL568" s="29">
        <f t="shared" ca="1" si="86"/>
        <v>148</v>
      </c>
      <c r="AN568" s="22">
        <v>45113</v>
      </c>
      <c r="AO568" s="26">
        <f t="shared" ca="1" si="96"/>
        <v>0.25886025414382519</v>
      </c>
      <c r="AP568" s="29">
        <f t="shared" ca="1" si="87"/>
        <v>193</v>
      </c>
      <c r="AR568" s="22">
        <v>45113</v>
      </c>
      <c r="AS568" s="26">
        <f t="shared" ca="1" si="97"/>
        <v>0.94866291084717602</v>
      </c>
      <c r="AT568" s="29">
        <v>0</v>
      </c>
      <c r="AV568" s="22">
        <v>45113</v>
      </c>
      <c r="AW568" s="26">
        <f t="shared" ca="1" si="98"/>
        <v>0.16507039039436766</v>
      </c>
      <c r="AX568" s="29">
        <v>0</v>
      </c>
      <c r="AZ568" s="22">
        <v>45113</v>
      </c>
      <c r="BA568" s="26">
        <f t="shared" ca="1" si="99"/>
        <v>0.87669706814130299</v>
      </c>
      <c r="BB568" s="29">
        <v>0</v>
      </c>
      <c r="BC568"/>
      <c r="BD568" s="25"/>
      <c r="BF568" s="22">
        <v>45113</v>
      </c>
      <c r="BG568" s="26">
        <f t="shared" ca="1" si="100"/>
        <v>0.88780807556822727</v>
      </c>
      <c r="BH568" s="29">
        <v>0</v>
      </c>
      <c r="BJ568" s="22">
        <v>45113</v>
      </c>
      <c r="BK568" s="26">
        <f t="shared" ca="1" si="101"/>
        <v>0.82710392305558189</v>
      </c>
      <c r="BL568" s="29">
        <v>0</v>
      </c>
      <c r="BN568" s="22">
        <v>45113</v>
      </c>
      <c r="BO568" s="26">
        <f t="shared" ca="1" si="102"/>
        <v>7.3328319971524558E-2</v>
      </c>
      <c r="BP568" s="29">
        <v>0</v>
      </c>
      <c r="BR568" s="22">
        <v>45113</v>
      </c>
      <c r="BS568" s="26">
        <f t="shared" ca="1" si="103"/>
        <v>0.91409989868266661</v>
      </c>
      <c r="BT568" s="29">
        <v>0</v>
      </c>
      <c r="BV568" s="22">
        <v>45113</v>
      </c>
      <c r="BW568" s="26">
        <f t="shared" ca="1" si="104"/>
        <v>0.9139082303199747</v>
      </c>
      <c r="BX568" s="29">
        <v>0</v>
      </c>
    </row>
    <row r="569" spans="2:77" ht="12.75" x14ac:dyDescent="0.2">
      <c r="B569" s="22">
        <v>45114</v>
      </c>
      <c r="C569" s="26">
        <f t="shared" ca="1" si="68"/>
        <v>0.56299764734438673</v>
      </c>
      <c r="D569" s="29">
        <v>0</v>
      </c>
      <c r="F569" s="22">
        <v>45114</v>
      </c>
      <c r="G569" s="26">
        <f t="shared" ca="1" si="88"/>
        <v>0.38554170067044347</v>
      </c>
      <c r="H569" s="29">
        <v>0</v>
      </c>
      <c r="J569" s="22">
        <v>45114</v>
      </c>
      <c r="K569" s="26">
        <f t="shared" ca="1" si="89"/>
        <v>0.22296099351343668</v>
      </c>
      <c r="L569" s="29">
        <v>0</v>
      </c>
      <c r="N569" s="22">
        <v>45114</v>
      </c>
      <c r="O569" s="26">
        <f t="shared" ca="1" si="90"/>
        <v>0.5661157839187797</v>
      </c>
      <c r="P569" s="29">
        <v>0</v>
      </c>
      <c r="R569" s="22">
        <v>45114</v>
      </c>
      <c r="S569" s="26">
        <f t="shared" ca="1" si="91"/>
        <v>0.34157138662257869</v>
      </c>
      <c r="T569" s="29">
        <v>0</v>
      </c>
      <c r="V569" s="22">
        <v>45114</v>
      </c>
      <c r="W569" s="26">
        <f t="shared" ca="1" si="92"/>
        <v>0.30758419913857893</v>
      </c>
      <c r="X569" s="29">
        <v>0</v>
      </c>
      <c r="Z569" s="22">
        <v>45114</v>
      </c>
      <c r="AA569" s="26">
        <f t="shared" ca="1" si="93"/>
        <v>0.87476609270306349</v>
      </c>
      <c r="AB569" s="29">
        <v>0</v>
      </c>
      <c r="AC569"/>
      <c r="AD569" s="25"/>
      <c r="AF569" s="22">
        <v>45114</v>
      </c>
      <c r="AG569" s="26">
        <f t="shared" ca="1" si="94"/>
        <v>0.19149027771683269</v>
      </c>
      <c r="AH569" s="29">
        <v>0</v>
      </c>
      <c r="AJ569" s="22">
        <v>45114</v>
      </c>
      <c r="AK569" s="26">
        <f t="shared" ca="1" si="95"/>
        <v>0.20795913579214598</v>
      </c>
      <c r="AL569" s="29">
        <v>0</v>
      </c>
      <c r="AN569" s="22">
        <v>45114</v>
      </c>
      <c r="AO569" s="26">
        <f t="shared" ca="1" si="96"/>
        <v>0.15622092828595935</v>
      </c>
      <c r="AP569" s="29">
        <v>0</v>
      </c>
      <c r="AR569" s="22">
        <v>45114</v>
      </c>
      <c r="AS569" s="26">
        <f t="shared" ca="1" si="97"/>
        <v>0.32041659328504679</v>
      </c>
      <c r="AT569" s="29">
        <v>0</v>
      </c>
      <c r="AV569" s="22">
        <v>45114</v>
      </c>
      <c r="AW569" s="26">
        <f t="shared" ca="1" si="98"/>
        <v>0.57303258908997023</v>
      </c>
      <c r="AX569" s="29">
        <v>0</v>
      </c>
      <c r="AZ569" s="22">
        <v>45114</v>
      </c>
      <c r="BA569" s="26">
        <f t="shared" ca="1" si="99"/>
        <v>0.32525476917585527</v>
      </c>
      <c r="BB569" s="29">
        <v>0</v>
      </c>
      <c r="BC569"/>
      <c r="BD569" s="25"/>
      <c r="BF569" s="22">
        <v>45114</v>
      </c>
      <c r="BG569" s="26">
        <f t="shared" ca="1" si="100"/>
        <v>0.92131475206307278</v>
      </c>
      <c r="BH569" s="29">
        <v>0</v>
      </c>
      <c r="BJ569" s="22">
        <v>45114</v>
      </c>
      <c r="BK569" s="26">
        <f t="shared" ca="1" si="101"/>
        <v>0.50849786714326239</v>
      </c>
      <c r="BL569" s="29">
        <v>0</v>
      </c>
      <c r="BN569" s="22">
        <v>45114</v>
      </c>
      <c r="BO569" s="26">
        <f t="shared" ca="1" si="102"/>
        <v>0.72990372489831734</v>
      </c>
      <c r="BP569" s="29">
        <v>0</v>
      </c>
      <c r="BR569" s="22">
        <v>45114</v>
      </c>
      <c r="BS569" s="26">
        <f t="shared" ca="1" si="103"/>
        <v>0.23090670400815483</v>
      </c>
      <c r="BT569" s="29">
        <v>0</v>
      </c>
      <c r="BV569" s="22">
        <v>45114</v>
      </c>
      <c r="BW569" s="26">
        <f t="shared" ca="1" si="104"/>
        <v>5.9012795787504735E-2</v>
      </c>
      <c r="BX569" s="29">
        <v>0</v>
      </c>
    </row>
    <row r="570" spans="2:77" ht="12.75" x14ac:dyDescent="0.2">
      <c r="B570" s="22">
        <v>45115</v>
      </c>
      <c r="C570" s="26">
        <f t="shared" ca="1" si="68"/>
        <v>0.58791597177663502</v>
      </c>
      <c r="D570" s="29">
        <v>0</v>
      </c>
      <c r="F570" s="22">
        <v>45115</v>
      </c>
      <c r="G570" s="26">
        <f t="shared" ca="1" si="88"/>
        <v>0.10833923149905944</v>
      </c>
      <c r="H570" s="29">
        <v>0</v>
      </c>
      <c r="J570" s="22">
        <v>45115</v>
      </c>
      <c r="K570" s="26">
        <f t="shared" ca="1" si="89"/>
        <v>0.78411726623042488</v>
      </c>
      <c r="L570" s="29">
        <v>0</v>
      </c>
      <c r="N570" s="22">
        <v>45115</v>
      </c>
      <c r="O570" s="26">
        <f t="shared" ca="1" si="90"/>
        <v>0.20611450331777781</v>
      </c>
      <c r="P570" s="29">
        <v>0</v>
      </c>
      <c r="R570" s="22">
        <v>45115</v>
      </c>
      <c r="S570" s="26">
        <f t="shared" ca="1" si="91"/>
        <v>0.45787651617670588</v>
      </c>
      <c r="T570" s="29">
        <v>0</v>
      </c>
      <c r="V570" s="22">
        <v>45115</v>
      </c>
      <c r="W570" s="26">
        <f t="shared" ca="1" si="92"/>
        <v>0.81698690975798605</v>
      </c>
      <c r="X570" s="29">
        <v>0</v>
      </c>
      <c r="Z570" s="22">
        <v>45115</v>
      </c>
      <c r="AA570" s="26">
        <f t="shared" ca="1" si="93"/>
        <v>0.58920059441305261</v>
      </c>
      <c r="AB570" s="29">
        <v>0</v>
      </c>
      <c r="AC570"/>
      <c r="AD570" s="25"/>
      <c r="AF570" s="22">
        <v>45115</v>
      </c>
      <c r="AG570" s="26">
        <f t="shared" ca="1" si="94"/>
        <v>0.19627481974587613</v>
      </c>
      <c r="AH570" s="29">
        <v>0</v>
      </c>
      <c r="AJ570" s="22">
        <v>45115</v>
      </c>
      <c r="AK570" s="26">
        <f t="shared" ca="1" si="95"/>
        <v>0.94976850183994632</v>
      </c>
      <c r="AL570" s="29">
        <v>0</v>
      </c>
      <c r="AN570" s="22">
        <v>45115</v>
      </c>
      <c r="AO570" s="26">
        <f t="shared" ca="1" si="96"/>
        <v>0.34990394889508381</v>
      </c>
      <c r="AP570" s="29">
        <v>0</v>
      </c>
      <c r="AR570" s="22">
        <v>45115</v>
      </c>
      <c r="AS570" s="26">
        <f t="shared" ca="1" si="97"/>
        <v>0.85841971269429751</v>
      </c>
      <c r="AT570" s="29">
        <v>0</v>
      </c>
      <c r="AV570" s="22">
        <v>45115</v>
      </c>
      <c r="AW570" s="26">
        <f t="shared" ca="1" si="98"/>
        <v>3.5811559033331886E-3</v>
      </c>
      <c r="AX570" s="29">
        <v>0</v>
      </c>
      <c r="AZ570" s="22">
        <v>45115</v>
      </c>
      <c r="BA570" s="26">
        <f t="shared" ca="1" si="99"/>
        <v>0.12457483904564703</v>
      </c>
      <c r="BB570" s="29">
        <v>0</v>
      </c>
      <c r="BC570"/>
      <c r="BD570" s="25"/>
      <c r="BF570" s="22">
        <v>45115</v>
      </c>
      <c r="BG570" s="26">
        <f t="shared" ca="1" si="100"/>
        <v>5.4826493209438998E-2</v>
      </c>
      <c r="BH570" s="29">
        <v>0</v>
      </c>
      <c r="BJ570" s="22">
        <v>45115</v>
      </c>
      <c r="BK570" s="26">
        <f t="shared" ca="1" si="101"/>
        <v>0.8613360046129479</v>
      </c>
      <c r="BL570" s="29">
        <v>0</v>
      </c>
      <c r="BN570" s="22">
        <v>45115</v>
      </c>
      <c r="BO570" s="26">
        <f t="shared" ca="1" si="102"/>
        <v>0.69505174575691109</v>
      </c>
      <c r="BP570" s="29">
        <v>0</v>
      </c>
      <c r="BR570" s="22">
        <v>45115</v>
      </c>
      <c r="BS570" s="26">
        <f t="shared" ca="1" si="103"/>
        <v>0.52596387624258156</v>
      </c>
      <c r="BT570" s="29">
        <v>0</v>
      </c>
      <c r="BV570" s="22">
        <v>45115</v>
      </c>
      <c r="BW570" s="26">
        <f t="shared" ca="1" si="104"/>
        <v>0.33436138413706851</v>
      </c>
      <c r="BX570" s="29">
        <v>0</v>
      </c>
    </row>
    <row r="571" spans="2:77" ht="12.75" x14ac:dyDescent="0.2">
      <c r="B571" s="22">
        <v>45116</v>
      </c>
      <c r="C571" s="26">
        <f t="shared" ca="1" si="68"/>
        <v>0.56643782915302188</v>
      </c>
      <c r="D571" s="29">
        <v>0</v>
      </c>
      <c r="F571" s="22">
        <v>45116</v>
      </c>
      <c r="G571" s="26">
        <f t="shared" ca="1" si="88"/>
        <v>0.73769270545014076</v>
      </c>
      <c r="H571" s="29">
        <v>0</v>
      </c>
      <c r="J571" s="22">
        <v>45116</v>
      </c>
      <c r="K571" s="26">
        <f t="shared" ca="1" si="89"/>
        <v>0.33303822231265601</v>
      </c>
      <c r="L571" s="29">
        <v>0</v>
      </c>
      <c r="N571" s="22">
        <v>45116</v>
      </c>
      <c r="O571" s="26">
        <f t="shared" ca="1" si="90"/>
        <v>0.44573323902398521</v>
      </c>
      <c r="P571" s="29">
        <v>0</v>
      </c>
      <c r="R571" s="22">
        <v>45116</v>
      </c>
      <c r="S571" s="26">
        <f t="shared" ca="1" si="91"/>
        <v>0.96456694243612728</v>
      </c>
      <c r="T571" s="29">
        <v>0</v>
      </c>
      <c r="V571" s="22">
        <v>45116</v>
      </c>
      <c r="W571" s="26">
        <f t="shared" ca="1" si="92"/>
        <v>0.25685676141107205</v>
      </c>
      <c r="X571" s="29">
        <v>0</v>
      </c>
      <c r="Z571" s="22">
        <v>45116</v>
      </c>
      <c r="AA571" s="26">
        <f t="shared" ca="1" si="93"/>
        <v>0.25924544363727198</v>
      </c>
      <c r="AB571" s="29">
        <v>0</v>
      </c>
      <c r="AC571"/>
      <c r="AD571" s="25"/>
      <c r="AF571" s="22">
        <v>45116</v>
      </c>
      <c r="AG571" s="26">
        <f t="shared" ca="1" si="94"/>
        <v>0.41201700069430325</v>
      </c>
      <c r="AH571" s="29">
        <v>0</v>
      </c>
      <c r="AJ571" s="22">
        <v>45116</v>
      </c>
      <c r="AK571" s="26">
        <f t="shared" ca="1" si="95"/>
        <v>0.63965502667713259</v>
      </c>
      <c r="AL571" s="29">
        <v>0</v>
      </c>
      <c r="AN571" s="22">
        <v>45116</v>
      </c>
      <c r="AO571" s="26">
        <f t="shared" ca="1" si="96"/>
        <v>0.73734538694285245</v>
      </c>
      <c r="AP571" s="29">
        <v>0</v>
      </c>
      <c r="AR571" s="22">
        <v>45116</v>
      </c>
      <c r="AS571" s="26">
        <f t="shared" ca="1" si="97"/>
        <v>0.71420556787028944</v>
      </c>
      <c r="AT571" s="29">
        <v>0</v>
      </c>
      <c r="AV571" s="22">
        <v>45116</v>
      </c>
      <c r="AW571" s="26">
        <f t="shared" ca="1" si="98"/>
        <v>0.76280407620902746</v>
      </c>
      <c r="AX571" s="29">
        <v>0</v>
      </c>
      <c r="AZ571" s="22">
        <v>45116</v>
      </c>
      <c r="BA571" s="26">
        <f t="shared" ca="1" si="99"/>
        <v>0.1577561350387231</v>
      </c>
      <c r="BB571" s="29">
        <v>0</v>
      </c>
      <c r="BC571"/>
      <c r="BD571" s="25"/>
      <c r="BF571" s="22">
        <v>45116</v>
      </c>
      <c r="BG571" s="26">
        <f t="shared" ca="1" si="100"/>
        <v>0.64602141294176307</v>
      </c>
      <c r="BH571" s="29">
        <v>0</v>
      </c>
      <c r="BJ571" s="22">
        <v>45116</v>
      </c>
      <c r="BK571" s="26">
        <f t="shared" ca="1" si="101"/>
        <v>0.9777282864028124</v>
      </c>
      <c r="BL571" s="29">
        <v>0</v>
      </c>
      <c r="BN571" s="22">
        <v>45116</v>
      </c>
      <c r="BO571" s="26">
        <f t="shared" ca="1" si="102"/>
        <v>3.6147096973266901E-3</v>
      </c>
      <c r="BP571" s="29">
        <v>0</v>
      </c>
      <c r="BR571" s="22">
        <v>45116</v>
      </c>
      <c r="BS571" s="26">
        <f t="shared" ca="1" si="103"/>
        <v>0.63821227996463126</v>
      </c>
      <c r="BT571" s="29">
        <v>0</v>
      </c>
      <c r="BV571" s="22">
        <v>45116</v>
      </c>
      <c r="BW571" s="26">
        <f t="shared" ca="1" si="104"/>
        <v>0.40462062742386429</v>
      </c>
      <c r="BX571" s="29">
        <v>0</v>
      </c>
    </row>
    <row r="572" spans="2:77" ht="12.75" x14ac:dyDescent="0.2">
      <c r="B572" s="22">
        <v>45117</v>
      </c>
      <c r="C572" s="26">
        <f t="shared" ca="1" si="68"/>
        <v>0.9478176934515431</v>
      </c>
      <c r="D572" s="29">
        <v>0</v>
      </c>
      <c r="F572" s="22">
        <v>45117</v>
      </c>
      <c r="G572" s="26">
        <f t="shared" ca="1" si="88"/>
        <v>0.18705402937078597</v>
      </c>
      <c r="H572" s="29">
        <v>0</v>
      </c>
      <c r="J572" s="22">
        <v>45117</v>
      </c>
      <c r="K572" s="26">
        <f t="shared" ca="1" si="89"/>
        <v>0.14187470695024351</v>
      </c>
      <c r="L572" s="29">
        <v>0</v>
      </c>
      <c r="N572" s="22">
        <v>45117</v>
      </c>
      <c r="O572" s="26">
        <f t="shared" ca="1" si="90"/>
        <v>9.8796677221367535E-2</v>
      </c>
      <c r="P572" s="29">
        <v>0</v>
      </c>
      <c r="R572" s="22">
        <v>45117</v>
      </c>
      <c r="S572" s="26">
        <f t="shared" ca="1" si="91"/>
        <v>0.90648019565518512</v>
      </c>
      <c r="T572" s="29">
        <v>0</v>
      </c>
      <c r="V572" s="22">
        <v>45117</v>
      </c>
      <c r="W572" s="26">
        <f t="shared" ca="1" si="92"/>
        <v>0.57427601868382827</v>
      </c>
      <c r="X572" s="29">
        <v>0</v>
      </c>
      <c r="Z572" s="22">
        <v>45117</v>
      </c>
      <c r="AA572" s="26">
        <f t="shared" ca="1" si="93"/>
        <v>0.84208550809735583</v>
      </c>
      <c r="AB572" s="29">
        <v>0</v>
      </c>
      <c r="AC572"/>
      <c r="AD572" s="25"/>
      <c r="AF572" s="22">
        <v>45117</v>
      </c>
      <c r="AG572" s="26">
        <f t="shared" ca="1" si="94"/>
        <v>0.35573409427136538</v>
      </c>
      <c r="AH572" s="29">
        <v>0</v>
      </c>
      <c r="AJ572" s="22">
        <v>45117</v>
      </c>
      <c r="AK572" s="26">
        <f t="shared" ca="1" si="95"/>
        <v>1.4153873174015286E-2</v>
      </c>
      <c r="AL572" s="29">
        <v>0</v>
      </c>
      <c r="AN572" s="22">
        <v>45117</v>
      </c>
      <c r="AO572" s="26">
        <f t="shared" ca="1" si="96"/>
        <v>0.91470854563994486</v>
      </c>
      <c r="AP572" s="29">
        <v>0</v>
      </c>
      <c r="AR572" s="22">
        <v>45117</v>
      </c>
      <c r="AS572" s="26">
        <f t="shared" ca="1" si="97"/>
        <v>0.42009226289540835</v>
      </c>
      <c r="AT572" s="29">
        <v>0</v>
      </c>
      <c r="AV572" s="22">
        <v>45117</v>
      </c>
      <c r="AW572" s="26">
        <f t="shared" ca="1" si="98"/>
        <v>0.50530510875167778</v>
      </c>
      <c r="AX572" s="29">
        <v>0</v>
      </c>
      <c r="AZ572" s="22">
        <v>45117</v>
      </c>
      <c r="BA572" s="26">
        <f t="shared" ca="1" si="99"/>
        <v>0.30751025801423815</v>
      </c>
      <c r="BB572" s="29">
        <v>0</v>
      </c>
      <c r="BC572"/>
      <c r="BD572" s="25"/>
      <c r="BF572" s="22">
        <v>45117</v>
      </c>
      <c r="BG572" s="26">
        <f t="shared" ca="1" si="100"/>
        <v>7.0425753127832835E-2</v>
      </c>
      <c r="BH572" s="29">
        <v>0</v>
      </c>
      <c r="BJ572" s="22">
        <v>45117</v>
      </c>
      <c r="BK572" s="26">
        <f t="shared" ca="1" si="101"/>
        <v>1.0597675634421155E-2</v>
      </c>
      <c r="BL572" s="29">
        <v>0</v>
      </c>
      <c r="BN572" s="22">
        <v>45117</v>
      </c>
      <c r="BO572" s="26">
        <f t="shared" ca="1" si="102"/>
        <v>0.29948209216400645</v>
      </c>
      <c r="BP572" s="29">
        <v>0</v>
      </c>
      <c r="BR572" s="22">
        <v>45117</v>
      </c>
      <c r="BS572" s="26">
        <f t="shared" ca="1" si="103"/>
        <v>0.40818580362527934</v>
      </c>
      <c r="BT572" s="29">
        <v>0</v>
      </c>
      <c r="BV572" s="22">
        <v>45117</v>
      </c>
      <c r="BW572" s="26">
        <f t="shared" ca="1" si="104"/>
        <v>0.55360867767411048</v>
      </c>
      <c r="BX572" s="29">
        <v>0</v>
      </c>
    </row>
    <row r="573" spans="2:77" ht="12.75" x14ac:dyDescent="0.2">
      <c r="B573" s="22">
        <v>45118</v>
      </c>
      <c r="C573" s="26">
        <f t="shared" ca="1" si="68"/>
        <v>0.88775962400068464</v>
      </c>
      <c r="D573" s="29">
        <v>0</v>
      </c>
      <c r="F573" s="22">
        <v>45118</v>
      </c>
      <c r="G573" s="26">
        <f t="shared" ca="1" si="88"/>
        <v>0.24524033837405557</v>
      </c>
      <c r="H573" s="29">
        <v>0</v>
      </c>
      <c r="J573" s="22">
        <v>45118</v>
      </c>
      <c r="K573" s="26">
        <f t="shared" ca="1" si="89"/>
        <v>0.66019871205136071</v>
      </c>
      <c r="L573" s="29">
        <v>0</v>
      </c>
      <c r="N573" s="22">
        <v>45118</v>
      </c>
      <c r="O573" s="26">
        <f t="shared" ca="1" si="90"/>
        <v>0.94314433917304907</v>
      </c>
      <c r="P573" s="29">
        <v>0</v>
      </c>
      <c r="R573" s="22">
        <v>45118</v>
      </c>
      <c r="S573" s="26">
        <f t="shared" ca="1" si="91"/>
        <v>0.82143298594976566</v>
      </c>
      <c r="T573" s="29">
        <v>0</v>
      </c>
      <c r="V573" s="22">
        <v>45118</v>
      </c>
      <c r="W573" s="26">
        <f t="shared" ca="1" si="92"/>
        <v>0.54028022193592529</v>
      </c>
      <c r="X573" s="29">
        <v>0</v>
      </c>
      <c r="Z573" s="22">
        <v>45118</v>
      </c>
      <c r="AA573" s="26">
        <f t="shared" ca="1" si="93"/>
        <v>0.86570818969614782</v>
      </c>
      <c r="AB573" s="29">
        <v>0</v>
      </c>
      <c r="AC573"/>
      <c r="AD573" s="25"/>
      <c r="AF573" s="22">
        <v>45118</v>
      </c>
      <c r="AG573" s="26">
        <f t="shared" ca="1" si="94"/>
        <v>0.94627669019144844</v>
      </c>
      <c r="AH573" s="29">
        <v>0</v>
      </c>
      <c r="AJ573" s="22">
        <v>45118</v>
      </c>
      <c r="AK573" s="26">
        <f t="shared" ca="1" si="95"/>
        <v>9.6732800503391392E-2</v>
      </c>
      <c r="AL573" s="29">
        <v>0</v>
      </c>
      <c r="AN573" s="22">
        <v>45118</v>
      </c>
      <c r="AO573" s="26">
        <f t="shared" ca="1" si="96"/>
        <v>0.97608256542476934</v>
      </c>
      <c r="AP573" s="29">
        <v>0</v>
      </c>
      <c r="AR573" s="22">
        <v>45118</v>
      </c>
      <c r="AS573" s="26">
        <f t="shared" ca="1" si="97"/>
        <v>0.38316711435100637</v>
      </c>
      <c r="AT573" s="29">
        <v>0</v>
      </c>
      <c r="AV573" s="22">
        <v>45118</v>
      </c>
      <c r="AW573" s="26">
        <f t="shared" ca="1" si="98"/>
        <v>0.46305852806868841</v>
      </c>
      <c r="AX573" s="29">
        <v>0</v>
      </c>
      <c r="AZ573" s="22">
        <v>45118</v>
      </c>
      <c r="BA573" s="26">
        <f t="shared" ca="1" si="99"/>
        <v>0.44981380522831538</v>
      </c>
      <c r="BB573" s="29">
        <v>0</v>
      </c>
      <c r="BC573"/>
      <c r="BD573" s="25"/>
      <c r="BF573" s="22">
        <v>45118</v>
      </c>
      <c r="BG573" s="26">
        <f t="shared" ca="1" si="100"/>
        <v>0.84798878432744551</v>
      </c>
      <c r="BH573" s="29">
        <v>0</v>
      </c>
      <c r="BJ573" s="22">
        <v>45118</v>
      </c>
      <c r="BK573" s="26">
        <f t="shared" ca="1" si="101"/>
        <v>0.71408394903207306</v>
      </c>
      <c r="BL573" s="29">
        <v>0</v>
      </c>
      <c r="BN573" s="22">
        <v>45118</v>
      </c>
      <c r="BO573" s="26">
        <f t="shared" ca="1" si="102"/>
        <v>0.19160851986386929</v>
      </c>
      <c r="BP573" s="29">
        <v>0</v>
      </c>
      <c r="BR573" s="22">
        <v>45118</v>
      </c>
      <c r="BS573" s="26">
        <f t="shared" ca="1" si="103"/>
        <v>0.82554308774171969</v>
      </c>
      <c r="BT573" s="29">
        <v>0</v>
      </c>
      <c r="BV573" s="22">
        <v>45118</v>
      </c>
      <c r="BW573" s="26">
        <f t="shared" ca="1" si="104"/>
        <v>0.53165178048125872</v>
      </c>
      <c r="BX573" s="29">
        <v>0</v>
      </c>
    </row>
    <row r="574" spans="2:77" ht="12.75" x14ac:dyDescent="0.2">
      <c r="B574" s="22">
        <v>45119</v>
      </c>
      <c r="C574" s="26">
        <f t="shared" ca="1" si="68"/>
        <v>0.20260888716487602</v>
      </c>
      <c r="D574" s="29">
        <v>0</v>
      </c>
      <c r="F574" s="22">
        <v>45119</v>
      </c>
      <c r="G574" s="26">
        <f t="shared" ca="1" si="88"/>
        <v>0.18466112186608452</v>
      </c>
      <c r="H574" s="29">
        <v>0</v>
      </c>
      <c r="J574" s="22">
        <v>45119</v>
      </c>
      <c r="K574" s="26">
        <f t="shared" ca="1" si="89"/>
        <v>0.5981428118196005</v>
      </c>
      <c r="L574" s="29">
        <v>0</v>
      </c>
      <c r="N574" s="22">
        <v>45119</v>
      </c>
      <c r="O574" s="26">
        <f t="shared" ca="1" si="90"/>
        <v>0.47176033204040169</v>
      </c>
      <c r="P574" s="29">
        <v>0</v>
      </c>
      <c r="R574" s="22">
        <v>45119</v>
      </c>
      <c r="S574" s="26">
        <f t="shared" ca="1" si="91"/>
        <v>0.13112976484411276</v>
      </c>
      <c r="T574" s="29">
        <v>0</v>
      </c>
      <c r="V574" s="22">
        <v>45119</v>
      </c>
      <c r="W574" s="26">
        <f t="shared" ca="1" si="92"/>
        <v>0.12930930237901594</v>
      </c>
      <c r="X574" s="29">
        <v>0</v>
      </c>
      <c r="Z574" s="22">
        <v>45119</v>
      </c>
      <c r="AA574" s="26">
        <f t="shared" ca="1" si="93"/>
        <v>4.4500638950349169E-2</v>
      </c>
      <c r="AB574" s="29">
        <v>0</v>
      </c>
      <c r="AC574"/>
      <c r="AD574" s="25"/>
      <c r="AF574" s="22">
        <v>45119</v>
      </c>
      <c r="AG574" s="26">
        <f t="shared" ca="1" si="94"/>
        <v>0.56055931855138241</v>
      </c>
      <c r="AH574" s="29">
        <v>0</v>
      </c>
      <c r="AJ574" s="22">
        <v>45119</v>
      </c>
      <c r="AK574" s="26">
        <f t="shared" ca="1" si="95"/>
        <v>0.19654054631242857</v>
      </c>
      <c r="AL574" s="29">
        <v>0</v>
      </c>
      <c r="AN574" s="22">
        <v>45119</v>
      </c>
      <c r="AO574" s="26">
        <f t="shared" ca="1" si="96"/>
        <v>0.17108985738333571</v>
      </c>
      <c r="AP574" s="29">
        <v>0</v>
      </c>
      <c r="AR574" s="22">
        <v>45119</v>
      </c>
      <c r="AS574" s="26">
        <f t="shared" ca="1" si="97"/>
        <v>0.50825720454277634</v>
      </c>
      <c r="AT574" s="29">
        <v>0</v>
      </c>
      <c r="AV574" s="22">
        <v>45119</v>
      </c>
      <c r="AW574" s="26">
        <f t="shared" ca="1" si="98"/>
        <v>0.24033999903057623</v>
      </c>
      <c r="AX574" s="29">
        <v>0</v>
      </c>
      <c r="AZ574" s="22">
        <v>45119</v>
      </c>
      <c r="BA574" s="26">
        <f t="shared" ca="1" si="99"/>
        <v>0.92766974380171796</v>
      </c>
      <c r="BB574" s="29">
        <v>0</v>
      </c>
      <c r="BC574"/>
      <c r="BD574" s="25"/>
      <c r="BF574" s="22">
        <v>45119</v>
      </c>
      <c r="BG574" s="26">
        <f t="shared" ca="1" si="100"/>
        <v>8.4556821390084025E-2</v>
      </c>
      <c r="BH574" s="29">
        <v>0</v>
      </c>
      <c r="BJ574" s="22">
        <v>45119</v>
      </c>
      <c r="BK574" s="26">
        <f t="shared" ca="1" si="101"/>
        <v>0.72111564398010786</v>
      </c>
      <c r="BL574" s="29">
        <v>0</v>
      </c>
      <c r="BN574" s="22">
        <v>45119</v>
      </c>
      <c r="BO574" s="26">
        <f t="shared" ca="1" si="102"/>
        <v>0.67364090339162364</v>
      </c>
      <c r="BP574" s="29">
        <v>0</v>
      </c>
      <c r="BR574" s="22">
        <v>45119</v>
      </c>
      <c r="BS574" s="26">
        <f t="shared" ca="1" si="103"/>
        <v>5.1087640792881084E-2</v>
      </c>
      <c r="BT574" s="29">
        <v>0</v>
      </c>
      <c r="BV574" s="22">
        <v>45119</v>
      </c>
      <c r="BW574" s="26">
        <f t="shared" ca="1" si="104"/>
        <v>0.38919229500965702</v>
      </c>
      <c r="BX574" s="29">
        <v>0</v>
      </c>
    </row>
    <row r="575" spans="2:77" ht="12.75" x14ac:dyDescent="0.2">
      <c r="B575" s="22">
        <v>45120</v>
      </c>
      <c r="C575" s="26">
        <f t="shared" ca="1" si="68"/>
        <v>0.14572589296149874</v>
      </c>
      <c r="D575" s="29">
        <v>0</v>
      </c>
      <c r="F575" s="22">
        <v>45120</v>
      </c>
      <c r="G575" s="26">
        <f t="shared" ca="1" si="88"/>
        <v>0.88295030105859651</v>
      </c>
      <c r="H575" s="29">
        <v>0</v>
      </c>
      <c r="J575" s="22">
        <v>45120</v>
      </c>
      <c r="K575" s="26">
        <f t="shared" ca="1" si="89"/>
        <v>0.96965401958383757</v>
      </c>
      <c r="L575" s="29">
        <v>0</v>
      </c>
      <c r="N575" s="22">
        <v>45120</v>
      </c>
      <c r="O575" s="26">
        <f t="shared" ca="1" si="90"/>
        <v>0.94053721278922953</v>
      </c>
      <c r="P575" s="29">
        <v>0</v>
      </c>
      <c r="R575" s="22">
        <v>45120</v>
      </c>
      <c r="S575" s="26">
        <f t="shared" ca="1" si="91"/>
        <v>0.79083274426197581</v>
      </c>
      <c r="T575" s="29">
        <v>0</v>
      </c>
      <c r="V575" s="22">
        <v>45120</v>
      </c>
      <c r="W575" s="26">
        <f t="shared" ca="1" si="92"/>
        <v>0.56888318324079878</v>
      </c>
      <c r="X575" s="29">
        <v>0</v>
      </c>
      <c r="Z575" s="22">
        <v>45120</v>
      </c>
      <c r="AA575" s="26">
        <f t="shared" ca="1" si="93"/>
        <v>4.1171045756088653E-2</v>
      </c>
      <c r="AB575" s="29">
        <v>0</v>
      </c>
      <c r="AC575"/>
      <c r="AD575" s="25"/>
      <c r="AF575" s="22">
        <v>45120</v>
      </c>
      <c r="AG575" s="26">
        <f t="shared" ca="1" si="94"/>
        <v>0.69444428368488931</v>
      </c>
      <c r="AH575" s="29">
        <v>0</v>
      </c>
      <c r="AJ575" s="22">
        <v>45120</v>
      </c>
      <c r="AK575" s="26">
        <f t="shared" ca="1" si="95"/>
        <v>0.97079065127340025</v>
      </c>
      <c r="AL575" s="29">
        <v>0</v>
      </c>
      <c r="AN575" s="22">
        <v>45120</v>
      </c>
      <c r="AO575" s="26">
        <f t="shared" ca="1" si="96"/>
        <v>0.93921067269336811</v>
      </c>
      <c r="AP575" s="29">
        <v>0</v>
      </c>
      <c r="AR575" s="22">
        <v>45120</v>
      </c>
      <c r="AS575" s="26">
        <f t="shared" ca="1" si="97"/>
        <v>0.18615728177107316</v>
      </c>
      <c r="AT575" s="29">
        <v>0</v>
      </c>
      <c r="AV575" s="22">
        <v>45120</v>
      </c>
      <c r="AW575" s="26">
        <f t="shared" ca="1" si="98"/>
        <v>0.40580808455302231</v>
      </c>
      <c r="AX575" s="29">
        <v>0</v>
      </c>
      <c r="AZ575" s="22">
        <v>45120</v>
      </c>
      <c r="BA575" s="26">
        <f t="shared" ca="1" si="99"/>
        <v>0.72273111150230185</v>
      </c>
      <c r="BB575" s="29">
        <v>0</v>
      </c>
      <c r="BC575"/>
      <c r="BD575" s="25"/>
      <c r="BF575" s="22">
        <v>45120</v>
      </c>
      <c r="BG575" s="26">
        <f t="shared" ca="1" si="100"/>
        <v>0.93166004544172065</v>
      </c>
      <c r="BH575" s="29">
        <v>0</v>
      </c>
      <c r="BJ575" s="22">
        <v>45120</v>
      </c>
      <c r="BK575" s="26">
        <f t="shared" ca="1" si="101"/>
        <v>0.63545632726641421</v>
      </c>
      <c r="BL575" s="29">
        <v>0</v>
      </c>
      <c r="BN575" s="22">
        <v>45120</v>
      </c>
      <c r="BO575" s="26">
        <f t="shared" ca="1" si="102"/>
        <v>0.67054527774618833</v>
      </c>
      <c r="BP575" s="29">
        <v>0</v>
      </c>
      <c r="BR575" s="22">
        <v>45120</v>
      </c>
      <c r="BS575" s="26">
        <f t="shared" ca="1" si="103"/>
        <v>1.0151974413541431E-3</v>
      </c>
      <c r="BT575" s="29">
        <v>0</v>
      </c>
      <c r="BV575" s="22">
        <v>45120</v>
      </c>
      <c r="BW575" s="26">
        <f t="shared" ca="1" si="104"/>
        <v>0.71001747023400341</v>
      </c>
      <c r="BX575" s="29">
        <v>0</v>
      </c>
    </row>
    <row r="576" spans="2:77" ht="12.75" x14ac:dyDescent="0.2">
      <c r="B576" s="22">
        <v>45121</v>
      </c>
      <c r="C576" s="26">
        <f t="shared" ca="1" si="68"/>
        <v>0.77037779979859322</v>
      </c>
      <c r="D576" s="29">
        <v>0</v>
      </c>
      <c r="F576" s="22">
        <v>45121</v>
      </c>
      <c r="G576" s="26">
        <f t="shared" ca="1" si="88"/>
        <v>0.30797388232068001</v>
      </c>
      <c r="H576" s="29">
        <v>0</v>
      </c>
      <c r="J576" s="22">
        <v>45121</v>
      </c>
      <c r="K576" s="26">
        <f t="shared" ca="1" si="89"/>
        <v>0.81337099451605288</v>
      </c>
      <c r="L576" s="29">
        <v>0</v>
      </c>
      <c r="N576" s="22">
        <v>45121</v>
      </c>
      <c r="O576" s="26">
        <f t="shared" ca="1" si="90"/>
        <v>0.31907214090095792</v>
      </c>
      <c r="P576" s="29">
        <v>0</v>
      </c>
      <c r="R576" s="22">
        <v>45121</v>
      </c>
      <c r="S576" s="26">
        <f t="shared" ca="1" si="91"/>
        <v>0.99520368184239583</v>
      </c>
      <c r="T576" s="29">
        <v>0</v>
      </c>
      <c r="V576" s="22">
        <v>45121</v>
      </c>
      <c r="W576" s="26">
        <f t="shared" ca="1" si="92"/>
        <v>0.62015816537493162</v>
      </c>
      <c r="X576" s="29">
        <v>0</v>
      </c>
      <c r="Z576" s="22">
        <v>45121</v>
      </c>
      <c r="AA576" s="26">
        <f t="shared" ca="1" si="93"/>
        <v>0.52566676310323623</v>
      </c>
      <c r="AB576" s="29">
        <v>0</v>
      </c>
      <c r="AC576"/>
      <c r="AD576" s="25"/>
      <c r="AF576" s="22">
        <v>45121</v>
      </c>
      <c r="AG576" s="26">
        <f t="shared" ca="1" si="94"/>
        <v>0.81435424369986886</v>
      </c>
      <c r="AH576" s="29">
        <v>0</v>
      </c>
      <c r="AJ576" s="22">
        <v>45121</v>
      </c>
      <c r="AK576" s="26">
        <f t="shared" ca="1" si="95"/>
        <v>0.65647818166421568</v>
      </c>
      <c r="AL576" s="29">
        <v>0</v>
      </c>
      <c r="AN576" s="22">
        <v>45121</v>
      </c>
      <c r="AO576" s="26">
        <f t="shared" ca="1" si="96"/>
        <v>0.80839911507882312</v>
      </c>
      <c r="AP576" s="29">
        <v>0</v>
      </c>
      <c r="AR576" s="22">
        <v>45121</v>
      </c>
      <c r="AS576" s="26">
        <f t="shared" ca="1" si="97"/>
        <v>0.53052411162711155</v>
      </c>
      <c r="AT576" s="29">
        <v>0</v>
      </c>
      <c r="AV576" s="22">
        <v>45121</v>
      </c>
      <c r="AW576" s="26">
        <f t="shared" ca="1" si="98"/>
        <v>7.7891500042994499E-2</v>
      </c>
      <c r="AX576" s="29">
        <v>0</v>
      </c>
      <c r="AZ576" s="22">
        <v>45121</v>
      </c>
      <c r="BA576" s="26">
        <f t="shared" ca="1" si="99"/>
        <v>0.21415607180968765</v>
      </c>
      <c r="BB576" s="29">
        <v>0</v>
      </c>
      <c r="BC576"/>
      <c r="BD576" s="25"/>
      <c r="BF576" s="22">
        <v>45121</v>
      </c>
      <c r="BG576" s="26">
        <f t="shared" ca="1" si="100"/>
        <v>0.79443387338291738</v>
      </c>
      <c r="BH576" s="29">
        <v>0</v>
      </c>
      <c r="BJ576" s="22">
        <v>45121</v>
      </c>
      <c r="BK576" s="26">
        <f t="shared" ca="1" si="101"/>
        <v>0.98246031828136393</v>
      </c>
      <c r="BL576" s="29">
        <v>0</v>
      </c>
      <c r="BN576" s="22">
        <v>45121</v>
      </c>
      <c r="BO576" s="26">
        <f t="shared" ca="1" si="102"/>
        <v>0.55148312657077325</v>
      </c>
      <c r="BP576" s="29">
        <v>0</v>
      </c>
      <c r="BR576" s="22">
        <v>45121</v>
      </c>
      <c r="BS576" s="26">
        <f t="shared" ca="1" si="103"/>
        <v>0.90151674700450024</v>
      </c>
      <c r="BT576" s="29">
        <v>0</v>
      </c>
      <c r="BV576" s="22">
        <v>45121</v>
      </c>
      <c r="BW576" s="26">
        <f t="shared" ca="1" si="104"/>
        <v>0.13534293283547116</v>
      </c>
      <c r="BX576" s="29">
        <v>0</v>
      </c>
    </row>
    <row r="577" spans="2:76" ht="12.75" x14ac:dyDescent="0.2">
      <c r="B577" s="22">
        <v>45122</v>
      </c>
      <c r="C577" s="26">
        <f t="shared" ca="1" si="68"/>
        <v>0.98513712960849209</v>
      </c>
      <c r="D577" s="29">
        <v>0</v>
      </c>
      <c r="F577" s="22">
        <v>45122</v>
      </c>
      <c r="G577" s="26">
        <f t="shared" ca="1" si="88"/>
        <v>0.53377127416409575</v>
      </c>
      <c r="H577" s="29">
        <v>0</v>
      </c>
      <c r="J577" s="22">
        <v>45122</v>
      </c>
      <c r="K577" s="26">
        <f t="shared" ca="1" si="89"/>
        <v>0.48718781633881358</v>
      </c>
      <c r="L577" s="29">
        <v>0</v>
      </c>
      <c r="N577" s="22">
        <v>45122</v>
      </c>
      <c r="O577" s="26">
        <f t="shared" ca="1" si="90"/>
        <v>0.75103582746599862</v>
      </c>
      <c r="P577" s="29">
        <v>0</v>
      </c>
      <c r="R577" s="22">
        <v>45122</v>
      </c>
      <c r="S577" s="26">
        <f t="shared" ca="1" si="91"/>
        <v>0.99186405898968555</v>
      </c>
      <c r="T577" s="29">
        <v>0</v>
      </c>
      <c r="V577" s="22">
        <v>45122</v>
      </c>
      <c r="W577" s="26">
        <f t="shared" ca="1" si="92"/>
        <v>0.33189969282098231</v>
      </c>
      <c r="X577" s="29">
        <v>0</v>
      </c>
      <c r="Z577" s="22">
        <v>45122</v>
      </c>
      <c r="AA577" s="26">
        <f t="shared" ca="1" si="93"/>
        <v>0.76297108999387941</v>
      </c>
      <c r="AB577" s="29">
        <v>0</v>
      </c>
      <c r="AC577"/>
      <c r="AD577" s="25"/>
      <c r="AF577" s="22">
        <v>45122</v>
      </c>
      <c r="AG577" s="26">
        <f t="shared" ca="1" si="94"/>
        <v>8.5193488491300484E-2</v>
      </c>
      <c r="AH577" s="29">
        <v>0</v>
      </c>
      <c r="AJ577" s="22">
        <v>45122</v>
      </c>
      <c r="AK577" s="26">
        <f t="shared" ca="1" si="95"/>
        <v>0.11813157697966026</v>
      </c>
      <c r="AL577" s="29">
        <v>0</v>
      </c>
      <c r="AN577" s="22">
        <v>45122</v>
      </c>
      <c r="AO577" s="26">
        <f t="shared" ca="1" si="96"/>
        <v>0.899874741470164</v>
      </c>
      <c r="AP577" s="29">
        <v>0</v>
      </c>
      <c r="AR577" s="22">
        <v>45122</v>
      </c>
      <c r="AS577" s="26">
        <f t="shared" ca="1" si="97"/>
        <v>0.57842470755334596</v>
      </c>
      <c r="AT577" s="29">
        <v>0</v>
      </c>
      <c r="AV577" s="22">
        <v>45122</v>
      </c>
      <c r="AW577" s="26">
        <f t="shared" ca="1" si="98"/>
        <v>0.81773933060648751</v>
      </c>
      <c r="AX577" s="29">
        <v>0</v>
      </c>
      <c r="AZ577" s="22">
        <v>45122</v>
      </c>
      <c r="BA577" s="26">
        <f t="shared" ca="1" si="99"/>
        <v>0.35624005982135809</v>
      </c>
      <c r="BB577" s="29">
        <v>0</v>
      </c>
      <c r="BC577"/>
      <c r="BD577" s="25"/>
      <c r="BF577" s="22">
        <v>45122</v>
      </c>
      <c r="BG577" s="26">
        <f t="shared" ca="1" si="100"/>
        <v>0.13693263900281316</v>
      </c>
      <c r="BH577" s="29">
        <v>0</v>
      </c>
      <c r="BJ577" s="22">
        <v>45122</v>
      </c>
      <c r="BK577" s="26">
        <f t="shared" ca="1" si="101"/>
        <v>0.87205582677164095</v>
      </c>
      <c r="BL577" s="29">
        <v>0</v>
      </c>
      <c r="BN577" s="22">
        <v>45122</v>
      </c>
      <c r="BO577" s="26">
        <f t="shared" ca="1" si="102"/>
        <v>0.88335060731801573</v>
      </c>
      <c r="BP577" s="29">
        <v>0</v>
      </c>
      <c r="BR577" s="22">
        <v>45122</v>
      </c>
      <c r="BS577" s="26">
        <f t="shared" ca="1" si="103"/>
        <v>0.1714534056789222</v>
      </c>
      <c r="BT577" s="29">
        <v>0</v>
      </c>
      <c r="BV577" s="22">
        <v>45122</v>
      </c>
      <c r="BW577" s="26">
        <f t="shared" ca="1" si="104"/>
        <v>0.12258774370660497</v>
      </c>
      <c r="BX577" s="29">
        <v>0</v>
      </c>
    </row>
    <row r="578" spans="2:76" ht="12.75" x14ac:dyDescent="0.2">
      <c r="B578" s="22">
        <v>45123</v>
      </c>
      <c r="C578" s="26">
        <f t="shared" ca="1" si="68"/>
        <v>0.52116632018487763</v>
      </c>
      <c r="D578" s="29">
        <v>0</v>
      </c>
      <c r="F578" s="22">
        <v>45123</v>
      </c>
      <c r="G578" s="26">
        <f t="shared" ca="1" si="88"/>
        <v>8.7476580454069808E-2</v>
      </c>
      <c r="H578" s="29">
        <v>0</v>
      </c>
      <c r="J578" s="22">
        <v>45123</v>
      </c>
      <c r="K578" s="26">
        <f t="shared" ca="1" si="89"/>
        <v>0.73236837536598576</v>
      </c>
      <c r="L578" s="29">
        <v>0</v>
      </c>
      <c r="N578" s="22">
        <v>45123</v>
      </c>
      <c r="O578" s="26">
        <f t="shared" ca="1" si="90"/>
        <v>0.86884178642270427</v>
      </c>
      <c r="P578" s="29">
        <v>0</v>
      </c>
      <c r="R578" s="22">
        <v>45123</v>
      </c>
      <c r="S578" s="26">
        <f t="shared" ca="1" si="91"/>
        <v>0.28242348458486544</v>
      </c>
      <c r="T578" s="29">
        <v>0</v>
      </c>
      <c r="V578" s="22">
        <v>45123</v>
      </c>
      <c r="W578" s="26">
        <f t="shared" ca="1" si="92"/>
        <v>0.16466497119526879</v>
      </c>
      <c r="X578" s="29">
        <v>0</v>
      </c>
      <c r="Z578" s="22">
        <v>45123</v>
      </c>
      <c r="AA578" s="26">
        <f t="shared" ca="1" si="93"/>
        <v>0.63552869640712661</v>
      </c>
      <c r="AB578" s="29">
        <v>0</v>
      </c>
      <c r="AC578"/>
      <c r="AD578" s="25"/>
      <c r="AF578" s="22">
        <v>45123</v>
      </c>
      <c r="AG578" s="26">
        <f t="shared" ca="1" si="94"/>
        <v>0.37390818323849628</v>
      </c>
      <c r="AH578" s="29">
        <v>0</v>
      </c>
      <c r="AJ578" s="22">
        <v>45123</v>
      </c>
      <c r="AK578" s="26">
        <f t="shared" ca="1" si="95"/>
        <v>0.24316758322084586</v>
      </c>
      <c r="AL578" s="29">
        <v>0</v>
      </c>
      <c r="AN578" s="22">
        <v>45123</v>
      </c>
      <c r="AO578" s="26">
        <f t="shared" ca="1" si="96"/>
        <v>0.56945026102363239</v>
      </c>
      <c r="AP578" s="29">
        <v>0</v>
      </c>
      <c r="AR578" s="22">
        <v>45123</v>
      </c>
      <c r="AS578" s="26">
        <f t="shared" ca="1" si="97"/>
        <v>0.13647009885498784</v>
      </c>
      <c r="AT578" s="29">
        <v>0</v>
      </c>
      <c r="AV578" s="22">
        <v>45123</v>
      </c>
      <c r="AW578" s="26">
        <f t="shared" ca="1" si="98"/>
        <v>0.45615765181961576</v>
      </c>
      <c r="AX578" s="29">
        <v>0</v>
      </c>
      <c r="AZ578" s="22">
        <v>45123</v>
      </c>
      <c r="BA578" s="26">
        <f t="shared" ca="1" si="99"/>
        <v>9.6096704902709718E-2</v>
      </c>
      <c r="BB578" s="29">
        <v>0</v>
      </c>
      <c r="BC578"/>
      <c r="BD578" s="25"/>
      <c r="BF578" s="22">
        <v>45123</v>
      </c>
      <c r="BG578" s="26">
        <f t="shared" ca="1" si="100"/>
        <v>0.39511723130576548</v>
      </c>
      <c r="BH578" s="29">
        <v>0</v>
      </c>
      <c r="BJ578" s="22">
        <v>45123</v>
      </c>
      <c r="BK578" s="26">
        <f t="shared" ca="1" si="101"/>
        <v>0.71369186736208834</v>
      </c>
      <c r="BL578" s="29">
        <v>0</v>
      </c>
      <c r="BN578" s="22">
        <v>45123</v>
      </c>
      <c r="BO578" s="26">
        <f t="shared" ca="1" si="102"/>
        <v>0.27788622175817057</v>
      </c>
      <c r="BP578" s="29">
        <v>0</v>
      </c>
      <c r="BR578" s="22">
        <v>45123</v>
      </c>
      <c r="BS578" s="26">
        <f t="shared" ca="1" si="103"/>
        <v>5.6762597007325222E-2</v>
      </c>
      <c r="BT578" s="29">
        <v>0</v>
      </c>
      <c r="BV578" s="22">
        <v>45123</v>
      </c>
      <c r="BW578" s="26">
        <f t="shared" ca="1" si="104"/>
        <v>0.73365519108376642</v>
      </c>
      <c r="BX578" s="29">
        <v>0</v>
      </c>
    </row>
    <row r="579" spans="2:76" ht="12.75" x14ac:dyDescent="0.2">
      <c r="B579" s="22">
        <v>45124</v>
      </c>
      <c r="C579" s="26">
        <f t="shared" ca="1" si="68"/>
        <v>0.78697742958875549</v>
      </c>
      <c r="D579" s="29">
        <v>0</v>
      </c>
      <c r="F579" s="22">
        <v>45124</v>
      </c>
      <c r="G579" s="26">
        <f t="shared" ca="1" si="88"/>
        <v>0.73298519506567072</v>
      </c>
      <c r="H579" s="29">
        <v>0</v>
      </c>
      <c r="J579" s="22">
        <v>45124</v>
      </c>
      <c r="K579" s="26">
        <f t="shared" ca="1" si="89"/>
        <v>0.21696993194539016</v>
      </c>
      <c r="L579" s="29">
        <v>0</v>
      </c>
      <c r="N579" s="22">
        <v>45124</v>
      </c>
      <c r="O579" s="26">
        <f t="shared" ca="1" si="90"/>
        <v>0.3118348616222496</v>
      </c>
      <c r="P579" s="29">
        <v>0</v>
      </c>
      <c r="R579" s="22">
        <v>45124</v>
      </c>
      <c r="S579" s="26">
        <f t="shared" ca="1" si="91"/>
        <v>0.82501142054925691</v>
      </c>
      <c r="T579" s="29">
        <v>0</v>
      </c>
      <c r="V579" s="22">
        <v>45124</v>
      </c>
      <c r="W579" s="26">
        <f t="shared" ca="1" si="92"/>
        <v>1.3475137969234496E-2</v>
      </c>
      <c r="X579" s="29">
        <v>0</v>
      </c>
      <c r="Z579" s="22">
        <v>45124</v>
      </c>
      <c r="AA579" s="26">
        <f t="shared" ca="1" si="93"/>
        <v>0.6330443470736945</v>
      </c>
      <c r="AB579" s="29">
        <v>0</v>
      </c>
      <c r="AC579"/>
      <c r="AD579" s="25"/>
      <c r="AF579" s="22">
        <v>45124</v>
      </c>
      <c r="AG579" s="26">
        <f t="shared" ca="1" si="94"/>
        <v>0.83402720460396473</v>
      </c>
      <c r="AH579" s="29">
        <v>0</v>
      </c>
      <c r="AJ579" s="22">
        <v>45124</v>
      </c>
      <c r="AK579" s="26">
        <f t="shared" ca="1" si="95"/>
        <v>0.67165119744756485</v>
      </c>
      <c r="AL579" s="29">
        <v>0</v>
      </c>
      <c r="AN579" s="22">
        <v>45124</v>
      </c>
      <c r="AO579" s="26">
        <f t="shared" ca="1" si="96"/>
        <v>0.82118868185037708</v>
      </c>
      <c r="AP579" s="29">
        <v>0</v>
      </c>
      <c r="AR579" s="22">
        <v>45124</v>
      </c>
      <c r="AS579" s="26">
        <f t="shared" ca="1" si="97"/>
        <v>0.11118715189954298</v>
      </c>
      <c r="AT579" s="29">
        <v>0</v>
      </c>
      <c r="AV579" s="22">
        <v>45124</v>
      </c>
      <c r="AW579" s="26">
        <f t="shared" ca="1" si="98"/>
        <v>0.23574739127038324</v>
      </c>
      <c r="AX579" s="29">
        <v>0</v>
      </c>
      <c r="AZ579" s="22">
        <v>45124</v>
      </c>
      <c r="BA579" s="26">
        <f t="shared" ca="1" si="99"/>
        <v>0.84019667417132993</v>
      </c>
      <c r="BB579" s="29">
        <v>0</v>
      </c>
      <c r="BC579"/>
      <c r="BD579" s="25"/>
      <c r="BF579" s="22">
        <v>45124</v>
      </c>
      <c r="BG579" s="26">
        <f t="shared" ca="1" si="100"/>
        <v>0.97558049920715362</v>
      </c>
      <c r="BH579" s="29">
        <v>0</v>
      </c>
      <c r="BJ579" s="22">
        <v>45124</v>
      </c>
      <c r="BK579" s="26">
        <f t="shared" ca="1" si="101"/>
        <v>0.67066432406006993</v>
      </c>
      <c r="BL579" s="29">
        <v>0</v>
      </c>
      <c r="BN579" s="22">
        <v>45124</v>
      </c>
      <c r="BO579" s="26">
        <f t="shared" ca="1" si="102"/>
        <v>0.28902178240666532</v>
      </c>
      <c r="BP579" s="29">
        <v>0</v>
      </c>
      <c r="BR579" s="22">
        <v>45124</v>
      </c>
      <c r="BS579" s="26">
        <f t="shared" ca="1" si="103"/>
        <v>0.4229113225897958</v>
      </c>
      <c r="BT579" s="29">
        <v>0</v>
      </c>
      <c r="BV579" s="22">
        <v>45124</v>
      </c>
      <c r="BW579" s="26">
        <f t="shared" ca="1" si="104"/>
        <v>0.74352920773238906</v>
      </c>
      <c r="BX579" s="29">
        <v>0</v>
      </c>
    </row>
    <row r="580" spans="2:76" ht="12.75" x14ac:dyDescent="0.2">
      <c r="B580" s="22">
        <v>45125</v>
      </c>
      <c r="C580" s="26">
        <f t="shared" ca="1" si="68"/>
        <v>0.25929631580146306</v>
      </c>
      <c r="D580" s="29">
        <v>0</v>
      </c>
      <c r="F580" s="22">
        <v>45125</v>
      </c>
      <c r="G580" s="26">
        <f t="shared" ca="1" si="88"/>
        <v>0.68537774438846377</v>
      </c>
      <c r="H580" s="29">
        <v>0</v>
      </c>
      <c r="J580" s="22">
        <v>45125</v>
      </c>
      <c r="K580" s="26">
        <f t="shared" ca="1" si="89"/>
        <v>7.0562409656912073E-2</v>
      </c>
      <c r="L580" s="29">
        <v>0</v>
      </c>
      <c r="N580" s="22">
        <v>45125</v>
      </c>
      <c r="O580" s="26">
        <f t="shared" ca="1" si="90"/>
        <v>0.26391072742250532</v>
      </c>
      <c r="P580" s="29">
        <v>0</v>
      </c>
      <c r="R580" s="22">
        <v>45125</v>
      </c>
      <c r="S580" s="26">
        <f t="shared" ca="1" si="91"/>
        <v>0.34900441803526916</v>
      </c>
      <c r="T580" s="29">
        <v>0</v>
      </c>
      <c r="V580" s="22">
        <v>45125</v>
      </c>
      <c r="W580" s="26">
        <f t="shared" ca="1" si="92"/>
        <v>0.15758938581107762</v>
      </c>
      <c r="X580" s="29">
        <v>0</v>
      </c>
      <c r="Z580" s="22">
        <v>45125</v>
      </c>
      <c r="AA580" s="26">
        <f t="shared" ca="1" si="93"/>
        <v>0.65426894560031934</v>
      </c>
      <c r="AB580" s="29">
        <v>0</v>
      </c>
      <c r="AC580"/>
      <c r="AD580" s="25"/>
      <c r="AF580" s="22">
        <v>45125</v>
      </c>
      <c r="AG580" s="26">
        <f t="shared" ca="1" si="94"/>
        <v>0.65505494575032941</v>
      </c>
      <c r="AH580" s="29">
        <v>0</v>
      </c>
      <c r="AJ580" s="22">
        <v>45125</v>
      </c>
      <c r="AK580" s="26">
        <f t="shared" ca="1" si="95"/>
        <v>0.76145020851386103</v>
      </c>
      <c r="AL580" s="29">
        <v>0</v>
      </c>
      <c r="AN580" s="22">
        <v>45125</v>
      </c>
      <c r="AO580" s="26">
        <f t="shared" ca="1" si="96"/>
        <v>0.80506843830919195</v>
      </c>
      <c r="AP580" s="29">
        <v>0</v>
      </c>
      <c r="AR580" s="22">
        <v>45125</v>
      </c>
      <c r="AS580" s="26">
        <f t="shared" ca="1" si="97"/>
        <v>0.80713654626350873</v>
      </c>
      <c r="AT580" s="29">
        <v>0</v>
      </c>
      <c r="AV580" s="22">
        <v>45125</v>
      </c>
      <c r="AW580" s="26">
        <f t="shared" ca="1" si="98"/>
        <v>0.95913058885905245</v>
      </c>
      <c r="AX580" s="29">
        <v>0</v>
      </c>
      <c r="AZ580" s="22">
        <v>45125</v>
      </c>
      <c r="BA580" s="26">
        <f t="shared" ca="1" si="99"/>
        <v>0.97187589468806579</v>
      </c>
      <c r="BB580" s="29">
        <v>0</v>
      </c>
      <c r="BC580"/>
      <c r="BD580" s="25"/>
      <c r="BF580" s="22">
        <v>45125</v>
      </c>
      <c r="BG580" s="26">
        <f t="shared" ca="1" si="100"/>
        <v>9.257833576491481E-2</v>
      </c>
      <c r="BH580" s="29">
        <v>0</v>
      </c>
      <c r="BJ580" s="22">
        <v>45125</v>
      </c>
      <c r="BK580" s="26">
        <f t="shared" ca="1" si="101"/>
        <v>0.87663313729447112</v>
      </c>
      <c r="BL580" s="29">
        <v>0</v>
      </c>
      <c r="BN580" s="22">
        <v>45125</v>
      </c>
      <c r="BO580" s="26">
        <f t="shared" ca="1" si="102"/>
        <v>0.43699129775231094</v>
      </c>
      <c r="BP580" s="29">
        <v>0</v>
      </c>
      <c r="BR580" s="22">
        <v>45125</v>
      </c>
      <c r="BS580" s="26">
        <f t="shared" ca="1" si="103"/>
        <v>0.74870157082319067</v>
      </c>
      <c r="BT580" s="29">
        <v>0</v>
      </c>
      <c r="BV580" s="22">
        <v>45125</v>
      </c>
      <c r="BW580" s="26">
        <f t="shared" ca="1" si="104"/>
        <v>0.21731958028860687</v>
      </c>
      <c r="BX580" s="29">
        <v>0</v>
      </c>
    </row>
    <row r="581" spans="2:76" ht="12.75" x14ac:dyDescent="0.2">
      <c r="B581" s="22">
        <v>45126</v>
      </c>
      <c r="C581" s="26">
        <f t="shared" ca="1" si="68"/>
        <v>0.30966987842354077</v>
      </c>
      <c r="D581" s="29">
        <v>0</v>
      </c>
      <c r="F581" s="22">
        <v>45126</v>
      </c>
      <c r="G581" s="26">
        <f t="shared" ca="1" si="88"/>
        <v>0.82761117469250145</v>
      </c>
      <c r="H581" s="29">
        <v>0</v>
      </c>
      <c r="J581" s="22">
        <v>45126</v>
      </c>
      <c r="K581" s="26">
        <f t="shared" ca="1" si="89"/>
        <v>0.73934578494767444</v>
      </c>
      <c r="L581" s="29">
        <v>0</v>
      </c>
      <c r="N581" s="22">
        <v>45126</v>
      </c>
      <c r="O581" s="26">
        <f t="shared" ca="1" si="90"/>
        <v>0.51112917904097233</v>
      </c>
      <c r="P581" s="29">
        <v>0</v>
      </c>
      <c r="R581" s="22">
        <v>45126</v>
      </c>
      <c r="S581" s="26">
        <f t="shared" ca="1" si="91"/>
        <v>0.11727991744951072</v>
      </c>
      <c r="T581" s="29">
        <v>0</v>
      </c>
      <c r="V581" s="22">
        <v>45126</v>
      </c>
      <c r="W581" s="26">
        <f t="shared" ca="1" si="92"/>
        <v>0.29922194312888906</v>
      </c>
      <c r="X581" s="29">
        <v>0</v>
      </c>
      <c r="Z581" s="22">
        <v>45126</v>
      </c>
      <c r="AA581" s="26">
        <f t="shared" ca="1" si="93"/>
        <v>0.71903567285351899</v>
      </c>
      <c r="AB581" s="29">
        <v>0</v>
      </c>
      <c r="AC581"/>
      <c r="AD581" s="25"/>
      <c r="AF581" s="22">
        <v>45126</v>
      </c>
      <c r="AG581" s="26">
        <f t="shared" ca="1" si="94"/>
        <v>0.83194372986908949</v>
      </c>
      <c r="AH581" s="29">
        <v>0</v>
      </c>
      <c r="AJ581" s="22">
        <v>45126</v>
      </c>
      <c r="AK581" s="26">
        <f t="shared" ca="1" si="95"/>
        <v>8.0534045726965764E-2</v>
      </c>
      <c r="AL581" s="29">
        <v>0</v>
      </c>
      <c r="AN581" s="22">
        <v>45126</v>
      </c>
      <c r="AO581" s="26">
        <f t="shared" ca="1" si="96"/>
        <v>0.70425766053588834</v>
      </c>
      <c r="AP581" s="29">
        <v>0</v>
      </c>
      <c r="AR581" s="22">
        <v>45126</v>
      </c>
      <c r="AS581" s="26">
        <f t="shared" ca="1" si="97"/>
        <v>2.3661814514161605E-2</v>
      </c>
      <c r="AT581" s="29">
        <v>0</v>
      </c>
      <c r="AV581" s="22">
        <v>45126</v>
      </c>
      <c r="AW581" s="26">
        <f t="shared" ca="1" si="98"/>
        <v>0.71346591241013579</v>
      </c>
      <c r="AX581" s="29">
        <v>0</v>
      </c>
      <c r="AZ581" s="22">
        <v>45126</v>
      </c>
      <c r="BA581" s="26">
        <f t="shared" ca="1" si="99"/>
        <v>4.1627865771487915E-2</v>
      </c>
      <c r="BB581" s="29">
        <v>0</v>
      </c>
      <c r="BC581"/>
      <c r="BD581" s="25"/>
      <c r="BF581" s="22">
        <v>45126</v>
      </c>
      <c r="BG581" s="26">
        <f t="shared" ca="1" si="100"/>
        <v>0.43561335733494566</v>
      </c>
      <c r="BH581" s="29">
        <v>0</v>
      </c>
      <c r="BJ581" s="22">
        <v>45126</v>
      </c>
      <c r="BK581" s="26">
        <f t="shared" ca="1" si="101"/>
        <v>0.36863325914108735</v>
      </c>
      <c r="BL581" s="29">
        <v>0</v>
      </c>
      <c r="BN581" s="22">
        <v>45126</v>
      </c>
      <c r="BO581" s="26">
        <f t="shared" ca="1" si="102"/>
        <v>0.11372471645993387</v>
      </c>
      <c r="BP581" s="29">
        <v>0</v>
      </c>
      <c r="BR581" s="22">
        <v>45126</v>
      </c>
      <c r="BS581" s="26">
        <f t="shared" ca="1" si="103"/>
        <v>8.4579603584443941E-2</v>
      </c>
      <c r="BT581" s="29">
        <v>0</v>
      </c>
      <c r="BV581" s="22">
        <v>45126</v>
      </c>
      <c r="BW581" s="26">
        <f t="shared" ca="1" si="104"/>
        <v>2.5350721831150169E-2</v>
      </c>
      <c r="BX581" s="29">
        <v>0</v>
      </c>
    </row>
    <row r="582" spans="2:76" ht="12.75" x14ac:dyDescent="0.2">
      <c r="B582" s="22">
        <v>45127</v>
      </c>
      <c r="C582" s="26">
        <f t="shared" ca="1" si="68"/>
        <v>0.91583819156960988</v>
      </c>
      <c r="D582" s="29">
        <v>0</v>
      </c>
      <c r="F582" s="22">
        <v>45127</v>
      </c>
      <c r="G582" s="26">
        <f t="shared" ca="1" si="88"/>
        <v>0.4260243058539197</v>
      </c>
      <c r="H582" s="29">
        <v>0</v>
      </c>
      <c r="J582" s="22">
        <v>45127</v>
      </c>
      <c r="K582" s="26">
        <f t="shared" ca="1" si="89"/>
        <v>0.99887695329517345</v>
      </c>
      <c r="L582" s="29">
        <v>0</v>
      </c>
      <c r="N582" s="22">
        <v>45127</v>
      </c>
      <c r="O582" s="26">
        <f t="shared" ca="1" si="90"/>
        <v>0.78721825823642422</v>
      </c>
      <c r="P582" s="29">
        <v>0</v>
      </c>
      <c r="R582" s="22">
        <v>45127</v>
      </c>
      <c r="S582" s="26">
        <f t="shared" ca="1" si="91"/>
        <v>0.38064079219955027</v>
      </c>
      <c r="T582" s="29">
        <v>0</v>
      </c>
      <c r="V582" s="22">
        <v>45127</v>
      </c>
      <c r="W582" s="26">
        <f t="shared" ca="1" si="92"/>
        <v>3.8055910130647908E-2</v>
      </c>
      <c r="X582" s="29">
        <v>0</v>
      </c>
      <c r="Z582" s="22">
        <v>45127</v>
      </c>
      <c r="AA582" s="26">
        <f t="shared" ca="1" si="93"/>
        <v>0.42205177335911281</v>
      </c>
      <c r="AB582" s="29">
        <v>0</v>
      </c>
      <c r="AC582"/>
      <c r="AD582" s="25"/>
      <c r="AF582" s="22">
        <v>45127</v>
      </c>
      <c r="AG582" s="26">
        <f t="shared" ca="1" si="94"/>
        <v>0.78386439751802084</v>
      </c>
      <c r="AH582" s="29">
        <v>0</v>
      </c>
      <c r="AJ582" s="22">
        <v>45127</v>
      </c>
      <c r="AK582" s="26">
        <f t="shared" ca="1" si="95"/>
        <v>0.99023730235247065</v>
      </c>
      <c r="AL582" s="29">
        <v>0</v>
      </c>
      <c r="AN582" s="22">
        <v>45127</v>
      </c>
      <c r="AO582" s="26">
        <f t="shared" ca="1" si="96"/>
        <v>0.98164955171225798</v>
      </c>
      <c r="AP582" s="29">
        <v>0</v>
      </c>
      <c r="AR582" s="22">
        <v>45127</v>
      </c>
      <c r="AS582" s="26">
        <f t="shared" ca="1" si="97"/>
        <v>0.98709363820269236</v>
      </c>
      <c r="AT582" s="29">
        <v>0</v>
      </c>
      <c r="AV582" s="22">
        <v>45127</v>
      </c>
      <c r="AW582" s="26">
        <f t="shared" ca="1" si="98"/>
        <v>6.6172483341726429E-2</v>
      </c>
      <c r="AX582" s="29">
        <v>0</v>
      </c>
      <c r="AZ582" s="22">
        <v>45127</v>
      </c>
      <c r="BA582" s="26">
        <f t="shared" ca="1" si="99"/>
        <v>0.74617878723915143</v>
      </c>
      <c r="BB582" s="29">
        <v>0</v>
      </c>
      <c r="BC582"/>
      <c r="BD582" s="25"/>
      <c r="BF582" s="22">
        <v>45127</v>
      </c>
      <c r="BG582" s="26">
        <f t="shared" ca="1" si="100"/>
        <v>0.57269137683973048</v>
      </c>
      <c r="BH582" s="29">
        <v>0</v>
      </c>
      <c r="BJ582" s="22">
        <v>45127</v>
      </c>
      <c r="BK582" s="26">
        <f t="shared" ca="1" si="101"/>
        <v>0.46590755593120248</v>
      </c>
      <c r="BL582" s="29">
        <v>0</v>
      </c>
      <c r="BN582" s="22">
        <v>45127</v>
      </c>
      <c r="BO582" s="26">
        <f t="shared" ca="1" si="102"/>
        <v>0.4827913951504561</v>
      </c>
      <c r="BP582" s="29">
        <v>0</v>
      </c>
      <c r="BR582" s="22">
        <v>45127</v>
      </c>
      <c r="BS582" s="26">
        <f t="shared" ca="1" si="103"/>
        <v>0.14255054144768442</v>
      </c>
      <c r="BT582" s="29">
        <v>0</v>
      </c>
      <c r="BV582" s="22">
        <v>45127</v>
      </c>
      <c r="BW582" s="26">
        <f t="shared" ca="1" si="104"/>
        <v>0.66233240494791135</v>
      </c>
      <c r="BX582" s="29">
        <v>0</v>
      </c>
    </row>
    <row r="583" spans="2:76" ht="12.75" x14ac:dyDescent="0.2">
      <c r="B583" s="22">
        <v>45128</v>
      </c>
      <c r="C583" s="26">
        <f t="shared" ca="1" si="68"/>
        <v>0.66081965043936697</v>
      </c>
      <c r="D583" s="29">
        <v>0</v>
      </c>
      <c r="F583" s="22">
        <v>45128</v>
      </c>
      <c r="G583" s="26">
        <f t="shared" ca="1" si="88"/>
        <v>2.1024193701532634E-2</v>
      </c>
      <c r="H583" s="29">
        <v>0</v>
      </c>
      <c r="J583" s="22">
        <v>45128</v>
      </c>
      <c r="K583" s="26">
        <f t="shared" ca="1" si="89"/>
        <v>0.99646817648925934</v>
      </c>
      <c r="L583" s="29">
        <v>0</v>
      </c>
      <c r="N583" s="22">
        <v>45128</v>
      </c>
      <c r="O583" s="26">
        <f t="shared" ca="1" si="90"/>
        <v>0.72254206089382766</v>
      </c>
      <c r="P583" s="29">
        <v>0</v>
      </c>
      <c r="R583" s="22">
        <v>45128</v>
      </c>
      <c r="S583" s="26">
        <f t="shared" ca="1" si="91"/>
        <v>9.5391927172981172E-2</v>
      </c>
      <c r="T583" s="29">
        <v>0</v>
      </c>
      <c r="V583" s="22">
        <v>45128</v>
      </c>
      <c r="W583" s="26">
        <f t="shared" ca="1" si="92"/>
        <v>0.25782581238002955</v>
      </c>
      <c r="X583" s="29">
        <v>0</v>
      </c>
      <c r="Z583" s="22">
        <v>45128</v>
      </c>
      <c r="AA583" s="26">
        <f t="shared" ca="1" si="93"/>
        <v>0.16614747196956203</v>
      </c>
      <c r="AB583" s="29">
        <v>0</v>
      </c>
      <c r="AC583"/>
      <c r="AD583" s="25"/>
      <c r="AF583" s="22">
        <v>45128</v>
      </c>
      <c r="AG583" s="26">
        <f t="shared" ca="1" si="94"/>
        <v>0.15148016459381597</v>
      </c>
      <c r="AH583" s="29">
        <v>0</v>
      </c>
      <c r="AJ583" s="22">
        <v>45128</v>
      </c>
      <c r="AK583" s="26">
        <f t="shared" ca="1" si="95"/>
        <v>0.46341662833306008</v>
      </c>
      <c r="AL583" s="29">
        <v>0</v>
      </c>
      <c r="AN583" s="22">
        <v>45128</v>
      </c>
      <c r="AO583" s="26">
        <f t="shared" ca="1" si="96"/>
        <v>0.23872205427174076</v>
      </c>
      <c r="AP583" s="29">
        <v>0</v>
      </c>
      <c r="AR583" s="22">
        <v>45128</v>
      </c>
      <c r="AS583" s="26">
        <f t="shared" ca="1" si="97"/>
        <v>0.82211914237945616</v>
      </c>
      <c r="AT583" s="29">
        <v>0</v>
      </c>
      <c r="AV583" s="22">
        <v>45128</v>
      </c>
      <c r="AW583" s="26">
        <f t="shared" ca="1" si="98"/>
        <v>0.86574322120872282</v>
      </c>
      <c r="AX583" s="29">
        <v>0</v>
      </c>
      <c r="AZ583" s="22">
        <v>45128</v>
      </c>
      <c r="BA583" s="26">
        <f t="shared" ca="1" si="99"/>
        <v>0.36101787594711565</v>
      </c>
      <c r="BB583" s="29">
        <v>0</v>
      </c>
      <c r="BC583"/>
      <c r="BD583" s="25"/>
      <c r="BF583" s="22">
        <v>45128</v>
      </c>
      <c r="BG583" s="26">
        <f t="shared" ca="1" si="100"/>
        <v>0.70287455260525777</v>
      </c>
      <c r="BH583" s="29">
        <v>0</v>
      </c>
      <c r="BJ583" s="22">
        <v>45128</v>
      </c>
      <c r="BK583" s="26">
        <f t="shared" ca="1" si="101"/>
        <v>0.29865704984410413</v>
      </c>
      <c r="BL583" s="29">
        <v>0</v>
      </c>
      <c r="BN583" s="22">
        <v>45128</v>
      </c>
      <c r="BO583" s="26">
        <f t="shared" ca="1" si="102"/>
        <v>0.82619275987269802</v>
      </c>
      <c r="BP583" s="29">
        <v>0</v>
      </c>
      <c r="BR583" s="22">
        <v>45128</v>
      </c>
      <c r="BS583" s="26">
        <f t="shared" ca="1" si="103"/>
        <v>0.62258214935244582</v>
      </c>
      <c r="BT583" s="29">
        <v>0</v>
      </c>
      <c r="BV583" s="22">
        <v>45128</v>
      </c>
      <c r="BW583" s="26">
        <f t="shared" ca="1" si="104"/>
        <v>0.70188252546113838</v>
      </c>
      <c r="BX583" s="29">
        <v>0</v>
      </c>
    </row>
    <row r="584" spans="2:76" ht="12.75" x14ac:dyDescent="0.2">
      <c r="B584" s="22">
        <v>45129</v>
      </c>
      <c r="C584" s="26">
        <f t="shared" ca="1" si="68"/>
        <v>0.58296021310609436</v>
      </c>
      <c r="D584" s="29">
        <v>0</v>
      </c>
      <c r="F584" s="22">
        <v>45129</v>
      </c>
      <c r="G584" s="26">
        <f t="shared" ca="1" si="88"/>
        <v>0.8865458031447262</v>
      </c>
      <c r="H584" s="29">
        <v>0</v>
      </c>
      <c r="J584" s="22">
        <v>45129</v>
      </c>
      <c r="K584" s="26">
        <f t="shared" ca="1" si="89"/>
        <v>0.15954742725761617</v>
      </c>
      <c r="L584" s="29">
        <v>0</v>
      </c>
      <c r="N584" s="22">
        <v>45129</v>
      </c>
      <c r="O584" s="26">
        <f t="shared" ca="1" si="90"/>
        <v>0.80460010341004118</v>
      </c>
      <c r="P584" s="29">
        <v>0</v>
      </c>
      <c r="R584" s="22">
        <v>45129</v>
      </c>
      <c r="S584" s="26">
        <f t="shared" ca="1" si="91"/>
        <v>0.28308359226433988</v>
      </c>
      <c r="T584" s="29">
        <v>0</v>
      </c>
      <c r="V584" s="22">
        <v>45129</v>
      </c>
      <c r="W584" s="26">
        <f t="shared" ca="1" si="92"/>
        <v>9.7951663428258118E-2</v>
      </c>
      <c r="X584" s="29">
        <v>0</v>
      </c>
      <c r="Z584" s="22">
        <v>45129</v>
      </c>
      <c r="AA584" s="26">
        <f t="shared" ca="1" si="93"/>
        <v>0.94947328154662891</v>
      </c>
      <c r="AB584" s="29">
        <v>0</v>
      </c>
      <c r="AC584"/>
      <c r="AD584" s="25"/>
      <c r="AF584" s="22">
        <v>45129</v>
      </c>
      <c r="AG584" s="26">
        <f t="shared" ca="1" si="94"/>
        <v>0.60767283872431643</v>
      </c>
      <c r="AH584" s="29">
        <v>0</v>
      </c>
      <c r="AJ584" s="22">
        <v>45129</v>
      </c>
      <c r="AK584" s="26">
        <f t="shared" ca="1" si="95"/>
        <v>0.85922812055464548</v>
      </c>
      <c r="AL584" s="29">
        <v>0</v>
      </c>
      <c r="AN584" s="22">
        <v>45129</v>
      </c>
      <c r="AO584" s="26">
        <f t="shared" ca="1" si="96"/>
        <v>0.11813806889324519</v>
      </c>
      <c r="AP584" s="29">
        <v>0</v>
      </c>
      <c r="AR584" s="22">
        <v>45129</v>
      </c>
      <c r="AS584" s="26">
        <f t="shared" ca="1" si="97"/>
        <v>0.90176590999953588</v>
      </c>
      <c r="AT584" s="29">
        <v>0</v>
      </c>
      <c r="AV584" s="22">
        <v>45129</v>
      </c>
      <c r="AW584" s="26">
        <f t="shared" ca="1" si="98"/>
        <v>0.41695279372390748</v>
      </c>
      <c r="AX584" s="29">
        <v>0</v>
      </c>
      <c r="AZ584" s="22">
        <v>45129</v>
      </c>
      <c r="BA584" s="26">
        <f t="shared" ca="1" si="99"/>
        <v>0.3009245404286236</v>
      </c>
      <c r="BB584" s="29">
        <v>0</v>
      </c>
      <c r="BC584"/>
      <c r="BD584" s="25"/>
      <c r="BF584" s="22">
        <v>45129</v>
      </c>
      <c r="BG584" s="26">
        <f t="shared" ca="1" si="100"/>
        <v>0.19597104263984599</v>
      </c>
      <c r="BH584" s="29">
        <v>0</v>
      </c>
      <c r="BJ584" s="22">
        <v>45129</v>
      </c>
      <c r="BK584" s="26">
        <f t="shared" ca="1" si="101"/>
        <v>0.53134608295018859</v>
      </c>
      <c r="BL584" s="29">
        <v>0</v>
      </c>
      <c r="BN584" s="22">
        <v>45129</v>
      </c>
      <c r="BO584" s="26">
        <f t="shared" ca="1" si="102"/>
        <v>0.75642971703267969</v>
      </c>
      <c r="BP584" s="29">
        <v>0</v>
      </c>
      <c r="BR584" s="22">
        <v>45129</v>
      </c>
      <c r="BS584" s="26">
        <f t="shared" ca="1" si="103"/>
        <v>0.66082151589865512</v>
      </c>
      <c r="BT584" s="29">
        <v>0</v>
      </c>
      <c r="BV584" s="22">
        <v>45129</v>
      </c>
      <c r="BW584" s="26">
        <f t="shared" ca="1" si="104"/>
        <v>0.70896446017604109</v>
      </c>
      <c r="BX584" s="29">
        <v>0</v>
      </c>
    </row>
    <row r="585" spans="2:76" ht="12.75" x14ac:dyDescent="0.2">
      <c r="B585" s="22">
        <v>45130</v>
      </c>
      <c r="C585" s="26">
        <f t="shared" ca="1" si="68"/>
        <v>0.60625825708778835</v>
      </c>
      <c r="D585" s="29">
        <v>0</v>
      </c>
      <c r="F585" s="22">
        <v>45130</v>
      </c>
      <c r="G585" s="26">
        <f t="shared" ca="1" si="88"/>
        <v>0.29216658385497085</v>
      </c>
      <c r="H585" s="29">
        <v>0</v>
      </c>
      <c r="J585" s="22">
        <v>45130</v>
      </c>
      <c r="K585" s="26">
        <f t="shared" ca="1" si="89"/>
        <v>0.18396559981635274</v>
      </c>
      <c r="L585" s="29">
        <v>0</v>
      </c>
      <c r="N585" s="22">
        <v>45130</v>
      </c>
      <c r="O585" s="26">
        <f t="shared" ca="1" si="90"/>
        <v>0.81857363362363844</v>
      </c>
      <c r="P585" s="29">
        <v>0</v>
      </c>
      <c r="R585" s="22">
        <v>45130</v>
      </c>
      <c r="S585" s="26">
        <f t="shared" ca="1" si="91"/>
        <v>0.66886766909932427</v>
      </c>
      <c r="T585" s="29">
        <v>0</v>
      </c>
      <c r="V585" s="22">
        <v>45130</v>
      </c>
      <c r="W585" s="26">
        <f t="shared" ca="1" si="92"/>
        <v>0.43541124046838842</v>
      </c>
      <c r="X585" s="29">
        <v>0</v>
      </c>
      <c r="Z585" s="22">
        <v>45130</v>
      </c>
      <c r="AA585" s="26">
        <f t="shared" ca="1" si="93"/>
        <v>0.35807224286180639</v>
      </c>
      <c r="AB585" s="29">
        <v>0</v>
      </c>
      <c r="AC585"/>
      <c r="AD585" s="25"/>
      <c r="AF585" s="22">
        <v>45130</v>
      </c>
      <c r="AG585" s="26">
        <f t="shared" ca="1" si="94"/>
        <v>0.60241209597402501</v>
      </c>
      <c r="AH585" s="29">
        <v>0</v>
      </c>
      <c r="AJ585" s="22">
        <v>45130</v>
      </c>
      <c r="AK585" s="26">
        <f t="shared" ca="1" si="95"/>
        <v>8.2803511505082805E-2</v>
      </c>
      <c r="AL585" s="29">
        <v>0</v>
      </c>
      <c r="AN585" s="22">
        <v>45130</v>
      </c>
      <c r="AO585" s="26">
        <f t="shared" ca="1" si="96"/>
        <v>0.3515290925526845</v>
      </c>
      <c r="AP585" s="29">
        <v>0</v>
      </c>
      <c r="AR585" s="22">
        <v>45130</v>
      </c>
      <c r="AS585" s="26">
        <f t="shared" ca="1" si="97"/>
        <v>0.50601003662025434</v>
      </c>
      <c r="AT585" s="29">
        <v>0</v>
      </c>
      <c r="AV585" s="22">
        <v>45130</v>
      </c>
      <c r="AW585" s="26">
        <f t="shared" ca="1" si="98"/>
        <v>0.83097687203645365</v>
      </c>
      <c r="AX585" s="29">
        <v>0</v>
      </c>
      <c r="AZ585" s="22">
        <v>45130</v>
      </c>
      <c r="BA585" s="26">
        <f t="shared" ca="1" si="99"/>
        <v>0.15892361026673174</v>
      </c>
      <c r="BB585" s="29">
        <v>0</v>
      </c>
      <c r="BC585"/>
      <c r="BD585" s="25"/>
      <c r="BF585" s="22">
        <v>45130</v>
      </c>
      <c r="BG585" s="26">
        <f t="shared" ca="1" si="100"/>
        <v>0.84958430098596294</v>
      </c>
      <c r="BH585" s="29">
        <v>0</v>
      </c>
      <c r="BJ585" s="22">
        <v>45130</v>
      </c>
      <c r="BK585" s="26">
        <f t="shared" ca="1" si="101"/>
        <v>0.28478370476981441</v>
      </c>
      <c r="BL585" s="29">
        <v>0</v>
      </c>
      <c r="BN585" s="22">
        <v>45130</v>
      </c>
      <c r="BO585" s="26">
        <f t="shared" ca="1" si="102"/>
        <v>2.70028966402176E-2</v>
      </c>
      <c r="BP585" s="29">
        <v>0</v>
      </c>
      <c r="BR585" s="22">
        <v>45130</v>
      </c>
      <c r="BS585" s="26">
        <f t="shared" ca="1" si="103"/>
        <v>0.48183515956541123</v>
      </c>
      <c r="BT585" s="29">
        <v>0</v>
      </c>
      <c r="BV585" s="22">
        <v>45130</v>
      </c>
      <c r="BW585" s="26">
        <f t="shared" ca="1" si="104"/>
        <v>0.56109494753890865</v>
      </c>
      <c r="BX585" s="29">
        <v>0</v>
      </c>
    </row>
    <row r="586" spans="2:76" ht="12.75" x14ac:dyDescent="0.2">
      <c r="B586" s="22">
        <v>45131</v>
      </c>
      <c r="C586" s="26">
        <f t="shared" ca="1" si="68"/>
        <v>0.89156528353417286</v>
      </c>
      <c r="D586" s="29">
        <v>0</v>
      </c>
      <c r="F586" s="22">
        <v>45131</v>
      </c>
      <c r="G586" s="26">
        <f t="shared" ca="1" si="88"/>
        <v>0.37305737626766045</v>
      </c>
      <c r="H586" s="29">
        <v>0</v>
      </c>
      <c r="J586" s="22">
        <v>45131</v>
      </c>
      <c r="K586" s="26">
        <f t="shared" ca="1" si="89"/>
        <v>8.5306971456599157E-2</v>
      </c>
      <c r="L586" s="29">
        <v>0</v>
      </c>
      <c r="N586" s="22">
        <v>45131</v>
      </c>
      <c r="O586" s="26">
        <f t="shared" ca="1" si="90"/>
        <v>0.74434709717880243</v>
      </c>
      <c r="P586" s="29">
        <v>0</v>
      </c>
      <c r="R586" s="22">
        <v>45131</v>
      </c>
      <c r="S586" s="26">
        <f t="shared" ca="1" si="91"/>
        <v>0.39405345137734948</v>
      </c>
      <c r="T586" s="29">
        <v>0</v>
      </c>
      <c r="V586" s="22">
        <v>45131</v>
      </c>
      <c r="W586" s="26">
        <f t="shared" ca="1" si="92"/>
        <v>0.76107082466431797</v>
      </c>
      <c r="X586" s="29">
        <v>0</v>
      </c>
      <c r="Z586" s="22">
        <v>45131</v>
      </c>
      <c r="AA586" s="26">
        <f t="shared" ca="1" si="93"/>
        <v>0.92633960542013571</v>
      </c>
      <c r="AB586" s="29">
        <v>0</v>
      </c>
      <c r="AC586"/>
      <c r="AD586" s="25"/>
      <c r="AF586" s="22">
        <v>45131</v>
      </c>
      <c r="AG586" s="26">
        <f t="shared" ca="1" si="94"/>
        <v>0.87235654121556305</v>
      </c>
      <c r="AH586" s="29">
        <v>0</v>
      </c>
      <c r="AJ586" s="22">
        <v>45131</v>
      </c>
      <c r="AK586" s="26">
        <f t="shared" ca="1" si="95"/>
        <v>0.34797139407241051</v>
      </c>
      <c r="AL586" s="29">
        <v>0</v>
      </c>
      <c r="AN586" s="22">
        <v>45131</v>
      </c>
      <c r="AO586" s="26">
        <f t="shared" ca="1" si="96"/>
        <v>0.17004444874489577</v>
      </c>
      <c r="AP586" s="29">
        <v>0</v>
      </c>
      <c r="AR586" s="22">
        <v>45131</v>
      </c>
      <c r="AS586" s="26">
        <f t="shared" ca="1" si="97"/>
        <v>0.27455400460285617</v>
      </c>
      <c r="AT586" s="29">
        <v>0</v>
      </c>
      <c r="AV586" s="22">
        <v>45131</v>
      </c>
      <c r="AW586" s="26">
        <f t="shared" ca="1" si="98"/>
        <v>0.33597539224796502</v>
      </c>
      <c r="AX586" s="29">
        <v>0</v>
      </c>
      <c r="AZ586" s="22">
        <v>45131</v>
      </c>
      <c r="BA586" s="26">
        <f t="shared" ca="1" si="99"/>
        <v>1.7354384223555952E-2</v>
      </c>
      <c r="BB586" s="29">
        <v>0</v>
      </c>
      <c r="BC586"/>
      <c r="BD586" s="25"/>
      <c r="BF586" s="22">
        <v>45131</v>
      </c>
      <c r="BG586" s="26">
        <f t="shared" ca="1" si="100"/>
        <v>0.84915440610375859</v>
      </c>
      <c r="BH586" s="29">
        <v>0</v>
      </c>
      <c r="BJ586" s="22">
        <v>45131</v>
      </c>
      <c r="BK586" s="26">
        <f t="shared" ca="1" si="101"/>
        <v>0.54463973907882024</v>
      </c>
      <c r="BL586" s="29">
        <v>0</v>
      </c>
      <c r="BN586" s="22">
        <v>45131</v>
      </c>
      <c r="BO586" s="26">
        <f t="shared" ca="1" si="102"/>
        <v>0.58134928302356603</v>
      </c>
      <c r="BP586" s="29">
        <v>0</v>
      </c>
      <c r="BR586" s="22">
        <v>45131</v>
      </c>
      <c r="BS586" s="26">
        <f t="shared" ca="1" si="103"/>
        <v>0.46549180335375717</v>
      </c>
      <c r="BT586" s="29">
        <v>0</v>
      </c>
      <c r="BV586" s="22">
        <v>45131</v>
      </c>
      <c r="BW586" s="26">
        <f t="shared" ca="1" si="104"/>
        <v>0.44591451153412776</v>
      </c>
      <c r="BX586" s="29">
        <v>0</v>
      </c>
    </row>
    <row r="587" spans="2:76" ht="12.75" x14ac:dyDescent="0.2">
      <c r="B587" s="22">
        <v>45132</v>
      </c>
      <c r="C587" s="26">
        <f t="shared" ca="1" si="68"/>
        <v>0.22261993170354488</v>
      </c>
      <c r="D587" s="29">
        <v>0</v>
      </c>
      <c r="F587" s="22">
        <v>45132</v>
      </c>
      <c r="G587" s="26">
        <f t="shared" ca="1" si="88"/>
        <v>0.58882406888613126</v>
      </c>
      <c r="H587" s="29">
        <v>0</v>
      </c>
      <c r="J587" s="22">
        <v>45132</v>
      </c>
      <c r="K587" s="26">
        <f t="shared" ca="1" si="89"/>
        <v>0.34380197938434487</v>
      </c>
      <c r="L587" s="29">
        <v>0</v>
      </c>
      <c r="N587" s="22">
        <v>45132</v>
      </c>
      <c r="O587" s="26">
        <f t="shared" ca="1" si="90"/>
        <v>0.57765572882395633</v>
      </c>
      <c r="P587" s="29">
        <v>0</v>
      </c>
      <c r="R587" s="22">
        <v>45132</v>
      </c>
      <c r="S587" s="26">
        <f t="shared" ca="1" si="91"/>
        <v>0.92527673311675551</v>
      </c>
      <c r="T587" s="29">
        <v>0</v>
      </c>
      <c r="V587" s="22">
        <v>45132</v>
      </c>
      <c r="W587" s="26">
        <f t="shared" ca="1" si="92"/>
        <v>0.21710041249219658</v>
      </c>
      <c r="X587" s="29">
        <v>0</v>
      </c>
      <c r="Z587" s="22">
        <v>45132</v>
      </c>
      <c r="AA587" s="26">
        <f t="shared" ca="1" si="93"/>
        <v>0.85121609323008685</v>
      </c>
      <c r="AB587" s="29">
        <v>0</v>
      </c>
      <c r="AC587"/>
      <c r="AD587" s="25"/>
      <c r="AF587" s="22">
        <v>45132</v>
      </c>
      <c r="AG587" s="26">
        <f t="shared" ca="1" si="94"/>
        <v>0.53586952345449534</v>
      </c>
      <c r="AH587" s="29">
        <v>0</v>
      </c>
      <c r="AJ587" s="22">
        <v>45132</v>
      </c>
      <c r="AK587" s="26">
        <f t="shared" ca="1" si="95"/>
        <v>0.99630303715779589</v>
      </c>
      <c r="AL587" s="29">
        <v>0</v>
      </c>
      <c r="AN587" s="22">
        <v>45132</v>
      </c>
      <c r="AO587" s="26">
        <f t="shared" ca="1" si="96"/>
        <v>0.92219167494404541</v>
      </c>
      <c r="AP587" s="29">
        <v>0</v>
      </c>
      <c r="AR587" s="22">
        <v>45132</v>
      </c>
      <c r="AS587" s="26">
        <f t="shared" ca="1" si="97"/>
        <v>0.94807237663752819</v>
      </c>
      <c r="AT587" s="29">
        <v>0</v>
      </c>
      <c r="AV587" s="22">
        <v>45132</v>
      </c>
      <c r="AW587" s="26">
        <f t="shared" ca="1" si="98"/>
        <v>0.57532416544034981</v>
      </c>
      <c r="AX587" s="29">
        <v>0</v>
      </c>
      <c r="AZ587" s="22">
        <v>45132</v>
      </c>
      <c r="BA587" s="26">
        <f t="shared" ca="1" si="99"/>
        <v>0.26957734972161762</v>
      </c>
      <c r="BB587" s="29">
        <v>0</v>
      </c>
      <c r="BC587"/>
      <c r="BD587" s="25"/>
      <c r="BF587" s="22">
        <v>45132</v>
      </c>
      <c r="BG587" s="26">
        <f t="shared" ca="1" si="100"/>
        <v>0.44614074211720844</v>
      </c>
      <c r="BH587" s="29">
        <v>0</v>
      </c>
      <c r="BJ587" s="22">
        <v>45132</v>
      </c>
      <c r="BK587" s="26">
        <f t="shared" ca="1" si="101"/>
        <v>0.53139039608229133</v>
      </c>
      <c r="BL587" s="29">
        <v>0</v>
      </c>
      <c r="BN587" s="22">
        <v>45132</v>
      </c>
      <c r="BO587" s="26">
        <f t="shared" ca="1" si="102"/>
        <v>0.56119534846178964</v>
      </c>
      <c r="BP587" s="29">
        <v>0</v>
      </c>
      <c r="BR587" s="22">
        <v>45132</v>
      </c>
      <c r="BS587" s="26">
        <f t="shared" ca="1" si="103"/>
        <v>8.2292651815361162E-2</v>
      </c>
      <c r="BT587" s="29">
        <v>0</v>
      </c>
      <c r="BV587" s="22">
        <v>45132</v>
      </c>
      <c r="BW587" s="26">
        <f t="shared" ca="1" si="104"/>
        <v>0.37686061176470032</v>
      </c>
      <c r="BX587" s="29">
        <v>0</v>
      </c>
    </row>
    <row r="588" spans="2:76" ht="12.75" x14ac:dyDescent="0.2">
      <c r="B588" s="22">
        <v>45133</v>
      </c>
      <c r="C588" s="26">
        <f t="shared" ca="1" si="68"/>
        <v>0.66429176013514057</v>
      </c>
      <c r="D588" s="29">
        <v>0</v>
      </c>
      <c r="F588" s="22">
        <v>45133</v>
      </c>
      <c r="G588" s="26">
        <f t="shared" ca="1" si="88"/>
        <v>0.11379898071695416</v>
      </c>
      <c r="H588" s="29">
        <v>0</v>
      </c>
      <c r="J588" s="22">
        <v>45133</v>
      </c>
      <c r="K588" s="26">
        <f t="shared" ca="1" si="89"/>
        <v>0.5480412862401759</v>
      </c>
      <c r="L588" s="29">
        <v>0</v>
      </c>
      <c r="N588" s="22">
        <v>45133</v>
      </c>
      <c r="O588" s="26">
        <f t="shared" ca="1" si="90"/>
        <v>0.34034990755702188</v>
      </c>
      <c r="P588" s="29">
        <v>0</v>
      </c>
      <c r="R588" s="22">
        <v>45133</v>
      </c>
      <c r="S588" s="26">
        <f t="shared" ca="1" si="91"/>
        <v>0.22716507047015222</v>
      </c>
      <c r="T588" s="29">
        <v>0</v>
      </c>
      <c r="V588" s="22">
        <v>45133</v>
      </c>
      <c r="W588" s="26">
        <f t="shared" ca="1" si="92"/>
        <v>0.46425117048137921</v>
      </c>
      <c r="X588" s="29">
        <v>0</v>
      </c>
      <c r="Z588" s="22">
        <v>45133</v>
      </c>
      <c r="AA588" s="26">
        <f t="shared" ca="1" si="93"/>
        <v>0.86669869031208735</v>
      </c>
      <c r="AB588" s="29">
        <v>0</v>
      </c>
      <c r="AC588"/>
      <c r="AD588" s="25"/>
      <c r="AF588" s="22">
        <v>45133</v>
      </c>
      <c r="AG588" s="26">
        <f t="shared" ca="1" si="94"/>
        <v>0.90049273563381049</v>
      </c>
      <c r="AH588" s="29">
        <v>0</v>
      </c>
      <c r="AJ588" s="22">
        <v>45133</v>
      </c>
      <c r="AK588" s="26">
        <f t="shared" ca="1" si="95"/>
        <v>0.68482230878938422</v>
      </c>
      <c r="AL588" s="29">
        <v>0</v>
      </c>
      <c r="AN588" s="22">
        <v>45133</v>
      </c>
      <c r="AO588" s="26">
        <f t="shared" ca="1" si="96"/>
        <v>0.21794000539970648</v>
      </c>
      <c r="AP588" s="29">
        <v>0</v>
      </c>
      <c r="AR588" s="22">
        <v>45133</v>
      </c>
      <c r="AS588" s="26">
        <f t="shared" ca="1" si="97"/>
        <v>0.74070060574222241</v>
      </c>
      <c r="AT588" s="29">
        <v>0</v>
      </c>
      <c r="AV588" s="22">
        <v>45133</v>
      </c>
      <c r="AW588" s="26">
        <f t="shared" ca="1" si="98"/>
        <v>0.84628391377681111</v>
      </c>
      <c r="AX588" s="29">
        <v>0</v>
      </c>
      <c r="AZ588" s="22">
        <v>45133</v>
      </c>
      <c r="BA588" s="26">
        <f t="shared" ca="1" si="99"/>
        <v>0.30145166353876063</v>
      </c>
      <c r="BB588" s="29">
        <v>0</v>
      </c>
      <c r="BC588"/>
      <c r="BD588" s="25"/>
      <c r="BF588" s="22">
        <v>45133</v>
      </c>
      <c r="BG588" s="26">
        <f t="shared" ca="1" si="100"/>
        <v>0.6687455614507315</v>
      </c>
      <c r="BH588" s="29">
        <v>0</v>
      </c>
      <c r="BJ588" s="22">
        <v>45133</v>
      </c>
      <c r="BK588" s="26">
        <f t="shared" ca="1" si="101"/>
        <v>0.69670167168684327</v>
      </c>
      <c r="BL588" s="29">
        <v>0</v>
      </c>
      <c r="BN588" s="22">
        <v>45133</v>
      </c>
      <c r="BO588" s="26">
        <f t="shared" ca="1" si="102"/>
        <v>0.90560357950769366</v>
      </c>
      <c r="BP588" s="29">
        <v>0</v>
      </c>
      <c r="BR588" s="22">
        <v>45133</v>
      </c>
      <c r="BS588" s="26">
        <f t="shared" ca="1" si="103"/>
        <v>0.25666175697435134</v>
      </c>
      <c r="BT588" s="29">
        <v>0</v>
      </c>
      <c r="BV588" s="22">
        <v>45133</v>
      </c>
      <c r="BW588" s="26">
        <f t="shared" ca="1" si="104"/>
        <v>0.87756393543420208</v>
      </c>
      <c r="BX588" s="29">
        <v>0</v>
      </c>
    </row>
    <row r="589" spans="2:76" ht="12.75" x14ac:dyDescent="0.2">
      <c r="B589" s="22">
        <v>45134</v>
      </c>
      <c r="C589" s="26">
        <f t="shared" ca="1" si="68"/>
        <v>0.51606482395479913</v>
      </c>
      <c r="D589" s="29">
        <v>0</v>
      </c>
      <c r="F589" s="22">
        <v>45134</v>
      </c>
      <c r="G589" s="26">
        <f t="shared" ca="1" si="88"/>
        <v>0.40632231833347376</v>
      </c>
      <c r="H589" s="29">
        <v>0</v>
      </c>
      <c r="J589" s="22">
        <v>45134</v>
      </c>
      <c r="K589" s="26">
        <f t="shared" ca="1" si="89"/>
        <v>0.54565079825561724</v>
      </c>
      <c r="L589" s="29">
        <v>0</v>
      </c>
      <c r="N589" s="22">
        <v>45134</v>
      </c>
      <c r="O589" s="26">
        <f t="shared" ca="1" si="90"/>
        <v>0.60069766321225981</v>
      </c>
      <c r="P589" s="29">
        <v>0</v>
      </c>
      <c r="R589" s="22">
        <v>45134</v>
      </c>
      <c r="S589" s="26">
        <f t="shared" ca="1" si="91"/>
        <v>0.77941321364540694</v>
      </c>
      <c r="T589" s="29">
        <v>0</v>
      </c>
      <c r="V589" s="22">
        <v>45134</v>
      </c>
      <c r="W589" s="26">
        <f t="shared" ca="1" si="92"/>
        <v>0.91228846991425638</v>
      </c>
      <c r="X589" s="29">
        <v>0</v>
      </c>
      <c r="Z589" s="22">
        <v>45134</v>
      </c>
      <c r="AA589" s="26">
        <f t="shared" ca="1" si="93"/>
        <v>0.54151844842347097</v>
      </c>
      <c r="AB589" s="29">
        <v>0</v>
      </c>
      <c r="AC589"/>
      <c r="AD589" s="25"/>
      <c r="AF589" s="22">
        <v>45134</v>
      </c>
      <c r="AG589" s="26">
        <f t="shared" ca="1" si="94"/>
        <v>3.6240734167702904E-2</v>
      </c>
      <c r="AH589" s="29">
        <v>0</v>
      </c>
      <c r="AJ589" s="22">
        <v>45134</v>
      </c>
      <c r="AK589" s="26">
        <f t="shared" ca="1" si="95"/>
        <v>8.8174208426036071E-2</v>
      </c>
      <c r="AL589" s="29">
        <v>0</v>
      </c>
      <c r="AN589" s="22">
        <v>45134</v>
      </c>
      <c r="AO589" s="26">
        <f t="shared" ca="1" si="96"/>
        <v>0.8362617524558088</v>
      </c>
      <c r="AP589" s="29">
        <v>0</v>
      </c>
      <c r="AR589" s="22">
        <v>45134</v>
      </c>
      <c r="AS589" s="26">
        <f t="shared" ca="1" si="97"/>
        <v>0.60724439058663449</v>
      </c>
      <c r="AT589" s="29">
        <v>0</v>
      </c>
      <c r="AV589" s="22">
        <v>45134</v>
      </c>
      <c r="AW589" s="26">
        <f t="shared" ca="1" si="98"/>
        <v>0.82464682840732006</v>
      </c>
      <c r="AX589" s="29">
        <v>0</v>
      </c>
      <c r="AZ589" s="22">
        <v>45134</v>
      </c>
      <c r="BA589" s="26">
        <f t="shared" ca="1" si="99"/>
        <v>0.82236519978341016</v>
      </c>
      <c r="BB589" s="29">
        <v>0</v>
      </c>
      <c r="BC589"/>
      <c r="BD589" s="25"/>
      <c r="BF589" s="22">
        <v>45134</v>
      </c>
      <c r="BG589" s="26">
        <f t="shared" ca="1" si="100"/>
        <v>0.82597979453800696</v>
      </c>
      <c r="BH589" s="29">
        <v>0</v>
      </c>
      <c r="BJ589" s="22">
        <v>45134</v>
      </c>
      <c r="BK589" s="26">
        <f t="shared" ca="1" si="101"/>
        <v>5.6252456561777686E-2</v>
      </c>
      <c r="BL589" s="29">
        <v>0</v>
      </c>
      <c r="BN589" s="22">
        <v>45134</v>
      </c>
      <c r="BO589" s="26">
        <f t="shared" ca="1" si="102"/>
        <v>0.551502915229104</v>
      </c>
      <c r="BP589" s="29">
        <v>0</v>
      </c>
      <c r="BR589" s="22">
        <v>45134</v>
      </c>
      <c r="BS589" s="26">
        <f t="shared" ca="1" si="103"/>
        <v>0.39381128808486665</v>
      </c>
      <c r="BT589" s="29">
        <v>0</v>
      </c>
      <c r="BV589" s="22">
        <v>45134</v>
      </c>
      <c r="BW589" s="26">
        <f t="shared" ca="1" si="104"/>
        <v>1.847979238323727E-2</v>
      </c>
      <c r="BX589" s="29">
        <v>0</v>
      </c>
    </row>
    <row r="590" spans="2:76" ht="12.75" x14ac:dyDescent="0.2">
      <c r="B590" s="22">
        <v>45135</v>
      </c>
      <c r="C590" s="26">
        <f t="shared" ca="1" si="68"/>
        <v>0.35102692644994049</v>
      </c>
      <c r="D590" s="29">
        <v>0</v>
      </c>
      <c r="F590" s="22">
        <v>45135</v>
      </c>
      <c r="G590" s="26">
        <f t="shared" ca="1" si="88"/>
        <v>0.84822306382034252</v>
      </c>
      <c r="H590" s="29">
        <v>0</v>
      </c>
      <c r="J590" s="22">
        <v>45135</v>
      </c>
      <c r="K590" s="26">
        <f t="shared" ca="1" si="89"/>
        <v>0.23552343546907484</v>
      </c>
      <c r="L590" s="29">
        <v>0</v>
      </c>
      <c r="N590" s="22">
        <v>45135</v>
      </c>
      <c r="O590" s="26">
        <f t="shared" ca="1" si="90"/>
        <v>7.1312308968040528E-2</v>
      </c>
      <c r="P590" s="29">
        <v>0</v>
      </c>
      <c r="R590" s="22">
        <v>45135</v>
      </c>
      <c r="S590" s="26">
        <f t="shared" ca="1" si="91"/>
        <v>0.44953063118743952</v>
      </c>
      <c r="T590" s="29">
        <v>0</v>
      </c>
      <c r="V590" s="22">
        <v>45135</v>
      </c>
      <c r="W590" s="26">
        <f t="shared" ca="1" si="92"/>
        <v>0.16401203278500143</v>
      </c>
      <c r="X590" s="29">
        <v>0</v>
      </c>
      <c r="Z590" s="22">
        <v>45135</v>
      </c>
      <c r="AA590" s="26">
        <f t="shared" ca="1" si="93"/>
        <v>0.90845032078912968</v>
      </c>
      <c r="AB590" s="29">
        <v>0</v>
      </c>
      <c r="AC590"/>
      <c r="AD590" s="25"/>
      <c r="AF590" s="22">
        <v>45135</v>
      </c>
      <c r="AG590" s="26">
        <f t="shared" ca="1" si="94"/>
        <v>0.29438299275976965</v>
      </c>
      <c r="AH590" s="29">
        <v>0</v>
      </c>
      <c r="AJ590" s="22">
        <v>45135</v>
      </c>
      <c r="AK590" s="26">
        <f t="shared" ca="1" si="95"/>
        <v>0.70134651609200827</v>
      </c>
      <c r="AL590" s="29">
        <v>0</v>
      </c>
      <c r="AN590" s="22">
        <v>45135</v>
      </c>
      <c r="AO590" s="26">
        <f t="shared" ca="1" si="96"/>
        <v>0.28580531626411176</v>
      </c>
      <c r="AP590" s="29">
        <v>0</v>
      </c>
      <c r="AR590" s="22">
        <v>45135</v>
      </c>
      <c r="AS590" s="26">
        <f t="shared" ca="1" si="97"/>
        <v>0.74970052375121632</v>
      </c>
      <c r="AT590" s="29">
        <v>0</v>
      </c>
      <c r="AV590" s="22">
        <v>45135</v>
      </c>
      <c r="AW590" s="26">
        <f t="shared" ca="1" si="98"/>
        <v>0.79660121183083676</v>
      </c>
      <c r="AX590" s="29">
        <v>0</v>
      </c>
      <c r="AZ590" s="22">
        <v>45135</v>
      </c>
      <c r="BA590" s="26">
        <f t="shared" ca="1" si="99"/>
        <v>0.97124729330345783</v>
      </c>
      <c r="BB590" s="29">
        <v>0</v>
      </c>
      <c r="BC590"/>
      <c r="BD590" s="25"/>
      <c r="BF590" s="22">
        <v>45135</v>
      </c>
      <c r="BG590" s="26">
        <f t="shared" ca="1" si="100"/>
        <v>0.29197072816749869</v>
      </c>
      <c r="BH590" s="29">
        <v>0</v>
      </c>
      <c r="BJ590" s="22">
        <v>45135</v>
      </c>
      <c r="BK590" s="26">
        <f t="shared" ca="1" si="101"/>
        <v>9.5684619907672741E-2</v>
      </c>
      <c r="BL590" s="29">
        <v>0</v>
      </c>
      <c r="BN590" s="22">
        <v>45135</v>
      </c>
      <c r="BO590" s="26">
        <f t="shared" ca="1" si="102"/>
        <v>0.43059893602053978</v>
      </c>
      <c r="BP590" s="29">
        <v>0</v>
      </c>
      <c r="BR590" s="22">
        <v>45135</v>
      </c>
      <c r="BS590" s="26">
        <f t="shared" ca="1" si="103"/>
        <v>0.34435996313524853</v>
      </c>
      <c r="BT590" s="29">
        <v>0</v>
      </c>
      <c r="BV590" s="22">
        <v>45135</v>
      </c>
      <c r="BW590" s="26">
        <f t="shared" ca="1" si="104"/>
        <v>9.9820236771285487E-2</v>
      </c>
      <c r="BX590" s="29">
        <v>0</v>
      </c>
    </row>
    <row r="591" spans="2:76" ht="12.75" x14ac:dyDescent="0.2">
      <c r="B591" s="22">
        <v>45136</v>
      </c>
      <c r="C591" s="26">
        <f t="shared" ca="1" si="68"/>
        <v>0.9951193220827389</v>
      </c>
      <c r="D591" s="29">
        <v>0</v>
      </c>
      <c r="F591" s="22">
        <v>45136</v>
      </c>
      <c r="G591" s="26">
        <f t="shared" ca="1" si="88"/>
        <v>0.91742521716907799</v>
      </c>
      <c r="H591" s="29">
        <v>0</v>
      </c>
      <c r="J591" s="22">
        <v>45136</v>
      </c>
      <c r="K591" s="26">
        <f t="shared" ca="1" si="89"/>
        <v>0.20271412873563366</v>
      </c>
      <c r="L591" s="29">
        <v>0</v>
      </c>
      <c r="N591" s="22">
        <v>45136</v>
      </c>
      <c r="O591" s="26">
        <f t="shared" ca="1" si="90"/>
        <v>0.38845968051724622</v>
      </c>
      <c r="P591" s="29">
        <v>0</v>
      </c>
      <c r="R591" s="22">
        <v>45136</v>
      </c>
      <c r="S591" s="26">
        <f t="shared" ca="1" si="91"/>
        <v>0.91717652883984468</v>
      </c>
      <c r="T591" s="29">
        <v>0</v>
      </c>
      <c r="V591" s="22">
        <v>45136</v>
      </c>
      <c r="W591" s="26">
        <f t="shared" ca="1" si="92"/>
        <v>0.33167695894446492</v>
      </c>
      <c r="X591" s="29">
        <v>0</v>
      </c>
      <c r="Z591" s="22">
        <v>45136</v>
      </c>
      <c r="AA591" s="26">
        <f t="shared" ca="1" si="93"/>
        <v>0.74534066188971038</v>
      </c>
      <c r="AB591" s="29">
        <v>0</v>
      </c>
      <c r="AC591"/>
      <c r="AD591" s="25"/>
      <c r="AF591" s="22">
        <v>45136</v>
      </c>
      <c r="AG591" s="26">
        <f t="shared" ca="1" si="94"/>
        <v>0.28723218892881797</v>
      </c>
      <c r="AH591" s="29">
        <v>0</v>
      </c>
      <c r="AJ591" s="22">
        <v>45136</v>
      </c>
      <c r="AK591" s="26">
        <f t="shared" ca="1" si="95"/>
        <v>0.1766939151085305</v>
      </c>
      <c r="AL591" s="29">
        <v>0</v>
      </c>
      <c r="AN591" s="22">
        <v>45136</v>
      </c>
      <c r="AO591" s="26">
        <f t="shared" ca="1" si="96"/>
        <v>0.76282148000782646</v>
      </c>
      <c r="AP591" s="29">
        <v>0</v>
      </c>
      <c r="AR591" s="22">
        <v>45136</v>
      </c>
      <c r="AS591" s="26">
        <f t="shared" ca="1" si="97"/>
        <v>0.40347624730985499</v>
      </c>
      <c r="AT591" s="29">
        <v>0</v>
      </c>
      <c r="AV591" s="22">
        <v>45136</v>
      </c>
      <c r="AW591" s="26">
        <f t="shared" ca="1" si="98"/>
        <v>0.54886930363172648</v>
      </c>
      <c r="AX591" s="29">
        <v>0</v>
      </c>
      <c r="AZ591" s="22">
        <v>45136</v>
      </c>
      <c r="BA591" s="26">
        <f t="shared" ca="1" si="99"/>
        <v>0.88023220334192331</v>
      </c>
      <c r="BB591" s="29">
        <v>0</v>
      </c>
      <c r="BC591"/>
      <c r="BD591" s="25"/>
      <c r="BF591" s="22">
        <v>45136</v>
      </c>
      <c r="BG591" s="26">
        <f t="shared" ca="1" si="100"/>
        <v>0.12810422795062426</v>
      </c>
      <c r="BH591" s="29">
        <v>0</v>
      </c>
      <c r="BJ591" s="22">
        <v>45136</v>
      </c>
      <c r="BK591" s="26">
        <f t="shared" ca="1" si="101"/>
        <v>0.75624570774795974</v>
      </c>
      <c r="BL591" s="29">
        <v>0</v>
      </c>
      <c r="BN591" s="22">
        <v>45136</v>
      </c>
      <c r="BO591" s="26">
        <f t="shared" ca="1" si="102"/>
        <v>0.27373536774898022</v>
      </c>
      <c r="BP591" s="29">
        <v>0</v>
      </c>
      <c r="BR591" s="22">
        <v>45136</v>
      </c>
      <c r="BS591" s="26">
        <f t="shared" ca="1" si="103"/>
        <v>0.30604255432596406</v>
      </c>
      <c r="BT591" s="29">
        <v>0</v>
      </c>
      <c r="BV591" s="22">
        <v>45136</v>
      </c>
      <c r="BW591" s="26">
        <f t="shared" ca="1" si="104"/>
        <v>0.8330524281711027</v>
      </c>
      <c r="BX591" s="29">
        <v>0</v>
      </c>
    </row>
    <row r="592" spans="2:76" ht="12.75" x14ac:dyDescent="0.2">
      <c r="B592" s="22">
        <v>45137</v>
      </c>
      <c r="C592" s="26">
        <f t="shared" ca="1" si="68"/>
        <v>0.86070328581339262</v>
      </c>
      <c r="D592" s="29">
        <v>0</v>
      </c>
      <c r="F592" s="22">
        <v>45137</v>
      </c>
      <c r="G592" s="26">
        <f t="shared" ca="1" si="88"/>
        <v>7.9399296493379512E-2</v>
      </c>
      <c r="H592" s="29">
        <v>0</v>
      </c>
      <c r="J592" s="22">
        <v>45137</v>
      </c>
      <c r="K592" s="26">
        <f t="shared" ca="1" si="89"/>
        <v>0.19641798317675097</v>
      </c>
      <c r="L592" s="29">
        <v>0</v>
      </c>
      <c r="N592" s="22">
        <v>45137</v>
      </c>
      <c r="O592" s="26">
        <f t="shared" ca="1" si="90"/>
        <v>0.36229034499912938</v>
      </c>
      <c r="P592" s="29">
        <v>0</v>
      </c>
      <c r="R592" s="22">
        <v>45137</v>
      </c>
      <c r="S592" s="26">
        <f t="shared" ca="1" si="91"/>
        <v>0.52669155098288756</v>
      </c>
      <c r="T592" s="29">
        <v>0</v>
      </c>
      <c r="V592" s="22">
        <v>45137</v>
      </c>
      <c r="W592" s="26">
        <f t="shared" ca="1" si="92"/>
        <v>6.3338749644710535E-2</v>
      </c>
      <c r="X592" s="29">
        <v>0</v>
      </c>
      <c r="Z592" s="22">
        <v>45137</v>
      </c>
      <c r="AA592" s="26">
        <f t="shared" ca="1" si="93"/>
        <v>0.52725825786971225</v>
      </c>
      <c r="AB592" s="29">
        <v>0</v>
      </c>
      <c r="AC592"/>
      <c r="AD592" s="25"/>
      <c r="AF592" s="22">
        <v>45137</v>
      </c>
      <c r="AG592" s="26">
        <f t="shared" ca="1" si="94"/>
        <v>0.10431824324094641</v>
      </c>
      <c r="AH592" s="29">
        <v>0</v>
      </c>
      <c r="AJ592" s="22">
        <v>45137</v>
      </c>
      <c r="AK592" s="26">
        <f t="shared" ca="1" si="95"/>
        <v>0.95176530887220456</v>
      </c>
      <c r="AL592" s="29">
        <v>0</v>
      </c>
      <c r="AN592" s="22">
        <v>45137</v>
      </c>
      <c r="AO592" s="26">
        <f t="shared" ca="1" si="96"/>
        <v>0.61001885778026221</v>
      </c>
      <c r="AP592" s="29">
        <v>0</v>
      </c>
      <c r="AR592" s="22">
        <v>45137</v>
      </c>
      <c r="AS592" s="26">
        <f t="shared" ca="1" si="97"/>
        <v>0.84381696369254799</v>
      </c>
      <c r="AT592" s="29">
        <v>0</v>
      </c>
      <c r="AV592" s="22">
        <v>45137</v>
      </c>
      <c r="AW592" s="26">
        <f t="shared" ca="1" si="98"/>
        <v>0.29925442029437987</v>
      </c>
      <c r="AX592" s="29">
        <v>0</v>
      </c>
      <c r="AZ592" s="22">
        <v>45137</v>
      </c>
      <c r="BA592" s="26">
        <f t="shared" ca="1" si="99"/>
        <v>0.405986975328674</v>
      </c>
      <c r="BB592" s="29">
        <v>0</v>
      </c>
      <c r="BC592"/>
      <c r="BD592" s="25"/>
      <c r="BF592" s="22">
        <v>45137</v>
      </c>
      <c r="BG592" s="26">
        <f t="shared" ca="1" si="100"/>
        <v>0.78587230259132135</v>
      </c>
      <c r="BH592" s="29">
        <v>0</v>
      </c>
      <c r="BJ592" s="22">
        <v>45137</v>
      </c>
      <c r="BK592" s="26">
        <f t="shared" ca="1" si="101"/>
        <v>0.62598536112852365</v>
      </c>
      <c r="BL592" s="29">
        <v>0</v>
      </c>
      <c r="BN592" s="22">
        <v>45137</v>
      </c>
      <c r="BO592" s="26">
        <f t="shared" ca="1" si="102"/>
        <v>6.9724442046356749E-2</v>
      </c>
      <c r="BP592" s="29">
        <v>0</v>
      </c>
      <c r="BR592" s="22">
        <v>45137</v>
      </c>
      <c r="BS592" s="26">
        <f t="shared" ca="1" si="103"/>
        <v>0.72165305078206321</v>
      </c>
      <c r="BT592" s="29">
        <v>0</v>
      </c>
      <c r="BV592" s="22">
        <v>45137</v>
      </c>
      <c r="BW592" s="26">
        <f t="shared" ca="1" si="104"/>
        <v>5.8644052301902172E-2</v>
      </c>
      <c r="BX592" s="29">
        <v>0</v>
      </c>
    </row>
    <row r="593" spans="2:77" ht="12.75" x14ac:dyDescent="0.2">
      <c r="B593" s="22">
        <v>45138</v>
      </c>
      <c r="C593" s="26">
        <f t="shared" ca="1" si="68"/>
        <v>3.1999900839009943E-2</v>
      </c>
      <c r="D593" s="29">
        <v>0</v>
      </c>
      <c r="E593">
        <v>443</v>
      </c>
      <c r="F593" s="22">
        <v>45138</v>
      </c>
      <c r="G593" s="26">
        <f t="shared" ca="1" si="88"/>
        <v>0.82898197179464639</v>
      </c>
      <c r="H593" s="29">
        <v>0</v>
      </c>
      <c r="I593">
        <v>1283</v>
      </c>
      <c r="J593" s="22">
        <v>45138</v>
      </c>
      <c r="K593" s="26">
        <f t="shared" ca="1" si="89"/>
        <v>6.3613549418293447E-2</v>
      </c>
      <c r="L593" s="29">
        <v>0</v>
      </c>
      <c r="M593">
        <v>909</v>
      </c>
      <c r="N593" s="22">
        <v>45138</v>
      </c>
      <c r="O593" s="26">
        <f t="shared" ca="1" si="90"/>
        <v>0.63314957920729453</v>
      </c>
      <c r="P593" s="29">
        <v>0</v>
      </c>
      <c r="Q593">
        <v>1376</v>
      </c>
      <c r="R593" s="22">
        <v>45138</v>
      </c>
      <c r="S593" s="26">
        <f t="shared" ca="1" si="91"/>
        <v>0.93529544551177612</v>
      </c>
      <c r="T593" s="29">
        <v>0</v>
      </c>
      <c r="U593">
        <v>845</v>
      </c>
      <c r="V593" s="22">
        <v>45138</v>
      </c>
      <c r="W593" s="26">
        <f t="shared" ca="1" si="92"/>
        <v>0.582203276128754</v>
      </c>
      <c r="X593" s="29">
        <v>0</v>
      </c>
      <c r="Y593">
        <v>1327</v>
      </c>
      <c r="Z593" s="22">
        <v>45138</v>
      </c>
      <c r="AA593" s="26">
        <f t="shared" ca="1" si="93"/>
        <v>0.46829781945574955</v>
      </c>
      <c r="AB593" s="29">
        <v>0</v>
      </c>
      <c r="AC593">
        <v>1590</v>
      </c>
      <c r="AD593" s="25"/>
      <c r="AF593" s="22">
        <v>45138</v>
      </c>
      <c r="AG593" s="26">
        <f t="shared" ca="1" si="94"/>
        <v>0.66046800048676579</v>
      </c>
      <c r="AH593" s="29">
        <v>0</v>
      </c>
      <c r="AI593">
        <v>1960</v>
      </c>
      <c r="AJ593" s="22">
        <v>45138</v>
      </c>
      <c r="AK593" s="26">
        <f t="shared" ca="1" si="95"/>
        <v>0.98533894830557489</v>
      </c>
      <c r="AL593" s="29">
        <v>0</v>
      </c>
      <c r="AM593">
        <v>1003</v>
      </c>
      <c r="AN593" s="22">
        <v>45138</v>
      </c>
      <c r="AO593" s="26">
        <f t="shared" ca="1" si="96"/>
        <v>0.50128528359612334</v>
      </c>
      <c r="AP593" s="29">
        <v>0</v>
      </c>
      <c r="AQ593">
        <v>784</v>
      </c>
      <c r="AR593" s="22">
        <v>45138</v>
      </c>
      <c r="AS593" s="26">
        <f t="shared" ca="1" si="97"/>
        <v>0.31014258932459271</v>
      </c>
      <c r="AT593" s="29">
        <v>0</v>
      </c>
      <c r="AU593">
        <v>0</v>
      </c>
      <c r="AV593" s="22">
        <v>45138</v>
      </c>
      <c r="AW593" s="26">
        <f t="shared" ca="1" si="98"/>
        <v>0.33107339991897422</v>
      </c>
      <c r="AX593" s="29">
        <v>0</v>
      </c>
      <c r="AY593">
        <v>0</v>
      </c>
      <c r="AZ593" s="22">
        <v>45138</v>
      </c>
      <c r="BA593" s="26">
        <f t="shared" ca="1" si="99"/>
        <v>0.38017969194494772</v>
      </c>
      <c r="BB593" s="29">
        <v>0</v>
      </c>
      <c r="BC593">
        <v>0</v>
      </c>
      <c r="BD593" s="25"/>
      <c r="BF593" s="22">
        <v>45138</v>
      </c>
      <c r="BG593" s="26">
        <f t="shared" ca="1" si="100"/>
        <v>0.62310780654669207</v>
      </c>
      <c r="BH593" s="29">
        <v>0</v>
      </c>
      <c r="BI593">
        <v>0</v>
      </c>
      <c r="BJ593" s="22">
        <v>45138</v>
      </c>
      <c r="BK593" s="26">
        <f t="shared" ca="1" si="101"/>
        <v>0.61878977712482197</v>
      </c>
      <c r="BL593" s="29">
        <v>0</v>
      </c>
      <c r="BM593">
        <v>0</v>
      </c>
      <c r="BN593" s="22">
        <v>45138</v>
      </c>
      <c r="BO593" s="26">
        <f t="shared" ca="1" si="102"/>
        <v>8.8760319635461937E-2</v>
      </c>
      <c r="BP593" s="29">
        <v>0</v>
      </c>
      <c r="BQ593">
        <v>0</v>
      </c>
      <c r="BR593" s="22">
        <v>45138</v>
      </c>
      <c r="BS593" s="26">
        <f t="shared" ca="1" si="103"/>
        <v>0.19985596624122814</v>
      </c>
      <c r="BT593" s="29">
        <v>0</v>
      </c>
      <c r="BU593">
        <v>0</v>
      </c>
      <c r="BV593" s="22">
        <v>45138</v>
      </c>
      <c r="BW593" s="26">
        <f t="shared" ca="1" si="104"/>
        <v>0.6092542139600805</v>
      </c>
      <c r="BX593" s="29">
        <v>0</v>
      </c>
      <c r="BY593">
        <v>0</v>
      </c>
    </row>
    <row r="594" spans="2:77" ht="12.75" x14ac:dyDescent="0.2">
      <c r="B594" s="22">
        <v>45139</v>
      </c>
      <c r="C594" s="26">
        <f t="shared" ca="1" si="68"/>
        <v>0.47786396647231166</v>
      </c>
      <c r="D594" s="29">
        <v>0</v>
      </c>
      <c r="F594" s="22">
        <v>45139</v>
      </c>
      <c r="G594" s="26">
        <f t="shared" ca="1" si="88"/>
        <v>0.83589419388340291</v>
      </c>
      <c r="H594" s="29">
        <v>0</v>
      </c>
      <c r="J594" s="22">
        <v>45139</v>
      </c>
      <c r="K594" s="26">
        <f t="shared" ca="1" si="89"/>
        <v>0.7401904583415827</v>
      </c>
      <c r="L594" s="29">
        <v>0</v>
      </c>
      <c r="N594" s="22">
        <v>45139</v>
      </c>
      <c r="O594" s="26">
        <f t="shared" ca="1" si="90"/>
        <v>0.26170710766872973</v>
      </c>
      <c r="P594" s="29">
        <v>0</v>
      </c>
      <c r="R594" s="22">
        <v>45139</v>
      </c>
      <c r="S594" s="26">
        <f t="shared" ca="1" si="91"/>
        <v>0.51142752883990217</v>
      </c>
      <c r="T594" s="29">
        <v>0</v>
      </c>
      <c r="V594" s="22">
        <v>45139</v>
      </c>
      <c r="W594" s="26">
        <f t="shared" ca="1" si="92"/>
        <v>0.16010888548161717</v>
      </c>
      <c r="X594" s="29">
        <v>0</v>
      </c>
      <c r="Z594" s="22">
        <v>45139</v>
      </c>
      <c r="AA594" s="26">
        <f t="shared" ca="1" si="93"/>
        <v>0.70836097399631448</v>
      </c>
      <c r="AB594" s="29">
        <v>0</v>
      </c>
      <c r="AC594"/>
      <c r="AD594" s="25"/>
      <c r="AF594" s="22">
        <v>45139</v>
      </c>
      <c r="AG594" s="26">
        <f t="shared" ca="1" si="94"/>
        <v>0.45689147298850519</v>
      </c>
      <c r="AH594" s="29">
        <v>0</v>
      </c>
      <c r="AJ594" s="22">
        <v>45139</v>
      </c>
      <c r="AK594" s="26">
        <f t="shared" ca="1" si="95"/>
        <v>0.45479952225842646</v>
      </c>
      <c r="AL594" s="29">
        <v>0</v>
      </c>
      <c r="AN594" s="22">
        <v>45139</v>
      </c>
      <c r="AO594" s="26">
        <f t="shared" ca="1" si="96"/>
        <v>0.99916204547561471</v>
      </c>
      <c r="AP594" s="29">
        <v>0</v>
      </c>
      <c r="AR594" s="22">
        <v>45139</v>
      </c>
      <c r="AS594" s="26">
        <f t="shared" ca="1" si="97"/>
        <v>0.21829936891699653</v>
      </c>
      <c r="AT594" s="29">
        <v>0</v>
      </c>
      <c r="AV594" s="22">
        <v>45139</v>
      </c>
      <c r="AW594" s="26">
        <f t="shared" ca="1" si="98"/>
        <v>0.52305798928327307</v>
      </c>
      <c r="AX594" s="29">
        <v>0</v>
      </c>
      <c r="AZ594" s="22">
        <v>45139</v>
      </c>
      <c r="BA594" s="26">
        <f t="shared" ca="1" si="99"/>
        <v>0.88683455423713142</v>
      </c>
      <c r="BB594" s="29">
        <v>0</v>
      </c>
      <c r="BC594"/>
      <c r="BD594" s="25"/>
      <c r="BF594" s="22">
        <v>45139</v>
      </c>
      <c r="BG594" s="26">
        <f t="shared" ca="1" si="100"/>
        <v>5.8574320654801726E-2</v>
      </c>
      <c r="BH594" s="29">
        <v>0</v>
      </c>
      <c r="BJ594" s="22">
        <v>45139</v>
      </c>
      <c r="BK594" s="26">
        <f t="shared" ca="1" si="101"/>
        <v>0.62391332188417536</v>
      </c>
      <c r="BL594" s="29">
        <v>0</v>
      </c>
      <c r="BN594" s="22">
        <v>45139</v>
      </c>
      <c r="BO594" s="26">
        <f t="shared" ca="1" si="102"/>
        <v>0.85006252861398757</v>
      </c>
      <c r="BP594" s="29">
        <v>0</v>
      </c>
      <c r="BR594" s="22">
        <v>45139</v>
      </c>
      <c r="BS594" s="26">
        <f t="shared" ca="1" si="103"/>
        <v>0.76428324356392874</v>
      </c>
      <c r="BT594" s="29">
        <v>0</v>
      </c>
      <c r="BV594" s="22">
        <v>45139</v>
      </c>
      <c r="BW594" s="26">
        <f t="shared" ca="1" si="104"/>
        <v>0.884608451881011</v>
      </c>
      <c r="BX594" s="29">
        <v>0</v>
      </c>
    </row>
    <row r="595" spans="2:77" ht="12.75" x14ac:dyDescent="0.2">
      <c r="B595" s="22">
        <v>45140</v>
      </c>
      <c r="C595" s="26">
        <f t="shared" ca="1" si="68"/>
        <v>0.21810904829230715</v>
      </c>
      <c r="D595" s="29">
        <v>0</v>
      </c>
      <c r="F595" s="22">
        <v>45140</v>
      </c>
      <c r="G595" s="26">
        <f t="shared" ca="1" si="88"/>
        <v>0.50013359696929072</v>
      </c>
      <c r="H595" s="29">
        <v>0</v>
      </c>
      <c r="J595" s="22">
        <v>45140</v>
      </c>
      <c r="K595" s="26">
        <f t="shared" ca="1" si="89"/>
        <v>6.0669394244972419E-2</v>
      </c>
      <c r="L595" s="29">
        <v>0</v>
      </c>
      <c r="N595" s="22">
        <v>45140</v>
      </c>
      <c r="O595" s="26">
        <f t="shared" ca="1" si="90"/>
        <v>0.52004818008694387</v>
      </c>
      <c r="P595" s="29">
        <v>0</v>
      </c>
      <c r="R595" s="22">
        <v>45140</v>
      </c>
      <c r="S595" s="26">
        <f t="shared" ca="1" si="91"/>
        <v>0.44175266313508366</v>
      </c>
      <c r="T595" s="29">
        <v>0</v>
      </c>
      <c r="V595" s="22">
        <v>45140</v>
      </c>
      <c r="W595" s="26">
        <f t="shared" ca="1" si="92"/>
        <v>0.25795626656329584</v>
      </c>
      <c r="X595" s="29">
        <v>0</v>
      </c>
      <c r="Z595" s="22">
        <v>45140</v>
      </c>
      <c r="AA595" s="26">
        <f t="shared" ca="1" si="93"/>
        <v>0.11317400604695216</v>
      </c>
      <c r="AB595" s="29">
        <v>0</v>
      </c>
      <c r="AC595"/>
      <c r="AD595" s="25"/>
      <c r="AF595" s="22">
        <v>45140</v>
      </c>
      <c r="AG595" s="26">
        <f t="shared" ca="1" si="94"/>
        <v>7.8285185288735071E-2</v>
      </c>
      <c r="AH595" s="29">
        <v>0</v>
      </c>
      <c r="AJ595" s="22">
        <v>45140</v>
      </c>
      <c r="AK595" s="26">
        <f t="shared" ca="1" si="95"/>
        <v>0.92037558017904952</v>
      </c>
      <c r="AL595" s="29">
        <v>0</v>
      </c>
      <c r="AN595" s="22">
        <v>45140</v>
      </c>
      <c r="AO595" s="26">
        <f t="shared" ca="1" si="96"/>
        <v>0.15071356052362739</v>
      </c>
      <c r="AP595" s="29">
        <v>0</v>
      </c>
      <c r="AR595" s="22">
        <v>45140</v>
      </c>
      <c r="AS595" s="26">
        <f t="shared" ca="1" si="97"/>
        <v>0.33656008070060495</v>
      </c>
      <c r="AT595" s="29">
        <v>0</v>
      </c>
      <c r="AV595" s="22">
        <v>45140</v>
      </c>
      <c r="AW595" s="26">
        <f t="shared" ca="1" si="98"/>
        <v>0.29537401998234858</v>
      </c>
      <c r="AX595" s="29">
        <v>0</v>
      </c>
      <c r="AZ595" s="22">
        <v>45140</v>
      </c>
      <c r="BA595" s="26">
        <f t="shared" ca="1" si="99"/>
        <v>0.24743263816327343</v>
      </c>
      <c r="BB595" s="29">
        <v>0</v>
      </c>
      <c r="BC595"/>
      <c r="BD595" s="25"/>
      <c r="BF595" s="22">
        <v>45140</v>
      </c>
      <c r="BG595" s="26">
        <f t="shared" ca="1" si="100"/>
        <v>0.19015074419420819</v>
      </c>
      <c r="BH595" s="29">
        <v>0</v>
      </c>
      <c r="BJ595" s="22">
        <v>45140</v>
      </c>
      <c r="BK595" s="26">
        <f t="shared" ca="1" si="101"/>
        <v>0.57488048362737798</v>
      </c>
      <c r="BL595" s="29">
        <v>0</v>
      </c>
      <c r="BN595" s="22">
        <v>45140</v>
      </c>
      <c r="BO595" s="26">
        <f t="shared" ca="1" si="102"/>
        <v>0.91144506869497866</v>
      </c>
      <c r="BP595" s="29">
        <v>0</v>
      </c>
      <c r="BR595" s="22">
        <v>45140</v>
      </c>
      <c r="BS595" s="26">
        <f t="shared" ca="1" si="103"/>
        <v>0.39372223386079408</v>
      </c>
      <c r="BT595" s="29">
        <v>0</v>
      </c>
      <c r="BV595" s="22">
        <v>45140</v>
      </c>
      <c r="BW595" s="26">
        <f t="shared" ca="1" si="104"/>
        <v>0.69840787272641458</v>
      </c>
      <c r="BX595" s="29">
        <v>0</v>
      </c>
    </row>
    <row r="596" spans="2:77" ht="12.75" x14ac:dyDescent="0.2">
      <c r="B596" s="22">
        <v>45141</v>
      </c>
      <c r="C596" s="26">
        <f t="shared" ca="1" si="68"/>
        <v>0.64453589195060823</v>
      </c>
      <c r="D596" s="29">
        <v>0</v>
      </c>
      <c r="F596" s="22">
        <v>45141</v>
      </c>
      <c r="G596" s="26">
        <f t="shared" ca="1" si="88"/>
        <v>0.15056840527768722</v>
      </c>
      <c r="H596" s="29">
        <v>0</v>
      </c>
      <c r="J596" s="22">
        <v>45141</v>
      </c>
      <c r="K596" s="26">
        <f t="shared" ca="1" si="89"/>
        <v>0.83036415346606074</v>
      </c>
      <c r="L596" s="29">
        <v>0</v>
      </c>
      <c r="N596" s="22">
        <v>45141</v>
      </c>
      <c r="O596" s="26">
        <f t="shared" ca="1" si="90"/>
        <v>0.84178461762280277</v>
      </c>
      <c r="P596" s="29">
        <v>0</v>
      </c>
      <c r="R596" s="22">
        <v>45141</v>
      </c>
      <c r="S596" s="26">
        <f t="shared" ca="1" si="91"/>
        <v>0.89851793507532995</v>
      </c>
      <c r="T596" s="29">
        <v>0</v>
      </c>
      <c r="V596" s="22">
        <v>45141</v>
      </c>
      <c r="W596" s="26">
        <f t="shared" ca="1" si="92"/>
        <v>0.48791052110567668</v>
      </c>
      <c r="X596" s="29">
        <v>0</v>
      </c>
      <c r="Z596" s="22">
        <v>45141</v>
      </c>
      <c r="AA596" s="26">
        <f t="shared" ca="1" si="93"/>
        <v>0.79127457687727454</v>
      </c>
      <c r="AB596" s="29">
        <v>0</v>
      </c>
      <c r="AC596"/>
      <c r="AD596" s="25"/>
      <c r="AF596" s="22">
        <v>45141</v>
      </c>
      <c r="AG596" s="26">
        <f t="shared" ca="1" si="94"/>
        <v>0.40526786637819479</v>
      </c>
      <c r="AH596" s="29">
        <v>0</v>
      </c>
      <c r="AJ596" s="22">
        <v>45141</v>
      </c>
      <c r="AK596" s="26">
        <f t="shared" ca="1" si="95"/>
        <v>0.7240545196487238</v>
      </c>
      <c r="AL596" s="29">
        <v>0</v>
      </c>
      <c r="AN596" s="22">
        <v>45141</v>
      </c>
      <c r="AO596" s="26">
        <f t="shared" ca="1" si="96"/>
        <v>0.96523189966865552</v>
      </c>
      <c r="AP596" s="29">
        <v>0</v>
      </c>
      <c r="AR596" s="22">
        <v>45141</v>
      </c>
      <c r="AS596" s="26">
        <f t="shared" ca="1" si="97"/>
        <v>0.43837897836789297</v>
      </c>
      <c r="AT596" s="29">
        <v>0</v>
      </c>
      <c r="AV596" s="22">
        <v>45141</v>
      </c>
      <c r="AW596" s="26">
        <f t="shared" ca="1" si="98"/>
        <v>0.35873739155998963</v>
      </c>
      <c r="AX596" s="29">
        <v>0</v>
      </c>
      <c r="AZ596" s="22">
        <v>45141</v>
      </c>
      <c r="BA596" s="26">
        <f t="shared" ca="1" si="99"/>
        <v>4.6154306195781647E-2</v>
      </c>
      <c r="BB596" s="29">
        <v>0</v>
      </c>
      <c r="BC596"/>
      <c r="BD596" s="25"/>
      <c r="BF596" s="22">
        <v>45141</v>
      </c>
      <c r="BG596" s="26">
        <f t="shared" ca="1" si="100"/>
        <v>0.19693379916656573</v>
      </c>
      <c r="BH596" s="29">
        <v>0</v>
      </c>
      <c r="BJ596" s="22">
        <v>45141</v>
      </c>
      <c r="BK596" s="26">
        <f t="shared" ca="1" si="101"/>
        <v>0.63506163284209316</v>
      </c>
      <c r="BL596" s="29">
        <v>0</v>
      </c>
      <c r="BN596" s="22">
        <v>45141</v>
      </c>
      <c r="BO596" s="26">
        <f t="shared" ca="1" si="102"/>
        <v>0.60620953392932797</v>
      </c>
      <c r="BP596" s="29">
        <v>0</v>
      </c>
      <c r="BR596" s="22">
        <v>45141</v>
      </c>
      <c r="BS596" s="26">
        <f t="shared" ca="1" si="103"/>
        <v>0.26570971508236108</v>
      </c>
      <c r="BT596" s="29">
        <v>0</v>
      </c>
      <c r="BV596" s="22">
        <v>45141</v>
      </c>
      <c r="BW596" s="26">
        <f t="shared" ca="1" si="104"/>
        <v>0.52560140042996162</v>
      </c>
      <c r="BX596" s="29">
        <v>0</v>
      </c>
    </row>
    <row r="597" spans="2:77" ht="12.75" x14ac:dyDescent="0.2">
      <c r="B597" s="22">
        <v>45142</v>
      </c>
      <c r="C597" s="26">
        <f t="shared" ca="1" si="68"/>
        <v>0.4356938561341589</v>
      </c>
      <c r="D597" s="29">
        <v>0</v>
      </c>
      <c r="F597" s="22">
        <v>45142</v>
      </c>
      <c r="G597" s="26">
        <f t="shared" ca="1" si="88"/>
        <v>0.36514489681866846</v>
      </c>
      <c r="H597" s="29">
        <v>0</v>
      </c>
      <c r="J597" s="22">
        <v>45142</v>
      </c>
      <c r="K597" s="26">
        <f t="shared" ca="1" si="89"/>
        <v>0.35352357385515187</v>
      </c>
      <c r="L597" s="29">
        <v>0</v>
      </c>
      <c r="N597" s="22">
        <v>45142</v>
      </c>
      <c r="O597" s="26">
        <f t="shared" ca="1" si="90"/>
        <v>0.39468424748435404</v>
      </c>
      <c r="P597" s="29">
        <v>0</v>
      </c>
      <c r="R597" s="22">
        <v>45142</v>
      </c>
      <c r="S597" s="26">
        <f t="shared" ca="1" si="91"/>
        <v>0.29999266033596816</v>
      </c>
      <c r="T597" s="29">
        <v>0</v>
      </c>
      <c r="V597" s="22">
        <v>45142</v>
      </c>
      <c r="W597" s="26">
        <f t="shared" ca="1" si="92"/>
        <v>0.32645716906924771</v>
      </c>
      <c r="X597" s="29">
        <v>0</v>
      </c>
      <c r="Z597" s="22">
        <v>45142</v>
      </c>
      <c r="AA597" s="26">
        <f t="shared" ca="1" si="93"/>
        <v>0.11326320286624358</v>
      </c>
      <c r="AB597" s="29">
        <v>0</v>
      </c>
      <c r="AC597"/>
      <c r="AD597" s="25"/>
      <c r="AF597" s="22">
        <v>45142</v>
      </c>
      <c r="AG597" s="26">
        <f t="shared" ca="1" si="94"/>
        <v>0.9396786084172466</v>
      </c>
      <c r="AH597" s="29">
        <v>0</v>
      </c>
      <c r="AJ597" s="22">
        <v>45142</v>
      </c>
      <c r="AK597" s="26">
        <f t="shared" ca="1" si="95"/>
        <v>0.59518948028873775</v>
      </c>
      <c r="AL597" s="29">
        <v>0</v>
      </c>
      <c r="AN597" s="22">
        <v>45142</v>
      </c>
      <c r="AO597" s="26">
        <f t="shared" ca="1" si="96"/>
        <v>0.43859627768802278</v>
      </c>
      <c r="AP597" s="29">
        <v>0</v>
      </c>
      <c r="AR597" s="22">
        <v>45142</v>
      </c>
      <c r="AS597" s="26">
        <f t="shared" ca="1" si="97"/>
        <v>0.94042476538368724</v>
      </c>
      <c r="AT597" s="29">
        <v>0</v>
      </c>
      <c r="AV597" s="22">
        <v>45142</v>
      </c>
      <c r="AW597" s="26">
        <f t="shared" ca="1" si="98"/>
        <v>0.45289798338031284</v>
      </c>
      <c r="AX597" s="29">
        <v>0</v>
      </c>
      <c r="AZ597" s="22">
        <v>45142</v>
      </c>
      <c r="BA597" s="26">
        <f t="shared" ca="1" si="99"/>
        <v>0.18166858680294329</v>
      </c>
      <c r="BB597" s="29">
        <v>0</v>
      </c>
      <c r="BC597"/>
      <c r="BD597" s="25"/>
      <c r="BF597" s="22">
        <v>45142</v>
      </c>
      <c r="BG597" s="26">
        <f t="shared" ca="1" si="100"/>
        <v>0.95191015294979409</v>
      </c>
      <c r="BH597" s="29">
        <v>0</v>
      </c>
      <c r="BJ597" s="22">
        <v>45142</v>
      </c>
      <c r="BK597" s="26">
        <f t="shared" ca="1" si="101"/>
        <v>0.81769349359554722</v>
      </c>
      <c r="BL597" s="29">
        <v>0</v>
      </c>
      <c r="BN597" s="22">
        <v>45142</v>
      </c>
      <c r="BO597" s="26">
        <f t="shared" ca="1" si="102"/>
        <v>0.40135963684524512</v>
      </c>
      <c r="BP597" s="29">
        <v>0</v>
      </c>
      <c r="BR597" s="22">
        <v>45142</v>
      </c>
      <c r="BS597" s="26">
        <f t="shared" ca="1" si="103"/>
        <v>0.18630369840582128</v>
      </c>
      <c r="BT597" s="29">
        <v>0</v>
      </c>
      <c r="BV597" s="22">
        <v>45142</v>
      </c>
      <c r="BW597" s="26">
        <f t="shared" ca="1" si="104"/>
        <v>2.4014696569476524E-2</v>
      </c>
      <c r="BX597" s="29">
        <v>0</v>
      </c>
    </row>
    <row r="598" spans="2:77" ht="12.75" x14ac:dyDescent="0.2">
      <c r="B598" s="22">
        <v>45143</v>
      </c>
      <c r="C598" s="26">
        <f t="shared" ca="1" si="68"/>
        <v>0.97518176645553267</v>
      </c>
      <c r="D598" s="29">
        <v>0</v>
      </c>
      <c r="F598" s="22">
        <v>45143</v>
      </c>
      <c r="G598" s="26">
        <f t="shared" ca="1" si="88"/>
        <v>0.94636817194316536</v>
      </c>
      <c r="H598" s="29">
        <v>0</v>
      </c>
      <c r="J598" s="22">
        <v>45143</v>
      </c>
      <c r="K598" s="26">
        <f t="shared" ca="1" si="89"/>
        <v>0.3264861116450759</v>
      </c>
      <c r="L598" s="29">
        <v>0</v>
      </c>
      <c r="N598" s="22">
        <v>45143</v>
      </c>
      <c r="O598" s="26">
        <f t="shared" ca="1" si="90"/>
        <v>0.73164833347534042</v>
      </c>
      <c r="P598" s="29">
        <v>0</v>
      </c>
      <c r="R598" s="22">
        <v>45143</v>
      </c>
      <c r="S598" s="26">
        <f t="shared" ca="1" si="91"/>
        <v>0.30836198899933143</v>
      </c>
      <c r="T598" s="29">
        <v>0</v>
      </c>
      <c r="V598" s="22">
        <v>45143</v>
      </c>
      <c r="W598" s="26">
        <f t="shared" ca="1" si="92"/>
        <v>0.72420643019130904</v>
      </c>
      <c r="X598" s="29">
        <v>0</v>
      </c>
      <c r="Z598" s="22">
        <v>45143</v>
      </c>
      <c r="AA598" s="26">
        <f t="shared" ca="1" si="93"/>
        <v>0.49153503447813507</v>
      </c>
      <c r="AB598" s="29">
        <v>0</v>
      </c>
      <c r="AC598"/>
      <c r="AD598" s="25"/>
      <c r="AF598" s="22">
        <v>45143</v>
      </c>
      <c r="AG598" s="26">
        <f t="shared" ca="1" si="94"/>
        <v>0.17007247537609405</v>
      </c>
      <c r="AH598" s="29">
        <v>0</v>
      </c>
      <c r="AJ598" s="22">
        <v>45143</v>
      </c>
      <c r="AK598" s="26">
        <f t="shared" ca="1" si="95"/>
        <v>0.15363014375449191</v>
      </c>
      <c r="AL598" s="29">
        <v>0</v>
      </c>
      <c r="AN598" s="22">
        <v>45143</v>
      </c>
      <c r="AO598" s="26">
        <f t="shared" ca="1" si="96"/>
        <v>0.67076943451498128</v>
      </c>
      <c r="AP598" s="29">
        <v>0</v>
      </c>
      <c r="AR598" s="22">
        <v>45143</v>
      </c>
      <c r="AS598" s="26">
        <f t="shared" ca="1" si="97"/>
        <v>7.9059489068318278E-2</v>
      </c>
      <c r="AT598" s="29">
        <v>0</v>
      </c>
      <c r="AV598" s="22">
        <v>45143</v>
      </c>
      <c r="AW598" s="26">
        <f t="shared" ca="1" si="98"/>
        <v>0.75174389593084523</v>
      </c>
      <c r="AX598" s="29">
        <v>0</v>
      </c>
      <c r="AZ598" s="22">
        <v>45143</v>
      </c>
      <c r="BA598" s="26">
        <f t="shared" ca="1" si="99"/>
        <v>0.86226673456136005</v>
      </c>
      <c r="BB598" s="29">
        <v>0</v>
      </c>
      <c r="BC598"/>
      <c r="BD598" s="25"/>
      <c r="BF598" s="22">
        <v>45143</v>
      </c>
      <c r="BG598" s="26">
        <f t="shared" ca="1" si="100"/>
        <v>0.54983832668617438</v>
      </c>
      <c r="BH598" s="29">
        <v>0</v>
      </c>
      <c r="BJ598" s="22">
        <v>45143</v>
      </c>
      <c r="BK598" s="26">
        <f t="shared" ca="1" si="101"/>
        <v>0.62954435541028009</v>
      </c>
      <c r="BL598" s="29">
        <v>0</v>
      </c>
      <c r="BN598" s="22">
        <v>45143</v>
      </c>
      <c r="BO598" s="26">
        <f t="shared" ca="1" si="102"/>
        <v>0.47417573751434861</v>
      </c>
      <c r="BP598" s="29">
        <v>0</v>
      </c>
      <c r="BR598" s="22">
        <v>45143</v>
      </c>
      <c r="BS598" s="26">
        <f t="shared" ca="1" si="103"/>
        <v>0.35478197897320851</v>
      </c>
      <c r="BT598" s="29">
        <v>0</v>
      </c>
      <c r="BV598" s="22">
        <v>45143</v>
      </c>
      <c r="BW598" s="26">
        <f t="shared" ca="1" si="104"/>
        <v>0.19935500798769124</v>
      </c>
      <c r="BX598" s="29">
        <v>0</v>
      </c>
    </row>
    <row r="599" spans="2:77" ht="12.75" x14ac:dyDescent="0.2">
      <c r="B599" s="22">
        <v>45144</v>
      </c>
      <c r="C599" s="26">
        <f t="shared" ca="1" si="68"/>
        <v>0.36263134922681028</v>
      </c>
      <c r="D599" s="29">
        <v>0</v>
      </c>
      <c r="F599" s="22">
        <v>45144</v>
      </c>
      <c r="G599" s="26">
        <f t="shared" ca="1" si="88"/>
        <v>0.21826345452684892</v>
      </c>
      <c r="H599" s="29">
        <v>0</v>
      </c>
      <c r="J599" s="22">
        <v>45144</v>
      </c>
      <c r="K599" s="26">
        <f t="shared" ca="1" si="89"/>
        <v>0.36574803370859166</v>
      </c>
      <c r="L599" s="29">
        <v>0</v>
      </c>
      <c r="N599" s="22">
        <v>45144</v>
      </c>
      <c r="O599" s="26">
        <f t="shared" ca="1" si="90"/>
        <v>0.92312210323878163</v>
      </c>
      <c r="P599" s="29">
        <v>0</v>
      </c>
      <c r="R599" s="22">
        <v>45144</v>
      </c>
      <c r="S599" s="26">
        <f t="shared" ca="1" si="91"/>
        <v>0.63970340731557662</v>
      </c>
      <c r="T599" s="29">
        <v>0</v>
      </c>
      <c r="V599" s="22">
        <v>45144</v>
      </c>
      <c r="W599" s="26">
        <f t="shared" ca="1" si="92"/>
        <v>0.2165167296641306</v>
      </c>
      <c r="X599" s="29">
        <v>0</v>
      </c>
      <c r="Z599" s="22">
        <v>45144</v>
      </c>
      <c r="AA599" s="26">
        <f t="shared" ca="1" si="93"/>
        <v>0.61095650038438021</v>
      </c>
      <c r="AB599" s="29">
        <v>0</v>
      </c>
      <c r="AC599"/>
      <c r="AD599" s="25"/>
      <c r="AF599" s="22">
        <v>45144</v>
      </c>
      <c r="AG599" s="26">
        <f t="shared" ca="1" si="94"/>
        <v>0.44360983698380385</v>
      </c>
      <c r="AH599" s="29">
        <v>0</v>
      </c>
      <c r="AJ599" s="22">
        <v>45144</v>
      </c>
      <c r="AK599" s="26">
        <f t="shared" ca="1" si="95"/>
        <v>0.74805685722692017</v>
      </c>
      <c r="AL599" s="29">
        <v>0</v>
      </c>
      <c r="AN599" s="22">
        <v>45144</v>
      </c>
      <c r="AO599" s="26">
        <f t="shared" ca="1" si="96"/>
        <v>0.8510917264242972</v>
      </c>
      <c r="AP599" s="29">
        <v>0</v>
      </c>
      <c r="AR599" s="22">
        <v>45144</v>
      </c>
      <c r="AS599" s="26">
        <f t="shared" ca="1" si="97"/>
        <v>0.93351154167102834</v>
      </c>
      <c r="AT599" s="29">
        <v>0</v>
      </c>
      <c r="AV599" s="22">
        <v>45144</v>
      </c>
      <c r="AW599" s="26">
        <f t="shared" ca="1" si="98"/>
        <v>0.50345796167835588</v>
      </c>
      <c r="AX599" s="29">
        <v>0</v>
      </c>
      <c r="AZ599" s="22">
        <v>45144</v>
      </c>
      <c r="BA599" s="26">
        <f t="shared" ca="1" si="99"/>
        <v>0.24441307418725478</v>
      </c>
      <c r="BB599" s="29">
        <v>0</v>
      </c>
      <c r="BC599"/>
      <c r="BD599" s="25"/>
      <c r="BF599" s="22">
        <v>45144</v>
      </c>
      <c r="BG599" s="26">
        <f t="shared" ca="1" si="100"/>
        <v>0.78975066781140013</v>
      </c>
      <c r="BH599" s="29">
        <v>0</v>
      </c>
      <c r="BJ599" s="22">
        <v>45144</v>
      </c>
      <c r="BK599" s="26">
        <f t="shared" ca="1" si="101"/>
        <v>0.98734832742891121</v>
      </c>
      <c r="BL599" s="29">
        <v>0</v>
      </c>
      <c r="BN599" s="22">
        <v>45144</v>
      </c>
      <c r="BO599" s="26">
        <f t="shared" ca="1" si="102"/>
        <v>0.45008625653808798</v>
      </c>
      <c r="BP599" s="29">
        <v>0</v>
      </c>
      <c r="BR599" s="22">
        <v>45144</v>
      </c>
      <c r="BS599" s="26">
        <f t="shared" ca="1" si="103"/>
        <v>0.26896752972578886</v>
      </c>
      <c r="BT599" s="29">
        <v>0</v>
      </c>
      <c r="BV599" s="22">
        <v>45144</v>
      </c>
      <c r="BW599" s="26">
        <f t="shared" ca="1" si="104"/>
        <v>0.20092776152575709</v>
      </c>
      <c r="BX599" s="29">
        <v>0</v>
      </c>
    </row>
    <row r="600" spans="2:77" ht="12.75" x14ac:dyDescent="0.2">
      <c r="B600" s="22">
        <v>45145</v>
      </c>
      <c r="C600" s="26">
        <f t="shared" ca="1" si="68"/>
        <v>0.24908972394032813</v>
      </c>
      <c r="D600" s="29">
        <v>0</v>
      </c>
      <c r="F600" s="22">
        <v>45145</v>
      </c>
      <c r="G600" s="26">
        <f t="shared" ca="1" si="88"/>
        <v>0.65004894124689616</v>
      </c>
      <c r="H600" s="29">
        <v>0</v>
      </c>
      <c r="J600" s="22">
        <v>45145</v>
      </c>
      <c r="K600" s="26">
        <f t="shared" ca="1" si="89"/>
        <v>0.65193527506565341</v>
      </c>
      <c r="L600" s="29">
        <v>0</v>
      </c>
      <c r="N600" s="22">
        <v>45145</v>
      </c>
      <c r="O600" s="26">
        <f t="shared" ca="1" si="90"/>
        <v>0.49242649681886963</v>
      </c>
      <c r="P600" s="29">
        <v>0</v>
      </c>
      <c r="R600" s="22">
        <v>45145</v>
      </c>
      <c r="S600" s="26">
        <f t="shared" ca="1" si="91"/>
        <v>0.34858096727534205</v>
      </c>
      <c r="T600" s="29">
        <v>0</v>
      </c>
      <c r="V600" s="22">
        <v>45145</v>
      </c>
      <c r="W600" s="26">
        <f t="shared" ca="1" si="92"/>
        <v>0.65887518379987375</v>
      </c>
      <c r="X600" s="29">
        <v>0</v>
      </c>
      <c r="Z600" s="22">
        <v>45145</v>
      </c>
      <c r="AA600" s="26">
        <f t="shared" ca="1" si="93"/>
        <v>0.93150510966494071</v>
      </c>
      <c r="AB600" s="29">
        <v>0</v>
      </c>
      <c r="AC600"/>
      <c r="AD600" s="25"/>
      <c r="AF600" s="22">
        <v>45145</v>
      </c>
      <c r="AG600" s="26">
        <f t="shared" ca="1" si="94"/>
        <v>0.62298398943402367</v>
      </c>
      <c r="AH600" s="29">
        <v>0</v>
      </c>
      <c r="AJ600" s="22">
        <v>45145</v>
      </c>
      <c r="AK600" s="26">
        <f t="shared" ca="1" si="95"/>
        <v>0.51243161222504829</v>
      </c>
      <c r="AL600" s="29">
        <v>0</v>
      </c>
      <c r="AN600" s="22">
        <v>45145</v>
      </c>
      <c r="AO600" s="26">
        <f t="shared" ca="1" si="96"/>
        <v>0.61691384341950739</v>
      </c>
      <c r="AP600" s="29">
        <v>0</v>
      </c>
      <c r="AR600" s="22">
        <v>45145</v>
      </c>
      <c r="AS600" s="26">
        <f t="shared" ca="1" si="97"/>
        <v>0.91534682762345509</v>
      </c>
      <c r="AT600" s="29">
        <v>0</v>
      </c>
      <c r="AV600" s="22">
        <v>45145</v>
      </c>
      <c r="AW600" s="26">
        <f t="shared" ca="1" si="98"/>
        <v>0.51271612365765407</v>
      </c>
      <c r="AX600" s="29">
        <v>0</v>
      </c>
      <c r="AZ600" s="22">
        <v>45145</v>
      </c>
      <c r="BA600" s="26">
        <f t="shared" ca="1" si="99"/>
        <v>0.95825771321008324</v>
      </c>
      <c r="BB600" s="29">
        <v>0</v>
      </c>
      <c r="BC600"/>
      <c r="BD600" s="25"/>
      <c r="BF600" s="22">
        <v>45145</v>
      </c>
      <c r="BG600" s="26">
        <f t="shared" ca="1" si="100"/>
        <v>7.7805725804451331E-2</v>
      </c>
      <c r="BH600" s="29">
        <v>0</v>
      </c>
      <c r="BJ600" s="22">
        <v>45145</v>
      </c>
      <c r="BK600" s="26">
        <f t="shared" ca="1" si="101"/>
        <v>0.3494512034046483</v>
      </c>
      <c r="BL600" s="29">
        <v>0</v>
      </c>
      <c r="BN600" s="22">
        <v>45145</v>
      </c>
      <c r="BO600" s="26">
        <f t="shared" ca="1" si="102"/>
        <v>0.96810879878455103</v>
      </c>
      <c r="BP600" s="29">
        <v>0</v>
      </c>
      <c r="BR600" s="22">
        <v>45145</v>
      </c>
      <c r="BS600" s="26">
        <f t="shared" ca="1" si="103"/>
        <v>0.4322772692978577</v>
      </c>
      <c r="BT600" s="29">
        <v>0</v>
      </c>
      <c r="BV600" s="22">
        <v>45145</v>
      </c>
      <c r="BW600" s="26">
        <f t="shared" ca="1" si="104"/>
        <v>0.57553369629624906</v>
      </c>
      <c r="BX600" s="29">
        <v>0</v>
      </c>
    </row>
    <row r="601" spans="2:77" ht="12.75" x14ac:dyDescent="0.2">
      <c r="B601" s="22">
        <v>45146</v>
      </c>
      <c r="C601" s="26">
        <f t="shared" ca="1" si="68"/>
        <v>0.78651374955861397</v>
      </c>
      <c r="D601" s="29">
        <v>0</v>
      </c>
      <c r="F601" s="22">
        <v>45146</v>
      </c>
      <c r="G601" s="26">
        <f t="shared" ca="1" si="88"/>
        <v>0.66824670854685575</v>
      </c>
      <c r="H601" s="29">
        <v>0</v>
      </c>
      <c r="J601" s="22">
        <v>45146</v>
      </c>
      <c r="K601" s="26">
        <f t="shared" ca="1" si="89"/>
        <v>0.71265025204855093</v>
      </c>
      <c r="L601" s="29">
        <v>0</v>
      </c>
      <c r="N601" s="22">
        <v>45146</v>
      </c>
      <c r="O601" s="26">
        <f t="shared" ca="1" si="90"/>
        <v>0.50855630417551334</v>
      </c>
      <c r="P601" s="29">
        <v>0</v>
      </c>
      <c r="R601" s="22">
        <v>45146</v>
      </c>
      <c r="S601" s="26">
        <f t="shared" ca="1" si="91"/>
        <v>0.90157516156323081</v>
      </c>
      <c r="T601" s="29">
        <v>0</v>
      </c>
      <c r="V601" s="22">
        <v>45146</v>
      </c>
      <c r="W601" s="26">
        <f t="shared" ca="1" si="92"/>
        <v>0.78280240621779529</v>
      </c>
      <c r="X601" s="29">
        <v>0</v>
      </c>
      <c r="Z601" s="22">
        <v>45146</v>
      </c>
      <c r="AA601" s="26">
        <f t="shared" ca="1" si="93"/>
        <v>0.63121281599619217</v>
      </c>
      <c r="AB601" s="29">
        <v>0</v>
      </c>
      <c r="AC601"/>
      <c r="AD601" s="25"/>
      <c r="AF601" s="22">
        <v>45146</v>
      </c>
      <c r="AG601" s="26">
        <f t="shared" ca="1" si="94"/>
        <v>0.8432090686419792</v>
      </c>
      <c r="AH601" s="29">
        <v>0</v>
      </c>
      <c r="AJ601" s="22">
        <v>45146</v>
      </c>
      <c r="AK601" s="26">
        <f t="shared" ca="1" si="95"/>
        <v>0.51574490381089699</v>
      </c>
      <c r="AL601" s="29">
        <v>0</v>
      </c>
      <c r="AN601" s="22">
        <v>45146</v>
      </c>
      <c r="AO601" s="26">
        <f t="shared" ca="1" si="96"/>
        <v>0.13332524303101334</v>
      </c>
      <c r="AP601" s="29">
        <v>0</v>
      </c>
      <c r="AR601" s="22">
        <v>45146</v>
      </c>
      <c r="AS601" s="26">
        <f t="shared" ca="1" si="97"/>
        <v>0.57755405942649973</v>
      </c>
      <c r="AT601" s="29">
        <v>0</v>
      </c>
      <c r="AV601" s="22">
        <v>45146</v>
      </c>
      <c r="AW601" s="26">
        <f t="shared" ca="1" si="98"/>
        <v>0.13852837999292511</v>
      </c>
      <c r="AX601" s="29">
        <v>0</v>
      </c>
      <c r="AZ601" s="22">
        <v>45146</v>
      </c>
      <c r="BA601" s="26">
        <f t="shared" ca="1" si="99"/>
        <v>0.17577584796534351</v>
      </c>
      <c r="BB601" s="29">
        <v>0</v>
      </c>
      <c r="BC601"/>
      <c r="BD601" s="25"/>
      <c r="BF601" s="22">
        <v>45146</v>
      </c>
      <c r="BG601" s="26">
        <f t="shared" ca="1" si="100"/>
        <v>0.48154023175634497</v>
      </c>
      <c r="BH601" s="29">
        <v>0</v>
      </c>
      <c r="BJ601" s="22">
        <v>45146</v>
      </c>
      <c r="BK601" s="26">
        <f t="shared" ca="1" si="101"/>
        <v>0.81848839245321503</v>
      </c>
      <c r="BL601" s="29">
        <v>0</v>
      </c>
      <c r="BN601" s="22">
        <v>45146</v>
      </c>
      <c r="BO601" s="26">
        <f t="shared" ca="1" si="102"/>
        <v>0.5766844087621783</v>
      </c>
      <c r="BP601" s="29">
        <v>0</v>
      </c>
      <c r="BR601" s="22">
        <v>45146</v>
      </c>
      <c r="BS601" s="26">
        <f t="shared" ca="1" si="103"/>
        <v>0.24583458866526953</v>
      </c>
      <c r="BT601" s="29">
        <v>0</v>
      </c>
      <c r="BV601" s="22">
        <v>45146</v>
      </c>
      <c r="BW601" s="26">
        <f t="shared" ca="1" si="104"/>
        <v>0.21759936527326351</v>
      </c>
      <c r="BX601" s="29">
        <v>0</v>
      </c>
    </row>
    <row r="602" spans="2:77" ht="12.75" x14ac:dyDescent="0.2">
      <c r="B602" s="22">
        <v>45147</v>
      </c>
      <c r="C602" s="26">
        <f t="shared" ca="1" si="68"/>
        <v>0.86339087540817361</v>
      </c>
      <c r="D602" s="29">
        <v>0</v>
      </c>
      <c r="F602" s="22">
        <v>45147</v>
      </c>
      <c r="G602" s="26">
        <f t="shared" ca="1" si="88"/>
        <v>0.3742022585404805</v>
      </c>
      <c r="H602" s="29">
        <v>0</v>
      </c>
      <c r="J602" s="22">
        <v>45147</v>
      </c>
      <c r="K602" s="26">
        <f t="shared" ca="1" si="89"/>
        <v>0.8734979485073302</v>
      </c>
      <c r="L602" s="29">
        <v>0</v>
      </c>
      <c r="N602" s="22">
        <v>45147</v>
      </c>
      <c r="O602" s="26">
        <f t="shared" ca="1" si="90"/>
        <v>0.52490383448956157</v>
      </c>
      <c r="P602" s="29">
        <v>0</v>
      </c>
      <c r="R602" s="22">
        <v>45147</v>
      </c>
      <c r="S602" s="26">
        <f t="shared" ca="1" si="91"/>
        <v>0.19332285573554631</v>
      </c>
      <c r="T602" s="29">
        <v>0</v>
      </c>
      <c r="V602" s="22">
        <v>45147</v>
      </c>
      <c r="W602" s="26">
        <f t="shared" ca="1" si="92"/>
        <v>0.48562553644441597</v>
      </c>
      <c r="X602" s="29">
        <v>0</v>
      </c>
      <c r="Z602" s="22">
        <v>45147</v>
      </c>
      <c r="AA602" s="26">
        <f t="shared" ca="1" si="93"/>
        <v>0.86090750392110538</v>
      </c>
      <c r="AB602" s="29">
        <v>0</v>
      </c>
      <c r="AC602"/>
      <c r="AD602" s="25"/>
      <c r="AF602" s="22">
        <v>45147</v>
      </c>
      <c r="AG602" s="26">
        <f t="shared" ca="1" si="94"/>
        <v>0.49045682358305476</v>
      </c>
      <c r="AH602" s="29">
        <v>0</v>
      </c>
      <c r="AJ602" s="22">
        <v>45147</v>
      </c>
      <c r="AK602" s="26">
        <f t="shared" ca="1" si="95"/>
        <v>0.22960967900384344</v>
      </c>
      <c r="AL602" s="29">
        <v>0</v>
      </c>
      <c r="AN602" s="22">
        <v>45147</v>
      </c>
      <c r="AO602" s="26">
        <f t="shared" ca="1" si="96"/>
        <v>0.94079328219071012</v>
      </c>
      <c r="AP602" s="29">
        <v>0</v>
      </c>
      <c r="AR602" s="22">
        <v>45147</v>
      </c>
      <c r="AS602" s="26">
        <f t="shared" ca="1" si="97"/>
        <v>0.96474880052180145</v>
      </c>
      <c r="AT602" s="29">
        <v>0</v>
      </c>
      <c r="AV602" s="22">
        <v>45147</v>
      </c>
      <c r="AW602" s="26">
        <f t="shared" ca="1" si="98"/>
        <v>0.56910056323433655</v>
      </c>
      <c r="AX602" s="29">
        <v>0</v>
      </c>
      <c r="AZ602" s="22">
        <v>45147</v>
      </c>
      <c r="BA602" s="26">
        <f t="shared" ca="1" si="99"/>
        <v>0.36714034785572802</v>
      </c>
      <c r="BB602" s="29">
        <v>0</v>
      </c>
      <c r="BC602"/>
      <c r="BD602" s="25"/>
      <c r="BF602" s="22">
        <v>45147</v>
      </c>
      <c r="BG602" s="26">
        <f t="shared" ca="1" si="100"/>
        <v>0.53177203220099722</v>
      </c>
      <c r="BH602" s="29">
        <v>0</v>
      </c>
      <c r="BJ602" s="22">
        <v>45147</v>
      </c>
      <c r="BK602" s="26">
        <f t="shared" ca="1" si="101"/>
        <v>0.64106821743416209</v>
      </c>
      <c r="BL602" s="29">
        <v>0</v>
      </c>
      <c r="BN602" s="22">
        <v>45147</v>
      </c>
      <c r="BO602" s="26">
        <f t="shared" ca="1" si="102"/>
        <v>0.76635288124270606</v>
      </c>
      <c r="BP602" s="29">
        <v>0</v>
      </c>
      <c r="BR602" s="22">
        <v>45147</v>
      </c>
      <c r="BS602" s="26">
        <f t="shared" ca="1" si="103"/>
        <v>0.73360719193379365</v>
      </c>
      <c r="BT602" s="29">
        <v>0</v>
      </c>
      <c r="BV602" s="22">
        <v>45147</v>
      </c>
      <c r="BW602" s="26">
        <f t="shared" ca="1" si="104"/>
        <v>0.1601006157262167</v>
      </c>
      <c r="BX602" s="29">
        <v>0</v>
      </c>
    </row>
    <row r="603" spans="2:77" ht="12.75" x14ac:dyDescent="0.2">
      <c r="B603" s="22">
        <v>45148</v>
      </c>
      <c r="C603" s="26">
        <f t="shared" ca="1" si="68"/>
        <v>0.60623367783395377</v>
      </c>
      <c r="D603" s="29">
        <v>0</v>
      </c>
      <c r="F603" s="22">
        <v>45148</v>
      </c>
      <c r="G603" s="26">
        <f t="shared" ca="1" si="88"/>
        <v>0.40899948429394817</v>
      </c>
      <c r="H603" s="29">
        <v>0</v>
      </c>
      <c r="J603" s="22">
        <v>45148</v>
      </c>
      <c r="K603" s="26">
        <f t="shared" ca="1" si="89"/>
        <v>3.0966168374962688E-2</v>
      </c>
      <c r="L603" s="29">
        <v>0</v>
      </c>
      <c r="N603" s="22">
        <v>45148</v>
      </c>
      <c r="O603" s="26">
        <f t="shared" ca="1" si="90"/>
        <v>0.83846220793556325</v>
      </c>
      <c r="P603" s="29">
        <v>0</v>
      </c>
      <c r="R603" s="22">
        <v>45148</v>
      </c>
      <c r="S603" s="26">
        <f t="shared" ca="1" si="91"/>
        <v>0.76237623917987574</v>
      </c>
      <c r="T603" s="29">
        <v>0</v>
      </c>
      <c r="V603" s="22">
        <v>45148</v>
      </c>
      <c r="W603" s="26">
        <f t="shared" ca="1" si="92"/>
        <v>0.89632291632297745</v>
      </c>
      <c r="X603" s="29">
        <v>0</v>
      </c>
      <c r="Z603" s="22">
        <v>45148</v>
      </c>
      <c r="AA603" s="26">
        <f t="shared" ca="1" si="93"/>
        <v>0.67874859805644228</v>
      </c>
      <c r="AB603" s="29">
        <v>0</v>
      </c>
      <c r="AC603"/>
      <c r="AD603" s="25"/>
      <c r="AF603" s="22">
        <v>45148</v>
      </c>
      <c r="AG603" s="26">
        <f t="shared" ca="1" si="94"/>
        <v>0.76617591202255919</v>
      </c>
      <c r="AH603" s="29">
        <v>0</v>
      </c>
      <c r="AJ603" s="22">
        <v>45148</v>
      </c>
      <c r="AK603" s="26">
        <f t="shared" ca="1" si="95"/>
        <v>0.36104063168078604</v>
      </c>
      <c r="AL603" s="29">
        <v>0</v>
      </c>
      <c r="AN603" s="22">
        <v>45148</v>
      </c>
      <c r="AO603" s="26">
        <f t="shared" ca="1" si="96"/>
        <v>0.96864787050646817</v>
      </c>
      <c r="AP603" s="29">
        <v>0</v>
      </c>
      <c r="AR603" s="22">
        <v>45148</v>
      </c>
      <c r="AS603" s="26">
        <f t="shared" ca="1" si="97"/>
        <v>0.70110643460669464</v>
      </c>
      <c r="AT603" s="29">
        <v>0</v>
      </c>
      <c r="AV603" s="22">
        <v>45148</v>
      </c>
      <c r="AW603" s="26">
        <f t="shared" ca="1" si="98"/>
        <v>0.96835304384568921</v>
      </c>
      <c r="AX603" s="29">
        <v>0</v>
      </c>
      <c r="AZ603" s="22">
        <v>45148</v>
      </c>
      <c r="BA603" s="26">
        <f t="shared" ca="1" si="99"/>
        <v>0.23159414844363824</v>
      </c>
      <c r="BB603" s="29">
        <v>0</v>
      </c>
      <c r="BC603"/>
      <c r="BD603" s="25"/>
      <c r="BF603" s="22">
        <v>45148</v>
      </c>
      <c r="BG603" s="26">
        <f t="shared" ca="1" si="100"/>
        <v>0.58567360743766839</v>
      </c>
      <c r="BH603" s="29">
        <v>0</v>
      </c>
      <c r="BJ603" s="22">
        <v>45148</v>
      </c>
      <c r="BK603" s="26">
        <f t="shared" ca="1" si="101"/>
        <v>0.54389651157847951</v>
      </c>
      <c r="BL603" s="29">
        <v>0</v>
      </c>
      <c r="BN603" s="22">
        <v>45148</v>
      </c>
      <c r="BO603" s="26">
        <f t="shared" ca="1" si="102"/>
        <v>0.11777742691209503</v>
      </c>
      <c r="BP603" s="29">
        <v>0</v>
      </c>
      <c r="BR603" s="22">
        <v>45148</v>
      </c>
      <c r="BS603" s="26">
        <f t="shared" ca="1" si="103"/>
        <v>0.88750353749551758</v>
      </c>
      <c r="BT603" s="29">
        <v>0</v>
      </c>
      <c r="BV603" s="22">
        <v>45148</v>
      </c>
      <c r="BW603" s="26">
        <f t="shared" ca="1" si="104"/>
        <v>0.30973154341140652</v>
      </c>
      <c r="BX603" s="29">
        <v>0</v>
      </c>
    </row>
    <row r="604" spans="2:77" ht="12.75" x14ac:dyDescent="0.2">
      <c r="B604" s="22">
        <v>45149</v>
      </c>
      <c r="C604" s="26">
        <f t="shared" ca="1" si="68"/>
        <v>0.48252681167840328</v>
      </c>
      <c r="D604" s="29">
        <v>0</v>
      </c>
      <c r="F604" s="22">
        <v>45149</v>
      </c>
      <c r="G604" s="26">
        <f t="shared" ca="1" si="88"/>
        <v>0.85845425606882952</v>
      </c>
      <c r="H604" s="29">
        <v>0</v>
      </c>
      <c r="J604" s="22">
        <v>45149</v>
      </c>
      <c r="K604" s="26">
        <f t="shared" ca="1" si="89"/>
        <v>0.30521782309348211</v>
      </c>
      <c r="L604" s="29">
        <v>0</v>
      </c>
      <c r="N604" s="22">
        <v>45149</v>
      </c>
      <c r="O604" s="26">
        <f t="shared" ca="1" si="90"/>
        <v>0.77633541924946348</v>
      </c>
      <c r="P604" s="29">
        <v>0</v>
      </c>
      <c r="R604" s="22">
        <v>45149</v>
      </c>
      <c r="S604" s="26">
        <f t="shared" ca="1" si="91"/>
        <v>0.22058349551638778</v>
      </c>
      <c r="T604" s="29">
        <v>0</v>
      </c>
      <c r="V604" s="22">
        <v>45149</v>
      </c>
      <c r="W604" s="26">
        <f t="shared" ca="1" si="92"/>
        <v>0.37189992164632435</v>
      </c>
      <c r="X604" s="29">
        <v>0</v>
      </c>
      <c r="Z604" s="22">
        <v>45149</v>
      </c>
      <c r="AA604" s="26">
        <f t="shared" ca="1" si="93"/>
        <v>0.24740904382950124</v>
      </c>
      <c r="AB604" s="29">
        <v>0</v>
      </c>
      <c r="AC604"/>
      <c r="AD604" s="25"/>
      <c r="AF604" s="22">
        <v>45149</v>
      </c>
      <c r="AG604" s="26">
        <f t="shared" ca="1" si="94"/>
        <v>0.44781402862067343</v>
      </c>
      <c r="AH604" s="29">
        <v>0</v>
      </c>
      <c r="AJ604" s="22">
        <v>45149</v>
      </c>
      <c r="AK604" s="26">
        <f t="shared" ca="1" si="95"/>
        <v>0.96521059334297143</v>
      </c>
      <c r="AL604" s="29">
        <v>0</v>
      </c>
      <c r="AN604" s="22">
        <v>45149</v>
      </c>
      <c r="AO604" s="26">
        <f t="shared" ca="1" si="96"/>
        <v>0.600683121563372</v>
      </c>
      <c r="AP604" s="29">
        <v>0</v>
      </c>
      <c r="AR604" s="22">
        <v>45149</v>
      </c>
      <c r="AS604" s="26">
        <f t="shared" ca="1" si="97"/>
        <v>0.85603958447203743</v>
      </c>
      <c r="AT604" s="29">
        <v>0</v>
      </c>
      <c r="AV604" s="22">
        <v>45149</v>
      </c>
      <c r="AW604" s="26">
        <f t="shared" ca="1" si="98"/>
        <v>0.4436458652222508</v>
      </c>
      <c r="AX604" s="29">
        <v>0</v>
      </c>
      <c r="AZ604" s="22">
        <v>45149</v>
      </c>
      <c r="BA604" s="26">
        <f t="shared" ca="1" si="99"/>
        <v>0.41987647626852576</v>
      </c>
      <c r="BB604" s="29">
        <v>0</v>
      </c>
      <c r="BC604"/>
      <c r="BD604" s="25"/>
      <c r="BF604" s="22">
        <v>45149</v>
      </c>
      <c r="BG604" s="26">
        <f t="shared" ca="1" si="100"/>
        <v>0.57469933948343466</v>
      </c>
      <c r="BH604" s="29">
        <v>0</v>
      </c>
      <c r="BJ604" s="22">
        <v>45149</v>
      </c>
      <c r="BK604" s="26">
        <f t="shared" ca="1" si="101"/>
        <v>0.93144299138938669</v>
      </c>
      <c r="BL604" s="29">
        <v>0</v>
      </c>
      <c r="BN604" s="22">
        <v>45149</v>
      </c>
      <c r="BO604" s="26">
        <f t="shared" ca="1" si="102"/>
        <v>0.68155346754016799</v>
      </c>
      <c r="BP604" s="29">
        <v>0</v>
      </c>
      <c r="BR604" s="22">
        <v>45149</v>
      </c>
      <c r="BS604" s="26">
        <f t="shared" ca="1" si="103"/>
        <v>0.45215533725174017</v>
      </c>
      <c r="BT604" s="29">
        <v>0</v>
      </c>
      <c r="BV604" s="22">
        <v>45149</v>
      </c>
      <c r="BW604" s="26">
        <f t="shared" ca="1" si="104"/>
        <v>0.23368728122690263</v>
      </c>
      <c r="BX604" s="29">
        <v>0</v>
      </c>
    </row>
    <row r="605" spans="2:77" ht="12.75" x14ac:dyDescent="0.2">
      <c r="B605" s="22">
        <v>45150</v>
      </c>
      <c r="C605" s="26">
        <f t="shared" ca="1" si="68"/>
        <v>0.73873791747674555</v>
      </c>
      <c r="D605" s="29">
        <v>0</v>
      </c>
      <c r="F605" s="22">
        <v>45150</v>
      </c>
      <c r="G605" s="26">
        <f t="shared" ca="1" si="88"/>
        <v>0.25581781176989249</v>
      </c>
      <c r="H605" s="29">
        <v>0</v>
      </c>
      <c r="J605" s="22">
        <v>45150</v>
      </c>
      <c r="K605" s="26">
        <f t="shared" ca="1" si="89"/>
        <v>0.91623797267309648</v>
      </c>
      <c r="L605" s="29">
        <v>0</v>
      </c>
      <c r="N605" s="22">
        <v>45150</v>
      </c>
      <c r="O605" s="26">
        <f t="shared" ca="1" si="90"/>
        <v>0.94471714173607224</v>
      </c>
      <c r="P605" s="29">
        <v>0</v>
      </c>
      <c r="R605" s="22">
        <v>45150</v>
      </c>
      <c r="S605" s="26">
        <f t="shared" ca="1" si="91"/>
        <v>0.14886501458507628</v>
      </c>
      <c r="T605" s="29">
        <v>0</v>
      </c>
      <c r="V605" s="22">
        <v>45150</v>
      </c>
      <c r="W605" s="26">
        <f t="shared" ca="1" si="92"/>
        <v>0.71405621879820813</v>
      </c>
      <c r="X605" s="29">
        <v>0</v>
      </c>
      <c r="Z605" s="22">
        <v>45150</v>
      </c>
      <c r="AA605" s="26">
        <f t="shared" ca="1" si="93"/>
        <v>0.35338773042714167</v>
      </c>
      <c r="AB605" s="29">
        <v>0</v>
      </c>
      <c r="AC605"/>
      <c r="AD605" s="25"/>
      <c r="AF605" s="22">
        <v>45150</v>
      </c>
      <c r="AG605" s="26">
        <f t="shared" ca="1" si="94"/>
        <v>4.4565036914989808E-2</v>
      </c>
      <c r="AH605" s="29">
        <v>0</v>
      </c>
      <c r="AJ605" s="22">
        <v>45150</v>
      </c>
      <c r="AK605" s="26">
        <f t="shared" ca="1" si="95"/>
        <v>0.43191930556875957</v>
      </c>
      <c r="AL605" s="29">
        <v>0</v>
      </c>
      <c r="AN605" s="22">
        <v>45150</v>
      </c>
      <c r="AO605" s="26">
        <f t="shared" ca="1" si="96"/>
        <v>0.44966861788290835</v>
      </c>
      <c r="AP605" s="29">
        <v>0</v>
      </c>
      <c r="AR605" s="22">
        <v>45150</v>
      </c>
      <c r="AS605" s="26">
        <f t="shared" ca="1" si="97"/>
        <v>0.41354637223917745</v>
      </c>
      <c r="AT605" s="29">
        <v>0</v>
      </c>
      <c r="AV605" s="22">
        <v>45150</v>
      </c>
      <c r="AW605" s="26">
        <f t="shared" ca="1" si="98"/>
        <v>0.553141595326472</v>
      </c>
      <c r="AX605" s="29">
        <v>0</v>
      </c>
      <c r="AZ605" s="22">
        <v>45150</v>
      </c>
      <c r="BA605" s="26">
        <f t="shared" ca="1" si="99"/>
        <v>0.755414688863143</v>
      </c>
      <c r="BB605" s="29">
        <v>0</v>
      </c>
      <c r="BC605"/>
      <c r="BD605" s="25"/>
      <c r="BF605" s="22">
        <v>45150</v>
      </c>
      <c r="BG605" s="26">
        <f t="shared" ca="1" si="100"/>
        <v>0.52027246472206123</v>
      </c>
      <c r="BH605" s="29">
        <v>0</v>
      </c>
      <c r="BJ605" s="22">
        <v>45150</v>
      </c>
      <c r="BK605" s="26">
        <f t="shared" ca="1" si="101"/>
        <v>0.80494584532936797</v>
      </c>
      <c r="BL605" s="29">
        <v>0</v>
      </c>
      <c r="BN605" s="22">
        <v>45150</v>
      </c>
      <c r="BO605" s="26">
        <f t="shared" ca="1" si="102"/>
        <v>0.26156602191370026</v>
      </c>
      <c r="BP605" s="29">
        <v>0</v>
      </c>
      <c r="BR605" s="22">
        <v>45150</v>
      </c>
      <c r="BS605" s="26">
        <f t="shared" ca="1" si="103"/>
        <v>0.10212845795656156</v>
      </c>
      <c r="BT605" s="29">
        <v>0</v>
      </c>
      <c r="BV605" s="22">
        <v>45150</v>
      </c>
      <c r="BW605" s="26">
        <f t="shared" ca="1" si="104"/>
        <v>0.36514994265374801</v>
      </c>
      <c r="BX605" s="29">
        <v>0</v>
      </c>
    </row>
    <row r="606" spans="2:77" ht="12.75" x14ac:dyDescent="0.2">
      <c r="B606" s="22">
        <v>45151</v>
      </c>
      <c r="C606" s="26">
        <f t="shared" ca="1" si="68"/>
        <v>0.67291076636818614</v>
      </c>
      <c r="D606" s="29">
        <v>0</v>
      </c>
      <c r="F606" s="22">
        <v>45151</v>
      </c>
      <c r="G606" s="26">
        <f t="shared" ca="1" si="88"/>
        <v>0.29975065290137859</v>
      </c>
      <c r="H606" s="29">
        <v>0</v>
      </c>
      <c r="J606" s="22">
        <v>45151</v>
      </c>
      <c r="K606" s="26">
        <f t="shared" ca="1" si="89"/>
        <v>0.13182269337578378</v>
      </c>
      <c r="L606" s="29">
        <v>0</v>
      </c>
      <c r="N606" s="22">
        <v>45151</v>
      </c>
      <c r="O606" s="26">
        <f t="shared" ca="1" si="90"/>
        <v>0.85559437433140861</v>
      </c>
      <c r="P606" s="29">
        <v>0</v>
      </c>
      <c r="R606" s="22">
        <v>45151</v>
      </c>
      <c r="S606" s="26">
        <f t="shared" ca="1" si="91"/>
        <v>0.77801233454487528</v>
      </c>
      <c r="T606" s="29">
        <v>0</v>
      </c>
      <c r="V606" s="22">
        <v>45151</v>
      </c>
      <c r="W606" s="26">
        <f t="shared" ca="1" si="92"/>
        <v>2.7389829068104166E-2</v>
      </c>
      <c r="X606" s="29">
        <v>0</v>
      </c>
      <c r="Z606" s="22">
        <v>45151</v>
      </c>
      <c r="AA606" s="26">
        <f t="shared" ca="1" si="93"/>
        <v>0.61164414987839089</v>
      </c>
      <c r="AB606" s="29">
        <v>0</v>
      </c>
      <c r="AC606"/>
      <c r="AD606" s="25"/>
      <c r="AF606" s="22">
        <v>45151</v>
      </c>
      <c r="AG606" s="26">
        <f t="shared" ca="1" si="94"/>
        <v>0.76919505959410461</v>
      </c>
      <c r="AH606" s="29">
        <v>0</v>
      </c>
      <c r="AJ606" s="22">
        <v>45151</v>
      </c>
      <c r="AK606" s="26">
        <f t="shared" ca="1" si="95"/>
        <v>0.39173259204454169</v>
      </c>
      <c r="AL606" s="29">
        <v>0</v>
      </c>
      <c r="AN606" s="22">
        <v>45151</v>
      </c>
      <c r="AO606" s="26">
        <f t="shared" ca="1" si="96"/>
        <v>0.77009897644912861</v>
      </c>
      <c r="AP606" s="29">
        <v>0</v>
      </c>
      <c r="AR606" s="22">
        <v>45151</v>
      </c>
      <c r="AS606" s="26">
        <f t="shared" ca="1" si="97"/>
        <v>0.43746471401445841</v>
      </c>
      <c r="AT606" s="29">
        <v>0</v>
      </c>
      <c r="AV606" s="22">
        <v>45151</v>
      </c>
      <c r="AW606" s="26">
        <f t="shared" ca="1" si="98"/>
        <v>0.39627412332089818</v>
      </c>
      <c r="AX606" s="29">
        <v>0</v>
      </c>
      <c r="AZ606" s="22">
        <v>45151</v>
      </c>
      <c r="BA606" s="26">
        <f t="shared" ca="1" si="99"/>
        <v>0.51599747371789551</v>
      </c>
      <c r="BB606" s="29">
        <v>0</v>
      </c>
      <c r="BC606"/>
      <c r="BD606" s="25"/>
      <c r="BF606" s="22">
        <v>45151</v>
      </c>
      <c r="BG606" s="26">
        <f t="shared" ca="1" si="100"/>
        <v>0.57156557325468993</v>
      </c>
      <c r="BH606" s="29">
        <v>0</v>
      </c>
      <c r="BJ606" s="22">
        <v>45151</v>
      </c>
      <c r="BK606" s="26">
        <f t="shared" ca="1" si="101"/>
        <v>0.91170150677537476</v>
      </c>
      <c r="BL606" s="29">
        <v>0</v>
      </c>
      <c r="BN606" s="22">
        <v>45151</v>
      </c>
      <c r="BO606" s="26">
        <f t="shared" ca="1" si="102"/>
        <v>0.18830002946130742</v>
      </c>
      <c r="BP606" s="29">
        <v>0</v>
      </c>
      <c r="BR606" s="22">
        <v>45151</v>
      </c>
      <c r="BS606" s="26">
        <f t="shared" ca="1" si="103"/>
        <v>0.4158309806411471</v>
      </c>
      <c r="BT606" s="29">
        <v>0</v>
      </c>
      <c r="BV606" s="22">
        <v>45151</v>
      </c>
      <c r="BW606" s="26">
        <f t="shared" ca="1" si="104"/>
        <v>0.52294607292674511</v>
      </c>
      <c r="BX606" s="29">
        <v>0</v>
      </c>
    </row>
    <row r="607" spans="2:77" ht="12.75" x14ac:dyDescent="0.2">
      <c r="B607" s="22">
        <v>45152</v>
      </c>
      <c r="C607" s="26">
        <f t="shared" ca="1" si="68"/>
        <v>0.85810875214615989</v>
      </c>
      <c r="D607" s="29">
        <v>0</v>
      </c>
      <c r="F607" s="22">
        <v>45152</v>
      </c>
      <c r="G607" s="26">
        <f t="shared" ca="1" si="88"/>
        <v>0.7572022128130409</v>
      </c>
      <c r="H607" s="29">
        <v>0</v>
      </c>
      <c r="J607" s="22">
        <v>45152</v>
      </c>
      <c r="K607" s="26">
        <f t="shared" ca="1" si="89"/>
        <v>0.63657204361749598</v>
      </c>
      <c r="L607" s="29">
        <v>0</v>
      </c>
      <c r="N607" s="22">
        <v>45152</v>
      </c>
      <c r="O607" s="26">
        <f t="shared" ca="1" si="90"/>
        <v>0.23117882832980097</v>
      </c>
      <c r="P607" s="29">
        <v>0</v>
      </c>
      <c r="R607" s="22">
        <v>45152</v>
      </c>
      <c r="S607" s="26">
        <f t="shared" ca="1" si="91"/>
        <v>0.400723198145431</v>
      </c>
      <c r="T607" s="29">
        <v>0</v>
      </c>
      <c r="V607" s="22">
        <v>45152</v>
      </c>
      <c r="W607" s="26">
        <f t="shared" ca="1" si="92"/>
        <v>0.43218859669743637</v>
      </c>
      <c r="X607" s="29">
        <v>0</v>
      </c>
      <c r="Z607" s="22">
        <v>45152</v>
      </c>
      <c r="AA607" s="26">
        <f t="shared" ca="1" si="93"/>
        <v>1.6594443981570839E-2</v>
      </c>
      <c r="AB607" s="29">
        <v>0</v>
      </c>
      <c r="AC607"/>
      <c r="AD607" s="25"/>
      <c r="AF607" s="22">
        <v>45152</v>
      </c>
      <c r="AG607" s="26">
        <f t="shared" ca="1" si="94"/>
        <v>0.33701026999759343</v>
      </c>
      <c r="AH607" s="29">
        <v>0</v>
      </c>
      <c r="AJ607" s="22">
        <v>45152</v>
      </c>
      <c r="AK607" s="26">
        <f t="shared" ca="1" si="95"/>
        <v>0.93922301034047717</v>
      </c>
      <c r="AL607" s="29">
        <v>0</v>
      </c>
      <c r="AN607" s="22">
        <v>45152</v>
      </c>
      <c r="AO607" s="26">
        <f t="shared" ca="1" si="96"/>
        <v>0.34140851147414608</v>
      </c>
      <c r="AP607" s="29">
        <v>0</v>
      </c>
      <c r="AR607" s="22">
        <v>45152</v>
      </c>
      <c r="AS607" s="26">
        <f t="shared" ca="1" si="97"/>
        <v>0.76633077655308612</v>
      </c>
      <c r="AT607" s="29">
        <v>0</v>
      </c>
      <c r="AV607" s="22">
        <v>45152</v>
      </c>
      <c r="AW607" s="26">
        <f t="shared" ca="1" si="98"/>
        <v>0.80477241885158535</v>
      </c>
      <c r="AX607" s="29">
        <v>0</v>
      </c>
      <c r="AZ607" s="22">
        <v>45152</v>
      </c>
      <c r="BA607" s="26">
        <f t="shared" ca="1" si="99"/>
        <v>0.43479412197156775</v>
      </c>
      <c r="BB607" s="29">
        <v>0</v>
      </c>
      <c r="BC607"/>
      <c r="BD607" s="25"/>
      <c r="BF607" s="22">
        <v>45152</v>
      </c>
      <c r="BG607" s="26">
        <f t="shared" ca="1" si="100"/>
        <v>0.10532062828189581</v>
      </c>
      <c r="BH607" s="29">
        <v>0</v>
      </c>
      <c r="BJ607" s="22">
        <v>45152</v>
      </c>
      <c r="BK607" s="26">
        <f t="shared" ca="1" si="101"/>
        <v>0.94735520012318153</v>
      </c>
      <c r="BL607" s="29">
        <v>0</v>
      </c>
      <c r="BN607" s="22">
        <v>45152</v>
      </c>
      <c r="BO607" s="26">
        <f t="shared" ca="1" si="102"/>
        <v>0.53641635426247447</v>
      </c>
      <c r="BP607" s="29">
        <v>0</v>
      </c>
      <c r="BR607" s="22">
        <v>45152</v>
      </c>
      <c r="BS607" s="26">
        <f t="shared" ca="1" si="103"/>
        <v>0.64879323202976191</v>
      </c>
      <c r="BT607" s="29">
        <v>0</v>
      </c>
      <c r="BV607" s="22">
        <v>45152</v>
      </c>
      <c r="BW607" s="26">
        <f t="shared" ca="1" si="104"/>
        <v>0.10057092987942817</v>
      </c>
      <c r="BX607" s="29">
        <v>0</v>
      </c>
    </row>
    <row r="608" spans="2:77" ht="12.75" x14ac:dyDescent="0.2">
      <c r="B608" s="22">
        <v>45153</v>
      </c>
      <c r="C608" s="26">
        <f t="shared" ca="1" si="68"/>
        <v>0.5311448220673477</v>
      </c>
      <c r="D608" s="29">
        <v>0</v>
      </c>
      <c r="F608" s="22">
        <v>45153</v>
      </c>
      <c r="G608" s="26">
        <f t="shared" ca="1" si="88"/>
        <v>0.24586970038816858</v>
      </c>
      <c r="H608" s="29">
        <v>0</v>
      </c>
      <c r="J608" s="22">
        <v>45153</v>
      </c>
      <c r="K608" s="26">
        <f t="shared" ca="1" si="89"/>
        <v>0.71953127766740921</v>
      </c>
      <c r="L608" s="29">
        <v>0</v>
      </c>
      <c r="N608" s="22">
        <v>45153</v>
      </c>
      <c r="O608" s="26">
        <f t="shared" ca="1" si="90"/>
        <v>0.31409135849037717</v>
      </c>
      <c r="P608" s="29">
        <v>0</v>
      </c>
      <c r="R608" s="22">
        <v>45153</v>
      </c>
      <c r="S608" s="26">
        <f t="shared" ca="1" si="91"/>
        <v>0.3403774864295217</v>
      </c>
      <c r="T608" s="29">
        <v>0</v>
      </c>
      <c r="V608" s="22">
        <v>45153</v>
      </c>
      <c r="W608" s="26">
        <f t="shared" ca="1" si="92"/>
        <v>0.26833523669168757</v>
      </c>
      <c r="X608" s="29">
        <v>0</v>
      </c>
      <c r="Z608" s="22">
        <v>45153</v>
      </c>
      <c r="AA608" s="26">
        <f t="shared" ca="1" si="93"/>
        <v>0.57601605334158434</v>
      </c>
      <c r="AB608" s="29">
        <v>0</v>
      </c>
      <c r="AC608"/>
      <c r="AD608" s="25"/>
      <c r="AF608" s="22">
        <v>45153</v>
      </c>
      <c r="AG608" s="26">
        <f t="shared" ca="1" si="94"/>
        <v>0.44054390257587406</v>
      </c>
      <c r="AH608" s="29">
        <v>0</v>
      </c>
      <c r="AJ608" s="22">
        <v>45153</v>
      </c>
      <c r="AK608" s="26">
        <f t="shared" ca="1" si="95"/>
        <v>0.80188515410928352</v>
      </c>
      <c r="AL608" s="29">
        <v>0</v>
      </c>
      <c r="AN608" s="22">
        <v>45153</v>
      </c>
      <c r="AO608" s="26">
        <f t="shared" ca="1" si="96"/>
        <v>0.12208030241371104</v>
      </c>
      <c r="AP608" s="29">
        <v>0</v>
      </c>
      <c r="AR608" s="22">
        <v>45153</v>
      </c>
      <c r="AS608" s="26">
        <f t="shared" ca="1" si="97"/>
        <v>0.13418475784843942</v>
      </c>
      <c r="AT608" s="29">
        <v>0</v>
      </c>
      <c r="AV608" s="22">
        <v>45153</v>
      </c>
      <c r="AW608" s="26">
        <f t="shared" ca="1" si="98"/>
        <v>0.86431183670762735</v>
      </c>
      <c r="AX608" s="29">
        <v>0</v>
      </c>
      <c r="AZ608" s="22">
        <v>45153</v>
      </c>
      <c r="BA608" s="26">
        <f t="shared" ca="1" si="99"/>
        <v>0.65183085294831333</v>
      </c>
      <c r="BB608" s="29">
        <v>0</v>
      </c>
      <c r="BC608"/>
      <c r="BD608" s="25"/>
      <c r="BF608" s="22">
        <v>45153</v>
      </c>
      <c r="BG608" s="26">
        <f t="shared" ca="1" si="100"/>
        <v>0.50149668452778617</v>
      </c>
      <c r="BH608" s="29">
        <v>0</v>
      </c>
      <c r="BJ608" s="22">
        <v>45153</v>
      </c>
      <c r="BK608" s="26">
        <f t="shared" ca="1" si="101"/>
        <v>0.47941367510911415</v>
      </c>
      <c r="BL608" s="29">
        <v>0</v>
      </c>
      <c r="BN608" s="22">
        <v>45153</v>
      </c>
      <c r="BO608" s="26">
        <f t="shared" ca="1" si="102"/>
        <v>0.35368770220212897</v>
      </c>
      <c r="BP608" s="29">
        <v>0</v>
      </c>
      <c r="BR608" s="22">
        <v>45153</v>
      </c>
      <c r="BS608" s="26">
        <f t="shared" ca="1" si="103"/>
        <v>0.3298228700436755</v>
      </c>
      <c r="BT608" s="29">
        <v>0</v>
      </c>
      <c r="BV608" s="22">
        <v>45153</v>
      </c>
      <c r="BW608" s="26">
        <f t="shared" ca="1" si="104"/>
        <v>0.74547860177417624</v>
      </c>
      <c r="BX608" s="29">
        <v>0</v>
      </c>
    </row>
    <row r="609" spans="2:77" ht="12.75" x14ac:dyDescent="0.2">
      <c r="B609" s="22">
        <v>45154</v>
      </c>
      <c r="C609" s="26">
        <f t="shared" ca="1" si="68"/>
        <v>8.9450547306828554E-3</v>
      </c>
      <c r="D609" s="29">
        <v>0</v>
      </c>
      <c r="F609" s="22">
        <v>45154</v>
      </c>
      <c r="G609" s="26">
        <f t="shared" ca="1" si="88"/>
        <v>0.46034163175951515</v>
      </c>
      <c r="H609" s="29">
        <v>0</v>
      </c>
      <c r="J609" s="22">
        <v>45154</v>
      </c>
      <c r="K609" s="26">
        <f t="shared" ca="1" si="89"/>
        <v>0.29158020532316531</v>
      </c>
      <c r="L609" s="29">
        <v>0</v>
      </c>
      <c r="N609" s="22">
        <v>45154</v>
      </c>
      <c r="O609" s="26">
        <f t="shared" ca="1" si="90"/>
        <v>0.14916055471332912</v>
      </c>
      <c r="P609" s="29">
        <v>0</v>
      </c>
      <c r="R609" s="22">
        <v>45154</v>
      </c>
      <c r="S609" s="26">
        <f t="shared" ca="1" si="91"/>
        <v>3.1732084586848286E-2</v>
      </c>
      <c r="T609" s="29">
        <v>0</v>
      </c>
      <c r="V609" s="22">
        <v>45154</v>
      </c>
      <c r="W609" s="26">
        <f t="shared" ca="1" si="92"/>
        <v>0.22614203199508531</v>
      </c>
      <c r="X609" s="29">
        <v>0</v>
      </c>
      <c r="Z609" s="22">
        <v>45154</v>
      </c>
      <c r="AA609" s="26">
        <f t="shared" ca="1" si="93"/>
        <v>0.31476264697276091</v>
      </c>
      <c r="AB609" s="29">
        <v>0</v>
      </c>
      <c r="AC609"/>
      <c r="AD609" s="25"/>
      <c r="AF609" s="22">
        <v>45154</v>
      </c>
      <c r="AG609" s="26">
        <f t="shared" ca="1" si="94"/>
        <v>0.12096724639389977</v>
      </c>
      <c r="AH609" s="29">
        <v>0</v>
      </c>
      <c r="AJ609" s="22">
        <v>45154</v>
      </c>
      <c r="AK609" s="26">
        <f t="shared" ca="1" si="95"/>
        <v>0.73840020490334279</v>
      </c>
      <c r="AL609" s="29">
        <v>0</v>
      </c>
      <c r="AN609" s="22">
        <v>45154</v>
      </c>
      <c r="AO609" s="26">
        <f t="shared" ca="1" si="96"/>
        <v>0.26381328803751147</v>
      </c>
      <c r="AP609" s="29">
        <v>0</v>
      </c>
      <c r="AR609" s="22">
        <v>45154</v>
      </c>
      <c r="AS609" s="26">
        <f t="shared" ca="1" si="97"/>
        <v>0.89920475615962869</v>
      </c>
      <c r="AT609" s="29">
        <v>0</v>
      </c>
      <c r="AV609" s="22">
        <v>45154</v>
      </c>
      <c r="AW609" s="26">
        <f t="shared" ca="1" si="98"/>
        <v>0.65308858770146438</v>
      </c>
      <c r="AX609" s="29">
        <v>0</v>
      </c>
      <c r="AZ609" s="22">
        <v>45154</v>
      </c>
      <c r="BA609" s="26">
        <f t="shared" ca="1" si="99"/>
        <v>0.63998751351859373</v>
      </c>
      <c r="BB609" s="29">
        <v>0</v>
      </c>
      <c r="BC609"/>
      <c r="BD609" s="25"/>
      <c r="BF609" s="22">
        <v>45154</v>
      </c>
      <c r="BG609" s="26">
        <f t="shared" ca="1" si="100"/>
        <v>0.19245627160262813</v>
      </c>
      <c r="BH609" s="29">
        <v>0</v>
      </c>
      <c r="BJ609" s="22">
        <v>45154</v>
      </c>
      <c r="BK609" s="26">
        <f t="shared" ca="1" si="101"/>
        <v>0.80468285988603894</v>
      </c>
      <c r="BL609" s="29">
        <v>0</v>
      </c>
      <c r="BN609" s="22">
        <v>45154</v>
      </c>
      <c r="BO609" s="26">
        <f t="shared" ca="1" si="102"/>
        <v>0.86626932466680784</v>
      </c>
      <c r="BP609" s="29">
        <v>0</v>
      </c>
      <c r="BR609" s="22">
        <v>45154</v>
      </c>
      <c r="BS609" s="26">
        <f t="shared" ca="1" si="103"/>
        <v>0.62540210720333966</v>
      </c>
      <c r="BT609" s="29">
        <v>0</v>
      </c>
      <c r="BV609" s="22">
        <v>45154</v>
      </c>
      <c r="BW609" s="26">
        <f t="shared" ca="1" si="104"/>
        <v>0.74385439214800386</v>
      </c>
      <c r="BX609" s="29">
        <v>0</v>
      </c>
    </row>
    <row r="610" spans="2:77" ht="12.75" x14ac:dyDescent="0.2">
      <c r="B610" s="22">
        <v>45155</v>
      </c>
      <c r="C610" s="26">
        <f t="shared" ca="1" si="68"/>
        <v>0.75435970466918534</v>
      </c>
      <c r="D610" s="29">
        <v>0</v>
      </c>
      <c r="F610" s="22">
        <v>45155</v>
      </c>
      <c r="G610" s="26">
        <f t="shared" ca="1" si="88"/>
        <v>4.2949713116771981E-2</v>
      </c>
      <c r="H610" s="29">
        <v>0</v>
      </c>
      <c r="J610" s="22">
        <v>45155</v>
      </c>
      <c r="K610" s="26">
        <f t="shared" ca="1" si="89"/>
        <v>0.93826331476170832</v>
      </c>
      <c r="L610" s="29">
        <v>0</v>
      </c>
      <c r="N610" s="22">
        <v>45155</v>
      </c>
      <c r="O610" s="26">
        <f t="shared" ca="1" si="90"/>
        <v>0.69960253842752218</v>
      </c>
      <c r="P610" s="29">
        <v>0</v>
      </c>
      <c r="R610" s="22">
        <v>45155</v>
      </c>
      <c r="S610" s="26">
        <f t="shared" ca="1" si="91"/>
        <v>0.60638349308777928</v>
      </c>
      <c r="T610" s="29">
        <v>0</v>
      </c>
      <c r="V610" s="22">
        <v>45155</v>
      </c>
      <c r="W610" s="26">
        <f t="shared" ca="1" si="92"/>
        <v>0.96058215244556044</v>
      </c>
      <c r="X610" s="29">
        <v>0</v>
      </c>
      <c r="Z610" s="22">
        <v>45155</v>
      </c>
      <c r="AA610" s="26">
        <f t="shared" ca="1" si="93"/>
        <v>0.62795584015918782</v>
      </c>
      <c r="AB610" s="29">
        <v>0</v>
      </c>
      <c r="AC610"/>
      <c r="AD610" s="25"/>
      <c r="AF610" s="22">
        <v>45155</v>
      </c>
      <c r="AG610" s="26">
        <f t="shared" ca="1" si="94"/>
        <v>0.72034267259660045</v>
      </c>
      <c r="AH610" s="29">
        <v>0</v>
      </c>
      <c r="AJ610" s="22">
        <v>45155</v>
      </c>
      <c r="AK610" s="26">
        <f t="shared" ca="1" si="95"/>
        <v>0.48749055860053059</v>
      </c>
      <c r="AL610" s="29">
        <v>0</v>
      </c>
      <c r="AN610" s="22">
        <v>45155</v>
      </c>
      <c r="AO610" s="26">
        <f t="shared" ca="1" si="96"/>
        <v>0.35440911167466516</v>
      </c>
      <c r="AP610" s="29">
        <v>0</v>
      </c>
      <c r="AR610" s="22">
        <v>45155</v>
      </c>
      <c r="AS610" s="26">
        <f t="shared" ca="1" si="97"/>
        <v>0.42036263835770282</v>
      </c>
      <c r="AT610" s="29">
        <v>0</v>
      </c>
      <c r="AV610" s="22">
        <v>45155</v>
      </c>
      <c r="AW610" s="26">
        <f t="shared" ca="1" si="98"/>
        <v>0.13568621926245827</v>
      </c>
      <c r="AX610" s="29">
        <v>0</v>
      </c>
      <c r="AZ610" s="22">
        <v>45155</v>
      </c>
      <c r="BA610" s="26">
        <f t="shared" ca="1" si="99"/>
        <v>0.70155875353678887</v>
      </c>
      <c r="BB610" s="29">
        <v>0</v>
      </c>
      <c r="BC610"/>
      <c r="BD610" s="25"/>
      <c r="BF610" s="22">
        <v>45155</v>
      </c>
      <c r="BG610" s="26">
        <f t="shared" ca="1" si="100"/>
        <v>0.86399465129859176</v>
      </c>
      <c r="BH610" s="29">
        <v>0</v>
      </c>
      <c r="BJ610" s="22">
        <v>45155</v>
      </c>
      <c r="BK610" s="26">
        <f t="shared" ca="1" si="101"/>
        <v>1.7085551746505612E-2</v>
      </c>
      <c r="BL610" s="29">
        <v>0</v>
      </c>
      <c r="BN610" s="22">
        <v>45155</v>
      </c>
      <c r="BO610" s="26">
        <f t="shared" ca="1" si="102"/>
        <v>0.80611411926923737</v>
      </c>
      <c r="BP610" s="29">
        <v>0</v>
      </c>
      <c r="BR610" s="22">
        <v>45155</v>
      </c>
      <c r="BS610" s="26">
        <f t="shared" ca="1" si="103"/>
        <v>0.34158064183130055</v>
      </c>
      <c r="BT610" s="29">
        <v>0</v>
      </c>
      <c r="BV610" s="22">
        <v>45155</v>
      </c>
      <c r="BW610" s="26">
        <f t="shared" ca="1" si="104"/>
        <v>0.63859575333217033</v>
      </c>
      <c r="BX610" s="29">
        <v>0</v>
      </c>
    </row>
    <row r="611" spans="2:77" ht="12.75" x14ac:dyDescent="0.2">
      <c r="B611" s="22">
        <v>45156</v>
      </c>
      <c r="C611" s="26">
        <f t="shared" ca="1" si="68"/>
        <v>0.9702354656721266</v>
      </c>
      <c r="D611" s="29">
        <v>0</v>
      </c>
      <c r="F611" s="22">
        <v>45156</v>
      </c>
      <c r="G611" s="26">
        <f t="shared" ca="1" si="88"/>
        <v>0.31452151780191795</v>
      </c>
      <c r="H611" s="29">
        <v>0</v>
      </c>
      <c r="J611" s="22">
        <v>45156</v>
      </c>
      <c r="K611" s="26">
        <f t="shared" ca="1" si="89"/>
        <v>0.53314489174371194</v>
      </c>
      <c r="L611" s="29">
        <v>0</v>
      </c>
      <c r="N611" s="22">
        <v>45156</v>
      </c>
      <c r="O611" s="26">
        <f t="shared" ca="1" si="90"/>
        <v>0.7759450059521984</v>
      </c>
      <c r="P611" s="29">
        <v>0</v>
      </c>
      <c r="R611" s="22">
        <v>45156</v>
      </c>
      <c r="S611" s="26">
        <f t="shared" ca="1" si="91"/>
        <v>0.37810863029896613</v>
      </c>
      <c r="T611" s="29">
        <v>0</v>
      </c>
      <c r="V611" s="22">
        <v>45156</v>
      </c>
      <c r="W611" s="26">
        <f t="shared" ca="1" si="92"/>
        <v>0.94901180495843551</v>
      </c>
      <c r="X611" s="29">
        <v>0</v>
      </c>
      <c r="Z611" s="22">
        <v>45156</v>
      </c>
      <c r="AA611" s="26">
        <f t="shared" ca="1" si="93"/>
        <v>0.77361445093189996</v>
      </c>
      <c r="AB611" s="29">
        <v>0</v>
      </c>
      <c r="AC611"/>
      <c r="AD611" s="25"/>
      <c r="AF611" s="22">
        <v>45156</v>
      </c>
      <c r="AG611" s="26">
        <f t="shared" ca="1" si="94"/>
        <v>0.15799790234851563</v>
      </c>
      <c r="AH611" s="29">
        <v>0</v>
      </c>
      <c r="AJ611" s="22">
        <v>45156</v>
      </c>
      <c r="AK611" s="26">
        <f t="shared" ca="1" si="95"/>
        <v>0.65993448171071223</v>
      </c>
      <c r="AL611" s="29">
        <v>0</v>
      </c>
      <c r="AN611" s="22">
        <v>45156</v>
      </c>
      <c r="AO611" s="26">
        <f t="shared" ca="1" si="96"/>
        <v>0.63839137462453655</v>
      </c>
      <c r="AP611" s="29">
        <v>0</v>
      </c>
      <c r="AR611" s="22">
        <v>45156</v>
      </c>
      <c r="AS611" s="26">
        <f t="shared" ca="1" si="97"/>
        <v>0.70761771805602269</v>
      </c>
      <c r="AT611" s="29">
        <v>0</v>
      </c>
      <c r="AV611" s="22">
        <v>45156</v>
      </c>
      <c r="AW611" s="26">
        <f t="shared" ca="1" si="98"/>
        <v>0.54102671705897831</v>
      </c>
      <c r="AX611" s="29">
        <v>0</v>
      </c>
      <c r="AZ611" s="22">
        <v>45156</v>
      </c>
      <c r="BA611" s="26">
        <f t="shared" ca="1" si="99"/>
        <v>0.54010747884677446</v>
      </c>
      <c r="BB611" s="29">
        <v>0</v>
      </c>
      <c r="BC611"/>
      <c r="BD611" s="25"/>
      <c r="BF611" s="22">
        <v>45156</v>
      </c>
      <c r="BG611" s="26">
        <f t="shared" ca="1" si="100"/>
        <v>0.9781028667858358</v>
      </c>
      <c r="BH611" s="29">
        <v>0</v>
      </c>
      <c r="BJ611" s="22">
        <v>45156</v>
      </c>
      <c r="BK611" s="26">
        <f t="shared" ca="1" si="101"/>
        <v>0.44070137492112993</v>
      </c>
      <c r="BL611" s="29">
        <v>0</v>
      </c>
      <c r="BN611" s="22">
        <v>45156</v>
      </c>
      <c r="BO611" s="26">
        <f t="shared" ca="1" si="102"/>
        <v>0.8750992923712595</v>
      </c>
      <c r="BP611" s="29">
        <v>0</v>
      </c>
      <c r="BR611" s="22">
        <v>45156</v>
      </c>
      <c r="BS611" s="26">
        <f t="shared" ca="1" si="103"/>
        <v>0.59559542018216716</v>
      </c>
      <c r="BT611" s="29">
        <v>0</v>
      </c>
      <c r="BV611" s="22">
        <v>45156</v>
      </c>
      <c r="BW611" s="26">
        <f t="shared" ca="1" si="104"/>
        <v>0.87769783872227636</v>
      </c>
      <c r="BX611" s="29">
        <v>0</v>
      </c>
    </row>
    <row r="612" spans="2:77" ht="12.75" x14ac:dyDescent="0.2">
      <c r="B612" s="22">
        <v>45157</v>
      </c>
      <c r="C612" s="26">
        <f t="shared" ca="1" si="68"/>
        <v>0.16920164121263837</v>
      </c>
      <c r="D612" s="29">
        <v>0</v>
      </c>
      <c r="F612" s="22">
        <v>45157</v>
      </c>
      <c r="G612" s="26">
        <f t="shared" ca="1" si="88"/>
        <v>0.34788928668018892</v>
      </c>
      <c r="H612" s="29">
        <v>0</v>
      </c>
      <c r="J612" s="22">
        <v>45157</v>
      </c>
      <c r="K612" s="26">
        <f t="shared" ca="1" si="89"/>
        <v>0.19956956819279104</v>
      </c>
      <c r="L612" s="29">
        <v>0</v>
      </c>
      <c r="N612" s="22">
        <v>45157</v>
      </c>
      <c r="O612" s="26">
        <f t="shared" ca="1" si="90"/>
        <v>0.24674336080384707</v>
      </c>
      <c r="P612" s="29">
        <v>0</v>
      </c>
      <c r="R612" s="22">
        <v>45157</v>
      </c>
      <c r="S612" s="26">
        <f t="shared" ca="1" si="91"/>
        <v>0.77010109242482916</v>
      </c>
      <c r="T612" s="29">
        <v>0</v>
      </c>
      <c r="V612" s="22">
        <v>45157</v>
      </c>
      <c r="W612" s="26">
        <f t="shared" ca="1" si="92"/>
        <v>7.4686499812207874E-2</v>
      </c>
      <c r="X612" s="29">
        <v>0</v>
      </c>
      <c r="Z612" s="22">
        <v>45157</v>
      </c>
      <c r="AA612" s="26">
        <f t="shared" ca="1" si="93"/>
        <v>0.16616571799186208</v>
      </c>
      <c r="AB612" s="29">
        <v>0</v>
      </c>
      <c r="AC612"/>
      <c r="AD612" s="25"/>
      <c r="AF612" s="22">
        <v>45157</v>
      </c>
      <c r="AG612" s="26">
        <f t="shared" ca="1" si="94"/>
        <v>0.28444519226553822</v>
      </c>
      <c r="AH612" s="29">
        <v>0</v>
      </c>
      <c r="AJ612" s="22">
        <v>45157</v>
      </c>
      <c r="AK612" s="26">
        <f t="shared" ca="1" si="95"/>
        <v>8.8838716601818968E-2</v>
      </c>
      <c r="AL612" s="29">
        <v>0</v>
      </c>
      <c r="AN612" s="22">
        <v>45157</v>
      </c>
      <c r="AO612" s="26">
        <f t="shared" ca="1" si="96"/>
        <v>0.55025133132387061</v>
      </c>
      <c r="AP612" s="29">
        <v>0</v>
      </c>
      <c r="AR612" s="22">
        <v>45157</v>
      </c>
      <c r="AS612" s="26">
        <f t="shared" ca="1" si="97"/>
        <v>0.74691731989911769</v>
      </c>
      <c r="AT612" s="29">
        <v>0</v>
      </c>
      <c r="AV612" s="22">
        <v>45157</v>
      </c>
      <c r="AW612" s="26">
        <f t="shared" ca="1" si="98"/>
        <v>0.29856613321233383</v>
      </c>
      <c r="AX612" s="29">
        <v>0</v>
      </c>
      <c r="AZ612" s="22">
        <v>45157</v>
      </c>
      <c r="BA612" s="26">
        <f t="shared" ca="1" si="99"/>
        <v>0.40335577353821017</v>
      </c>
      <c r="BB612" s="29">
        <v>0</v>
      </c>
      <c r="BC612"/>
      <c r="BD612" s="25"/>
      <c r="BF612" s="22">
        <v>45157</v>
      </c>
      <c r="BG612" s="26">
        <f t="shared" ca="1" si="100"/>
        <v>0.82929279981271764</v>
      </c>
      <c r="BH612" s="29">
        <v>0</v>
      </c>
      <c r="BJ612" s="22">
        <v>45157</v>
      </c>
      <c r="BK612" s="26">
        <f t="shared" ca="1" si="101"/>
        <v>0.9926620173339622</v>
      </c>
      <c r="BL612" s="29">
        <v>0</v>
      </c>
      <c r="BN612" s="22">
        <v>45157</v>
      </c>
      <c r="BO612" s="26">
        <f t="shared" ca="1" si="102"/>
        <v>0.94529349120628881</v>
      </c>
      <c r="BP612" s="29">
        <v>0</v>
      </c>
      <c r="BR612" s="22">
        <v>45157</v>
      </c>
      <c r="BS612" s="26">
        <f t="shared" ca="1" si="103"/>
        <v>0.22456061133207494</v>
      </c>
      <c r="BT612" s="29">
        <v>0</v>
      </c>
      <c r="BV612" s="22">
        <v>45157</v>
      </c>
      <c r="BW612" s="26">
        <f t="shared" ca="1" si="104"/>
        <v>0.9034372363868024</v>
      </c>
      <c r="BX612" s="29">
        <v>0</v>
      </c>
    </row>
    <row r="613" spans="2:77" ht="12.75" x14ac:dyDescent="0.2">
      <c r="B613" s="22">
        <v>45158</v>
      </c>
      <c r="C613" s="26">
        <f t="shared" ca="1" si="68"/>
        <v>0.40212578179464886</v>
      </c>
      <c r="D613" s="29">
        <v>0</v>
      </c>
      <c r="F613" s="22">
        <v>45158</v>
      </c>
      <c r="G613" s="26">
        <f t="shared" ca="1" si="88"/>
        <v>0.44239209563822135</v>
      </c>
      <c r="H613" s="29">
        <v>0</v>
      </c>
      <c r="J613" s="22">
        <v>45158</v>
      </c>
      <c r="K613" s="26">
        <f t="shared" ca="1" si="89"/>
        <v>0.75458558910765872</v>
      </c>
      <c r="L613" s="29">
        <v>0</v>
      </c>
      <c r="N613" s="22">
        <v>45158</v>
      </c>
      <c r="O613" s="26">
        <f t="shared" ca="1" si="90"/>
        <v>0.4017239405967693</v>
      </c>
      <c r="P613" s="29">
        <v>0</v>
      </c>
      <c r="R613" s="22">
        <v>45158</v>
      </c>
      <c r="S613" s="26">
        <f t="shared" ca="1" si="91"/>
        <v>0.93987013040002265</v>
      </c>
      <c r="T613" s="29">
        <v>0</v>
      </c>
      <c r="V613" s="22">
        <v>45158</v>
      </c>
      <c r="W613" s="26">
        <f t="shared" ca="1" si="92"/>
        <v>0.83726387534888469</v>
      </c>
      <c r="X613" s="29">
        <v>0</v>
      </c>
      <c r="Z613" s="22">
        <v>45158</v>
      </c>
      <c r="AA613" s="26">
        <f t="shared" ca="1" si="93"/>
        <v>0.77979451493691165</v>
      </c>
      <c r="AB613" s="29">
        <v>0</v>
      </c>
      <c r="AC613"/>
      <c r="AD613" s="25"/>
      <c r="AF613" s="22">
        <v>45158</v>
      </c>
      <c r="AG613" s="26">
        <f t="shared" ca="1" si="94"/>
        <v>3.5756470606371771E-2</v>
      </c>
      <c r="AH613" s="29">
        <v>0</v>
      </c>
      <c r="AJ613" s="22">
        <v>45158</v>
      </c>
      <c r="AK613" s="26">
        <f t="shared" ca="1" si="95"/>
        <v>0.52810255053700927</v>
      </c>
      <c r="AL613" s="29">
        <v>0</v>
      </c>
      <c r="AN613" s="22">
        <v>45158</v>
      </c>
      <c r="AO613" s="26">
        <f t="shared" ca="1" si="96"/>
        <v>0.88211117151392138</v>
      </c>
      <c r="AP613" s="29">
        <v>0</v>
      </c>
      <c r="AR613" s="22">
        <v>45158</v>
      </c>
      <c r="AS613" s="26">
        <f t="shared" ca="1" si="97"/>
        <v>0.81285168472853808</v>
      </c>
      <c r="AT613" s="29">
        <v>0</v>
      </c>
      <c r="AV613" s="22">
        <v>45158</v>
      </c>
      <c r="AW613" s="26">
        <f t="shared" ca="1" si="98"/>
        <v>0.84448227818908461</v>
      </c>
      <c r="AX613" s="29">
        <v>0</v>
      </c>
      <c r="AZ613" s="22">
        <v>45158</v>
      </c>
      <c r="BA613" s="26">
        <f t="shared" ca="1" si="99"/>
        <v>0.76246544609041733</v>
      </c>
      <c r="BB613" s="29">
        <v>0</v>
      </c>
      <c r="BC613"/>
      <c r="BD613" s="25"/>
      <c r="BF613" s="22">
        <v>45158</v>
      </c>
      <c r="BG613" s="26">
        <f t="shared" ca="1" si="100"/>
        <v>0.53235718918200081</v>
      </c>
      <c r="BH613" s="29">
        <v>0</v>
      </c>
      <c r="BJ613" s="22">
        <v>45158</v>
      </c>
      <c r="BK613" s="26">
        <f t="shared" ca="1" si="101"/>
        <v>0.71565649350234206</v>
      </c>
      <c r="BL613" s="29">
        <v>0</v>
      </c>
      <c r="BN613" s="22">
        <v>45158</v>
      </c>
      <c r="BO613" s="26">
        <f t="shared" ca="1" si="102"/>
        <v>0.76605648825850792</v>
      </c>
      <c r="BP613" s="29">
        <v>0</v>
      </c>
      <c r="BR613" s="22">
        <v>45158</v>
      </c>
      <c r="BS613" s="26">
        <f t="shared" ca="1" si="103"/>
        <v>0.18896713651982544</v>
      </c>
      <c r="BT613" s="29">
        <v>0</v>
      </c>
      <c r="BV613" s="22">
        <v>45158</v>
      </c>
      <c r="BW613" s="26">
        <f t="shared" ca="1" si="104"/>
        <v>3.6794013668640546E-2</v>
      </c>
      <c r="BX613" s="29">
        <v>0</v>
      </c>
    </row>
    <row r="614" spans="2:77" ht="12.75" x14ac:dyDescent="0.2">
      <c r="B614" s="22">
        <v>45159</v>
      </c>
      <c r="C614" s="26">
        <f t="shared" ca="1" si="68"/>
        <v>0.4587942160696532</v>
      </c>
      <c r="D614" s="29">
        <v>0</v>
      </c>
      <c r="F614" s="22">
        <v>45159</v>
      </c>
      <c r="G614" s="26">
        <f t="shared" ca="1" si="88"/>
        <v>0.22662477592915442</v>
      </c>
      <c r="H614" s="29">
        <v>0</v>
      </c>
      <c r="J614" s="22">
        <v>45159</v>
      </c>
      <c r="K614" s="26">
        <f t="shared" ca="1" si="89"/>
        <v>0.60732519997917533</v>
      </c>
      <c r="L614" s="29">
        <v>0</v>
      </c>
      <c r="N614" s="22">
        <v>45159</v>
      </c>
      <c r="O614" s="26">
        <f t="shared" ca="1" si="90"/>
        <v>0.21934782484723936</v>
      </c>
      <c r="P614" s="29">
        <v>0</v>
      </c>
      <c r="R614" s="22">
        <v>45159</v>
      </c>
      <c r="S614" s="26">
        <f t="shared" ca="1" si="91"/>
        <v>0.12639540780657554</v>
      </c>
      <c r="T614" s="29">
        <v>0</v>
      </c>
      <c r="V614" s="22">
        <v>45159</v>
      </c>
      <c r="W614" s="26">
        <f t="shared" ca="1" si="92"/>
        <v>0.61190003135774829</v>
      </c>
      <c r="X614" s="29">
        <v>0</v>
      </c>
      <c r="Z614" s="22">
        <v>45159</v>
      </c>
      <c r="AA614" s="26">
        <f t="shared" ca="1" si="93"/>
        <v>0.77345740212005909</v>
      </c>
      <c r="AB614" s="29">
        <v>0</v>
      </c>
      <c r="AC614"/>
      <c r="AD614" s="25"/>
      <c r="AF614" s="22">
        <v>45159</v>
      </c>
      <c r="AG614" s="26">
        <f t="shared" ca="1" si="94"/>
        <v>9.4492143738442391E-2</v>
      </c>
      <c r="AH614" s="29">
        <v>0</v>
      </c>
      <c r="AJ614" s="22">
        <v>45159</v>
      </c>
      <c r="AK614" s="26">
        <f t="shared" ca="1" si="95"/>
        <v>0.7102273113104759</v>
      </c>
      <c r="AL614" s="29">
        <v>0</v>
      </c>
      <c r="AN614" s="22">
        <v>45159</v>
      </c>
      <c r="AO614" s="26">
        <f t="shared" ca="1" si="96"/>
        <v>0.66630231349272895</v>
      </c>
      <c r="AP614" s="29">
        <v>0</v>
      </c>
      <c r="AR614" s="22">
        <v>45159</v>
      </c>
      <c r="AS614" s="26">
        <f t="shared" ca="1" si="97"/>
        <v>0.92427483730509497</v>
      </c>
      <c r="AT614" s="29">
        <v>0</v>
      </c>
      <c r="AV614" s="22">
        <v>45159</v>
      </c>
      <c r="AW614" s="26">
        <f t="shared" ca="1" si="98"/>
        <v>0.43906340042543446</v>
      </c>
      <c r="AX614" s="29">
        <v>0</v>
      </c>
      <c r="AZ614" s="22">
        <v>45159</v>
      </c>
      <c r="BA614" s="26">
        <f t="shared" ca="1" si="99"/>
        <v>0.78951929677880694</v>
      </c>
      <c r="BB614" s="29">
        <v>0</v>
      </c>
      <c r="BC614"/>
      <c r="BD614" s="25"/>
      <c r="BF614" s="22">
        <v>45159</v>
      </c>
      <c r="BG614" s="26">
        <f t="shared" ca="1" si="100"/>
        <v>0.88900862530376912</v>
      </c>
      <c r="BH614" s="29">
        <v>0</v>
      </c>
      <c r="BJ614" s="22">
        <v>45159</v>
      </c>
      <c r="BK614" s="26">
        <f t="shared" ca="1" si="101"/>
        <v>0.95488247410238969</v>
      </c>
      <c r="BL614" s="29">
        <v>0</v>
      </c>
      <c r="BN614" s="22">
        <v>45159</v>
      </c>
      <c r="BO614" s="26">
        <f t="shared" ca="1" si="102"/>
        <v>0.95903634982802355</v>
      </c>
      <c r="BP614" s="29">
        <v>0</v>
      </c>
      <c r="BR614" s="22">
        <v>45159</v>
      </c>
      <c r="BS614" s="26">
        <f t="shared" ca="1" si="103"/>
        <v>0.10979865168447911</v>
      </c>
      <c r="BT614" s="29">
        <v>0</v>
      </c>
      <c r="BV614" s="22">
        <v>45159</v>
      </c>
      <c r="BW614" s="26">
        <f t="shared" ca="1" si="104"/>
        <v>0.45177087844242181</v>
      </c>
      <c r="BX614" s="29">
        <v>0</v>
      </c>
    </row>
    <row r="615" spans="2:77" ht="12.75" x14ac:dyDescent="0.2">
      <c r="B615" s="22">
        <v>45160</v>
      </c>
      <c r="C615" s="26">
        <f t="shared" ca="1" si="68"/>
        <v>5.4627020959056583E-2</v>
      </c>
      <c r="D615" s="29">
        <v>0</v>
      </c>
      <c r="F615" s="22">
        <v>45160</v>
      </c>
      <c r="G615" s="26">
        <f t="shared" ca="1" si="88"/>
        <v>0.74525832256336633</v>
      </c>
      <c r="H615" s="29">
        <v>0</v>
      </c>
      <c r="J615" s="22">
        <v>45160</v>
      </c>
      <c r="K615" s="26">
        <f t="shared" ca="1" si="89"/>
        <v>0.28817095510056634</v>
      </c>
      <c r="L615" s="29">
        <v>0</v>
      </c>
      <c r="N615" s="22">
        <v>45160</v>
      </c>
      <c r="O615" s="26">
        <f t="shared" ca="1" si="90"/>
        <v>4.977267166649979E-2</v>
      </c>
      <c r="P615" s="29">
        <v>0</v>
      </c>
      <c r="R615" s="22">
        <v>45160</v>
      </c>
      <c r="S615" s="26">
        <f t="shared" ca="1" si="91"/>
        <v>0.86227129404761171</v>
      </c>
      <c r="T615" s="29">
        <v>0</v>
      </c>
      <c r="V615" s="22">
        <v>45160</v>
      </c>
      <c r="W615" s="26">
        <f t="shared" ca="1" si="92"/>
        <v>0.99011760134385862</v>
      </c>
      <c r="X615" s="29">
        <v>0</v>
      </c>
      <c r="Z615" s="22">
        <v>45160</v>
      </c>
      <c r="AA615" s="26">
        <f t="shared" ca="1" si="93"/>
        <v>0.24095922680859783</v>
      </c>
      <c r="AB615" s="29">
        <v>0</v>
      </c>
      <c r="AC615"/>
      <c r="AD615" s="25"/>
      <c r="AF615" s="22">
        <v>45160</v>
      </c>
      <c r="AG615" s="26">
        <f t="shared" ca="1" si="94"/>
        <v>0.56126401837986428</v>
      </c>
      <c r="AH615" s="29">
        <v>0</v>
      </c>
      <c r="AJ615" s="22">
        <v>45160</v>
      </c>
      <c r="AK615" s="26">
        <f t="shared" ca="1" si="95"/>
        <v>0.10062379340036209</v>
      </c>
      <c r="AL615" s="29">
        <v>0</v>
      </c>
      <c r="AN615" s="22">
        <v>45160</v>
      </c>
      <c r="AO615" s="26">
        <f t="shared" ca="1" si="96"/>
        <v>0.60380768357475634</v>
      </c>
      <c r="AP615" s="29">
        <v>0</v>
      </c>
      <c r="AR615" s="22">
        <v>45160</v>
      </c>
      <c r="AS615" s="26">
        <f t="shared" ca="1" si="97"/>
        <v>0.71005722668947269</v>
      </c>
      <c r="AT615" s="29">
        <v>0</v>
      </c>
      <c r="AV615" s="22">
        <v>45160</v>
      </c>
      <c r="AW615" s="26">
        <f t="shared" ca="1" si="98"/>
        <v>0.74027540728539021</v>
      </c>
      <c r="AX615" s="29">
        <v>0</v>
      </c>
      <c r="AZ615" s="22">
        <v>45160</v>
      </c>
      <c r="BA615" s="26">
        <f t="shared" ca="1" si="99"/>
        <v>0.20341246185926942</v>
      </c>
      <c r="BB615" s="29">
        <v>0</v>
      </c>
      <c r="BC615"/>
      <c r="BD615" s="25"/>
      <c r="BF615" s="22">
        <v>45160</v>
      </c>
      <c r="BG615" s="26">
        <f t="shared" ca="1" si="100"/>
        <v>0.52793353344524208</v>
      </c>
      <c r="BH615" s="29">
        <v>0</v>
      </c>
      <c r="BJ615" s="22">
        <v>45160</v>
      </c>
      <c r="BK615" s="26">
        <f t="shared" ca="1" si="101"/>
        <v>0.44479988053548258</v>
      </c>
      <c r="BL615" s="29">
        <v>0</v>
      </c>
      <c r="BN615" s="22">
        <v>45160</v>
      </c>
      <c r="BO615" s="26">
        <f t="shared" ca="1" si="102"/>
        <v>0.16105711681403934</v>
      </c>
      <c r="BP615" s="29">
        <v>0</v>
      </c>
      <c r="BR615" s="22">
        <v>45160</v>
      </c>
      <c r="BS615" s="26">
        <f t="shared" ca="1" si="103"/>
        <v>0.85857876403903455</v>
      </c>
      <c r="BT615" s="29">
        <v>0</v>
      </c>
      <c r="BV615" s="22">
        <v>45160</v>
      </c>
      <c r="BW615" s="26">
        <f t="shared" ca="1" si="104"/>
        <v>0.35597854073676471</v>
      </c>
      <c r="BX615" s="29">
        <v>0</v>
      </c>
    </row>
    <row r="616" spans="2:77" ht="12.75" x14ac:dyDescent="0.2">
      <c r="B616" s="22">
        <v>45161</v>
      </c>
      <c r="C616" s="26">
        <f t="shared" ca="1" si="68"/>
        <v>0.59550318442496142</v>
      </c>
      <c r="D616" s="29">
        <v>0</v>
      </c>
      <c r="F616" s="22">
        <v>45161</v>
      </c>
      <c r="G616" s="26">
        <f t="shared" ca="1" si="88"/>
        <v>6.7210576418466283E-2</v>
      </c>
      <c r="H616" s="29">
        <v>0</v>
      </c>
      <c r="J616" s="22">
        <v>45161</v>
      </c>
      <c r="K616" s="26">
        <f t="shared" ca="1" si="89"/>
        <v>0.55411883243103943</v>
      </c>
      <c r="L616" s="29">
        <v>0</v>
      </c>
      <c r="N616" s="22">
        <v>45161</v>
      </c>
      <c r="O616" s="26">
        <f t="shared" ca="1" si="90"/>
        <v>0.59723298664345115</v>
      </c>
      <c r="P616" s="29">
        <v>0</v>
      </c>
      <c r="R616" s="22">
        <v>45161</v>
      </c>
      <c r="S616" s="26">
        <f t="shared" ca="1" si="91"/>
        <v>0.16119690258700325</v>
      </c>
      <c r="T616" s="29">
        <v>0</v>
      </c>
      <c r="V616" s="22">
        <v>45161</v>
      </c>
      <c r="W616" s="26">
        <f t="shared" ca="1" si="92"/>
        <v>2.4030678855860299E-2</v>
      </c>
      <c r="X616" s="29">
        <v>0</v>
      </c>
      <c r="Z616" s="22">
        <v>45161</v>
      </c>
      <c r="AA616" s="26">
        <f t="shared" ca="1" si="93"/>
        <v>0.58652508588916052</v>
      </c>
      <c r="AB616" s="29">
        <v>0</v>
      </c>
      <c r="AC616"/>
      <c r="AD616" s="25"/>
      <c r="AF616" s="22">
        <v>45161</v>
      </c>
      <c r="AG616" s="26">
        <f t="shared" ca="1" si="94"/>
        <v>0.31056120316715397</v>
      </c>
      <c r="AH616" s="29">
        <v>0</v>
      </c>
      <c r="AJ616" s="22">
        <v>45161</v>
      </c>
      <c r="AK616" s="26">
        <f t="shared" ca="1" si="95"/>
        <v>0.35442546417896514</v>
      </c>
      <c r="AL616" s="29">
        <v>0</v>
      </c>
      <c r="AN616" s="22">
        <v>45161</v>
      </c>
      <c r="AO616" s="26">
        <f t="shared" ca="1" si="96"/>
        <v>0.42512901526431224</v>
      </c>
      <c r="AP616" s="29">
        <v>0</v>
      </c>
      <c r="AR616" s="22">
        <v>45161</v>
      </c>
      <c r="AS616" s="26">
        <f t="shared" ca="1" si="97"/>
        <v>0.13831660000549939</v>
      </c>
      <c r="AT616" s="29">
        <v>0</v>
      </c>
      <c r="AV616" s="22">
        <v>45161</v>
      </c>
      <c r="AW616" s="26">
        <f t="shared" ca="1" si="98"/>
        <v>0.3144450200113178</v>
      </c>
      <c r="AX616" s="29">
        <v>0</v>
      </c>
      <c r="AZ616" s="22">
        <v>45161</v>
      </c>
      <c r="BA616" s="26">
        <f t="shared" ca="1" si="99"/>
        <v>0.24862717264905998</v>
      </c>
      <c r="BB616" s="29">
        <v>0</v>
      </c>
      <c r="BC616"/>
      <c r="BD616" s="25"/>
      <c r="BF616" s="22">
        <v>45161</v>
      </c>
      <c r="BG616" s="26">
        <f t="shared" ca="1" si="100"/>
        <v>9.534102541186662E-2</v>
      </c>
      <c r="BH616" s="29">
        <v>0</v>
      </c>
      <c r="BJ616" s="22">
        <v>45161</v>
      </c>
      <c r="BK616" s="26">
        <f t="shared" ca="1" si="101"/>
        <v>0.13937960272266281</v>
      </c>
      <c r="BL616" s="29">
        <v>0</v>
      </c>
      <c r="BN616" s="22">
        <v>45161</v>
      </c>
      <c r="BO616" s="26">
        <f t="shared" ca="1" si="102"/>
        <v>0.13213785000514311</v>
      </c>
      <c r="BP616" s="29">
        <v>0</v>
      </c>
      <c r="BR616" s="22">
        <v>45161</v>
      </c>
      <c r="BS616" s="26">
        <f t="shared" ca="1" si="103"/>
        <v>0.19775524668610112</v>
      </c>
      <c r="BT616" s="29">
        <v>0</v>
      </c>
      <c r="BV616" s="22">
        <v>45161</v>
      </c>
      <c r="BW616" s="26">
        <f t="shared" ca="1" si="104"/>
        <v>0.15959515276165692</v>
      </c>
      <c r="BX616" s="29">
        <v>0</v>
      </c>
    </row>
    <row r="617" spans="2:77" ht="12.75" x14ac:dyDescent="0.2">
      <c r="B617" s="22">
        <v>45162</v>
      </c>
      <c r="C617" s="26">
        <f t="shared" ca="1" si="68"/>
        <v>0.96653270138167147</v>
      </c>
      <c r="D617" s="29">
        <v>0</v>
      </c>
      <c r="F617" s="22">
        <v>45162</v>
      </c>
      <c r="G617" s="26">
        <f t="shared" ca="1" si="88"/>
        <v>8.6863798662071168E-2</v>
      </c>
      <c r="H617" s="29">
        <v>0</v>
      </c>
      <c r="J617" s="22">
        <v>45162</v>
      </c>
      <c r="K617" s="26">
        <f t="shared" ca="1" si="89"/>
        <v>0.21837061259731594</v>
      </c>
      <c r="L617" s="29">
        <v>0</v>
      </c>
      <c r="N617" s="22">
        <v>45162</v>
      </c>
      <c r="O617" s="26">
        <f t="shared" ca="1" si="90"/>
        <v>0.18514939518749474</v>
      </c>
      <c r="P617" s="29">
        <v>0</v>
      </c>
      <c r="R617" s="22">
        <v>45162</v>
      </c>
      <c r="S617" s="26">
        <f t="shared" ca="1" si="91"/>
        <v>0.20680948033937141</v>
      </c>
      <c r="T617" s="29">
        <v>0</v>
      </c>
      <c r="V617" s="22">
        <v>45162</v>
      </c>
      <c r="W617" s="26">
        <f t="shared" ca="1" si="92"/>
        <v>0.54817271682247781</v>
      </c>
      <c r="X617" s="29">
        <v>0</v>
      </c>
      <c r="Z617" s="22">
        <v>45162</v>
      </c>
      <c r="AA617" s="26">
        <f t="shared" ca="1" si="93"/>
        <v>0.4068479324565194</v>
      </c>
      <c r="AB617" s="29">
        <v>0</v>
      </c>
      <c r="AC617"/>
      <c r="AD617" s="25"/>
      <c r="AF617" s="22">
        <v>45162</v>
      </c>
      <c r="AG617" s="26">
        <f t="shared" ca="1" si="94"/>
        <v>0.86390901753979554</v>
      </c>
      <c r="AH617" s="29">
        <v>0</v>
      </c>
      <c r="AJ617" s="22">
        <v>45162</v>
      </c>
      <c r="AK617" s="26">
        <f t="shared" ca="1" si="95"/>
        <v>0.78638491799891252</v>
      </c>
      <c r="AL617" s="29">
        <v>0</v>
      </c>
      <c r="AN617" s="22">
        <v>45162</v>
      </c>
      <c r="AO617" s="26">
        <f t="shared" ca="1" si="96"/>
        <v>0.23551666858454889</v>
      </c>
      <c r="AP617" s="29">
        <v>0</v>
      </c>
      <c r="AR617" s="22">
        <v>45162</v>
      </c>
      <c r="AS617" s="26">
        <f t="shared" ca="1" si="97"/>
        <v>0.24879545714886675</v>
      </c>
      <c r="AT617" s="29">
        <v>0</v>
      </c>
      <c r="AV617" s="22">
        <v>45162</v>
      </c>
      <c r="AW617" s="26">
        <f t="shared" ca="1" si="98"/>
        <v>0.17264198527815988</v>
      </c>
      <c r="AX617" s="29">
        <v>0</v>
      </c>
      <c r="AZ617" s="22">
        <v>45162</v>
      </c>
      <c r="BA617" s="26">
        <f t="shared" ca="1" si="99"/>
        <v>0.25664074572122308</v>
      </c>
      <c r="BB617" s="29">
        <v>0</v>
      </c>
      <c r="BC617"/>
      <c r="BD617" s="25"/>
      <c r="BF617" s="22">
        <v>45162</v>
      </c>
      <c r="BG617" s="26">
        <f t="shared" ca="1" si="100"/>
        <v>0.42067797543608154</v>
      </c>
      <c r="BH617" s="29">
        <v>0</v>
      </c>
      <c r="BJ617" s="22">
        <v>45162</v>
      </c>
      <c r="BK617" s="26">
        <f t="shared" ca="1" si="101"/>
        <v>0.3643144623041159</v>
      </c>
      <c r="BL617" s="29">
        <v>0</v>
      </c>
      <c r="BN617" s="22">
        <v>45162</v>
      </c>
      <c r="BO617" s="26">
        <f t="shared" ca="1" si="102"/>
        <v>7.3246667439697544E-2</v>
      </c>
      <c r="BP617" s="29">
        <v>0</v>
      </c>
      <c r="BR617" s="22">
        <v>45162</v>
      </c>
      <c r="BS617" s="26">
        <f t="shared" ca="1" si="103"/>
        <v>0.26658543941198953</v>
      </c>
      <c r="BT617" s="29">
        <v>0</v>
      </c>
      <c r="BV617" s="22">
        <v>45162</v>
      </c>
      <c r="BW617" s="26">
        <f t="shared" ca="1" si="104"/>
        <v>0.39506668729263661</v>
      </c>
      <c r="BX617" s="29">
        <v>0</v>
      </c>
    </row>
    <row r="618" spans="2:77" ht="12.75" x14ac:dyDescent="0.2">
      <c r="B618" s="22">
        <v>45163</v>
      </c>
      <c r="C618" s="26">
        <f t="shared" ca="1" si="68"/>
        <v>0.90624807774369631</v>
      </c>
      <c r="D618" s="29">
        <v>0</v>
      </c>
      <c r="F618" s="22">
        <v>45163</v>
      </c>
      <c r="G618" s="26">
        <f t="shared" ca="1" si="88"/>
        <v>0.52014630605933554</v>
      </c>
      <c r="H618" s="29">
        <v>0</v>
      </c>
      <c r="J618" s="22">
        <v>45163</v>
      </c>
      <c r="K618" s="26">
        <f t="shared" ca="1" si="89"/>
        <v>0.96854053236528215</v>
      </c>
      <c r="L618" s="29">
        <v>0</v>
      </c>
      <c r="N618" s="22">
        <v>45163</v>
      </c>
      <c r="O618" s="26">
        <f t="shared" ca="1" si="90"/>
        <v>0.86200727040880676</v>
      </c>
      <c r="P618" s="29">
        <v>0</v>
      </c>
      <c r="R618" s="22">
        <v>45163</v>
      </c>
      <c r="S618" s="26">
        <f t="shared" ca="1" si="91"/>
        <v>0.96841049736968521</v>
      </c>
      <c r="T618" s="29">
        <v>0</v>
      </c>
      <c r="V618" s="22">
        <v>45163</v>
      </c>
      <c r="W618" s="26">
        <f t="shared" ca="1" si="92"/>
        <v>0.73312700150061905</v>
      </c>
      <c r="X618" s="29">
        <v>0</v>
      </c>
      <c r="Z618" s="22">
        <v>45163</v>
      </c>
      <c r="AA618" s="26">
        <f t="shared" ca="1" si="93"/>
        <v>0.14124778452899611</v>
      </c>
      <c r="AB618" s="29">
        <v>0</v>
      </c>
      <c r="AC618"/>
      <c r="AD618" s="25"/>
      <c r="AF618" s="22">
        <v>45163</v>
      </c>
      <c r="AG618" s="26">
        <f t="shared" ca="1" si="94"/>
        <v>0.46434548624470484</v>
      </c>
      <c r="AH618" s="29">
        <v>0</v>
      </c>
      <c r="AJ618" s="22">
        <v>45163</v>
      </c>
      <c r="AK618" s="26">
        <f t="shared" ca="1" si="95"/>
        <v>0.99095506803674172</v>
      </c>
      <c r="AL618" s="29">
        <v>0</v>
      </c>
      <c r="AN618" s="22">
        <v>45163</v>
      </c>
      <c r="AO618" s="26">
        <f t="shared" ca="1" si="96"/>
        <v>0.15279817509772475</v>
      </c>
      <c r="AP618" s="29">
        <v>0</v>
      </c>
      <c r="AR618" s="22">
        <v>45163</v>
      </c>
      <c r="AS618" s="26">
        <f t="shared" ca="1" si="97"/>
        <v>0.58333896136671048</v>
      </c>
      <c r="AT618" s="29">
        <v>0</v>
      </c>
      <c r="AV618" s="22">
        <v>45163</v>
      </c>
      <c r="AW618" s="26">
        <f t="shared" ca="1" si="98"/>
        <v>0.29749096266451969</v>
      </c>
      <c r="AX618" s="29">
        <v>0</v>
      </c>
      <c r="AZ618" s="22">
        <v>45163</v>
      </c>
      <c r="BA618" s="26">
        <f t="shared" ca="1" si="99"/>
        <v>0.15480978916711885</v>
      </c>
      <c r="BB618" s="29">
        <v>0</v>
      </c>
      <c r="BC618"/>
      <c r="BD618" s="25"/>
      <c r="BF618" s="22">
        <v>45163</v>
      </c>
      <c r="BG618" s="26">
        <f t="shared" ca="1" si="100"/>
        <v>0.14378587175502666</v>
      </c>
      <c r="BH618" s="29">
        <v>0</v>
      </c>
      <c r="BJ618" s="22">
        <v>45163</v>
      </c>
      <c r="BK618" s="26">
        <f t="shared" ca="1" si="101"/>
        <v>0.97037120896215734</v>
      </c>
      <c r="BL618" s="29">
        <v>0</v>
      </c>
      <c r="BN618" s="22">
        <v>45163</v>
      </c>
      <c r="BO618" s="26">
        <f t="shared" ca="1" si="102"/>
        <v>0.14204339728125004</v>
      </c>
      <c r="BP618" s="29">
        <v>0</v>
      </c>
      <c r="BR618" s="22">
        <v>45163</v>
      </c>
      <c r="BS618" s="26">
        <f t="shared" ca="1" si="103"/>
        <v>0.21324692270378343</v>
      </c>
      <c r="BT618" s="29">
        <v>0</v>
      </c>
      <c r="BV618" s="22">
        <v>45163</v>
      </c>
      <c r="BW618" s="26">
        <f t="shared" ca="1" si="104"/>
        <v>0.78949244113303185</v>
      </c>
      <c r="BX618" s="29">
        <v>0</v>
      </c>
    </row>
    <row r="619" spans="2:77" ht="12.75" x14ac:dyDescent="0.2">
      <c r="B619" s="22">
        <v>45164</v>
      </c>
      <c r="C619" s="26">
        <f t="shared" ca="1" si="68"/>
        <v>0.85918438316547541</v>
      </c>
      <c r="D619" s="29">
        <v>0</v>
      </c>
      <c r="F619" s="22">
        <v>45164</v>
      </c>
      <c r="G619" s="26">
        <f t="shared" ca="1" si="88"/>
        <v>0.73643380672897885</v>
      </c>
      <c r="H619" s="29">
        <v>0</v>
      </c>
      <c r="J619" s="22">
        <v>45164</v>
      </c>
      <c r="K619" s="26">
        <f t="shared" ca="1" si="89"/>
        <v>0.62940560736400497</v>
      </c>
      <c r="L619" s="29">
        <v>0</v>
      </c>
      <c r="N619" s="22">
        <v>45164</v>
      </c>
      <c r="O619" s="26">
        <f t="shared" ca="1" si="90"/>
        <v>0.74973364714043644</v>
      </c>
      <c r="P619" s="29">
        <v>0</v>
      </c>
      <c r="R619" s="22">
        <v>45164</v>
      </c>
      <c r="S619" s="26">
        <f t="shared" ca="1" si="91"/>
        <v>0.2725732730451762</v>
      </c>
      <c r="T619" s="29">
        <v>0</v>
      </c>
      <c r="V619" s="22">
        <v>45164</v>
      </c>
      <c r="W619" s="26">
        <f t="shared" ca="1" si="92"/>
        <v>0.38529092295586675</v>
      </c>
      <c r="X619" s="29">
        <v>0</v>
      </c>
      <c r="Z619" s="22">
        <v>45164</v>
      </c>
      <c r="AA619" s="26">
        <f t="shared" ca="1" si="93"/>
        <v>5.1523221811038411E-2</v>
      </c>
      <c r="AB619" s="29">
        <v>0</v>
      </c>
      <c r="AC619"/>
      <c r="AD619" s="25"/>
      <c r="AF619" s="22">
        <v>45164</v>
      </c>
      <c r="AG619" s="26">
        <f t="shared" ca="1" si="94"/>
        <v>0.14241987211020424</v>
      </c>
      <c r="AH619" s="29">
        <v>0</v>
      </c>
      <c r="AJ619" s="22">
        <v>45164</v>
      </c>
      <c r="AK619" s="26">
        <f t="shared" ca="1" si="95"/>
        <v>0.25831574287988979</v>
      </c>
      <c r="AL619" s="29">
        <v>0</v>
      </c>
      <c r="AN619" s="22">
        <v>45164</v>
      </c>
      <c r="AO619" s="26">
        <f t="shared" ca="1" si="96"/>
        <v>0.7847586099134678</v>
      </c>
      <c r="AP619" s="29">
        <v>0</v>
      </c>
      <c r="AR619" s="22">
        <v>45164</v>
      </c>
      <c r="AS619" s="26">
        <f t="shared" ca="1" si="97"/>
        <v>0.97069571529640497</v>
      </c>
      <c r="AT619" s="29">
        <v>0</v>
      </c>
      <c r="AV619" s="22">
        <v>45164</v>
      </c>
      <c r="AW619" s="26">
        <f t="shared" ca="1" si="98"/>
        <v>0.94045392276204309</v>
      </c>
      <c r="AX619" s="29">
        <v>0</v>
      </c>
      <c r="AZ619" s="22">
        <v>45164</v>
      </c>
      <c r="BA619" s="26">
        <f t="shared" ca="1" si="99"/>
        <v>0.1613621089094267</v>
      </c>
      <c r="BB619" s="29">
        <v>0</v>
      </c>
      <c r="BC619"/>
      <c r="BD619" s="25"/>
      <c r="BF619" s="22">
        <v>45164</v>
      </c>
      <c r="BG619" s="26">
        <f t="shared" ca="1" si="100"/>
        <v>0.9224141771015314</v>
      </c>
      <c r="BH619" s="29">
        <v>0</v>
      </c>
      <c r="BJ619" s="22">
        <v>45164</v>
      </c>
      <c r="BK619" s="26">
        <f t="shared" ca="1" si="101"/>
        <v>0.39300850494485284</v>
      </c>
      <c r="BL619" s="29">
        <v>0</v>
      </c>
      <c r="BN619" s="22">
        <v>45164</v>
      </c>
      <c r="BO619" s="26">
        <f t="shared" ca="1" si="102"/>
        <v>0.32498795753019039</v>
      </c>
      <c r="BP619" s="29">
        <v>0</v>
      </c>
      <c r="BR619" s="22">
        <v>45164</v>
      </c>
      <c r="BS619" s="26">
        <f t="shared" ca="1" si="103"/>
        <v>0.74478731444319735</v>
      </c>
      <c r="BT619" s="29">
        <v>0</v>
      </c>
      <c r="BV619" s="22">
        <v>45164</v>
      </c>
      <c r="BW619" s="26">
        <f t="shared" ca="1" si="104"/>
        <v>0.39084481223351453</v>
      </c>
      <c r="BX619" s="29">
        <v>0</v>
      </c>
    </row>
    <row r="620" spans="2:77" ht="12.75" x14ac:dyDescent="0.2">
      <c r="B620" s="22">
        <v>45165</v>
      </c>
      <c r="C620" s="26">
        <f t="shared" ca="1" si="68"/>
        <v>0.33301902994610921</v>
      </c>
      <c r="D620" s="29">
        <v>0</v>
      </c>
      <c r="F620" s="22">
        <v>45165</v>
      </c>
      <c r="G620" s="26">
        <f t="shared" ca="1" si="88"/>
        <v>0.25176548917108132</v>
      </c>
      <c r="H620" s="29">
        <v>0</v>
      </c>
      <c r="J620" s="22">
        <v>45165</v>
      </c>
      <c r="K620" s="26">
        <f t="shared" ca="1" si="89"/>
        <v>0.37965897141837479</v>
      </c>
      <c r="L620" s="29">
        <v>0</v>
      </c>
      <c r="N620" s="22">
        <v>45165</v>
      </c>
      <c r="O620" s="26">
        <f t="shared" ca="1" si="90"/>
        <v>0.33396914098826425</v>
      </c>
      <c r="P620" s="29">
        <v>0</v>
      </c>
      <c r="R620" s="22">
        <v>45165</v>
      </c>
      <c r="S620" s="26">
        <f t="shared" ca="1" si="91"/>
        <v>0.11272039834017755</v>
      </c>
      <c r="T620" s="29">
        <v>0</v>
      </c>
      <c r="V620" s="22">
        <v>45165</v>
      </c>
      <c r="W620" s="26">
        <f t="shared" ca="1" si="92"/>
        <v>0.17392585549276451</v>
      </c>
      <c r="X620" s="29">
        <v>0</v>
      </c>
      <c r="Z620" s="22">
        <v>45165</v>
      </c>
      <c r="AA620" s="26">
        <f t="shared" ca="1" si="93"/>
        <v>0.84328642554571864</v>
      </c>
      <c r="AB620" s="29">
        <v>0</v>
      </c>
      <c r="AC620"/>
      <c r="AD620" s="25"/>
      <c r="AF620" s="22">
        <v>45165</v>
      </c>
      <c r="AG620" s="26">
        <f t="shared" ca="1" si="94"/>
        <v>0.19014733817581253</v>
      </c>
      <c r="AH620" s="29">
        <v>0</v>
      </c>
      <c r="AJ620" s="22">
        <v>45165</v>
      </c>
      <c r="AK620" s="26">
        <f t="shared" ca="1" si="95"/>
        <v>0.84683831662310138</v>
      </c>
      <c r="AL620" s="29">
        <v>0</v>
      </c>
      <c r="AN620" s="22">
        <v>45165</v>
      </c>
      <c r="AO620" s="26">
        <f t="shared" ca="1" si="96"/>
        <v>0.68198537161189843</v>
      </c>
      <c r="AP620" s="29">
        <v>0</v>
      </c>
      <c r="AR620" s="22">
        <v>45165</v>
      </c>
      <c r="AS620" s="26">
        <f t="shared" ca="1" si="97"/>
        <v>0.75693970922340248</v>
      </c>
      <c r="AT620" s="29">
        <v>0</v>
      </c>
      <c r="AV620" s="22">
        <v>45165</v>
      </c>
      <c r="AW620" s="26">
        <f t="shared" ca="1" si="98"/>
        <v>0.45890497351660497</v>
      </c>
      <c r="AX620" s="29">
        <v>0</v>
      </c>
      <c r="AZ620" s="22">
        <v>45165</v>
      </c>
      <c r="BA620" s="26">
        <f t="shared" ca="1" si="99"/>
        <v>0.55807517679459295</v>
      </c>
      <c r="BB620" s="29">
        <v>0</v>
      </c>
      <c r="BC620"/>
      <c r="BD620" s="25"/>
      <c r="BF620" s="22">
        <v>45165</v>
      </c>
      <c r="BG620" s="26">
        <f t="shared" ca="1" si="100"/>
        <v>0.5791161002465226</v>
      </c>
      <c r="BH620" s="29">
        <v>0</v>
      </c>
      <c r="BJ620" s="22">
        <v>45165</v>
      </c>
      <c r="BK620" s="26">
        <f t="shared" ca="1" si="101"/>
        <v>0.94064501409084444</v>
      </c>
      <c r="BL620" s="29">
        <v>0</v>
      </c>
      <c r="BN620" s="22">
        <v>45165</v>
      </c>
      <c r="BO620" s="26">
        <f t="shared" ca="1" si="102"/>
        <v>0.90726609697953398</v>
      </c>
      <c r="BP620" s="29">
        <v>0</v>
      </c>
      <c r="BR620" s="22">
        <v>45165</v>
      </c>
      <c r="BS620" s="26">
        <f t="shared" ca="1" si="103"/>
        <v>0.50984934004293059</v>
      </c>
      <c r="BT620" s="29">
        <v>0</v>
      </c>
      <c r="BV620" s="22">
        <v>45165</v>
      </c>
      <c r="BW620" s="26">
        <f t="shared" ca="1" si="104"/>
        <v>0.15708011713951586</v>
      </c>
      <c r="BX620" s="29">
        <v>0</v>
      </c>
    </row>
    <row r="621" spans="2:77" ht="12.75" x14ac:dyDescent="0.2">
      <c r="B621" s="22">
        <v>45166</v>
      </c>
      <c r="C621" s="26">
        <f t="shared" ca="1" si="68"/>
        <v>0.89127138305456277</v>
      </c>
      <c r="D621" s="29">
        <v>0</v>
      </c>
      <c r="F621" s="22">
        <v>45166</v>
      </c>
      <c r="G621" s="26">
        <f t="shared" ca="1" si="88"/>
        <v>2.5304100589059741E-3</v>
      </c>
      <c r="H621" s="29">
        <v>0</v>
      </c>
      <c r="J621" s="22">
        <v>45166</v>
      </c>
      <c r="K621" s="26">
        <f t="shared" ca="1" si="89"/>
        <v>0.37077749158398488</v>
      </c>
      <c r="L621" s="29">
        <v>0</v>
      </c>
      <c r="N621" s="22">
        <v>45166</v>
      </c>
      <c r="O621" s="26">
        <f t="shared" ca="1" si="90"/>
        <v>0.80669659152165074</v>
      </c>
      <c r="P621" s="29">
        <v>0</v>
      </c>
      <c r="R621" s="22">
        <v>45166</v>
      </c>
      <c r="S621" s="26">
        <f t="shared" ca="1" si="91"/>
        <v>0.54974967649076234</v>
      </c>
      <c r="T621" s="29">
        <v>0</v>
      </c>
      <c r="V621" s="22">
        <v>45166</v>
      </c>
      <c r="W621" s="26">
        <f t="shared" ca="1" si="92"/>
        <v>0.11799171923054785</v>
      </c>
      <c r="X621" s="29">
        <v>0</v>
      </c>
      <c r="Z621" s="22">
        <v>45166</v>
      </c>
      <c r="AA621" s="26">
        <f t="shared" ca="1" si="93"/>
        <v>7.9779239918705502E-2</v>
      </c>
      <c r="AB621" s="29">
        <v>0</v>
      </c>
      <c r="AC621"/>
      <c r="AD621" s="25"/>
      <c r="AF621" s="22">
        <v>45166</v>
      </c>
      <c r="AG621" s="26">
        <f t="shared" ca="1" si="94"/>
        <v>0.77661932078761264</v>
      </c>
      <c r="AH621" s="29">
        <v>0</v>
      </c>
      <c r="AJ621" s="22">
        <v>45166</v>
      </c>
      <c r="AK621" s="26">
        <f t="shared" ca="1" si="95"/>
        <v>0.14362315679988191</v>
      </c>
      <c r="AL621" s="29">
        <v>0</v>
      </c>
      <c r="AN621" s="22">
        <v>45166</v>
      </c>
      <c r="AO621" s="26">
        <f t="shared" ca="1" si="96"/>
        <v>0.68170380060250013</v>
      </c>
      <c r="AP621" s="29">
        <v>0</v>
      </c>
      <c r="AR621" s="22">
        <v>45166</v>
      </c>
      <c r="AS621" s="26">
        <f t="shared" ca="1" si="97"/>
        <v>0.60404722294690349</v>
      </c>
      <c r="AT621" s="29">
        <v>0</v>
      </c>
      <c r="AV621" s="22">
        <v>45166</v>
      </c>
      <c r="AW621" s="26">
        <f t="shared" ca="1" si="98"/>
        <v>0.92820383274382545</v>
      </c>
      <c r="AX621" s="29">
        <v>0</v>
      </c>
      <c r="AZ621" s="22">
        <v>45166</v>
      </c>
      <c r="BA621" s="26">
        <f t="shared" ca="1" si="99"/>
        <v>0.86973940728500865</v>
      </c>
      <c r="BB621" s="29">
        <v>0</v>
      </c>
      <c r="BC621"/>
      <c r="BD621" s="25"/>
      <c r="BF621" s="22">
        <v>45166</v>
      </c>
      <c r="BG621" s="26">
        <f t="shared" ca="1" si="100"/>
        <v>0.1936352584717016</v>
      </c>
      <c r="BH621" s="29">
        <v>0</v>
      </c>
      <c r="BJ621" s="22">
        <v>45166</v>
      </c>
      <c r="BK621" s="26">
        <f t="shared" ca="1" si="101"/>
        <v>0.7515680780846411</v>
      </c>
      <c r="BL621" s="29">
        <v>0</v>
      </c>
      <c r="BN621" s="22">
        <v>45166</v>
      </c>
      <c r="BO621" s="26">
        <f t="shared" ca="1" si="102"/>
        <v>0.92153722925065062</v>
      </c>
      <c r="BP621" s="29">
        <v>0</v>
      </c>
      <c r="BR621" s="22">
        <v>45166</v>
      </c>
      <c r="BS621" s="26">
        <f t="shared" ca="1" si="103"/>
        <v>0.46940510568167781</v>
      </c>
      <c r="BT621" s="29">
        <v>0</v>
      </c>
      <c r="BV621" s="22">
        <v>45166</v>
      </c>
      <c r="BW621" s="26">
        <f t="shared" ca="1" si="104"/>
        <v>0.16462233930854164</v>
      </c>
      <c r="BX621" s="29">
        <v>0</v>
      </c>
    </row>
    <row r="622" spans="2:77" ht="12.75" x14ac:dyDescent="0.2">
      <c r="B622" s="22">
        <v>45167</v>
      </c>
      <c r="C622" s="26">
        <f t="shared" ca="1" si="68"/>
        <v>0.54515982799873264</v>
      </c>
      <c r="D622" s="29">
        <v>0</v>
      </c>
      <c r="F622" s="22">
        <v>45167</v>
      </c>
      <c r="G622" s="26">
        <f t="shared" ca="1" si="88"/>
        <v>0.92551285037558839</v>
      </c>
      <c r="H622" s="29">
        <v>0</v>
      </c>
      <c r="J622" s="22">
        <v>45167</v>
      </c>
      <c r="K622" s="26">
        <f t="shared" ca="1" si="89"/>
        <v>0.76801198792423486</v>
      </c>
      <c r="L622" s="29">
        <v>0</v>
      </c>
      <c r="N622" s="22">
        <v>45167</v>
      </c>
      <c r="O622" s="26">
        <f t="shared" ca="1" si="90"/>
        <v>0.49547704438836204</v>
      </c>
      <c r="P622" s="29">
        <v>0</v>
      </c>
      <c r="R622" s="22">
        <v>45167</v>
      </c>
      <c r="S622" s="26">
        <f t="shared" ca="1" si="91"/>
        <v>0.49061743351898635</v>
      </c>
      <c r="T622" s="29">
        <v>0</v>
      </c>
      <c r="V622" s="22">
        <v>45167</v>
      </c>
      <c r="W622" s="26">
        <f t="shared" ca="1" si="92"/>
        <v>0.25164303829300616</v>
      </c>
      <c r="X622" s="29">
        <v>0</v>
      </c>
      <c r="Z622" s="22">
        <v>45167</v>
      </c>
      <c r="AA622" s="26">
        <f t="shared" ca="1" si="93"/>
        <v>5.4703434061245226E-2</v>
      </c>
      <c r="AB622" s="29">
        <v>0</v>
      </c>
      <c r="AC622"/>
      <c r="AD622" s="25"/>
      <c r="AF622" s="22">
        <v>45167</v>
      </c>
      <c r="AG622" s="26">
        <f t="shared" ca="1" si="94"/>
        <v>0.44171072497739305</v>
      </c>
      <c r="AH622" s="29">
        <v>0</v>
      </c>
      <c r="AJ622" s="22">
        <v>45167</v>
      </c>
      <c r="AK622" s="26">
        <f t="shared" ca="1" si="95"/>
        <v>0.73065608982190278</v>
      </c>
      <c r="AL622" s="29">
        <v>0</v>
      </c>
      <c r="AN622" s="22">
        <v>45167</v>
      </c>
      <c r="AO622" s="26">
        <f t="shared" ca="1" si="96"/>
        <v>0.596252530351014</v>
      </c>
      <c r="AP622" s="29">
        <v>0</v>
      </c>
      <c r="AR622" s="22">
        <v>45167</v>
      </c>
      <c r="AS622" s="26">
        <f t="shared" ca="1" si="97"/>
        <v>0.53544012606973279</v>
      </c>
      <c r="AT622" s="29">
        <v>0</v>
      </c>
      <c r="AV622" s="22">
        <v>45167</v>
      </c>
      <c r="AW622" s="26">
        <f t="shared" ca="1" si="98"/>
        <v>0.99645699165016499</v>
      </c>
      <c r="AX622" s="29">
        <v>0</v>
      </c>
      <c r="AZ622" s="22">
        <v>45167</v>
      </c>
      <c r="BA622" s="26">
        <f t="shared" ca="1" si="99"/>
        <v>0.16020714310900108</v>
      </c>
      <c r="BB622" s="29">
        <v>0</v>
      </c>
      <c r="BC622"/>
      <c r="BD622" s="25"/>
      <c r="BF622" s="22">
        <v>45167</v>
      </c>
      <c r="BG622" s="26">
        <f t="shared" ca="1" si="100"/>
        <v>0.80478070275403069</v>
      </c>
      <c r="BH622" s="29">
        <v>0</v>
      </c>
      <c r="BJ622" s="22">
        <v>45167</v>
      </c>
      <c r="BK622" s="26">
        <f t="shared" ca="1" si="101"/>
        <v>0.85083548625729455</v>
      </c>
      <c r="BL622" s="29">
        <v>0</v>
      </c>
      <c r="BN622" s="22">
        <v>45167</v>
      </c>
      <c r="BO622" s="26">
        <f t="shared" ca="1" si="102"/>
        <v>0.72157105961332257</v>
      </c>
      <c r="BP622" s="29">
        <v>0</v>
      </c>
      <c r="BR622" s="22">
        <v>45167</v>
      </c>
      <c r="BS622" s="26">
        <f t="shared" ca="1" si="103"/>
        <v>0.1401429892805971</v>
      </c>
      <c r="BT622" s="29">
        <v>0</v>
      </c>
      <c r="BV622" s="22">
        <v>45167</v>
      </c>
      <c r="BW622" s="26">
        <f t="shared" ca="1" si="104"/>
        <v>0.95141278621261216</v>
      </c>
      <c r="BX622" s="29">
        <v>0</v>
      </c>
    </row>
    <row r="623" spans="2:77" ht="12.75" x14ac:dyDescent="0.2">
      <c r="B623" s="22">
        <v>45168</v>
      </c>
      <c r="C623" s="26">
        <f t="shared" ca="1" si="68"/>
        <v>0.42876785914915738</v>
      </c>
      <c r="D623" s="29">
        <v>0</v>
      </c>
      <c r="F623" s="22">
        <v>45168</v>
      </c>
      <c r="G623" s="26">
        <f t="shared" ca="1" si="88"/>
        <v>0.27001356262617704</v>
      </c>
      <c r="H623" s="29">
        <v>0</v>
      </c>
      <c r="J623" s="22">
        <v>45168</v>
      </c>
      <c r="K623" s="26">
        <f t="shared" ca="1" si="89"/>
        <v>0.81258269333796285</v>
      </c>
      <c r="L623" s="29">
        <v>0</v>
      </c>
      <c r="N623" s="22">
        <v>45168</v>
      </c>
      <c r="O623" s="26">
        <f t="shared" ca="1" si="90"/>
        <v>0.53009777134131031</v>
      </c>
      <c r="P623" s="29">
        <v>0</v>
      </c>
      <c r="R623" s="22">
        <v>45168</v>
      </c>
      <c r="S623" s="26">
        <f t="shared" ca="1" si="91"/>
        <v>0.67715492769933572</v>
      </c>
      <c r="T623" s="29">
        <v>0</v>
      </c>
      <c r="V623" s="22">
        <v>45168</v>
      </c>
      <c r="W623" s="26">
        <f t="shared" ca="1" si="92"/>
        <v>0.10869186699820166</v>
      </c>
      <c r="X623" s="29">
        <v>0</v>
      </c>
      <c r="Z623" s="22">
        <v>45168</v>
      </c>
      <c r="AA623" s="26">
        <f t="shared" ca="1" si="93"/>
        <v>0.83424267140528796</v>
      </c>
      <c r="AB623" s="29">
        <v>0</v>
      </c>
      <c r="AC623"/>
      <c r="AD623" s="25"/>
      <c r="AF623" s="22">
        <v>45168</v>
      </c>
      <c r="AG623" s="26">
        <f t="shared" ca="1" si="94"/>
        <v>0.70036883175157261</v>
      </c>
      <c r="AH623" s="29">
        <v>0</v>
      </c>
      <c r="AJ623" s="22">
        <v>45168</v>
      </c>
      <c r="AK623" s="26">
        <f t="shared" ca="1" si="95"/>
        <v>0.35923681249069284</v>
      </c>
      <c r="AL623" s="29">
        <v>0</v>
      </c>
      <c r="AN623" s="22">
        <v>45168</v>
      </c>
      <c r="AO623" s="26">
        <f t="shared" ca="1" si="96"/>
        <v>0.64114273763469909</v>
      </c>
      <c r="AP623" s="29">
        <v>0</v>
      </c>
      <c r="AR623" s="22">
        <v>45168</v>
      </c>
      <c r="AS623" s="26">
        <f t="shared" ca="1" si="97"/>
        <v>0.68664261260391724</v>
      </c>
      <c r="AT623" s="29">
        <v>0</v>
      </c>
      <c r="AV623" s="22">
        <v>45168</v>
      </c>
      <c r="AW623" s="26">
        <f t="shared" ca="1" si="98"/>
        <v>1.7841470971477258E-2</v>
      </c>
      <c r="AX623" s="29">
        <v>0</v>
      </c>
      <c r="AZ623" s="22">
        <v>45168</v>
      </c>
      <c r="BA623" s="26">
        <f t="shared" ca="1" si="99"/>
        <v>0.89365672791692807</v>
      </c>
      <c r="BB623" s="29">
        <v>0</v>
      </c>
      <c r="BC623"/>
      <c r="BD623" s="25"/>
      <c r="BF623" s="22">
        <v>45168</v>
      </c>
      <c r="BG623" s="26">
        <f t="shared" ca="1" si="100"/>
        <v>0.59475814573225627</v>
      </c>
      <c r="BH623" s="29">
        <v>0</v>
      </c>
      <c r="BJ623" s="22">
        <v>45168</v>
      </c>
      <c r="BK623" s="26">
        <f t="shared" ca="1" si="101"/>
        <v>0.73021050441128954</v>
      </c>
      <c r="BL623" s="29">
        <v>0</v>
      </c>
      <c r="BN623" s="22">
        <v>45168</v>
      </c>
      <c r="BO623" s="26">
        <f t="shared" ca="1" si="102"/>
        <v>0.28964860377711332</v>
      </c>
      <c r="BP623" s="29">
        <v>0</v>
      </c>
      <c r="BR623" s="22">
        <v>45168</v>
      </c>
      <c r="BS623" s="26">
        <f t="shared" ca="1" si="103"/>
        <v>0.68535072066080016</v>
      </c>
      <c r="BT623" s="29">
        <v>0</v>
      </c>
      <c r="BV623" s="22">
        <v>45168</v>
      </c>
      <c r="BW623" s="26">
        <f t="shared" ca="1" si="104"/>
        <v>0.82769020729186871</v>
      </c>
      <c r="BX623" s="29">
        <v>0</v>
      </c>
    </row>
    <row r="624" spans="2:77" ht="12.75" x14ac:dyDescent="0.2">
      <c r="B624" s="22">
        <v>45169</v>
      </c>
      <c r="C624" s="26">
        <f t="shared" ca="1" si="68"/>
        <v>0.97211030519166353</v>
      </c>
      <c r="D624" s="29">
        <v>0</v>
      </c>
      <c r="E624">
        <v>0</v>
      </c>
      <c r="F624" s="22">
        <v>45169</v>
      </c>
      <c r="G624" s="26">
        <f t="shared" ca="1" si="88"/>
        <v>0.79742179384104384</v>
      </c>
      <c r="H624" s="29">
        <v>0</v>
      </c>
      <c r="I624">
        <v>0</v>
      </c>
      <c r="J624" s="22">
        <v>45169</v>
      </c>
      <c r="K624" s="26">
        <f t="shared" ca="1" si="89"/>
        <v>0.75816101141799486</v>
      </c>
      <c r="L624" s="29">
        <v>0</v>
      </c>
      <c r="M624">
        <v>0</v>
      </c>
      <c r="N624" s="22">
        <v>45169</v>
      </c>
      <c r="O624" s="26">
        <f t="shared" ca="1" si="90"/>
        <v>0.63530402688523868</v>
      </c>
      <c r="P624" s="29">
        <v>0</v>
      </c>
      <c r="Q624">
        <v>0</v>
      </c>
      <c r="R624" s="22">
        <v>45169</v>
      </c>
      <c r="S624" s="26">
        <f t="shared" ca="1" si="91"/>
        <v>0.78181660871933178</v>
      </c>
      <c r="T624" s="29">
        <v>0</v>
      </c>
      <c r="U624">
        <v>0</v>
      </c>
      <c r="V624" s="22">
        <v>45169</v>
      </c>
      <c r="W624" s="26">
        <f t="shared" ca="1" si="92"/>
        <v>0.74454725948920719</v>
      </c>
      <c r="X624" s="29">
        <v>0</v>
      </c>
      <c r="Y624">
        <v>0</v>
      </c>
      <c r="Z624" s="22">
        <v>45169</v>
      </c>
      <c r="AA624" s="26">
        <f t="shared" ca="1" si="93"/>
        <v>0.68308205534400412</v>
      </c>
      <c r="AB624" s="29">
        <v>0</v>
      </c>
      <c r="AC624">
        <v>0</v>
      </c>
      <c r="AD624" s="25"/>
      <c r="AF624" s="22">
        <v>45169</v>
      </c>
      <c r="AG624" s="26">
        <f t="shared" ca="1" si="94"/>
        <v>0.6469378261839307</v>
      </c>
      <c r="AH624" s="29">
        <v>0</v>
      </c>
      <c r="AI624">
        <v>0</v>
      </c>
      <c r="AJ624" s="22">
        <v>45169</v>
      </c>
      <c r="AK624" s="26">
        <f t="shared" ca="1" si="95"/>
        <v>0.72414500985843211</v>
      </c>
      <c r="AL624" s="29">
        <v>0</v>
      </c>
      <c r="AM624">
        <v>0</v>
      </c>
      <c r="AN624" s="22">
        <v>45169</v>
      </c>
      <c r="AO624" s="26">
        <f t="shared" ca="1" si="96"/>
        <v>0.230336081353825</v>
      </c>
      <c r="AP624" s="29">
        <v>0</v>
      </c>
      <c r="AQ624">
        <v>0</v>
      </c>
      <c r="AR624" s="22">
        <v>45169</v>
      </c>
      <c r="AS624" s="26">
        <f t="shared" ca="1" si="97"/>
        <v>7.0248142032396488E-2</v>
      </c>
      <c r="AT624" s="29">
        <v>0</v>
      </c>
      <c r="AU624">
        <v>0</v>
      </c>
      <c r="AV624" s="22">
        <v>45169</v>
      </c>
      <c r="AW624" s="26">
        <f t="shared" ca="1" si="98"/>
        <v>0.86619477920386778</v>
      </c>
      <c r="AX624" s="29">
        <v>0</v>
      </c>
      <c r="AY624">
        <v>0</v>
      </c>
      <c r="AZ624" s="22">
        <v>45169</v>
      </c>
      <c r="BA624" s="26">
        <f t="shared" ca="1" si="99"/>
        <v>0.38328719259830835</v>
      </c>
      <c r="BB624" s="29">
        <v>0</v>
      </c>
      <c r="BC624">
        <v>0</v>
      </c>
      <c r="BD624" s="25"/>
      <c r="BF624" s="22">
        <v>45169</v>
      </c>
      <c r="BG624" s="26">
        <f t="shared" ca="1" si="100"/>
        <v>0.30070494776724332</v>
      </c>
      <c r="BH624" s="29">
        <v>0</v>
      </c>
      <c r="BI624">
        <v>0</v>
      </c>
      <c r="BJ624" s="22">
        <v>45169</v>
      </c>
      <c r="BK624" s="26">
        <f t="shared" ca="1" si="101"/>
        <v>0.71714345948151914</v>
      </c>
      <c r="BL624" s="29">
        <v>0</v>
      </c>
      <c r="BM624">
        <v>0</v>
      </c>
      <c r="BN624" s="22">
        <v>45169</v>
      </c>
      <c r="BO624" s="26">
        <f t="shared" ca="1" si="102"/>
        <v>0.74684500214076976</v>
      </c>
      <c r="BP624" s="29">
        <v>0</v>
      </c>
      <c r="BQ624">
        <v>0</v>
      </c>
      <c r="BR624" s="22">
        <v>45169</v>
      </c>
      <c r="BS624" s="26">
        <f t="shared" ca="1" si="103"/>
        <v>0.2202014048167853</v>
      </c>
      <c r="BT624" s="29">
        <v>0</v>
      </c>
      <c r="BU624">
        <v>0</v>
      </c>
      <c r="BV624" s="22">
        <v>45169</v>
      </c>
      <c r="BW624" s="26">
        <f t="shared" ca="1" si="104"/>
        <v>0.44876081671625634</v>
      </c>
      <c r="BX624" s="29">
        <v>0</v>
      </c>
      <c r="BY624">
        <v>0</v>
      </c>
    </row>
    <row r="625" spans="2:76" ht="12.75" x14ac:dyDescent="0.2">
      <c r="B625" s="22">
        <v>45170</v>
      </c>
      <c r="C625" s="26">
        <f t="shared" ca="1" si="68"/>
        <v>0.55020808703669144</v>
      </c>
      <c r="D625" s="29">
        <v>0</v>
      </c>
      <c r="F625" s="22">
        <v>45170</v>
      </c>
      <c r="G625" s="26">
        <f t="shared" ca="1" si="88"/>
        <v>0.15693118248766547</v>
      </c>
      <c r="H625" s="29">
        <v>0</v>
      </c>
      <c r="J625" s="22">
        <v>45170</v>
      </c>
      <c r="K625" s="26">
        <f t="shared" ca="1" si="89"/>
        <v>0.94201873520820389</v>
      </c>
      <c r="L625" s="29">
        <v>0</v>
      </c>
      <c r="N625" s="22">
        <v>45170</v>
      </c>
      <c r="O625" s="26">
        <f t="shared" ca="1" si="90"/>
        <v>0.52401588098765162</v>
      </c>
      <c r="P625" s="29">
        <v>0</v>
      </c>
      <c r="R625" s="22">
        <v>45170</v>
      </c>
      <c r="S625" s="26">
        <f t="shared" ca="1" si="91"/>
        <v>0.29648955377278963</v>
      </c>
      <c r="T625" s="29">
        <v>0</v>
      </c>
      <c r="V625" s="22">
        <v>45170</v>
      </c>
      <c r="W625" s="26">
        <f t="shared" ca="1" si="92"/>
        <v>0.59455487915308869</v>
      </c>
      <c r="X625" s="29">
        <v>0</v>
      </c>
      <c r="Z625" s="22">
        <v>45170</v>
      </c>
      <c r="AA625" s="26">
        <f t="shared" ca="1" si="93"/>
        <v>0.40548561608173228</v>
      </c>
      <c r="AB625" s="29">
        <v>0</v>
      </c>
      <c r="AC625"/>
      <c r="AD625" s="25"/>
      <c r="AF625" s="22">
        <v>45170</v>
      </c>
      <c r="AG625" s="26">
        <f t="shared" ca="1" si="94"/>
        <v>0.31112080214273741</v>
      </c>
      <c r="AH625" s="29">
        <v>0</v>
      </c>
      <c r="AJ625" s="22">
        <v>45170</v>
      </c>
      <c r="AK625" s="26">
        <f t="shared" ca="1" si="95"/>
        <v>0.45559917191403421</v>
      </c>
      <c r="AL625" s="29">
        <v>0</v>
      </c>
      <c r="AN625" s="22">
        <v>45170</v>
      </c>
      <c r="AO625" s="26">
        <f t="shared" ca="1" si="96"/>
        <v>3.5632565803660032E-2</v>
      </c>
      <c r="AP625" s="29">
        <v>0</v>
      </c>
      <c r="AR625" s="22">
        <v>45170</v>
      </c>
      <c r="AS625" s="26">
        <f t="shared" ca="1" si="97"/>
        <v>0.83568122842178627</v>
      </c>
      <c r="AT625" s="29">
        <v>0</v>
      </c>
      <c r="AV625" s="22">
        <v>45170</v>
      </c>
      <c r="AW625" s="26">
        <f t="shared" ca="1" si="98"/>
        <v>0.79472934452181343</v>
      </c>
      <c r="AX625" s="29">
        <v>0</v>
      </c>
      <c r="AZ625" s="22">
        <v>45170</v>
      </c>
      <c r="BA625" s="26">
        <f t="shared" ca="1" si="99"/>
        <v>0.30792044447992895</v>
      </c>
      <c r="BB625" s="29">
        <v>0</v>
      </c>
      <c r="BC625"/>
      <c r="BD625" s="25"/>
      <c r="BF625" s="22">
        <v>45170</v>
      </c>
      <c r="BG625" s="26">
        <f t="shared" ca="1" si="100"/>
        <v>2.0287744269180785E-2</v>
      </c>
      <c r="BH625" s="29">
        <v>0</v>
      </c>
      <c r="BJ625" s="22">
        <v>45170</v>
      </c>
      <c r="BK625" s="26">
        <f t="shared" ca="1" si="101"/>
        <v>0.14476134361761306</v>
      </c>
      <c r="BL625" s="29">
        <v>0</v>
      </c>
      <c r="BN625" s="22">
        <v>45170</v>
      </c>
      <c r="BO625" s="26">
        <f t="shared" ca="1" si="102"/>
        <v>0.99785338476610208</v>
      </c>
      <c r="BP625" s="29">
        <v>0</v>
      </c>
      <c r="BR625" s="22">
        <v>45170</v>
      </c>
      <c r="BS625" s="26">
        <f t="shared" ca="1" si="103"/>
        <v>0.40809674996479739</v>
      </c>
      <c r="BT625" s="29">
        <v>0</v>
      </c>
      <c r="BV625" s="22">
        <v>45170</v>
      </c>
      <c r="BW625" s="26">
        <f t="shared" ca="1" si="104"/>
        <v>0.73147750174218351</v>
      </c>
      <c r="BX625" s="29">
        <v>0</v>
      </c>
    </row>
    <row r="626" spans="2:76" ht="12.75" x14ac:dyDescent="0.2">
      <c r="B626" s="22">
        <v>45171</v>
      </c>
      <c r="C626" s="26">
        <f t="shared" ca="1" si="68"/>
        <v>0.80822153193224211</v>
      </c>
      <c r="D626" s="29">
        <f t="shared" ref="D626:D657" ca="1" si="106">ROUNDUP(_xlfn.NORM.INV(C626,C$10,C$12),0)</f>
        <v>93</v>
      </c>
      <c r="F626" s="22">
        <v>45171</v>
      </c>
      <c r="G626" s="26">
        <f t="shared" ca="1" si="88"/>
        <v>0.48634410114026849</v>
      </c>
      <c r="H626" s="29">
        <f t="shared" ref="H626:H688" ca="1" si="107">ROUNDUP(_xlfn.NORM.INV(G626,G$10,G$12),0)</f>
        <v>215</v>
      </c>
      <c r="J626" s="22">
        <v>45171</v>
      </c>
      <c r="K626" s="26">
        <f t="shared" ca="1" si="89"/>
        <v>2.9553441563604843E-2</v>
      </c>
      <c r="L626" s="29">
        <f t="shared" ref="L626:L688" ca="1" si="108">ROUNDUP(_xlfn.NORM.INV(K626,K$10,K$12),0)</f>
        <v>132</v>
      </c>
      <c r="N626" s="22">
        <v>45171</v>
      </c>
      <c r="O626" s="26">
        <f t="shared" ca="1" si="90"/>
        <v>0.98540456031084001</v>
      </c>
      <c r="P626" s="29">
        <f t="shared" ref="P626:P688" ca="1" si="109">ROUNDUP(_xlfn.NORM.INV(O626,O$10,O$12),0)</f>
        <v>263</v>
      </c>
      <c r="R626" s="22">
        <v>45171</v>
      </c>
      <c r="S626" s="26">
        <f t="shared" ca="1" si="91"/>
        <v>0.89573079766171992</v>
      </c>
      <c r="T626" s="29">
        <f t="shared" ref="T626:T688" ca="1" si="110">ROUNDUP(_xlfn.NORM.INV(S626,S$10,S$12),0)</f>
        <v>151</v>
      </c>
      <c r="V626" s="22">
        <v>45171</v>
      </c>
      <c r="W626" s="26">
        <f t="shared" ca="1" si="92"/>
        <v>0.53682699046937776</v>
      </c>
      <c r="X626" s="29">
        <f t="shared" ref="X626:X688" ca="1" si="111">ROUNDUP(_xlfn.NORM.INV(W626,W$10,W$12),0)</f>
        <v>227</v>
      </c>
      <c r="Z626" s="22">
        <v>45171</v>
      </c>
      <c r="AA626" s="26">
        <f t="shared" ca="1" si="93"/>
        <v>0.45608314170241249</v>
      </c>
      <c r="AB626" s="29">
        <f t="shared" ref="AB626:AB688" ca="1" si="112">ROUNDUP(_xlfn.NORM.INV(AA626,AA$10,AA$12),0)</f>
        <v>269</v>
      </c>
      <c r="AC626"/>
      <c r="AD626" s="25"/>
      <c r="AF626" s="22">
        <v>45171</v>
      </c>
      <c r="AG626" s="26">
        <f t="shared" ca="1" si="94"/>
        <v>0.87674579167654709</v>
      </c>
      <c r="AH626" s="29">
        <f t="shared" ref="AH626:AH688" ca="1" si="113">ROUNDUP(_xlfn.NORM.INV(AG626,AG$10,AG$12),0)</f>
        <v>429</v>
      </c>
      <c r="AJ626" s="22">
        <v>45171</v>
      </c>
      <c r="AK626" s="26">
        <f t="shared" ca="1" si="95"/>
        <v>0.8033067840561452</v>
      </c>
      <c r="AL626" s="29">
        <f t="shared" ref="AL626:AL688" ca="1" si="114">ROUNDUP(_xlfn.NORM.INV(AK626,AK$10,AK$12),0)</f>
        <v>210</v>
      </c>
      <c r="AN626" s="22">
        <v>45171</v>
      </c>
      <c r="AO626" s="26">
        <f t="shared" ca="1" si="96"/>
        <v>0.51180363768229686</v>
      </c>
      <c r="AP626" s="29">
        <f t="shared" ref="AP626:AP688" ca="1" si="115">ROUNDUP(_xlfn.NORM.INV(AO626,AO$10,AO$12),0)</f>
        <v>234</v>
      </c>
      <c r="AR626" s="22">
        <v>45171</v>
      </c>
      <c r="AS626" s="26">
        <f t="shared" ca="1" si="97"/>
        <v>0.66447459334535808</v>
      </c>
      <c r="AT626" s="29">
        <f t="shared" ref="AT626:AT688" ca="1" si="116">ROUNDUP(_xlfn.NORM.INV(AS626,AS$10,AS$12),0)</f>
        <v>221</v>
      </c>
      <c r="AV626" s="22">
        <v>45171</v>
      </c>
      <c r="AW626" s="26">
        <f t="shared" ca="1" si="98"/>
        <v>0.53731401637931042</v>
      </c>
      <c r="AX626" s="29">
        <v>0</v>
      </c>
      <c r="AZ626" s="22">
        <v>45171</v>
      </c>
      <c r="BA626" s="26">
        <f t="shared" ca="1" si="99"/>
        <v>0.6300091004317756</v>
      </c>
      <c r="BB626" s="29">
        <v>0</v>
      </c>
      <c r="BC626"/>
      <c r="BD626" s="25"/>
      <c r="BF626" s="22">
        <v>45171</v>
      </c>
      <c r="BG626" s="26">
        <f t="shared" ca="1" si="100"/>
        <v>0.46577723385459713</v>
      </c>
      <c r="BH626" s="29">
        <v>0</v>
      </c>
      <c r="BJ626" s="22">
        <v>45171</v>
      </c>
      <c r="BK626" s="26">
        <f t="shared" ca="1" si="101"/>
        <v>0.97489560091269034</v>
      </c>
      <c r="BL626" s="29">
        <v>0</v>
      </c>
      <c r="BN626" s="22">
        <v>45171</v>
      </c>
      <c r="BO626" s="26">
        <f t="shared" ca="1" si="102"/>
        <v>0.83247984078367854</v>
      </c>
      <c r="BP626" s="29">
        <v>0</v>
      </c>
      <c r="BR626" s="22">
        <v>45171</v>
      </c>
      <c r="BS626" s="26">
        <f t="shared" ca="1" si="103"/>
        <v>0.33343253296935393</v>
      </c>
      <c r="BT626" s="29">
        <v>0</v>
      </c>
      <c r="BV626" s="22">
        <v>45171</v>
      </c>
      <c r="BW626" s="26">
        <f t="shared" ca="1" si="104"/>
        <v>0.25819391054730711</v>
      </c>
      <c r="BX626" s="29">
        <v>0</v>
      </c>
    </row>
    <row r="627" spans="2:76" ht="12.75" x14ac:dyDescent="0.2">
      <c r="B627" s="22">
        <v>45172</v>
      </c>
      <c r="C627" s="26">
        <f t="shared" ca="1" si="68"/>
        <v>0.67053332856942605</v>
      </c>
      <c r="D627" s="29">
        <f t="shared" ca="1" si="106"/>
        <v>84</v>
      </c>
      <c r="F627" s="22">
        <v>45172</v>
      </c>
      <c r="G627" s="26">
        <f t="shared" ca="1" si="88"/>
        <v>0.55847014405219886</v>
      </c>
      <c r="H627" s="29">
        <f t="shared" ca="1" si="107"/>
        <v>218</v>
      </c>
      <c r="J627" s="22">
        <v>45172</v>
      </c>
      <c r="K627" s="26">
        <f t="shared" ca="1" si="89"/>
        <v>0.1477033753587268</v>
      </c>
      <c r="L627" s="29">
        <f t="shared" ca="1" si="108"/>
        <v>140</v>
      </c>
      <c r="N627" s="22">
        <v>45172</v>
      </c>
      <c r="O627" s="26">
        <f t="shared" ca="1" si="90"/>
        <v>0.58928524281801498</v>
      </c>
      <c r="P627" s="29">
        <f t="shared" ca="1" si="109"/>
        <v>233</v>
      </c>
      <c r="R627" s="22">
        <v>45172</v>
      </c>
      <c r="S627" s="26">
        <f t="shared" ca="1" si="91"/>
        <v>2.5888942615781563E-2</v>
      </c>
      <c r="T627" s="29">
        <f t="shared" ca="1" si="110"/>
        <v>121</v>
      </c>
      <c r="V627" s="22">
        <v>45172</v>
      </c>
      <c r="W627" s="26">
        <f t="shared" ca="1" si="92"/>
        <v>0.5127138003436934</v>
      </c>
      <c r="X627" s="29">
        <f t="shared" ca="1" si="111"/>
        <v>226</v>
      </c>
      <c r="Z627" s="22">
        <v>45172</v>
      </c>
      <c r="AA627" s="26">
        <f t="shared" ca="1" si="93"/>
        <v>0.53732074539715324</v>
      </c>
      <c r="AB627" s="29">
        <f t="shared" ca="1" si="112"/>
        <v>272</v>
      </c>
      <c r="AC627"/>
      <c r="AD627" s="25"/>
      <c r="AF627" s="22">
        <v>45172</v>
      </c>
      <c r="AG627" s="26">
        <f t="shared" ca="1" si="94"/>
        <v>1.3343296564242713E-2</v>
      </c>
      <c r="AH627" s="29">
        <f t="shared" ca="1" si="113"/>
        <v>134</v>
      </c>
      <c r="AJ627" s="22">
        <v>45172</v>
      </c>
      <c r="AK627" s="26">
        <f t="shared" ca="1" si="95"/>
        <v>0.28118314738338956</v>
      </c>
      <c r="AL627" s="29">
        <f t="shared" ca="1" si="114"/>
        <v>145</v>
      </c>
      <c r="AN627" s="22">
        <v>45172</v>
      </c>
      <c r="AO627" s="26">
        <f t="shared" ca="1" si="96"/>
        <v>0.28480809418483699</v>
      </c>
      <c r="AP627" s="29">
        <f t="shared" ca="1" si="115"/>
        <v>197</v>
      </c>
      <c r="AR627" s="22">
        <v>45172</v>
      </c>
      <c r="AS627" s="26">
        <f t="shared" ca="1" si="97"/>
        <v>0.9493699099601649</v>
      </c>
      <c r="AT627" s="29">
        <f t="shared" ca="1" si="116"/>
        <v>285</v>
      </c>
      <c r="AV627" s="22">
        <v>45172</v>
      </c>
      <c r="AW627" s="26">
        <f t="shared" ca="1" si="98"/>
        <v>0.65569718058611304</v>
      </c>
      <c r="AX627" s="29">
        <v>0</v>
      </c>
      <c r="AZ627" s="22">
        <v>45172</v>
      </c>
      <c r="BA627" s="26">
        <f t="shared" ca="1" si="99"/>
        <v>0.42660689509186445</v>
      </c>
      <c r="BB627" s="29">
        <v>0</v>
      </c>
      <c r="BC627"/>
      <c r="BD627" s="25"/>
      <c r="BF627" s="22">
        <v>45172</v>
      </c>
      <c r="BG627" s="26">
        <f t="shared" ca="1" si="100"/>
        <v>0.19824532830841979</v>
      </c>
      <c r="BH627" s="29">
        <v>0</v>
      </c>
      <c r="BJ627" s="22">
        <v>45172</v>
      </c>
      <c r="BK627" s="26">
        <f t="shared" ca="1" si="101"/>
        <v>0.71381587435269389</v>
      </c>
      <c r="BL627" s="29">
        <v>0</v>
      </c>
      <c r="BN627" s="22">
        <v>45172</v>
      </c>
      <c r="BO627" s="26">
        <f t="shared" ca="1" si="102"/>
        <v>0.79753843253548373</v>
      </c>
      <c r="BP627" s="29">
        <v>0</v>
      </c>
      <c r="BR627" s="22">
        <v>45172</v>
      </c>
      <c r="BS627" s="26">
        <f t="shared" ca="1" si="103"/>
        <v>0.88387944029951093</v>
      </c>
      <c r="BT627" s="29">
        <v>0</v>
      </c>
      <c r="BV627" s="22">
        <v>45172</v>
      </c>
      <c r="BW627" s="26">
        <f t="shared" ca="1" si="104"/>
        <v>0.53512144463226219</v>
      </c>
      <c r="BX627" s="29">
        <v>0</v>
      </c>
    </row>
    <row r="628" spans="2:76" ht="12.75" x14ac:dyDescent="0.2">
      <c r="B628" s="22">
        <v>45173</v>
      </c>
      <c r="C628" s="26">
        <f t="shared" ca="1" si="68"/>
        <v>6.6146914266064893E-2</v>
      </c>
      <c r="D628" s="29">
        <f t="shared" ca="1" si="106"/>
        <v>45</v>
      </c>
      <c r="F628" s="22">
        <v>45173</v>
      </c>
      <c r="G628" s="26">
        <f t="shared" ca="1" si="88"/>
        <v>0.27767467259140688</v>
      </c>
      <c r="H628" s="29">
        <f t="shared" ca="1" si="107"/>
        <v>207</v>
      </c>
      <c r="J628" s="22">
        <v>45173</v>
      </c>
      <c r="K628" s="26">
        <f t="shared" ca="1" si="89"/>
        <v>0.33113498322593748</v>
      </c>
      <c r="L628" s="29">
        <f t="shared" ca="1" si="108"/>
        <v>146</v>
      </c>
      <c r="N628" s="22">
        <v>45173</v>
      </c>
      <c r="O628" s="26">
        <f t="shared" ca="1" si="90"/>
        <v>8.5153456320075538E-2</v>
      </c>
      <c r="P628" s="29">
        <f t="shared" ca="1" si="109"/>
        <v>209</v>
      </c>
      <c r="R628" s="22">
        <v>45173</v>
      </c>
      <c r="S628" s="26">
        <f t="shared" ca="1" si="91"/>
        <v>0.63501206830364398</v>
      </c>
      <c r="T628" s="29">
        <f t="shared" ca="1" si="110"/>
        <v>142</v>
      </c>
      <c r="V628" s="22">
        <v>45173</v>
      </c>
      <c r="W628" s="26">
        <f t="shared" ca="1" si="92"/>
        <v>0.93264930643692268</v>
      </c>
      <c r="X628" s="29">
        <f t="shared" ca="1" si="111"/>
        <v>248</v>
      </c>
      <c r="Z628" s="22">
        <v>45173</v>
      </c>
      <c r="AA628" s="26">
        <f t="shared" ca="1" si="93"/>
        <v>0.60027427631145236</v>
      </c>
      <c r="AB628" s="29">
        <f t="shared" ca="1" si="112"/>
        <v>275</v>
      </c>
      <c r="AC628"/>
      <c r="AD628" s="25"/>
      <c r="AF628" s="22">
        <v>45173</v>
      </c>
      <c r="AG628" s="26">
        <f t="shared" ca="1" si="94"/>
        <v>0.90939768490947481</v>
      </c>
      <c r="AH628" s="29">
        <f t="shared" ca="1" si="113"/>
        <v>444</v>
      </c>
      <c r="AJ628" s="22">
        <v>45173</v>
      </c>
      <c r="AK628" s="26">
        <f t="shared" ca="1" si="95"/>
        <v>0.82111743504919465</v>
      </c>
      <c r="AL628" s="29">
        <f t="shared" ca="1" si="114"/>
        <v>213</v>
      </c>
      <c r="AN628" s="22">
        <v>45173</v>
      </c>
      <c r="AO628" s="26">
        <f t="shared" ca="1" si="96"/>
        <v>1.1172875348392619E-2</v>
      </c>
      <c r="AP628" s="29">
        <f t="shared" ca="1" si="115"/>
        <v>91</v>
      </c>
      <c r="AR628" s="22">
        <v>45173</v>
      </c>
      <c r="AS628" s="26">
        <f t="shared" ca="1" si="97"/>
        <v>0.41651834650076369</v>
      </c>
      <c r="AT628" s="29">
        <f t="shared" ca="1" si="116"/>
        <v>187</v>
      </c>
      <c r="AV628" s="22">
        <v>45173</v>
      </c>
      <c r="AW628" s="26">
        <f t="shared" ca="1" si="98"/>
        <v>0.28026504497440829</v>
      </c>
      <c r="AX628" s="29">
        <v>0</v>
      </c>
      <c r="AZ628" s="22">
        <v>45173</v>
      </c>
      <c r="BA628" s="26">
        <f t="shared" ca="1" si="99"/>
        <v>0.30075333099402113</v>
      </c>
      <c r="BB628" s="29">
        <v>0</v>
      </c>
      <c r="BC628"/>
      <c r="BD628" s="25"/>
      <c r="BF628" s="22">
        <v>45173</v>
      </c>
      <c r="BG628" s="26">
        <f t="shared" ca="1" si="100"/>
        <v>0.73104574566540748</v>
      </c>
      <c r="BH628" s="29">
        <v>0</v>
      </c>
      <c r="BJ628" s="22">
        <v>45173</v>
      </c>
      <c r="BK628" s="26">
        <f t="shared" ca="1" si="101"/>
        <v>0.72828971006474275</v>
      </c>
      <c r="BL628" s="29">
        <v>0</v>
      </c>
      <c r="BN628" s="22">
        <v>45173</v>
      </c>
      <c r="BO628" s="26">
        <f t="shared" ca="1" si="102"/>
        <v>0.37306569840996506</v>
      </c>
      <c r="BP628" s="29">
        <v>0</v>
      </c>
      <c r="BR628" s="22">
        <v>45173</v>
      </c>
      <c r="BS628" s="26">
        <f t="shared" ca="1" si="103"/>
        <v>0.77454392014845341</v>
      </c>
      <c r="BT628" s="29">
        <v>0</v>
      </c>
      <c r="BV628" s="22">
        <v>45173</v>
      </c>
      <c r="BW628" s="26">
        <f t="shared" ca="1" si="104"/>
        <v>0.97608814794219101</v>
      </c>
      <c r="BX628" s="29">
        <v>0</v>
      </c>
    </row>
    <row r="629" spans="2:76" ht="12.75" x14ac:dyDescent="0.2">
      <c r="B629" s="22">
        <v>45174</v>
      </c>
      <c r="C629" s="26">
        <f t="shared" ca="1" si="68"/>
        <v>4.5642261227087144E-2</v>
      </c>
      <c r="D629" s="29">
        <f t="shared" ca="1" si="106"/>
        <v>42</v>
      </c>
      <c r="F629" s="22">
        <v>45174</v>
      </c>
      <c r="G629" s="26">
        <f t="shared" ca="1" si="88"/>
        <v>0.65535696366242135</v>
      </c>
      <c r="H629" s="29">
        <f t="shared" ca="1" si="107"/>
        <v>222</v>
      </c>
      <c r="J629" s="22">
        <v>45174</v>
      </c>
      <c r="K629" s="26">
        <f t="shared" ca="1" si="89"/>
        <v>0.68838942125372393</v>
      </c>
      <c r="L629" s="29">
        <f t="shared" ca="1" si="108"/>
        <v>155</v>
      </c>
      <c r="N629" s="22">
        <v>45174</v>
      </c>
      <c r="O629" s="26">
        <f t="shared" ca="1" si="90"/>
        <v>0.86495447854971352</v>
      </c>
      <c r="P629" s="29">
        <f t="shared" ca="1" si="109"/>
        <v>247</v>
      </c>
      <c r="R629" s="22">
        <v>45174</v>
      </c>
      <c r="S629" s="26">
        <f t="shared" ca="1" si="91"/>
        <v>0.14749557873490449</v>
      </c>
      <c r="T629" s="29">
        <f t="shared" ca="1" si="110"/>
        <v>130</v>
      </c>
      <c r="V629" s="22">
        <v>45174</v>
      </c>
      <c r="W629" s="26">
        <f t="shared" ca="1" si="92"/>
        <v>0.16130408141760466</v>
      </c>
      <c r="X629" s="29">
        <f t="shared" ca="1" si="111"/>
        <v>211</v>
      </c>
      <c r="Z629" s="22">
        <v>45174</v>
      </c>
      <c r="AA629" s="26">
        <f t="shared" ca="1" si="93"/>
        <v>0.74026730630060522</v>
      </c>
      <c r="AB629" s="29">
        <f t="shared" ca="1" si="112"/>
        <v>282</v>
      </c>
      <c r="AC629"/>
      <c r="AD629" s="25"/>
      <c r="AF629" s="22">
        <v>45174</v>
      </c>
      <c r="AG629" s="26">
        <f t="shared" ca="1" si="94"/>
        <v>7.5031645574175077E-4</v>
      </c>
      <c r="AH629" s="29">
        <f t="shared" ca="1" si="113"/>
        <v>51</v>
      </c>
      <c r="AJ629" s="22">
        <v>45174</v>
      </c>
      <c r="AK629" s="26">
        <f t="shared" ca="1" si="95"/>
        <v>0.58768923684298979</v>
      </c>
      <c r="AL629" s="29">
        <f t="shared" ca="1" si="114"/>
        <v>181</v>
      </c>
      <c r="AN629" s="22">
        <v>45174</v>
      </c>
      <c r="AO629" s="26">
        <f t="shared" ca="1" si="96"/>
        <v>0.47688296468085489</v>
      </c>
      <c r="AP629" s="29">
        <f t="shared" ca="1" si="115"/>
        <v>229</v>
      </c>
      <c r="AR629" s="22">
        <v>45174</v>
      </c>
      <c r="AS629" s="26">
        <f t="shared" ca="1" si="97"/>
        <v>0.32516296247705467</v>
      </c>
      <c r="AT629" s="29">
        <f t="shared" ca="1" si="116"/>
        <v>175</v>
      </c>
      <c r="AV629" s="22">
        <v>45174</v>
      </c>
      <c r="AW629" s="26">
        <f t="shared" ca="1" si="98"/>
        <v>5.5180129517543253E-2</v>
      </c>
      <c r="AX629" s="29">
        <v>0</v>
      </c>
      <c r="AZ629" s="22">
        <v>45174</v>
      </c>
      <c r="BA629" s="26">
        <f t="shared" ca="1" si="99"/>
        <v>0.26313948825493882</v>
      </c>
      <c r="BB629" s="29">
        <v>0</v>
      </c>
      <c r="BC629"/>
      <c r="BD629" s="25"/>
      <c r="BF629" s="22">
        <v>45174</v>
      </c>
      <c r="BG629" s="26">
        <f t="shared" ca="1" si="100"/>
        <v>0.41845110740029035</v>
      </c>
      <c r="BH629" s="29">
        <v>0</v>
      </c>
      <c r="BJ629" s="22">
        <v>45174</v>
      </c>
      <c r="BK629" s="26">
        <f t="shared" ca="1" si="101"/>
        <v>0.6106318013087263</v>
      </c>
      <c r="BL629" s="29">
        <v>0</v>
      </c>
      <c r="BN629" s="22">
        <v>45174</v>
      </c>
      <c r="BO629" s="26">
        <f t="shared" ca="1" si="102"/>
        <v>0.33504927974673471</v>
      </c>
      <c r="BP629" s="29">
        <v>0</v>
      </c>
      <c r="BR629" s="22">
        <v>45174</v>
      </c>
      <c r="BS629" s="26">
        <f t="shared" ca="1" si="103"/>
        <v>0.35799433138982661</v>
      </c>
      <c r="BT629" s="29">
        <v>0</v>
      </c>
      <c r="BV629" s="22">
        <v>45174</v>
      </c>
      <c r="BW629" s="26">
        <f t="shared" ca="1" si="104"/>
        <v>0.9233348119711775</v>
      </c>
      <c r="BX629" s="29">
        <v>0</v>
      </c>
    </row>
    <row r="630" spans="2:76" ht="12.75" x14ac:dyDescent="0.2">
      <c r="B630" s="22">
        <v>45175</v>
      </c>
      <c r="C630" s="26">
        <f t="shared" ca="1" si="68"/>
        <v>0.54919439679227522</v>
      </c>
      <c r="D630" s="29">
        <f t="shared" ca="1" si="106"/>
        <v>78</v>
      </c>
      <c r="F630" s="22">
        <v>45175</v>
      </c>
      <c r="G630" s="26">
        <f t="shared" ca="1" si="88"/>
        <v>0.69486969104234053</v>
      </c>
      <c r="H630" s="29">
        <f t="shared" ca="1" si="107"/>
        <v>223</v>
      </c>
      <c r="J630" s="22">
        <v>45175</v>
      </c>
      <c r="K630" s="26">
        <f t="shared" ca="1" si="89"/>
        <v>2.0853324582995825E-2</v>
      </c>
      <c r="L630" s="29">
        <f t="shared" ca="1" si="108"/>
        <v>130</v>
      </c>
      <c r="N630" s="22">
        <v>45175</v>
      </c>
      <c r="O630" s="26">
        <f t="shared" ca="1" si="90"/>
        <v>0.77435438655779931</v>
      </c>
      <c r="P630" s="29">
        <f t="shared" ca="1" si="109"/>
        <v>241</v>
      </c>
      <c r="R630" s="22">
        <v>45175</v>
      </c>
      <c r="S630" s="26">
        <f t="shared" ca="1" si="91"/>
        <v>0.49441321660129878</v>
      </c>
      <c r="T630" s="29">
        <f t="shared" ca="1" si="110"/>
        <v>139</v>
      </c>
      <c r="V630" s="22">
        <v>45175</v>
      </c>
      <c r="W630" s="26">
        <f t="shared" ca="1" si="92"/>
        <v>0.44664594717561013</v>
      </c>
      <c r="X630" s="29">
        <f t="shared" ca="1" si="111"/>
        <v>223</v>
      </c>
      <c r="Z630" s="22">
        <v>45175</v>
      </c>
      <c r="AA630" s="26">
        <f t="shared" ca="1" si="93"/>
        <v>0.35420229632537559</v>
      </c>
      <c r="AB630" s="29">
        <f t="shared" ca="1" si="112"/>
        <v>264</v>
      </c>
      <c r="AC630"/>
      <c r="AD630" s="25"/>
      <c r="AF630" s="22">
        <v>45175</v>
      </c>
      <c r="AG630" s="26">
        <f t="shared" ca="1" si="94"/>
        <v>0.83284659994453136</v>
      </c>
      <c r="AH630" s="29">
        <f t="shared" ca="1" si="113"/>
        <v>412</v>
      </c>
      <c r="AJ630" s="22">
        <v>45175</v>
      </c>
      <c r="AK630" s="26">
        <f t="shared" ca="1" si="95"/>
        <v>0.79646838725086466</v>
      </c>
      <c r="AL630" s="29">
        <f t="shared" ca="1" si="114"/>
        <v>209</v>
      </c>
      <c r="AN630" s="22">
        <v>45175</v>
      </c>
      <c r="AO630" s="26">
        <f t="shared" ca="1" si="96"/>
        <v>0.30968578613480446</v>
      </c>
      <c r="AP630" s="29">
        <f t="shared" ca="1" si="115"/>
        <v>202</v>
      </c>
      <c r="AR630" s="22">
        <v>45175</v>
      </c>
      <c r="AS630" s="26">
        <f t="shared" ca="1" si="97"/>
        <v>0.94183718791937343</v>
      </c>
      <c r="AT630" s="29">
        <f t="shared" ca="1" si="116"/>
        <v>281</v>
      </c>
      <c r="AV630" s="22">
        <v>45175</v>
      </c>
      <c r="AW630" s="26">
        <f t="shared" ca="1" si="98"/>
        <v>0.86848941900482735</v>
      </c>
      <c r="AX630" s="29">
        <v>0</v>
      </c>
      <c r="AZ630" s="22">
        <v>45175</v>
      </c>
      <c r="BA630" s="26">
        <f t="shared" ca="1" si="99"/>
        <v>0.37184533417543519</v>
      </c>
      <c r="BB630" s="29">
        <v>0</v>
      </c>
      <c r="BC630"/>
      <c r="BD630" s="25"/>
      <c r="BF630" s="22">
        <v>45175</v>
      </c>
      <c r="BG630" s="26">
        <f t="shared" ca="1" si="100"/>
        <v>0.70016982954981466</v>
      </c>
      <c r="BH630" s="29">
        <v>0</v>
      </c>
      <c r="BJ630" s="22">
        <v>45175</v>
      </c>
      <c r="BK630" s="26">
        <f t="shared" ca="1" si="101"/>
        <v>0.69468120515702481</v>
      </c>
      <c r="BL630" s="29">
        <v>0</v>
      </c>
      <c r="BN630" s="22">
        <v>45175</v>
      </c>
      <c r="BO630" s="26">
        <f t="shared" ca="1" si="102"/>
        <v>0.59050776739484057</v>
      </c>
      <c r="BP630" s="29">
        <v>0</v>
      </c>
      <c r="BR630" s="22">
        <v>45175</v>
      </c>
      <c r="BS630" s="26">
        <f t="shared" ca="1" si="103"/>
        <v>0.43536853705593204</v>
      </c>
      <c r="BT630" s="29">
        <v>0</v>
      </c>
      <c r="BV630" s="22">
        <v>45175</v>
      </c>
      <c r="BW630" s="26">
        <f t="shared" ca="1" si="104"/>
        <v>0.89683114508096917</v>
      </c>
      <c r="BX630" s="29">
        <v>0</v>
      </c>
    </row>
    <row r="631" spans="2:76" ht="12.75" x14ac:dyDescent="0.2">
      <c r="B631" s="22">
        <v>45176</v>
      </c>
      <c r="C631" s="26">
        <f t="shared" ca="1" si="68"/>
        <v>0.7188168912162729</v>
      </c>
      <c r="D631" s="29">
        <f t="shared" ca="1" si="106"/>
        <v>87</v>
      </c>
      <c r="F631" s="22">
        <v>45176</v>
      </c>
      <c r="G631" s="26">
        <f t="shared" ca="1" si="88"/>
        <v>0.96357794942623176</v>
      </c>
      <c r="H631" s="29">
        <f t="shared" ca="1" si="107"/>
        <v>242</v>
      </c>
      <c r="J631" s="22">
        <v>45176</v>
      </c>
      <c r="K631" s="26">
        <f t="shared" ca="1" si="89"/>
        <v>0.17403553897172608</v>
      </c>
      <c r="L631" s="29">
        <f t="shared" ca="1" si="108"/>
        <v>141</v>
      </c>
      <c r="N631" s="22">
        <v>45176</v>
      </c>
      <c r="O631" s="26">
        <f t="shared" ca="1" si="90"/>
        <v>0.26743979366218662</v>
      </c>
      <c r="P631" s="29">
        <f t="shared" ca="1" si="109"/>
        <v>220</v>
      </c>
      <c r="R631" s="22">
        <v>45176</v>
      </c>
      <c r="S631" s="26">
        <f t="shared" ca="1" si="91"/>
        <v>0.44106116143645191</v>
      </c>
      <c r="T631" s="29">
        <f t="shared" ca="1" si="110"/>
        <v>138</v>
      </c>
      <c r="V631" s="22">
        <v>45176</v>
      </c>
      <c r="W631" s="26">
        <f t="shared" ca="1" si="92"/>
        <v>0.84445700201572704</v>
      </c>
      <c r="X631" s="29">
        <f t="shared" ca="1" si="111"/>
        <v>241</v>
      </c>
      <c r="Z631" s="22">
        <v>45176</v>
      </c>
      <c r="AA631" s="26">
        <f t="shared" ca="1" si="93"/>
        <v>9.4210756424485398E-2</v>
      </c>
      <c r="AB631" s="29">
        <f t="shared" ca="1" si="112"/>
        <v>247</v>
      </c>
      <c r="AC631"/>
      <c r="AD631" s="25"/>
      <c r="AF631" s="22">
        <v>45176</v>
      </c>
      <c r="AG631" s="26">
        <f t="shared" ca="1" si="94"/>
        <v>0.24474321422921319</v>
      </c>
      <c r="AH631" s="29">
        <f t="shared" ca="1" si="113"/>
        <v>267</v>
      </c>
      <c r="AJ631" s="22">
        <v>45176</v>
      </c>
      <c r="AK631" s="26">
        <f t="shared" ca="1" si="95"/>
        <v>4.6988183920150584E-2</v>
      </c>
      <c r="AL631" s="29">
        <f t="shared" ca="1" si="114"/>
        <v>95</v>
      </c>
      <c r="AN631" s="22">
        <v>45176</v>
      </c>
      <c r="AO631" s="26">
        <f t="shared" ca="1" si="96"/>
        <v>0.12121489930134355</v>
      </c>
      <c r="AP631" s="29">
        <f t="shared" ca="1" si="115"/>
        <v>160</v>
      </c>
      <c r="AR631" s="22">
        <v>45176</v>
      </c>
      <c r="AS631" s="26">
        <f t="shared" ca="1" si="97"/>
        <v>0.84957289751725051</v>
      </c>
      <c r="AT631" s="29">
        <f t="shared" ca="1" si="116"/>
        <v>253</v>
      </c>
      <c r="AV631" s="22">
        <v>45176</v>
      </c>
      <c r="AW631" s="26">
        <f t="shared" ca="1" si="98"/>
        <v>0.4056285018688045</v>
      </c>
      <c r="AX631" s="29">
        <v>0</v>
      </c>
      <c r="AZ631" s="22">
        <v>45176</v>
      </c>
      <c r="BA631" s="26">
        <f t="shared" ca="1" si="99"/>
        <v>0.72467628523847982</v>
      </c>
      <c r="BB631" s="29">
        <v>0</v>
      </c>
      <c r="BC631"/>
      <c r="BD631" s="25"/>
      <c r="BF631" s="22">
        <v>45176</v>
      </c>
      <c r="BG631" s="26">
        <f t="shared" ca="1" si="100"/>
        <v>0.23336468630449647</v>
      </c>
      <c r="BH631" s="29">
        <v>0</v>
      </c>
      <c r="BJ631" s="22">
        <v>45176</v>
      </c>
      <c r="BK631" s="26">
        <f t="shared" ca="1" si="101"/>
        <v>0.19619479341594193</v>
      </c>
      <c r="BL631" s="29">
        <v>0</v>
      </c>
      <c r="BN631" s="22">
        <v>45176</v>
      </c>
      <c r="BO631" s="26">
        <f t="shared" ca="1" si="102"/>
        <v>0.26203671226914194</v>
      </c>
      <c r="BP631" s="29">
        <v>0</v>
      </c>
      <c r="BR631" s="22">
        <v>45176</v>
      </c>
      <c r="BS631" s="26">
        <f t="shared" ca="1" si="103"/>
        <v>0.59181508818569495</v>
      </c>
      <c r="BT631" s="29">
        <v>0</v>
      </c>
      <c r="BV631" s="22">
        <v>45176</v>
      </c>
      <c r="BW631" s="26">
        <f t="shared" ca="1" si="104"/>
        <v>0.19195182351412787</v>
      </c>
      <c r="BX631" s="29">
        <v>0</v>
      </c>
    </row>
    <row r="632" spans="2:76" ht="12.75" x14ac:dyDescent="0.2">
      <c r="B632" s="22">
        <v>45177</v>
      </c>
      <c r="C632" s="26">
        <f t="shared" ca="1" si="68"/>
        <v>0.39148448350839504</v>
      </c>
      <c r="D632" s="29">
        <f t="shared" ca="1" si="106"/>
        <v>70</v>
      </c>
      <c r="F632" s="22">
        <v>45177</v>
      </c>
      <c r="G632" s="26">
        <f t="shared" ca="1" si="88"/>
        <v>0.23134597129619339</v>
      </c>
      <c r="H632" s="29">
        <f t="shared" ca="1" si="107"/>
        <v>205</v>
      </c>
      <c r="J632" s="22">
        <v>45177</v>
      </c>
      <c r="K632" s="26">
        <f t="shared" ca="1" si="89"/>
        <v>5.5709468705895548E-2</v>
      </c>
      <c r="L632" s="29">
        <f t="shared" ca="1" si="108"/>
        <v>135</v>
      </c>
      <c r="N632" s="22">
        <v>45177</v>
      </c>
      <c r="O632" s="26">
        <f t="shared" ca="1" si="90"/>
        <v>0.77276996659076869</v>
      </c>
      <c r="P632" s="29">
        <f t="shared" ca="1" si="109"/>
        <v>241</v>
      </c>
      <c r="R632" s="22">
        <v>45177</v>
      </c>
      <c r="S632" s="26">
        <f t="shared" ca="1" si="91"/>
        <v>0.94420046285508585</v>
      </c>
      <c r="T632" s="29">
        <f t="shared" ca="1" si="110"/>
        <v>154</v>
      </c>
      <c r="V632" s="22">
        <v>45177</v>
      </c>
      <c r="W632" s="26">
        <f t="shared" ca="1" si="92"/>
        <v>0.10172329027797966</v>
      </c>
      <c r="X632" s="29">
        <f t="shared" ca="1" si="111"/>
        <v>206</v>
      </c>
      <c r="Z632" s="22">
        <v>45177</v>
      </c>
      <c r="AA632" s="26">
        <f t="shared" ca="1" si="93"/>
        <v>0.61694766356763941</v>
      </c>
      <c r="AB632" s="29">
        <f t="shared" ca="1" si="112"/>
        <v>276</v>
      </c>
      <c r="AC632"/>
      <c r="AD632" s="25"/>
      <c r="AF632" s="22">
        <v>45177</v>
      </c>
      <c r="AG632" s="26">
        <f t="shared" ca="1" si="94"/>
        <v>0.9883995595981212</v>
      </c>
      <c r="AH632" s="29">
        <f t="shared" ca="1" si="113"/>
        <v>525</v>
      </c>
      <c r="AJ632" s="22">
        <v>45177</v>
      </c>
      <c r="AK632" s="26">
        <f t="shared" ca="1" si="95"/>
        <v>0.87262509100401353</v>
      </c>
      <c r="AL632" s="29">
        <f t="shared" ca="1" si="114"/>
        <v>223</v>
      </c>
      <c r="AN632" s="22">
        <v>45177</v>
      </c>
      <c r="AO632" s="26">
        <f t="shared" ca="1" si="96"/>
        <v>0.18849211921915898</v>
      </c>
      <c r="AP632" s="29">
        <f t="shared" ca="1" si="115"/>
        <v>178</v>
      </c>
      <c r="AR632" s="22">
        <v>45177</v>
      </c>
      <c r="AS632" s="26">
        <f t="shared" ca="1" si="97"/>
        <v>3.7811551872155569E-3</v>
      </c>
      <c r="AT632" s="29">
        <f t="shared" ca="1" si="116"/>
        <v>57</v>
      </c>
      <c r="AV632" s="22">
        <v>45177</v>
      </c>
      <c r="AW632" s="26">
        <f t="shared" ca="1" si="98"/>
        <v>0.84259266049974224</v>
      </c>
      <c r="AX632" s="29">
        <v>0</v>
      </c>
      <c r="AZ632" s="22">
        <v>45177</v>
      </c>
      <c r="BA632" s="26">
        <f t="shared" ca="1" si="99"/>
        <v>0.33582159432651504</v>
      </c>
      <c r="BB632" s="29">
        <v>0</v>
      </c>
      <c r="BC632"/>
      <c r="BD632" s="25"/>
      <c r="BF632" s="22">
        <v>45177</v>
      </c>
      <c r="BG632" s="26">
        <f t="shared" ca="1" si="100"/>
        <v>5.2040827130882983E-2</v>
      </c>
      <c r="BH632" s="29">
        <v>0</v>
      </c>
      <c r="BJ632" s="22">
        <v>45177</v>
      </c>
      <c r="BK632" s="26">
        <f t="shared" ca="1" si="101"/>
        <v>0.61089451598999189</v>
      </c>
      <c r="BL632" s="29">
        <v>0</v>
      </c>
      <c r="BN632" s="22">
        <v>45177</v>
      </c>
      <c r="BO632" s="26">
        <f t="shared" ca="1" si="102"/>
        <v>0.26882988831637511</v>
      </c>
      <c r="BP632" s="29">
        <v>0</v>
      </c>
      <c r="BR632" s="22">
        <v>45177</v>
      </c>
      <c r="BS632" s="26">
        <f t="shared" ca="1" si="103"/>
        <v>6.6316662613748245E-2</v>
      </c>
      <c r="BT632" s="29">
        <v>0</v>
      </c>
      <c r="BV632" s="22">
        <v>45177</v>
      </c>
      <c r="BW632" s="26">
        <f t="shared" ca="1" si="104"/>
        <v>0.10777108268779845</v>
      </c>
      <c r="BX632" s="29">
        <v>0</v>
      </c>
    </row>
    <row r="633" spans="2:76" ht="12.75" x14ac:dyDescent="0.2">
      <c r="B633" s="22">
        <v>45178</v>
      </c>
      <c r="C633" s="26">
        <f t="shared" ca="1" si="68"/>
        <v>0.61896105197351525</v>
      </c>
      <c r="D633" s="29">
        <f t="shared" ca="1" si="106"/>
        <v>82</v>
      </c>
      <c r="F633" s="22">
        <v>45178</v>
      </c>
      <c r="G633" s="26">
        <f t="shared" ca="1" si="88"/>
        <v>0.8977934173184664</v>
      </c>
      <c r="H633" s="29">
        <f t="shared" ca="1" si="107"/>
        <v>234</v>
      </c>
      <c r="J633" s="22">
        <v>45178</v>
      </c>
      <c r="K633" s="26">
        <f t="shared" ca="1" si="89"/>
        <v>0.86510343635221887</v>
      </c>
      <c r="L633" s="29">
        <f t="shared" ca="1" si="108"/>
        <v>162</v>
      </c>
      <c r="N633" s="22">
        <v>45178</v>
      </c>
      <c r="O633" s="26">
        <f t="shared" ca="1" si="90"/>
        <v>0.44973247105007153</v>
      </c>
      <c r="P633" s="29">
        <f t="shared" ca="1" si="109"/>
        <v>228</v>
      </c>
      <c r="R633" s="22">
        <v>45178</v>
      </c>
      <c r="S633" s="26">
        <f t="shared" ca="1" si="91"/>
        <v>0.65472446654324878</v>
      </c>
      <c r="T633" s="29">
        <f t="shared" ca="1" si="110"/>
        <v>143</v>
      </c>
      <c r="V633" s="22">
        <v>45178</v>
      </c>
      <c r="W633" s="26">
        <f t="shared" ca="1" si="92"/>
        <v>0.85650312360330605</v>
      </c>
      <c r="X633" s="29">
        <f t="shared" ca="1" si="111"/>
        <v>241</v>
      </c>
      <c r="Z633" s="22">
        <v>45178</v>
      </c>
      <c r="AA633" s="26">
        <f t="shared" ca="1" si="93"/>
        <v>0.13129238763649931</v>
      </c>
      <c r="AB633" s="29">
        <f t="shared" ca="1" si="112"/>
        <v>250</v>
      </c>
      <c r="AC633"/>
      <c r="AD633" s="25"/>
      <c r="AF633" s="22">
        <v>45178</v>
      </c>
      <c r="AG633" s="26">
        <f t="shared" ca="1" si="94"/>
        <v>0.18484114175240329</v>
      </c>
      <c r="AH633" s="29">
        <f t="shared" ca="1" si="113"/>
        <v>249</v>
      </c>
      <c r="AJ633" s="22">
        <v>45178</v>
      </c>
      <c r="AK633" s="26">
        <f t="shared" ca="1" si="95"/>
        <v>0.97670738030127791</v>
      </c>
      <c r="AL633" s="29">
        <f t="shared" ca="1" si="114"/>
        <v>261</v>
      </c>
      <c r="AN633" s="22">
        <v>45178</v>
      </c>
      <c r="AO633" s="26">
        <f t="shared" ca="1" si="96"/>
        <v>0.50500114573162214</v>
      </c>
      <c r="AP633" s="29">
        <f t="shared" ca="1" si="115"/>
        <v>233</v>
      </c>
      <c r="AR633" s="22">
        <v>45178</v>
      </c>
      <c r="AS633" s="26">
        <f t="shared" ca="1" si="97"/>
        <v>0.70338757256923123</v>
      </c>
      <c r="AT633" s="29">
        <f t="shared" ca="1" si="116"/>
        <v>227</v>
      </c>
      <c r="AV633" s="22">
        <v>45178</v>
      </c>
      <c r="AW633" s="26">
        <f t="shared" ca="1" si="98"/>
        <v>0.3121575774026647</v>
      </c>
      <c r="AX633" s="29">
        <v>0</v>
      </c>
      <c r="AZ633" s="22">
        <v>45178</v>
      </c>
      <c r="BA633" s="26">
        <f t="shared" ca="1" si="99"/>
        <v>0.10349982778883615</v>
      </c>
      <c r="BB633" s="29">
        <v>0</v>
      </c>
      <c r="BC633"/>
      <c r="BD633" s="25"/>
      <c r="BF633" s="22">
        <v>45178</v>
      </c>
      <c r="BG633" s="26">
        <f t="shared" ca="1" si="100"/>
        <v>0.22428060838347985</v>
      </c>
      <c r="BH633" s="29">
        <v>0</v>
      </c>
      <c r="BJ633" s="22">
        <v>45178</v>
      </c>
      <c r="BK633" s="26">
        <f t="shared" ca="1" si="101"/>
        <v>0.94393408556966685</v>
      </c>
      <c r="BL633" s="29">
        <v>0</v>
      </c>
      <c r="BN633" s="22">
        <v>45178</v>
      </c>
      <c r="BO633" s="26">
        <f t="shared" ca="1" si="102"/>
        <v>0.75204225652069501</v>
      </c>
      <c r="BP633" s="29">
        <v>0</v>
      </c>
      <c r="BR633" s="22">
        <v>45178</v>
      </c>
      <c r="BS633" s="26">
        <f t="shared" ca="1" si="103"/>
        <v>0.89427600618412317</v>
      </c>
      <c r="BT633" s="29">
        <v>0</v>
      </c>
      <c r="BV633" s="22">
        <v>45178</v>
      </c>
      <c r="BW633" s="26">
        <f t="shared" ca="1" si="104"/>
        <v>0.52676616805449117</v>
      </c>
      <c r="BX633" s="29">
        <v>0</v>
      </c>
    </row>
    <row r="634" spans="2:76" ht="12.75" x14ac:dyDescent="0.2">
      <c r="B634" s="22">
        <v>45179</v>
      </c>
      <c r="C634" s="26">
        <f t="shared" ca="1" si="68"/>
        <v>0.97008893552705378</v>
      </c>
      <c r="D634" s="29">
        <f t="shared" ca="1" si="106"/>
        <v>113</v>
      </c>
      <c r="F634" s="22">
        <v>45179</v>
      </c>
      <c r="G634" s="26">
        <f t="shared" ca="1" si="88"/>
        <v>0.35373251088548463</v>
      </c>
      <c r="H634" s="29">
        <f t="shared" ca="1" si="107"/>
        <v>211</v>
      </c>
      <c r="J634" s="22">
        <v>45179</v>
      </c>
      <c r="K634" s="26">
        <f t="shared" ca="1" si="89"/>
        <v>0.58713540285776555</v>
      </c>
      <c r="L634" s="29">
        <f t="shared" ca="1" si="108"/>
        <v>153</v>
      </c>
      <c r="N634" s="22">
        <v>45179</v>
      </c>
      <c r="O634" s="26">
        <f t="shared" ca="1" si="90"/>
        <v>0.8597353426364126</v>
      </c>
      <c r="P634" s="29">
        <f t="shared" ca="1" si="109"/>
        <v>246</v>
      </c>
      <c r="R634" s="22">
        <v>45179</v>
      </c>
      <c r="S634" s="26">
        <f t="shared" ca="1" si="91"/>
        <v>0.40562866574825918</v>
      </c>
      <c r="T634" s="29">
        <f t="shared" ca="1" si="110"/>
        <v>137</v>
      </c>
      <c r="V634" s="22">
        <v>45179</v>
      </c>
      <c r="W634" s="26">
        <f t="shared" ca="1" si="92"/>
        <v>0.68514286301707361</v>
      </c>
      <c r="X634" s="29">
        <f t="shared" ca="1" si="111"/>
        <v>233</v>
      </c>
      <c r="Z634" s="22">
        <v>45179</v>
      </c>
      <c r="AA634" s="26">
        <f t="shared" ca="1" si="93"/>
        <v>0.19449927410104617</v>
      </c>
      <c r="AB634" s="29">
        <f t="shared" ca="1" si="112"/>
        <v>255</v>
      </c>
      <c r="AC634"/>
      <c r="AD634" s="25"/>
      <c r="AF634" s="22">
        <v>45179</v>
      </c>
      <c r="AG634" s="26">
        <f t="shared" ca="1" si="94"/>
        <v>2.6691224435614447E-2</v>
      </c>
      <c r="AH634" s="29">
        <f t="shared" ca="1" si="113"/>
        <v>159</v>
      </c>
      <c r="AJ634" s="22">
        <v>45179</v>
      </c>
      <c r="AK634" s="26">
        <f t="shared" ca="1" si="95"/>
        <v>0.97323356771714176</v>
      </c>
      <c r="AL634" s="29">
        <f t="shared" ca="1" si="114"/>
        <v>259</v>
      </c>
      <c r="AN634" s="22">
        <v>45179</v>
      </c>
      <c r="AO634" s="26">
        <f t="shared" ca="1" si="96"/>
        <v>0.11685734730030906</v>
      </c>
      <c r="AP634" s="29">
        <f t="shared" ca="1" si="115"/>
        <v>159</v>
      </c>
      <c r="AR634" s="22">
        <v>45179</v>
      </c>
      <c r="AS634" s="26">
        <f t="shared" ca="1" si="97"/>
        <v>0.83215743884845439</v>
      </c>
      <c r="AT634" s="29">
        <f t="shared" ca="1" si="116"/>
        <v>249</v>
      </c>
      <c r="AV634" s="22">
        <v>45179</v>
      </c>
      <c r="AW634" s="26">
        <f t="shared" ca="1" si="98"/>
        <v>0.45956160464456808</v>
      </c>
      <c r="AX634" s="29">
        <v>0</v>
      </c>
      <c r="AZ634" s="22">
        <v>45179</v>
      </c>
      <c r="BA634" s="26">
        <f t="shared" ca="1" si="99"/>
        <v>0.50236204662703188</v>
      </c>
      <c r="BB634" s="29">
        <v>0</v>
      </c>
      <c r="BC634"/>
      <c r="BD634" s="25"/>
      <c r="BF634" s="22">
        <v>45179</v>
      </c>
      <c r="BG634" s="26">
        <f t="shared" ca="1" si="100"/>
        <v>4.9052008293074212E-2</v>
      </c>
      <c r="BH634" s="29">
        <v>0</v>
      </c>
      <c r="BJ634" s="22">
        <v>45179</v>
      </c>
      <c r="BK634" s="26">
        <f t="shared" ca="1" si="101"/>
        <v>0.67793052156099243</v>
      </c>
      <c r="BL634" s="29">
        <v>0</v>
      </c>
      <c r="BN634" s="22">
        <v>45179</v>
      </c>
      <c r="BO634" s="26">
        <f t="shared" ca="1" si="102"/>
        <v>0.66692613551064106</v>
      </c>
      <c r="BP634" s="29">
        <v>0</v>
      </c>
      <c r="BR634" s="22">
        <v>45179</v>
      </c>
      <c r="BS634" s="26">
        <f t="shared" ca="1" si="103"/>
        <v>0.53839828387590782</v>
      </c>
      <c r="BT634" s="29">
        <v>0</v>
      </c>
      <c r="BV634" s="22">
        <v>45179</v>
      </c>
      <c r="BW634" s="26">
        <f t="shared" ca="1" si="104"/>
        <v>0.65840827222863541</v>
      </c>
      <c r="BX634" s="29">
        <v>0</v>
      </c>
    </row>
    <row r="635" spans="2:76" ht="12.75" x14ac:dyDescent="0.2">
      <c r="B635" s="22">
        <v>45180</v>
      </c>
      <c r="C635" s="26">
        <f t="shared" ca="1" si="68"/>
        <v>0.18369130362481734</v>
      </c>
      <c r="D635" s="29">
        <f t="shared" ca="1" si="106"/>
        <v>57</v>
      </c>
      <c r="F635" s="22">
        <v>45180</v>
      </c>
      <c r="G635" s="26">
        <f t="shared" ca="1" si="88"/>
        <v>0.54255189650104829</v>
      </c>
      <c r="H635" s="29">
        <f t="shared" ca="1" si="107"/>
        <v>217</v>
      </c>
      <c r="J635" s="22">
        <v>45180</v>
      </c>
      <c r="K635" s="26">
        <f t="shared" ca="1" si="89"/>
        <v>2.3871518407378112E-2</v>
      </c>
      <c r="L635" s="29">
        <f t="shared" ca="1" si="108"/>
        <v>131</v>
      </c>
      <c r="N635" s="22">
        <v>45180</v>
      </c>
      <c r="O635" s="26">
        <f t="shared" ca="1" si="90"/>
        <v>0.68806371522355891</v>
      </c>
      <c r="P635" s="29">
        <f t="shared" ca="1" si="109"/>
        <v>237</v>
      </c>
      <c r="R635" s="22">
        <v>45180</v>
      </c>
      <c r="S635" s="26">
        <f t="shared" ca="1" si="91"/>
        <v>0.35365322526144183</v>
      </c>
      <c r="T635" s="29">
        <f t="shared" ca="1" si="110"/>
        <v>136</v>
      </c>
      <c r="V635" s="22">
        <v>45180</v>
      </c>
      <c r="W635" s="26">
        <f t="shared" ca="1" si="92"/>
        <v>0.28537226825088213</v>
      </c>
      <c r="X635" s="29">
        <f t="shared" ca="1" si="111"/>
        <v>217</v>
      </c>
      <c r="Z635" s="22">
        <v>45180</v>
      </c>
      <c r="AA635" s="26">
        <f t="shared" ca="1" si="93"/>
        <v>3.7407376897017452E-2</v>
      </c>
      <c r="AB635" s="29">
        <f t="shared" ca="1" si="112"/>
        <v>238</v>
      </c>
      <c r="AC635"/>
      <c r="AD635" s="25"/>
      <c r="AF635" s="22">
        <v>45180</v>
      </c>
      <c r="AG635" s="26">
        <f t="shared" ca="1" si="94"/>
        <v>0.45201321693188867</v>
      </c>
      <c r="AH635" s="29">
        <f t="shared" ca="1" si="113"/>
        <v>317</v>
      </c>
      <c r="AJ635" s="22">
        <v>45180</v>
      </c>
      <c r="AK635" s="26">
        <f t="shared" ca="1" si="95"/>
        <v>0.11431977927089343</v>
      </c>
      <c r="AL635" s="29">
        <f t="shared" ca="1" si="114"/>
        <v>116</v>
      </c>
      <c r="AN635" s="22">
        <v>45180</v>
      </c>
      <c r="AO635" s="26">
        <f t="shared" ca="1" si="96"/>
        <v>0.29878672137392981</v>
      </c>
      <c r="AP635" s="29">
        <f t="shared" ca="1" si="115"/>
        <v>200</v>
      </c>
      <c r="AR635" s="22">
        <v>45180</v>
      </c>
      <c r="AS635" s="26">
        <f t="shared" ca="1" si="97"/>
        <v>0.67071513996321752</v>
      </c>
      <c r="AT635" s="29">
        <f t="shared" ca="1" si="116"/>
        <v>222</v>
      </c>
      <c r="AV635" s="22">
        <v>45180</v>
      </c>
      <c r="AW635" s="26">
        <f t="shared" ca="1" si="98"/>
        <v>0.97000624604356345</v>
      </c>
      <c r="AX635" s="29">
        <v>0</v>
      </c>
      <c r="AZ635" s="22">
        <v>45180</v>
      </c>
      <c r="BA635" s="26">
        <f t="shared" ca="1" si="99"/>
        <v>0.65573450914005693</v>
      </c>
      <c r="BB635" s="29">
        <v>0</v>
      </c>
      <c r="BC635"/>
      <c r="BD635" s="25"/>
      <c r="BF635" s="22">
        <v>45180</v>
      </c>
      <c r="BG635" s="26">
        <f t="shared" ca="1" si="100"/>
        <v>0.32262363602013922</v>
      </c>
      <c r="BH635" s="29">
        <v>0</v>
      </c>
      <c r="BJ635" s="22">
        <v>45180</v>
      </c>
      <c r="BK635" s="26">
        <f t="shared" ca="1" si="101"/>
        <v>0.12658614405294866</v>
      </c>
      <c r="BL635" s="29">
        <v>0</v>
      </c>
      <c r="BN635" s="22">
        <v>45180</v>
      </c>
      <c r="BO635" s="26">
        <f t="shared" ca="1" si="102"/>
        <v>0.99514377097740692</v>
      </c>
      <c r="BP635" s="29">
        <v>0</v>
      </c>
      <c r="BR635" s="22">
        <v>45180</v>
      </c>
      <c r="BS635" s="26">
        <f t="shared" ca="1" si="103"/>
        <v>0.55246667211242018</v>
      </c>
      <c r="BT635" s="29">
        <v>0</v>
      </c>
      <c r="BV635" s="22">
        <v>45180</v>
      </c>
      <c r="BW635" s="26">
        <f t="shared" ca="1" si="104"/>
        <v>0.77789088907974235</v>
      </c>
      <c r="BX635" s="29">
        <v>0</v>
      </c>
    </row>
    <row r="636" spans="2:76" ht="12.75" x14ac:dyDescent="0.2">
      <c r="B636" s="22">
        <v>45181</v>
      </c>
      <c r="C636" s="26">
        <f t="shared" ca="1" si="68"/>
        <v>0.12455323844084476</v>
      </c>
      <c r="D636" s="29">
        <f t="shared" ca="1" si="106"/>
        <v>52</v>
      </c>
      <c r="F636" s="22">
        <v>45181</v>
      </c>
      <c r="G636" s="26">
        <f t="shared" ca="1" si="88"/>
        <v>0.89311736804194586</v>
      </c>
      <c r="H636" s="29">
        <f t="shared" ca="1" si="107"/>
        <v>234</v>
      </c>
      <c r="J636" s="22">
        <v>45181</v>
      </c>
      <c r="K636" s="26">
        <f t="shared" ca="1" si="89"/>
        <v>0.89554553043862539</v>
      </c>
      <c r="L636" s="29">
        <f t="shared" ca="1" si="108"/>
        <v>163</v>
      </c>
      <c r="N636" s="22">
        <v>45181</v>
      </c>
      <c r="O636" s="26">
        <f t="shared" ca="1" si="90"/>
        <v>0.7905925061955692</v>
      </c>
      <c r="P636" s="29">
        <f t="shared" ca="1" si="109"/>
        <v>242</v>
      </c>
      <c r="R636" s="22">
        <v>45181</v>
      </c>
      <c r="S636" s="26">
        <f t="shared" ca="1" si="91"/>
        <v>9.7664519131206995E-2</v>
      </c>
      <c r="T636" s="29">
        <f t="shared" ca="1" si="110"/>
        <v>127</v>
      </c>
      <c r="V636" s="22">
        <v>45181</v>
      </c>
      <c r="W636" s="26">
        <f t="shared" ca="1" si="92"/>
        <v>0.75902063121148655</v>
      </c>
      <c r="X636" s="29">
        <f t="shared" ca="1" si="111"/>
        <v>236</v>
      </c>
      <c r="Z636" s="22">
        <v>45181</v>
      </c>
      <c r="AA636" s="26">
        <f t="shared" ca="1" si="93"/>
        <v>0.32313294912404278</v>
      </c>
      <c r="AB636" s="29">
        <f t="shared" ca="1" si="112"/>
        <v>262</v>
      </c>
      <c r="AC636"/>
      <c r="AD636" s="25"/>
      <c r="AF636" s="22">
        <v>45181</v>
      </c>
      <c r="AG636" s="26">
        <f t="shared" ca="1" si="94"/>
        <v>0.50461116937700912</v>
      </c>
      <c r="AH636" s="29">
        <f t="shared" ca="1" si="113"/>
        <v>329</v>
      </c>
      <c r="AJ636" s="22">
        <v>45181</v>
      </c>
      <c r="AK636" s="26">
        <f t="shared" ca="1" si="95"/>
        <v>0.72249700083318702</v>
      </c>
      <c r="AL636" s="29">
        <f t="shared" ca="1" si="114"/>
        <v>198</v>
      </c>
      <c r="AN636" s="22">
        <v>45181</v>
      </c>
      <c r="AO636" s="26">
        <f t="shared" ca="1" si="96"/>
        <v>0.99911551313236802</v>
      </c>
      <c r="AP636" s="29">
        <f t="shared" ca="1" si="115"/>
        <v>426</v>
      </c>
      <c r="AR636" s="22">
        <v>45181</v>
      </c>
      <c r="AS636" s="26">
        <f t="shared" ca="1" si="97"/>
        <v>0.16330077254806175</v>
      </c>
      <c r="AT636" s="29">
        <f t="shared" ca="1" si="116"/>
        <v>147</v>
      </c>
      <c r="AV636" s="22">
        <v>45181</v>
      </c>
      <c r="AW636" s="26">
        <f t="shared" ca="1" si="98"/>
        <v>0.32698359237741648</v>
      </c>
      <c r="AX636" s="29">
        <v>0</v>
      </c>
      <c r="AZ636" s="22">
        <v>45181</v>
      </c>
      <c r="BA636" s="26">
        <f t="shared" ca="1" si="99"/>
        <v>0.53558824219046608</v>
      </c>
      <c r="BB636" s="29">
        <v>0</v>
      </c>
      <c r="BC636"/>
      <c r="BD636" s="25"/>
      <c r="BF636" s="22">
        <v>45181</v>
      </c>
      <c r="BG636" s="26">
        <f t="shared" ca="1" si="100"/>
        <v>0.51425007527232025</v>
      </c>
      <c r="BH636" s="29">
        <v>0</v>
      </c>
      <c r="BJ636" s="22">
        <v>45181</v>
      </c>
      <c r="BK636" s="26">
        <f t="shared" ca="1" si="101"/>
        <v>0.42822546946783435</v>
      </c>
      <c r="BL636" s="29">
        <v>0</v>
      </c>
      <c r="BN636" s="22">
        <v>45181</v>
      </c>
      <c r="BO636" s="26">
        <f t="shared" ca="1" si="102"/>
        <v>0.13435326909926915</v>
      </c>
      <c r="BP636" s="29">
        <v>0</v>
      </c>
      <c r="BR636" s="22">
        <v>45181</v>
      </c>
      <c r="BS636" s="26">
        <f t="shared" ca="1" si="103"/>
        <v>0.16029502299253218</v>
      </c>
      <c r="BT636" s="29">
        <v>0</v>
      </c>
      <c r="BV636" s="22">
        <v>45181</v>
      </c>
      <c r="BW636" s="26">
        <f t="shared" ca="1" si="104"/>
        <v>0.83618568571231267</v>
      </c>
      <c r="BX636" s="29">
        <v>0</v>
      </c>
    </row>
    <row r="637" spans="2:76" ht="12.75" x14ac:dyDescent="0.2">
      <c r="B637" s="22">
        <v>45182</v>
      </c>
      <c r="C637" s="26">
        <f t="shared" ca="1" si="68"/>
        <v>0.97691953261829334</v>
      </c>
      <c r="D637" s="29">
        <f t="shared" ca="1" si="106"/>
        <v>115</v>
      </c>
      <c r="F637" s="22">
        <v>45182</v>
      </c>
      <c r="G637" s="26">
        <f t="shared" ca="1" si="88"/>
        <v>0.86400487368517376</v>
      </c>
      <c r="H637" s="29">
        <f t="shared" ca="1" si="107"/>
        <v>232</v>
      </c>
      <c r="J637" s="22">
        <v>45182</v>
      </c>
      <c r="K637" s="26">
        <f t="shared" ca="1" si="89"/>
        <v>0.49349315679836403</v>
      </c>
      <c r="L637" s="29">
        <f t="shared" ca="1" si="108"/>
        <v>150</v>
      </c>
      <c r="N637" s="22">
        <v>45182</v>
      </c>
      <c r="O637" s="26">
        <f t="shared" ca="1" si="90"/>
        <v>0.9505600383278201</v>
      </c>
      <c r="P637" s="29">
        <f t="shared" ca="1" si="109"/>
        <v>255</v>
      </c>
      <c r="R637" s="22">
        <v>45182</v>
      </c>
      <c r="S637" s="26">
        <f t="shared" ca="1" si="91"/>
        <v>0.58054056286935374</v>
      </c>
      <c r="T637" s="29">
        <f t="shared" ca="1" si="110"/>
        <v>141</v>
      </c>
      <c r="V637" s="22">
        <v>45182</v>
      </c>
      <c r="W637" s="26">
        <f t="shared" ca="1" si="92"/>
        <v>0.37019371018326919</v>
      </c>
      <c r="X637" s="29">
        <f t="shared" ca="1" si="111"/>
        <v>221</v>
      </c>
      <c r="Z637" s="22">
        <v>45182</v>
      </c>
      <c r="AA637" s="26">
        <f t="shared" ca="1" si="93"/>
        <v>0.67467873202272433</v>
      </c>
      <c r="AB637" s="29">
        <f t="shared" ca="1" si="112"/>
        <v>279</v>
      </c>
      <c r="AC637"/>
      <c r="AD637" s="25"/>
      <c r="AF637" s="22">
        <v>45182</v>
      </c>
      <c r="AG637" s="26">
        <f t="shared" ca="1" si="94"/>
        <v>6.4066081009786502E-2</v>
      </c>
      <c r="AH637" s="29">
        <f t="shared" ca="1" si="113"/>
        <v>195</v>
      </c>
      <c r="AJ637" s="22">
        <v>45182</v>
      </c>
      <c r="AK637" s="26">
        <f t="shared" ca="1" si="95"/>
        <v>0.90229747848341513</v>
      </c>
      <c r="AL637" s="29">
        <f t="shared" ca="1" si="114"/>
        <v>230</v>
      </c>
      <c r="AN637" s="22">
        <v>45182</v>
      </c>
      <c r="AO637" s="26">
        <f t="shared" ca="1" si="96"/>
        <v>0.49574260440507656</v>
      </c>
      <c r="AP637" s="29">
        <f t="shared" ca="1" si="115"/>
        <v>232</v>
      </c>
      <c r="AR637" s="22">
        <v>45182</v>
      </c>
      <c r="AS637" s="26">
        <f t="shared" ca="1" si="97"/>
        <v>0.25145586788440155</v>
      </c>
      <c r="AT637" s="29">
        <f t="shared" ca="1" si="116"/>
        <v>163</v>
      </c>
      <c r="AV637" s="22">
        <v>45182</v>
      </c>
      <c r="AW637" s="26">
        <f t="shared" ca="1" si="98"/>
        <v>0.96565584745106692</v>
      </c>
      <c r="AX637" s="29">
        <v>0</v>
      </c>
      <c r="AZ637" s="22">
        <v>45182</v>
      </c>
      <c r="BA637" s="26">
        <f t="shared" ca="1" si="99"/>
        <v>0.37560233406517696</v>
      </c>
      <c r="BB637" s="29">
        <v>0</v>
      </c>
      <c r="BC637"/>
      <c r="BD637" s="25"/>
      <c r="BF637" s="22">
        <v>45182</v>
      </c>
      <c r="BG637" s="26">
        <f t="shared" ca="1" si="100"/>
        <v>8.7573934335747561E-2</v>
      </c>
      <c r="BH637" s="29">
        <v>0</v>
      </c>
      <c r="BJ637" s="22">
        <v>45182</v>
      </c>
      <c r="BK637" s="26">
        <f t="shared" ca="1" si="101"/>
        <v>8.7704865969987389E-2</v>
      </c>
      <c r="BL637" s="29">
        <v>0</v>
      </c>
      <c r="BN637" s="22">
        <v>45182</v>
      </c>
      <c r="BO637" s="26">
        <f t="shared" ca="1" si="102"/>
        <v>0.35830690217612771</v>
      </c>
      <c r="BP637" s="29">
        <v>0</v>
      </c>
      <c r="BR637" s="22">
        <v>45182</v>
      </c>
      <c r="BS637" s="26">
        <f t="shared" ca="1" si="103"/>
        <v>0.45097154980069509</v>
      </c>
      <c r="BT637" s="29">
        <v>0</v>
      </c>
      <c r="BV637" s="22">
        <v>45182</v>
      </c>
      <c r="BW637" s="26">
        <f t="shared" ca="1" si="104"/>
        <v>2.9210585604464767E-2</v>
      </c>
      <c r="BX637" s="29">
        <v>0</v>
      </c>
    </row>
    <row r="638" spans="2:76" ht="12.75" x14ac:dyDescent="0.2">
      <c r="B638" s="22">
        <v>45183</v>
      </c>
      <c r="C638" s="26">
        <f t="shared" ca="1" si="68"/>
        <v>0.26087674577457087</v>
      </c>
      <c r="D638" s="29">
        <f t="shared" ca="1" si="106"/>
        <v>63</v>
      </c>
      <c r="F638" s="22">
        <v>45183</v>
      </c>
      <c r="G638" s="26">
        <f t="shared" ca="1" si="88"/>
        <v>0.56185272218984539</v>
      </c>
      <c r="H638" s="29">
        <f t="shared" ca="1" si="107"/>
        <v>218</v>
      </c>
      <c r="J638" s="22">
        <v>45183</v>
      </c>
      <c r="K638" s="26">
        <f t="shared" ca="1" si="89"/>
        <v>0.90931311064682829</v>
      </c>
      <c r="L638" s="29">
        <f t="shared" ca="1" si="108"/>
        <v>164</v>
      </c>
      <c r="N638" s="22">
        <v>45183</v>
      </c>
      <c r="O638" s="26">
        <f t="shared" ca="1" si="90"/>
        <v>0.19399618314532463</v>
      </c>
      <c r="P638" s="29">
        <f t="shared" ca="1" si="109"/>
        <v>217</v>
      </c>
      <c r="R638" s="22">
        <v>45183</v>
      </c>
      <c r="S638" s="26">
        <f t="shared" ca="1" si="91"/>
        <v>0.43800510688530592</v>
      </c>
      <c r="T638" s="29">
        <f t="shared" ca="1" si="110"/>
        <v>138</v>
      </c>
      <c r="V638" s="22">
        <v>45183</v>
      </c>
      <c r="W638" s="26">
        <f t="shared" ca="1" si="92"/>
        <v>0.92383026568722071</v>
      </c>
      <c r="X638" s="29">
        <f t="shared" ca="1" si="111"/>
        <v>247</v>
      </c>
      <c r="Z638" s="22">
        <v>45183</v>
      </c>
      <c r="AA638" s="26">
        <f t="shared" ca="1" si="93"/>
        <v>2.3621408440961389E-3</v>
      </c>
      <c r="AB638" s="29">
        <f t="shared" ca="1" si="112"/>
        <v>220</v>
      </c>
      <c r="AC638"/>
      <c r="AD638" s="25"/>
      <c r="AF638" s="22">
        <v>45183</v>
      </c>
      <c r="AG638" s="26">
        <f t="shared" ca="1" si="94"/>
        <v>0.37387528206919607</v>
      </c>
      <c r="AH638" s="29">
        <f t="shared" ca="1" si="113"/>
        <v>299</v>
      </c>
      <c r="AJ638" s="22">
        <v>45183</v>
      </c>
      <c r="AK638" s="26">
        <f t="shared" ca="1" si="95"/>
        <v>0.25485450840115609</v>
      </c>
      <c r="AL638" s="29">
        <f t="shared" ca="1" si="114"/>
        <v>141</v>
      </c>
      <c r="AN638" s="22">
        <v>45183</v>
      </c>
      <c r="AO638" s="26">
        <f t="shared" ca="1" si="96"/>
        <v>0.41374948797468269</v>
      </c>
      <c r="AP638" s="29">
        <f t="shared" ca="1" si="115"/>
        <v>219</v>
      </c>
      <c r="AR638" s="22">
        <v>45183</v>
      </c>
      <c r="AS638" s="26">
        <f t="shared" ca="1" si="97"/>
        <v>0.62460245462333486</v>
      </c>
      <c r="AT638" s="29">
        <f t="shared" ca="1" si="116"/>
        <v>215</v>
      </c>
      <c r="AV638" s="22">
        <v>45183</v>
      </c>
      <c r="AW638" s="26">
        <f t="shared" ca="1" si="98"/>
        <v>2.1020995486861094E-2</v>
      </c>
      <c r="AX638" s="29">
        <v>0</v>
      </c>
      <c r="AZ638" s="22">
        <v>45183</v>
      </c>
      <c r="BA638" s="26">
        <f t="shared" ca="1" si="99"/>
        <v>0.96308904152851693</v>
      </c>
      <c r="BB638" s="29">
        <v>0</v>
      </c>
      <c r="BC638"/>
      <c r="BD638" s="25"/>
      <c r="BF638" s="22">
        <v>45183</v>
      </c>
      <c r="BG638" s="26">
        <f t="shared" ca="1" si="100"/>
        <v>0.54600154075914598</v>
      </c>
      <c r="BH638" s="29">
        <v>0</v>
      </c>
      <c r="BJ638" s="22">
        <v>45183</v>
      </c>
      <c r="BK638" s="26">
        <f t="shared" ca="1" si="101"/>
        <v>0.1404360149767977</v>
      </c>
      <c r="BL638" s="29">
        <v>0</v>
      </c>
      <c r="BN638" s="22">
        <v>45183</v>
      </c>
      <c r="BO638" s="26">
        <f t="shared" ca="1" si="102"/>
        <v>0.27130393451883605</v>
      </c>
      <c r="BP638" s="29">
        <v>0</v>
      </c>
      <c r="BR638" s="22">
        <v>45183</v>
      </c>
      <c r="BS638" s="26">
        <f t="shared" ca="1" si="103"/>
        <v>0.9972561008527917</v>
      </c>
      <c r="BT638" s="29">
        <v>0</v>
      </c>
      <c r="BV638" s="22">
        <v>45183</v>
      </c>
      <c r="BW638" s="26">
        <f t="shared" ca="1" si="104"/>
        <v>0.2235160294835371</v>
      </c>
      <c r="BX638" s="29">
        <v>0</v>
      </c>
    </row>
    <row r="639" spans="2:76" ht="12.75" x14ac:dyDescent="0.2">
      <c r="B639" s="22">
        <v>45184</v>
      </c>
      <c r="C639" s="26">
        <f t="shared" ca="1" si="68"/>
        <v>0.42841944842245439</v>
      </c>
      <c r="D639" s="29">
        <f t="shared" ca="1" si="106"/>
        <v>72</v>
      </c>
      <c r="F639" s="22">
        <v>45184</v>
      </c>
      <c r="G639" s="26">
        <f t="shared" ca="1" si="88"/>
        <v>0.16349842206215481</v>
      </c>
      <c r="H639" s="29">
        <f t="shared" ca="1" si="107"/>
        <v>202</v>
      </c>
      <c r="J639" s="22">
        <v>45184</v>
      </c>
      <c r="K639" s="26">
        <f t="shared" ca="1" si="89"/>
        <v>0.48450404401653901</v>
      </c>
      <c r="L639" s="29">
        <f t="shared" ca="1" si="108"/>
        <v>150</v>
      </c>
      <c r="N639" s="22">
        <v>45184</v>
      </c>
      <c r="O639" s="26">
        <f t="shared" ca="1" si="90"/>
        <v>0.64465436611045068</v>
      </c>
      <c r="P639" s="29">
        <f t="shared" ca="1" si="109"/>
        <v>236</v>
      </c>
      <c r="R639" s="22">
        <v>45184</v>
      </c>
      <c r="S639" s="26">
        <f t="shared" ca="1" si="91"/>
        <v>0.42491927267442264</v>
      </c>
      <c r="T639" s="29">
        <f t="shared" ca="1" si="110"/>
        <v>137</v>
      </c>
      <c r="V639" s="22">
        <v>45184</v>
      </c>
      <c r="W639" s="26">
        <f t="shared" ca="1" si="92"/>
        <v>0.80915676662976022</v>
      </c>
      <c r="X639" s="29">
        <f t="shared" ca="1" si="111"/>
        <v>239</v>
      </c>
      <c r="Z639" s="22">
        <v>45184</v>
      </c>
      <c r="AA639" s="26">
        <f t="shared" ca="1" si="93"/>
        <v>9.6032607835474404E-2</v>
      </c>
      <c r="AB639" s="29">
        <f t="shared" ca="1" si="112"/>
        <v>247</v>
      </c>
      <c r="AC639"/>
      <c r="AD639" s="25"/>
      <c r="AF639" s="22">
        <v>45184</v>
      </c>
      <c r="AG639" s="26">
        <f t="shared" ca="1" si="94"/>
        <v>0.28847599891962661</v>
      </c>
      <c r="AH639" s="29">
        <f t="shared" ca="1" si="113"/>
        <v>279</v>
      </c>
      <c r="AJ639" s="22">
        <v>45184</v>
      </c>
      <c r="AK639" s="26">
        <f t="shared" ca="1" si="95"/>
        <v>0.98056938730017773</v>
      </c>
      <c r="AL639" s="29">
        <f t="shared" ca="1" si="114"/>
        <v>265</v>
      </c>
      <c r="AN639" s="22">
        <v>45184</v>
      </c>
      <c r="AO639" s="26">
        <f t="shared" ca="1" si="96"/>
        <v>0.59501364038509252</v>
      </c>
      <c r="AP639" s="29">
        <f t="shared" ca="1" si="115"/>
        <v>247</v>
      </c>
      <c r="AR639" s="22">
        <v>45184</v>
      </c>
      <c r="AS639" s="26">
        <f t="shared" ca="1" si="97"/>
        <v>0.70628295164331045</v>
      </c>
      <c r="AT639" s="29">
        <f t="shared" ca="1" si="116"/>
        <v>227</v>
      </c>
      <c r="AV639" s="22">
        <v>45184</v>
      </c>
      <c r="AW639" s="26">
        <f t="shared" ca="1" si="98"/>
        <v>0.82085446925987693</v>
      </c>
      <c r="AX639" s="29">
        <v>0</v>
      </c>
      <c r="AZ639" s="22">
        <v>45184</v>
      </c>
      <c r="BA639" s="26">
        <f t="shared" ca="1" si="99"/>
        <v>0.91695645217921695</v>
      </c>
      <c r="BB639" s="29">
        <v>0</v>
      </c>
      <c r="BC639"/>
      <c r="BD639" s="25"/>
      <c r="BF639" s="22">
        <v>45184</v>
      </c>
      <c r="BG639" s="26">
        <f t="shared" ca="1" si="100"/>
        <v>0.84205126891494408</v>
      </c>
      <c r="BH639" s="29">
        <v>0</v>
      </c>
      <c r="BJ639" s="22">
        <v>45184</v>
      </c>
      <c r="BK639" s="26">
        <f t="shared" ca="1" si="101"/>
        <v>0.48278623905380647</v>
      </c>
      <c r="BL639" s="29">
        <v>0</v>
      </c>
      <c r="BN639" s="22">
        <v>45184</v>
      </c>
      <c r="BO639" s="26">
        <f t="shared" ca="1" si="102"/>
        <v>0.42870516627028266</v>
      </c>
      <c r="BP639" s="29">
        <v>0</v>
      </c>
      <c r="BR639" s="22">
        <v>45184</v>
      </c>
      <c r="BS639" s="26">
        <f t="shared" ca="1" si="103"/>
        <v>0.3887626854655839</v>
      </c>
      <c r="BT639" s="29">
        <v>0</v>
      </c>
      <c r="BV639" s="22">
        <v>45184</v>
      </c>
      <c r="BW639" s="26">
        <f t="shared" ca="1" si="104"/>
        <v>4.3212237416300536E-2</v>
      </c>
      <c r="BX639" s="29">
        <v>0</v>
      </c>
    </row>
    <row r="640" spans="2:76" ht="12.75" x14ac:dyDescent="0.2">
      <c r="B640" s="22">
        <v>45185</v>
      </c>
      <c r="C640" s="26">
        <f t="shared" ca="1" si="68"/>
        <v>0.23140768073470541</v>
      </c>
      <c r="D640" s="29">
        <f t="shared" ca="1" si="106"/>
        <v>61</v>
      </c>
      <c r="F640" s="22">
        <v>45185</v>
      </c>
      <c r="G640" s="26">
        <f t="shared" ca="1" si="88"/>
        <v>0.61417341062169029</v>
      </c>
      <c r="H640" s="29">
        <f t="shared" ca="1" si="107"/>
        <v>220</v>
      </c>
      <c r="J640" s="22">
        <v>45185</v>
      </c>
      <c r="K640" s="26">
        <f t="shared" ca="1" si="89"/>
        <v>0.9760813554867287</v>
      </c>
      <c r="L640" s="29">
        <f t="shared" ca="1" si="108"/>
        <v>170</v>
      </c>
      <c r="N640" s="22">
        <v>45185</v>
      </c>
      <c r="O640" s="26">
        <f t="shared" ca="1" si="90"/>
        <v>0.54193980008607634</v>
      </c>
      <c r="P640" s="29">
        <f t="shared" ca="1" si="109"/>
        <v>231</v>
      </c>
      <c r="R640" s="22">
        <v>45185</v>
      </c>
      <c r="S640" s="26">
        <f t="shared" ca="1" si="91"/>
        <v>0.87733797930851032</v>
      </c>
      <c r="T640" s="29">
        <f t="shared" ca="1" si="110"/>
        <v>150</v>
      </c>
      <c r="V640" s="22">
        <v>45185</v>
      </c>
      <c r="W640" s="26">
        <f t="shared" ca="1" si="92"/>
        <v>0.78285097079984867</v>
      </c>
      <c r="X640" s="29">
        <f t="shared" ca="1" si="111"/>
        <v>237</v>
      </c>
      <c r="Z640" s="22">
        <v>45185</v>
      </c>
      <c r="AA640" s="26">
        <f t="shared" ca="1" si="93"/>
        <v>0.77384358560058308</v>
      </c>
      <c r="AB640" s="29">
        <f t="shared" ca="1" si="112"/>
        <v>284</v>
      </c>
      <c r="AC640"/>
      <c r="AD640" s="25"/>
      <c r="AF640" s="22">
        <v>45185</v>
      </c>
      <c r="AG640" s="26">
        <f t="shared" ca="1" si="94"/>
        <v>0.53378530116334177</v>
      </c>
      <c r="AH640" s="29">
        <f t="shared" ca="1" si="113"/>
        <v>335</v>
      </c>
      <c r="AJ640" s="22">
        <v>45185</v>
      </c>
      <c r="AK640" s="26">
        <f t="shared" ca="1" si="95"/>
        <v>0.50963601788776791</v>
      </c>
      <c r="AL640" s="29">
        <f t="shared" ca="1" si="114"/>
        <v>172</v>
      </c>
      <c r="AN640" s="22">
        <v>45185</v>
      </c>
      <c r="AO640" s="26">
        <f t="shared" ca="1" si="96"/>
        <v>0.71846352230114441</v>
      </c>
      <c r="AP640" s="29">
        <f t="shared" ca="1" si="115"/>
        <v>268</v>
      </c>
      <c r="AR640" s="22">
        <v>45185</v>
      </c>
      <c r="AS640" s="26">
        <f t="shared" ca="1" si="97"/>
        <v>0.47993470621024448</v>
      </c>
      <c r="AT640" s="29">
        <f t="shared" ca="1" si="116"/>
        <v>196</v>
      </c>
      <c r="AV640" s="22">
        <v>45185</v>
      </c>
      <c r="AW640" s="26">
        <f t="shared" ca="1" si="98"/>
        <v>0.58932019949856251</v>
      </c>
      <c r="AX640" s="29">
        <v>0</v>
      </c>
      <c r="AZ640" s="22">
        <v>45185</v>
      </c>
      <c r="BA640" s="26">
        <f t="shared" ca="1" si="99"/>
        <v>0.78831132655705016</v>
      </c>
      <c r="BB640" s="29">
        <v>0</v>
      </c>
      <c r="BC640"/>
      <c r="BD640" s="25"/>
      <c r="BF640" s="22">
        <v>45185</v>
      </c>
      <c r="BG640" s="26">
        <f t="shared" ca="1" si="100"/>
        <v>0.46659459520241309</v>
      </c>
      <c r="BH640" s="29">
        <v>0</v>
      </c>
      <c r="BJ640" s="22">
        <v>45185</v>
      </c>
      <c r="BK640" s="26">
        <f t="shared" ca="1" si="101"/>
        <v>0.27409503201818541</v>
      </c>
      <c r="BL640" s="29">
        <v>0</v>
      </c>
      <c r="BN640" s="22">
        <v>45185</v>
      </c>
      <c r="BO640" s="26">
        <f t="shared" ca="1" si="102"/>
        <v>0.37520120526228773</v>
      </c>
      <c r="BP640" s="29">
        <v>0</v>
      </c>
      <c r="BR640" s="22">
        <v>45185</v>
      </c>
      <c r="BS640" s="26">
        <f t="shared" ca="1" si="103"/>
        <v>7.6616867664566546E-2</v>
      </c>
      <c r="BT640" s="29">
        <v>0</v>
      </c>
      <c r="BV640" s="22">
        <v>45185</v>
      </c>
      <c r="BW640" s="26">
        <f t="shared" ca="1" si="104"/>
        <v>0.61364103108343604</v>
      </c>
      <c r="BX640" s="29">
        <v>0</v>
      </c>
    </row>
    <row r="641" spans="2:77" ht="12.75" x14ac:dyDescent="0.2">
      <c r="B641" s="22">
        <v>45186</v>
      </c>
      <c r="C641" s="26">
        <f t="shared" ca="1" si="68"/>
        <v>0.11139024112932494</v>
      </c>
      <c r="D641" s="29">
        <f t="shared" ca="1" si="106"/>
        <v>51</v>
      </c>
      <c r="F641" s="22">
        <v>45186</v>
      </c>
      <c r="G641" s="26">
        <f t="shared" ca="1" si="88"/>
        <v>1.2519535742999355E-2</v>
      </c>
      <c r="H641" s="29">
        <f t="shared" ca="1" si="107"/>
        <v>184</v>
      </c>
      <c r="J641" s="22">
        <v>45186</v>
      </c>
      <c r="K641" s="26">
        <f t="shared" ca="1" si="89"/>
        <v>0.95528457841784109</v>
      </c>
      <c r="L641" s="29">
        <f t="shared" ca="1" si="108"/>
        <v>167</v>
      </c>
      <c r="N641" s="22">
        <v>45186</v>
      </c>
      <c r="O641" s="26">
        <f t="shared" ca="1" si="90"/>
        <v>0.97262706717566849</v>
      </c>
      <c r="P641" s="29">
        <f t="shared" ca="1" si="109"/>
        <v>259</v>
      </c>
      <c r="R641" s="22">
        <v>45186</v>
      </c>
      <c r="S641" s="26">
        <f t="shared" ca="1" si="91"/>
        <v>0.84962690931035778</v>
      </c>
      <c r="T641" s="29">
        <f t="shared" ca="1" si="110"/>
        <v>149</v>
      </c>
      <c r="V641" s="22">
        <v>45186</v>
      </c>
      <c r="W641" s="26">
        <f t="shared" ca="1" si="92"/>
        <v>0.73411794599667934</v>
      </c>
      <c r="X641" s="29">
        <f t="shared" ca="1" si="111"/>
        <v>235</v>
      </c>
      <c r="Z641" s="22">
        <v>45186</v>
      </c>
      <c r="AA641" s="26">
        <f t="shared" ca="1" si="93"/>
        <v>0.42846078750419314</v>
      </c>
      <c r="AB641" s="29">
        <f t="shared" ca="1" si="112"/>
        <v>267</v>
      </c>
      <c r="AC641"/>
      <c r="AD641" s="25"/>
      <c r="AF641" s="22">
        <v>45186</v>
      </c>
      <c r="AG641" s="26">
        <f t="shared" ca="1" si="94"/>
        <v>1.160519756854661E-2</v>
      </c>
      <c r="AH641" s="29">
        <f t="shared" ca="1" si="113"/>
        <v>130</v>
      </c>
      <c r="AJ641" s="22">
        <v>45186</v>
      </c>
      <c r="AK641" s="26">
        <f t="shared" ca="1" si="95"/>
        <v>0.91485148645301795</v>
      </c>
      <c r="AL641" s="29">
        <f t="shared" ca="1" si="114"/>
        <v>233</v>
      </c>
      <c r="AN641" s="22">
        <v>45186</v>
      </c>
      <c r="AO641" s="26">
        <f t="shared" ca="1" si="96"/>
        <v>0.4630455361792678</v>
      </c>
      <c r="AP641" s="29">
        <f t="shared" ca="1" si="115"/>
        <v>227</v>
      </c>
      <c r="AR641" s="22">
        <v>45186</v>
      </c>
      <c r="AS641" s="26">
        <f t="shared" ca="1" si="97"/>
        <v>0.55112568732811529</v>
      </c>
      <c r="AT641" s="29">
        <f t="shared" ca="1" si="116"/>
        <v>205</v>
      </c>
      <c r="AV641" s="22">
        <v>45186</v>
      </c>
      <c r="AW641" s="26">
        <f t="shared" ca="1" si="98"/>
        <v>0.38502968798477377</v>
      </c>
      <c r="AX641" s="29">
        <v>0</v>
      </c>
      <c r="AZ641" s="22">
        <v>45186</v>
      </c>
      <c r="BA641" s="26">
        <f t="shared" ca="1" si="99"/>
        <v>0.34447028232603383</v>
      </c>
      <c r="BB641" s="29">
        <v>0</v>
      </c>
      <c r="BC641"/>
      <c r="BD641" s="25"/>
      <c r="BF641" s="22">
        <v>45186</v>
      </c>
      <c r="BG641" s="26">
        <f t="shared" ca="1" si="100"/>
        <v>0.93696172002832945</v>
      </c>
      <c r="BH641" s="29">
        <v>0</v>
      </c>
      <c r="BJ641" s="22">
        <v>45186</v>
      </c>
      <c r="BK641" s="26">
        <f t="shared" ca="1" si="101"/>
        <v>0.20955428364897677</v>
      </c>
      <c r="BL641" s="29">
        <v>0</v>
      </c>
      <c r="BN641" s="22">
        <v>45186</v>
      </c>
      <c r="BO641" s="26">
        <f t="shared" ca="1" si="102"/>
        <v>0.58031845898148249</v>
      </c>
      <c r="BP641" s="29">
        <v>0</v>
      </c>
      <c r="BR641" s="22">
        <v>45186</v>
      </c>
      <c r="BS641" s="26">
        <f t="shared" ca="1" si="103"/>
        <v>5.0871721500875378E-2</v>
      </c>
      <c r="BT641" s="29">
        <v>0</v>
      </c>
      <c r="BV641" s="22">
        <v>45186</v>
      </c>
      <c r="BW641" s="26">
        <f t="shared" ca="1" si="104"/>
        <v>0.94375523292724062</v>
      </c>
      <c r="BX641" s="29">
        <v>0</v>
      </c>
    </row>
    <row r="642" spans="2:77" ht="12.75" x14ac:dyDescent="0.2">
      <c r="B642" s="22">
        <v>45187</v>
      </c>
      <c r="C642" s="26">
        <f t="shared" ca="1" si="68"/>
        <v>0.781658626257977</v>
      </c>
      <c r="D642" s="29">
        <f t="shared" ca="1" si="106"/>
        <v>91</v>
      </c>
      <c r="F642" s="22">
        <v>45187</v>
      </c>
      <c r="G642" s="26">
        <f t="shared" ca="1" si="88"/>
        <v>0.68027842621911305</v>
      </c>
      <c r="H642" s="29">
        <f t="shared" ca="1" si="107"/>
        <v>223</v>
      </c>
      <c r="J642" s="22">
        <v>45187</v>
      </c>
      <c r="K642" s="26">
        <f t="shared" ca="1" si="89"/>
        <v>0.68900077671994175</v>
      </c>
      <c r="L642" s="29">
        <f t="shared" ca="1" si="108"/>
        <v>155</v>
      </c>
      <c r="N642" s="22">
        <v>45187</v>
      </c>
      <c r="O642" s="26">
        <f t="shared" ca="1" si="90"/>
        <v>0.66221884539347808</v>
      </c>
      <c r="P642" s="29">
        <f t="shared" ca="1" si="109"/>
        <v>236</v>
      </c>
      <c r="R642" s="22">
        <v>45187</v>
      </c>
      <c r="S642" s="26">
        <f t="shared" ca="1" si="91"/>
        <v>0.12783938579831844</v>
      </c>
      <c r="T642" s="29">
        <f t="shared" ca="1" si="110"/>
        <v>129</v>
      </c>
      <c r="V642" s="22">
        <v>45187</v>
      </c>
      <c r="W642" s="26">
        <f t="shared" ca="1" si="92"/>
        <v>0.7938985271946537</v>
      </c>
      <c r="X642" s="29">
        <f t="shared" ca="1" si="111"/>
        <v>238</v>
      </c>
      <c r="Z642" s="22">
        <v>45187</v>
      </c>
      <c r="AA642" s="26">
        <f t="shared" ca="1" si="93"/>
        <v>2.5674827452682014E-2</v>
      </c>
      <c r="AB642" s="29">
        <f t="shared" ca="1" si="112"/>
        <v>235</v>
      </c>
      <c r="AC642"/>
      <c r="AD642" s="25"/>
      <c r="AF642" s="22">
        <v>45187</v>
      </c>
      <c r="AG642" s="26">
        <f t="shared" ca="1" si="94"/>
        <v>0.56331097177913203</v>
      </c>
      <c r="AH642" s="29">
        <f t="shared" ca="1" si="113"/>
        <v>341</v>
      </c>
      <c r="AJ642" s="22">
        <v>45187</v>
      </c>
      <c r="AK642" s="26">
        <f t="shared" ca="1" si="95"/>
        <v>0.68154586387954386</v>
      </c>
      <c r="AL642" s="29">
        <f t="shared" ca="1" si="114"/>
        <v>192</v>
      </c>
      <c r="AN642" s="22">
        <v>45187</v>
      </c>
      <c r="AO642" s="26">
        <f t="shared" ca="1" si="96"/>
        <v>0.162020554682486</v>
      </c>
      <c r="AP642" s="29">
        <f t="shared" ca="1" si="115"/>
        <v>172</v>
      </c>
      <c r="AR642" s="22">
        <v>45187</v>
      </c>
      <c r="AS642" s="26">
        <f t="shared" ca="1" si="97"/>
        <v>0.3183372129627916</v>
      </c>
      <c r="AT642" s="29">
        <f t="shared" ca="1" si="116"/>
        <v>174</v>
      </c>
      <c r="AV642" s="22">
        <v>45187</v>
      </c>
      <c r="AW642" s="26">
        <f t="shared" ca="1" si="98"/>
        <v>0.60007848755093018</v>
      </c>
      <c r="AX642" s="29">
        <v>0</v>
      </c>
      <c r="AZ642" s="22">
        <v>45187</v>
      </c>
      <c r="BA642" s="26">
        <f t="shared" ca="1" si="99"/>
        <v>0.87624893590363617</v>
      </c>
      <c r="BB642" s="29">
        <v>0</v>
      </c>
      <c r="BC642"/>
      <c r="BD642" s="25"/>
      <c r="BF642" s="22">
        <v>45187</v>
      </c>
      <c r="BG642" s="26">
        <f t="shared" ca="1" si="100"/>
        <v>2.6098070088643177E-2</v>
      </c>
      <c r="BH642" s="29">
        <v>0</v>
      </c>
      <c r="BJ642" s="22">
        <v>45187</v>
      </c>
      <c r="BK642" s="26">
        <f t="shared" ca="1" si="101"/>
        <v>0.10937713040607744</v>
      </c>
      <c r="BL642" s="29">
        <v>0</v>
      </c>
      <c r="BN642" s="22">
        <v>45187</v>
      </c>
      <c r="BO642" s="26">
        <f t="shared" ca="1" si="102"/>
        <v>0.30995969295446246</v>
      </c>
      <c r="BP642" s="29">
        <v>0</v>
      </c>
      <c r="BR642" s="22">
        <v>45187</v>
      </c>
      <c r="BS642" s="26">
        <f t="shared" ca="1" si="103"/>
        <v>0.66099857819904406</v>
      </c>
      <c r="BT642" s="29">
        <v>0</v>
      </c>
      <c r="BV642" s="22">
        <v>45187</v>
      </c>
      <c r="BW642" s="26">
        <f t="shared" ca="1" si="104"/>
        <v>0.79384262194157273</v>
      </c>
      <c r="BX642" s="29">
        <v>0</v>
      </c>
    </row>
    <row r="643" spans="2:77" ht="12.75" x14ac:dyDescent="0.2">
      <c r="B643" s="22">
        <v>45188</v>
      </c>
      <c r="C643" s="26">
        <f t="shared" ca="1" si="68"/>
        <v>0.76737887108142744</v>
      </c>
      <c r="D643" s="29">
        <f t="shared" ca="1" si="106"/>
        <v>90</v>
      </c>
      <c r="F643" s="22">
        <v>45188</v>
      </c>
      <c r="G643" s="26">
        <f t="shared" ca="1" si="88"/>
        <v>0.89279508314551503</v>
      </c>
      <c r="H643" s="29">
        <f t="shared" ca="1" si="107"/>
        <v>234</v>
      </c>
      <c r="J643" s="22">
        <v>45188</v>
      </c>
      <c r="K643" s="26">
        <f t="shared" ca="1" si="89"/>
        <v>0.97377904880661681</v>
      </c>
      <c r="L643" s="29">
        <f t="shared" ca="1" si="108"/>
        <v>170</v>
      </c>
      <c r="N643" s="22">
        <v>45188</v>
      </c>
      <c r="O643" s="26">
        <f t="shared" ca="1" si="90"/>
        <v>0.38030502106356789</v>
      </c>
      <c r="P643" s="29">
        <f t="shared" ca="1" si="109"/>
        <v>225</v>
      </c>
      <c r="R643" s="22">
        <v>45188</v>
      </c>
      <c r="S643" s="26">
        <f t="shared" ca="1" si="91"/>
        <v>0.54007979845147025</v>
      </c>
      <c r="T643" s="29">
        <f t="shared" ca="1" si="110"/>
        <v>140</v>
      </c>
      <c r="V643" s="22">
        <v>45188</v>
      </c>
      <c r="W643" s="26">
        <f t="shared" ca="1" si="92"/>
        <v>0.47827113465202353</v>
      </c>
      <c r="X643" s="29">
        <f t="shared" ca="1" si="111"/>
        <v>225</v>
      </c>
      <c r="Z643" s="22">
        <v>45188</v>
      </c>
      <c r="AA643" s="26">
        <f t="shared" ca="1" si="93"/>
        <v>0.43746925493040589</v>
      </c>
      <c r="AB643" s="29">
        <f t="shared" ca="1" si="112"/>
        <v>268</v>
      </c>
      <c r="AC643"/>
      <c r="AD643" s="25"/>
      <c r="AF643" s="22">
        <v>45188</v>
      </c>
      <c r="AG643" s="26">
        <f t="shared" ca="1" si="94"/>
        <v>0.51931943448477358</v>
      </c>
      <c r="AH643" s="29">
        <f t="shared" ca="1" si="113"/>
        <v>332</v>
      </c>
      <c r="AJ643" s="22">
        <v>45188</v>
      </c>
      <c r="AK643" s="26">
        <f t="shared" ca="1" si="95"/>
        <v>0.36227179928331465</v>
      </c>
      <c r="AL643" s="29">
        <f t="shared" ca="1" si="114"/>
        <v>155</v>
      </c>
      <c r="AN643" s="22">
        <v>45188</v>
      </c>
      <c r="AO643" s="26">
        <f t="shared" ca="1" si="96"/>
        <v>0.51481067718243745</v>
      </c>
      <c r="AP643" s="29">
        <f t="shared" ca="1" si="115"/>
        <v>235</v>
      </c>
      <c r="AR643" s="22">
        <v>45188</v>
      </c>
      <c r="AS643" s="26">
        <f t="shared" ca="1" si="97"/>
        <v>0.9142079484365343</v>
      </c>
      <c r="AT643" s="29">
        <f t="shared" ca="1" si="116"/>
        <v>271</v>
      </c>
      <c r="AV643" s="22">
        <v>45188</v>
      </c>
      <c r="AW643" s="26">
        <f t="shared" ca="1" si="98"/>
        <v>0.61579963403686522</v>
      </c>
      <c r="AX643" s="29">
        <v>0</v>
      </c>
      <c r="AZ643" s="22">
        <v>45188</v>
      </c>
      <c r="BA643" s="26">
        <f t="shared" ca="1" si="99"/>
        <v>0.21429176225976665</v>
      </c>
      <c r="BB643" s="29">
        <v>0</v>
      </c>
      <c r="BC643"/>
      <c r="BD643" s="25"/>
      <c r="BF643" s="22">
        <v>45188</v>
      </c>
      <c r="BG643" s="26">
        <f t="shared" ca="1" si="100"/>
        <v>0.43583965428437532</v>
      </c>
      <c r="BH643" s="29">
        <v>0</v>
      </c>
      <c r="BJ643" s="22">
        <v>45188</v>
      </c>
      <c r="BK643" s="26">
        <f t="shared" ca="1" si="101"/>
        <v>0.36860894968408475</v>
      </c>
      <c r="BL643" s="29">
        <v>0</v>
      </c>
      <c r="BN643" s="22">
        <v>45188</v>
      </c>
      <c r="BO643" s="26">
        <f t="shared" ca="1" si="102"/>
        <v>0.676732340728049</v>
      </c>
      <c r="BP643" s="29">
        <v>0</v>
      </c>
      <c r="BR643" s="22">
        <v>45188</v>
      </c>
      <c r="BS643" s="26">
        <f t="shared" ca="1" si="103"/>
        <v>0.739019577316402</v>
      </c>
      <c r="BT643" s="29">
        <v>0</v>
      </c>
      <c r="BV643" s="22">
        <v>45188</v>
      </c>
      <c r="BW643" s="26">
        <f t="shared" ca="1" si="104"/>
        <v>0.26923836536330104</v>
      </c>
      <c r="BX643" s="29">
        <v>0</v>
      </c>
    </row>
    <row r="644" spans="2:77" ht="12.75" x14ac:dyDescent="0.2">
      <c r="B644" s="22">
        <v>45189</v>
      </c>
      <c r="C644" s="26">
        <f t="shared" ca="1" si="68"/>
        <v>0.49746471697150874</v>
      </c>
      <c r="D644" s="29">
        <f t="shared" ca="1" si="106"/>
        <v>75</v>
      </c>
      <c r="F644" s="22">
        <v>45189</v>
      </c>
      <c r="G644" s="26">
        <f t="shared" ca="1" si="88"/>
        <v>0.87494391073865441</v>
      </c>
      <c r="H644" s="29">
        <f t="shared" ca="1" si="107"/>
        <v>232</v>
      </c>
      <c r="J644" s="22">
        <v>45189</v>
      </c>
      <c r="K644" s="26">
        <f t="shared" ca="1" si="89"/>
        <v>0.1361397774590305</v>
      </c>
      <c r="L644" s="29">
        <f t="shared" ca="1" si="108"/>
        <v>140</v>
      </c>
      <c r="N644" s="22">
        <v>45189</v>
      </c>
      <c r="O644" s="26">
        <f t="shared" ca="1" si="90"/>
        <v>0.95923572506868537</v>
      </c>
      <c r="P644" s="29">
        <f t="shared" ca="1" si="109"/>
        <v>256</v>
      </c>
      <c r="R644" s="22">
        <v>45189</v>
      </c>
      <c r="S644" s="26">
        <f t="shared" ca="1" si="91"/>
        <v>6.6150866794926877E-2</v>
      </c>
      <c r="T644" s="29">
        <f t="shared" ca="1" si="110"/>
        <v>125</v>
      </c>
      <c r="V644" s="22">
        <v>45189</v>
      </c>
      <c r="W644" s="26">
        <f t="shared" ca="1" si="92"/>
        <v>0.70957302207927198</v>
      </c>
      <c r="X644" s="29">
        <f t="shared" ca="1" si="111"/>
        <v>234</v>
      </c>
      <c r="Z644" s="22">
        <v>45189</v>
      </c>
      <c r="AA644" s="26">
        <f t="shared" ca="1" si="93"/>
        <v>0.24142421248389812</v>
      </c>
      <c r="AB644" s="29">
        <f t="shared" ca="1" si="112"/>
        <v>258</v>
      </c>
      <c r="AC644"/>
      <c r="AD644" s="25"/>
      <c r="AF644" s="22">
        <v>45189</v>
      </c>
      <c r="AG644" s="26">
        <f t="shared" ca="1" si="94"/>
        <v>0.83813096540469145</v>
      </c>
      <c r="AH644" s="29">
        <f t="shared" ca="1" si="113"/>
        <v>414</v>
      </c>
      <c r="AJ644" s="22">
        <v>45189</v>
      </c>
      <c r="AK644" s="26">
        <f t="shared" ca="1" si="95"/>
        <v>0.40484138661247293</v>
      </c>
      <c r="AL644" s="29">
        <f t="shared" ca="1" si="114"/>
        <v>160</v>
      </c>
      <c r="AN644" s="22">
        <v>45189</v>
      </c>
      <c r="AO644" s="26">
        <f t="shared" ca="1" si="96"/>
        <v>0.86706336115042715</v>
      </c>
      <c r="AP644" s="29">
        <f t="shared" ca="1" si="115"/>
        <v>301</v>
      </c>
      <c r="AR644" s="22">
        <v>45189</v>
      </c>
      <c r="AS644" s="26">
        <f t="shared" ca="1" si="97"/>
        <v>0.26375944765841874</v>
      </c>
      <c r="AT644" s="29">
        <f t="shared" ca="1" si="116"/>
        <v>165</v>
      </c>
      <c r="AV644" s="22">
        <v>45189</v>
      </c>
      <c r="AW644" s="26">
        <f t="shared" ca="1" si="98"/>
        <v>0.28233582893198328</v>
      </c>
      <c r="AX644" s="29">
        <v>0</v>
      </c>
      <c r="AZ644" s="22">
        <v>45189</v>
      </c>
      <c r="BA644" s="26">
        <f t="shared" ca="1" si="99"/>
        <v>0.26538250771377891</v>
      </c>
      <c r="BB644" s="29">
        <v>0</v>
      </c>
      <c r="BC644"/>
      <c r="BD644" s="25"/>
      <c r="BF644" s="22">
        <v>45189</v>
      </c>
      <c r="BG644" s="26">
        <f t="shared" ca="1" si="100"/>
        <v>0.31056974799315096</v>
      </c>
      <c r="BH644" s="29">
        <v>0</v>
      </c>
      <c r="BJ644" s="22">
        <v>45189</v>
      </c>
      <c r="BK644" s="26">
        <f t="shared" ca="1" si="101"/>
        <v>0.63718106716530343</v>
      </c>
      <c r="BL644" s="29">
        <v>0</v>
      </c>
      <c r="BN644" s="22">
        <v>45189</v>
      </c>
      <c r="BO644" s="26">
        <f t="shared" ca="1" si="102"/>
        <v>0.32607150672053431</v>
      </c>
      <c r="BP644" s="29">
        <v>0</v>
      </c>
      <c r="BR644" s="22">
        <v>45189</v>
      </c>
      <c r="BS644" s="26">
        <f t="shared" ca="1" si="103"/>
        <v>0.69117671199999675</v>
      </c>
      <c r="BT644" s="29">
        <v>0</v>
      </c>
      <c r="BV644" s="22">
        <v>45189</v>
      </c>
      <c r="BW644" s="26">
        <f t="shared" ca="1" si="104"/>
        <v>0.64216773780158509</v>
      </c>
      <c r="BX644" s="29">
        <v>0</v>
      </c>
    </row>
    <row r="645" spans="2:77" ht="12.75" x14ac:dyDescent="0.2">
      <c r="B645" s="22">
        <v>45190</v>
      </c>
      <c r="C645" s="26">
        <f t="shared" ca="1" si="68"/>
        <v>9.769446313818908E-2</v>
      </c>
      <c r="D645" s="29">
        <f t="shared" ca="1" si="106"/>
        <v>50</v>
      </c>
      <c r="F645" s="22">
        <v>45190</v>
      </c>
      <c r="G645" s="26">
        <f t="shared" ca="1" si="88"/>
        <v>0.99278479613631054</v>
      </c>
      <c r="H645" s="29">
        <f t="shared" ca="1" si="107"/>
        <v>251</v>
      </c>
      <c r="J645" s="22">
        <v>45190</v>
      </c>
      <c r="K645" s="26">
        <f t="shared" ca="1" si="89"/>
        <v>0.72016213605381607</v>
      </c>
      <c r="L645" s="29">
        <f t="shared" ca="1" si="108"/>
        <v>156</v>
      </c>
      <c r="N645" s="22">
        <v>45190</v>
      </c>
      <c r="O645" s="26">
        <f t="shared" ca="1" si="90"/>
        <v>0.52234418353089929</v>
      </c>
      <c r="P645" s="29">
        <f t="shared" ca="1" si="109"/>
        <v>231</v>
      </c>
      <c r="R645" s="22">
        <v>45190</v>
      </c>
      <c r="S645" s="26">
        <f t="shared" ca="1" si="91"/>
        <v>0.81750953857703657</v>
      </c>
      <c r="T645" s="29">
        <f t="shared" ca="1" si="110"/>
        <v>148</v>
      </c>
      <c r="V645" s="22">
        <v>45190</v>
      </c>
      <c r="W645" s="26">
        <f t="shared" ca="1" si="92"/>
        <v>0.5014410121079933</v>
      </c>
      <c r="X645" s="29">
        <f t="shared" ca="1" si="111"/>
        <v>226</v>
      </c>
      <c r="Z645" s="22">
        <v>45190</v>
      </c>
      <c r="AA645" s="26">
        <f t="shared" ca="1" si="93"/>
        <v>9.4855006838638012E-2</v>
      </c>
      <c r="AB645" s="29">
        <f t="shared" ca="1" si="112"/>
        <v>247</v>
      </c>
      <c r="AC645"/>
      <c r="AD645" s="25"/>
      <c r="AF645" s="22">
        <v>45190</v>
      </c>
      <c r="AG645" s="26">
        <f t="shared" ca="1" si="94"/>
        <v>0.80548448173429843</v>
      </c>
      <c r="AH645" s="29">
        <f t="shared" ca="1" si="113"/>
        <v>403</v>
      </c>
      <c r="AJ645" s="22">
        <v>45190</v>
      </c>
      <c r="AK645" s="26">
        <f t="shared" ca="1" si="95"/>
        <v>0.55332183350450947</v>
      </c>
      <c r="AL645" s="29">
        <f t="shared" ca="1" si="114"/>
        <v>177</v>
      </c>
      <c r="AN645" s="22">
        <v>45190</v>
      </c>
      <c r="AO645" s="26">
        <f t="shared" ca="1" si="96"/>
        <v>0.73143692164286933</v>
      </c>
      <c r="AP645" s="29">
        <f t="shared" ca="1" si="115"/>
        <v>271</v>
      </c>
      <c r="AR645" s="22">
        <v>45190</v>
      </c>
      <c r="AS645" s="26">
        <f t="shared" ca="1" si="97"/>
        <v>0.65846299775336026</v>
      </c>
      <c r="AT645" s="29">
        <f t="shared" ca="1" si="116"/>
        <v>220</v>
      </c>
      <c r="AV645" s="22">
        <v>45190</v>
      </c>
      <c r="AW645" s="26">
        <f t="shared" ca="1" si="98"/>
        <v>0.71900908074058567</v>
      </c>
      <c r="AX645" s="29">
        <v>0</v>
      </c>
      <c r="AZ645" s="22">
        <v>45190</v>
      </c>
      <c r="BA645" s="26">
        <f t="shared" ca="1" si="99"/>
        <v>0.2110251940325466</v>
      </c>
      <c r="BB645" s="29">
        <v>0</v>
      </c>
      <c r="BC645"/>
      <c r="BD645" s="25"/>
      <c r="BF645" s="22">
        <v>45190</v>
      </c>
      <c r="BG645" s="26">
        <f t="shared" ca="1" si="100"/>
        <v>0.64135385205752304</v>
      </c>
      <c r="BH645" s="29">
        <v>0</v>
      </c>
      <c r="BJ645" s="22">
        <v>45190</v>
      </c>
      <c r="BK645" s="26">
        <f t="shared" ca="1" si="101"/>
        <v>0.64147234238043027</v>
      </c>
      <c r="BL645" s="29">
        <v>0</v>
      </c>
      <c r="BN645" s="22">
        <v>45190</v>
      </c>
      <c r="BO645" s="26">
        <f t="shared" ca="1" si="102"/>
        <v>0.65868636950527193</v>
      </c>
      <c r="BP645" s="29">
        <v>0</v>
      </c>
      <c r="BR645" s="22">
        <v>45190</v>
      </c>
      <c r="BS645" s="26">
        <f t="shared" ca="1" si="103"/>
        <v>0.65099069065360204</v>
      </c>
      <c r="BT645" s="29">
        <v>0</v>
      </c>
      <c r="BV645" s="22">
        <v>45190</v>
      </c>
      <c r="BW645" s="26">
        <f t="shared" ca="1" si="104"/>
        <v>0.7798966226376548</v>
      </c>
      <c r="BX645" s="29">
        <v>0</v>
      </c>
    </row>
    <row r="646" spans="2:77" ht="12.75" x14ac:dyDescent="0.2">
      <c r="B646" s="22">
        <v>45191</v>
      </c>
      <c r="C646" s="26">
        <f t="shared" ca="1" si="68"/>
        <v>0.61818670823169519</v>
      </c>
      <c r="D646" s="29">
        <f t="shared" ca="1" si="106"/>
        <v>82</v>
      </c>
      <c r="F646" s="22">
        <v>45191</v>
      </c>
      <c r="G646" s="26">
        <f t="shared" ca="1" si="88"/>
        <v>0.94555256191784109</v>
      </c>
      <c r="H646" s="29">
        <f t="shared" ca="1" si="107"/>
        <v>239</v>
      </c>
      <c r="J646" s="22">
        <v>45191</v>
      </c>
      <c r="K646" s="26">
        <f t="shared" ca="1" si="89"/>
        <v>0.24609057892142483</v>
      </c>
      <c r="L646" s="29">
        <f t="shared" ca="1" si="108"/>
        <v>144</v>
      </c>
      <c r="N646" s="22">
        <v>45191</v>
      </c>
      <c r="O646" s="26">
        <f t="shared" ca="1" si="90"/>
        <v>0.92554331198859818</v>
      </c>
      <c r="P646" s="29">
        <f t="shared" ca="1" si="109"/>
        <v>252</v>
      </c>
      <c r="R646" s="22">
        <v>45191</v>
      </c>
      <c r="S646" s="26">
        <f t="shared" ca="1" si="91"/>
        <v>0.47076452157614146</v>
      </c>
      <c r="T646" s="29">
        <f t="shared" ca="1" si="110"/>
        <v>139</v>
      </c>
      <c r="V646" s="22">
        <v>45191</v>
      </c>
      <c r="W646" s="26">
        <f t="shared" ca="1" si="92"/>
        <v>0.44135761407647556</v>
      </c>
      <c r="X646" s="29">
        <f t="shared" ca="1" si="111"/>
        <v>223</v>
      </c>
      <c r="Z646" s="22">
        <v>45191</v>
      </c>
      <c r="AA646" s="26">
        <f t="shared" ca="1" si="93"/>
        <v>0.45821051871754492</v>
      </c>
      <c r="AB646" s="29">
        <f t="shared" ca="1" si="112"/>
        <v>269</v>
      </c>
      <c r="AC646"/>
      <c r="AD646" s="25"/>
      <c r="AF646" s="22">
        <v>45191</v>
      </c>
      <c r="AG646" s="26">
        <f t="shared" ca="1" si="94"/>
        <v>0.73663820084472464</v>
      </c>
      <c r="AH646" s="29">
        <f t="shared" ca="1" si="113"/>
        <v>383</v>
      </c>
      <c r="AJ646" s="22">
        <v>45191</v>
      </c>
      <c r="AK646" s="26">
        <f t="shared" ca="1" si="95"/>
        <v>0.45787343132957448</v>
      </c>
      <c r="AL646" s="29">
        <f t="shared" ca="1" si="114"/>
        <v>166</v>
      </c>
      <c r="AN646" s="22">
        <v>45191</v>
      </c>
      <c r="AO646" s="26">
        <f t="shared" ca="1" si="96"/>
        <v>0.79666247203703588</v>
      </c>
      <c r="AP646" s="29">
        <f t="shared" ca="1" si="115"/>
        <v>284</v>
      </c>
      <c r="AR646" s="22">
        <v>45191</v>
      </c>
      <c r="AS646" s="26">
        <f t="shared" ca="1" si="97"/>
        <v>0.17983483581683724</v>
      </c>
      <c r="AT646" s="29">
        <f t="shared" ca="1" si="116"/>
        <v>150</v>
      </c>
      <c r="AV646" s="22">
        <v>45191</v>
      </c>
      <c r="AW646" s="26">
        <f t="shared" ca="1" si="98"/>
        <v>0.14748471312253397</v>
      </c>
      <c r="AX646" s="29">
        <v>0</v>
      </c>
      <c r="AZ646" s="22">
        <v>45191</v>
      </c>
      <c r="BA646" s="26">
        <f t="shared" ca="1" si="99"/>
        <v>0.71349454058062745</v>
      </c>
      <c r="BB646" s="29">
        <v>0</v>
      </c>
      <c r="BC646"/>
      <c r="BD646" s="25"/>
      <c r="BF646" s="22">
        <v>45191</v>
      </c>
      <c r="BG646" s="26">
        <f t="shared" ca="1" si="100"/>
        <v>0.97765245152677638</v>
      </c>
      <c r="BH646" s="29">
        <v>0</v>
      </c>
      <c r="BJ646" s="22">
        <v>45191</v>
      </c>
      <c r="BK646" s="26">
        <f t="shared" ca="1" si="101"/>
        <v>0.46400320131595818</v>
      </c>
      <c r="BL646" s="29">
        <v>0</v>
      </c>
      <c r="BN646" s="22">
        <v>45191</v>
      </c>
      <c r="BO646" s="26">
        <f t="shared" ca="1" si="102"/>
        <v>0.98494352503456128</v>
      </c>
      <c r="BP646" s="29">
        <v>0</v>
      </c>
      <c r="BR646" s="22">
        <v>45191</v>
      </c>
      <c r="BS646" s="26">
        <f t="shared" ca="1" si="103"/>
        <v>0.54108441442718824</v>
      </c>
      <c r="BT646" s="29">
        <v>0</v>
      </c>
      <c r="BV646" s="22">
        <v>45191</v>
      </c>
      <c r="BW646" s="26">
        <f t="shared" ca="1" si="104"/>
        <v>0.30591129807732931</v>
      </c>
      <c r="BX646" s="29">
        <v>0</v>
      </c>
    </row>
    <row r="647" spans="2:77" ht="12.75" x14ac:dyDescent="0.2">
      <c r="B647" s="22">
        <v>45192</v>
      </c>
      <c r="C647" s="26">
        <f t="shared" ca="1" si="68"/>
        <v>0.31702026433112995</v>
      </c>
      <c r="D647" s="29">
        <f t="shared" ca="1" si="106"/>
        <v>66</v>
      </c>
      <c r="F647" s="22">
        <v>45192</v>
      </c>
      <c r="G647" s="26">
        <f t="shared" ca="1" si="88"/>
        <v>0.4789881695497179</v>
      </c>
      <c r="H647" s="29">
        <f t="shared" ca="1" si="107"/>
        <v>215</v>
      </c>
      <c r="J647" s="22">
        <v>45192</v>
      </c>
      <c r="K647" s="26">
        <f t="shared" ca="1" si="89"/>
        <v>7.5090717987613131E-2</v>
      </c>
      <c r="L647" s="29">
        <f t="shared" ca="1" si="108"/>
        <v>136</v>
      </c>
      <c r="N647" s="22">
        <v>45192</v>
      </c>
      <c r="O647" s="26">
        <f t="shared" ca="1" si="90"/>
        <v>0.59913214698025319</v>
      </c>
      <c r="P647" s="29">
        <f t="shared" ca="1" si="109"/>
        <v>234</v>
      </c>
      <c r="R647" s="22">
        <v>45192</v>
      </c>
      <c r="S647" s="26">
        <f t="shared" ca="1" si="91"/>
        <v>0.37133447201466929</v>
      </c>
      <c r="T647" s="29">
        <f t="shared" ca="1" si="110"/>
        <v>136</v>
      </c>
      <c r="V647" s="22">
        <v>45192</v>
      </c>
      <c r="W647" s="26">
        <f t="shared" ca="1" si="92"/>
        <v>0.47360369776883382</v>
      </c>
      <c r="X647" s="29">
        <f t="shared" ca="1" si="111"/>
        <v>225</v>
      </c>
      <c r="Z647" s="22">
        <v>45192</v>
      </c>
      <c r="AA647" s="26">
        <f t="shared" ca="1" si="93"/>
        <v>0.2159266532171189</v>
      </c>
      <c r="AB647" s="29">
        <f t="shared" ca="1" si="112"/>
        <v>256</v>
      </c>
      <c r="AC647"/>
      <c r="AD647" s="25"/>
      <c r="AF647" s="22">
        <v>45192</v>
      </c>
      <c r="AG647" s="26">
        <f t="shared" ca="1" si="94"/>
        <v>0.29376533756890555</v>
      </c>
      <c r="AH647" s="29">
        <f t="shared" ca="1" si="113"/>
        <v>280</v>
      </c>
      <c r="AJ647" s="22">
        <v>45192</v>
      </c>
      <c r="AK647" s="26">
        <f t="shared" ca="1" si="95"/>
        <v>0.19741158058933905</v>
      </c>
      <c r="AL647" s="29">
        <f t="shared" ca="1" si="114"/>
        <v>132</v>
      </c>
      <c r="AN647" s="22">
        <v>45192</v>
      </c>
      <c r="AO647" s="26">
        <f t="shared" ca="1" si="96"/>
        <v>0.60461982496561795</v>
      </c>
      <c r="AP647" s="29">
        <f t="shared" ca="1" si="115"/>
        <v>249</v>
      </c>
      <c r="AR647" s="22">
        <v>45192</v>
      </c>
      <c r="AS647" s="26">
        <f t="shared" ca="1" si="97"/>
        <v>0.30136888620444335</v>
      </c>
      <c r="AT647" s="29">
        <f t="shared" ca="1" si="116"/>
        <v>171</v>
      </c>
      <c r="AV647" s="22">
        <v>45192</v>
      </c>
      <c r="AW647" s="26">
        <f t="shared" ca="1" si="98"/>
        <v>3.4916096186216494E-2</v>
      </c>
      <c r="AX647" s="29">
        <v>0</v>
      </c>
      <c r="AZ647" s="22">
        <v>45192</v>
      </c>
      <c r="BA647" s="26">
        <f t="shared" ca="1" si="99"/>
        <v>0.26050790831681991</v>
      </c>
      <c r="BB647" s="29">
        <v>0</v>
      </c>
      <c r="BC647"/>
      <c r="BD647" s="25"/>
      <c r="BF647" s="22">
        <v>45192</v>
      </c>
      <c r="BG647" s="26">
        <f t="shared" ca="1" si="100"/>
        <v>0.47933743580784272</v>
      </c>
      <c r="BH647" s="29">
        <v>0</v>
      </c>
      <c r="BJ647" s="22">
        <v>45192</v>
      </c>
      <c r="BK647" s="26">
        <f t="shared" ca="1" si="101"/>
        <v>0.63783646176312536</v>
      </c>
      <c r="BL647" s="29">
        <v>0</v>
      </c>
      <c r="BN647" s="22">
        <v>45192</v>
      </c>
      <c r="BO647" s="26">
        <f t="shared" ca="1" si="102"/>
        <v>0.26534750484898506</v>
      </c>
      <c r="BP647" s="29">
        <v>0</v>
      </c>
      <c r="BR647" s="22">
        <v>45192</v>
      </c>
      <c r="BS647" s="26">
        <f t="shared" ca="1" si="103"/>
        <v>0.53560997260438015</v>
      </c>
      <c r="BT647" s="29">
        <v>0</v>
      </c>
      <c r="BV647" s="22">
        <v>45192</v>
      </c>
      <c r="BW647" s="26">
        <f t="shared" ca="1" si="104"/>
        <v>0.7358884275443871</v>
      </c>
      <c r="BX647" s="29">
        <v>0</v>
      </c>
    </row>
    <row r="648" spans="2:77" ht="12.75" x14ac:dyDescent="0.2">
      <c r="B648" s="22">
        <v>45193</v>
      </c>
      <c r="C648" s="26">
        <f t="shared" ca="1" si="68"/>
        <v>0.87993686208696731</v>
      </c>
      <c r="D648" s="29">
        <f t="shared" ca="1" si="106"/>
        <v>99</v>
      </c>
      <c r="F648" s="22">
        <v>45193</v>
      </c>
      <c r="G648" s="26">
        <f t="shared" ca="1" si="88"/>
        <v>1.847257678097014E-3</v>
      </c>
      <c r="H648" s="29">
        <f t="shared" ca="1" si="107"/>
        <v>174</v>
      </c>
      <c r="J648" s="22">
        <v>45193</v>
      </c>
      <c r="K648" s="26">
        <f t="shared" ca="1" si="89"/>
        <v>0.78703794553118189</v>
      </c>
      <c r="L648" s="29">
        <f t="shared" ca="1" si="108"/>
        <v>158</v>
      </c>
      <c r="N648" s="22">
        <v>45193</v>
      </c>
      <c r="O648" s="26">
        <f t="shared" ca="1" si="90"/>
        <v>0.9636594151003427</v>
      </c>
      <c r="P648" s="29">
        <f t="shared" ca="1" si="109"/>
        <v>257</v>
      </c>
      <c r="R648" s="22">
        <v>45193</v>
      </c>
      <c r="S648" s="26">
        <f t="shared" ca="1" si="91"/>
        <v>0.70978107446852579</v>
      </c>
      <c r="T648" s="29">
        <f t="shared" ca="1" si="110"/>
        <v>144</v>
      </c>
      <c r="V648" s="22">
        <v>45193</v>
      </c>
      <c r="W648" s="26">
        <f t="shared" ca="1" si="92"/>
        <v>0.12871590115454845</v>
      </c>
      <c r="X648" s="29">
        <f t="shared" ca="1" si="111"/>
        <v>209</v>
      </c>
      <c r="Z648" s="22">
        <v>45193</v>
      </c>
      <c r="AA648" s="26">
        <f t="shared" ca="1" si="93"/>
        <v>0.72784286049572144</v>
      </c>
      <c r="AB648" s="29">
        <f t="shared" ca="1" si="112"/>
        <v>281</v>
      </c>
      <c r="AC648"/>
      <c r="AD648" s="25"/>
      <c r="AF648" s="22">
        <v>45193</v>
      </c>
      <c r="AG648" s="26">
        <f t="shared" ca="1" si="94"/>
        <v>0.93109966945076261</v>
      </c>
      <c r="AH648" s="29">
        <f t="shared" ca="1" si="113"/>
        <v>457</v>
      </c>
      <c r="AJ648" s="22">
        <v>45193</v>
      </c>
      <c r="AK648" s="26">
        <f t="shared" ca="1" si="95"/>
        <v>0.83605237616641481</v>
      </c>
      <c r="AL648" s="29">
        <f t="shared" ca="1" si="114"/>
        <v>215</v>
      </c>
      <c r="AN648" s="22">
        <v>45193</v>
      </c>
      <c r="AO648" s="26">
        <f t="shared" ca="1" si="96"/>
        <v>8.4737897596740219E-2</v>
      </c>
      <c r="AP648" s="29">
        <f t="shared" ca="1" si="115"/>
        <v>148</v>
      </c>
      <c r="AR648" s="22">
        <v>45193</v>
      </c>
      <c r="AS648" s="26">
        <f t="shared" ca="1" si="97"/>
        <v>0.88416912591400798</v>
      </c>
      <c r="AT648" s="29">
        <f t="shared" ca="1" si="116"/>
        <v>262</v>
      </c>
      <c r="AV648" s="22">
        <v>45193</v>
      </c>
      <c r="AW648" s="26">
        <f t="shared" ca="1" si="98"/>
        <v>0.80551435858928833</v>
      </c>
      <c r="AX648" s="29">
        <v>0</v>
      </c>
      <c r="AZ648" s="22">
        <v>45193</v>
      </c>
      <c r="BA648" s="26">
        <f t="shared" ca="1" si="99"/>
        <v>0.82149217520069662</v>
      </c>
      <c r="BB648" s="29">
        <v>0</v>
      </c>
      <c r="BC648"/>
      <c r="BD648" s="25"/>
      <c r="BF648" s="22">
        <v>45193</v>
      </c>
      <c r="BG648" s="26">
        <f t="shared" ca="1" si="100"/>
        <v>0.6932338579295918</v>
      </c>
      <c r="BH648" s="29">
        <v>0</v>
      </c>
      <c r="BJ648" s="22">
        <v>45193</v>
      </c>
      <c r="BK648" s="26">
        <f t="shared" ca="1" si="101"/>
        <v>0.24174318139990936</v>
      </c>
      <c r="BL648" s="29">
        <v>0</v>
      </c>
      <c r="BN648" s="22">
        <v>45193</v>
      </c>
      <c r="BO648" s="26">
        <f t="shared" ca="1" si="102"/>
        <v>0.44340455494599107</v>
      </c>
      <c r="BP648" s="29">
        <v>0</v>
      </c>
      <c r="BR648" s="22">
        <v>45193</v>
      </c>
      <c r="BS648" s="26">
        <f t="shared" ca="1" si="103"/>
        <v>0.22777228823799367</v>
      </c>
      <c r="BT648" s="29">
        <v>0</v>
      </c>
      <c r="BV648" s="22">
        <v>45193</v>
      </c>
      <c r="BW648" s="26">
        <f t="shared" ca="1" si="104"/>
        <v>0.41112546986671028</v>
      </c>
      <c r="BX648" s="29">
        <v>0</v>
      </c>
    </row>
    <row r="649" spans="2:77" ht="12.75" x14ac:dyDescent="0.2">
      <c r="B649" s="22">
        <v>45194</v>
      </c>
      <c r="C649" s="26">
        <f t="shared" ca="1" si="68"/>
        <v>0.53377653906849365</v>
      </c>
      <c r="D649" s="29">
        <f t="shared" ca="1" si="106"/>
        <v>77</v>
      </c>
      <c r="F649" s="22">
        <v>45194</v>
      </c>
      <c r="G649" s="26">
        <f t="shared" ca="1" si="88"/>
        <v>0.45818810988423331</v>
      </c>
      <c r="H649" s="29">
        <f t="shared" ca="1" si="107"/>
        <v>214</v>
      </c>
      <c r="J649" s="22">
        <v>45194</v>
      </c>
      <c r="K649" s="26">
        <f t="shared" ca="1" si="89"/>
        <v>0.87729117131827494</v>
      </c>
      <c r="L649" s="29">
        <f t="shared" ca="1" si="108"/>
        <v>162</v>
      </c>
      <c r="N649" s="22">
        <v>45194</v>
      </c>
      <c r="O649" s="26">
        <f t="shared" ca="1" si="90"/>
        <v>0.71899957353198718</v>
      </c>
      <c r="P649" s="29">
        <f t="shared" ca="1" si="109"/>
        <v>239</v>
      </c>
      <c r="R649" s="22">
        <v>45194</v>
      </c>
      <c r="S649" s="26">
        <f t="shared" ca="1" si="91"/>
        <v>0.46787267696093326</v>
      </c>
      <c r="T649" s="29">
        <f t="shared" ca="1" si="110"/>
        <v>139</v>
      </c>
      <c r="V649" s="22">
        <v>45194</v>
      </c>
      <c r="W649" s="26">
        <f t="shared" ca="1" si="92"/>
        <v>0.13560308586357739</v>
      </c>
      <c r="X649" s="29">
        <f t="shared" ca="1" si="111"/>
        <v>209</v>
      </c>
      <c r="Z649" s="22">
        <v>45194</v>
      </c>
      <c r="AA649" s="26">
        <f t="shared" ca="1" si="93"/>
        <v>0.36614387043142149</v>
      </c>
      <c r="AB649" s="29">
        <f t="shared" ca="1" si="112"/>
        <v>264</v>
      </c>
      <c r="AC649"/>
      <c r="AD649" s="25"/>
      <c r="AF649" s="22">
        <v>45194</v>
      </c>
      <c r="AG649" s="26">
        <f t="shared" ca="1" si="94"/>
        <v>0.35692129415068996</v>
      </c>
      <c r="AH649" s="29">
        <f t="shared" ca="1" si="113"/>
        <v>296</v>
      </c>
      <c r="AJ649" s="22">
        <v>45194</v>
      </c>
      <c r="AK649" s="26">
        <f t="shared" ca="1" si="95"/>
        <v>0.89443585407569537</v>
      </c>
      <c r="AL649" s="29">
        <f t="shared" ca="1" si="114"/>
        <v>228</v>
      </c>
      <c r="AN649" s="22">
        <v>45194</v>
      </c>
      <c r="AO649" s="26">
        <f t="shared" ca="1" si="96"/>
        <v>0.70538716945721769</v>
      </c>
      <c r="AP649" s="29">
        <f t="shared" ca="1" si="115"/>
        <v>266</v>
      </c>
      <c r="AR649" s="22">
        <v>45194</v>
      </c>
      <c r="AS649" s="26">
        <f t="shared" ca="1" si="97"/>
        <v>2.1970553941519588E-2</v>
      </c>
      <c r="AT649" s="29">
        <f t="shared" ca="1" si="116"/>
        <v>92</v>
      </c>
      <c r="AV649" s="22">
        <v>45194</v>
      </c>
      <c r="AW649" s="26">
        <f t="shared" ca="1" si="98"/>
        <v>0.25185133282604621</v>
      </c>
      <c r="AX649" s="29">
        <v>0</v>
      </c>
      <c r="AZ649" s="22">
        <v>45194</v>
      </c>
      <c r="BA649" s="26">
        <f t="shared" ca="1" si="99"/>
        <v>0.91502752933569431</v>
      </c>
      <c r="BB649" s="29">
        <v>0</v>
      </c>
      <c r="BC649"/>
      <c r="BD649" s="25"/>
      <c r="BF649" s="22">
        <v>45194</v>
      </c>
      <c r="BG649" s="26">
        <f t="shared" ca="1" si="100"/>
        <v>0.54070070252988489</v>
      </c>
      <c r="BH649" s="29">
        <v>0</v>
      </c>
      <c r="BJ649" s="22">
        <v>45194</v>
      </c>
      <c r="BK649" s="26">
        <f t="shared" ca="1" si="101"/>
        <v>0.28488004630075747</v>
      </c>
      <c r="BL649" s="29">
        <v>0</v>
      </c>
      <c r="BN649" s="22">
        <v>45194</v>
      </c>
      <c r="BO649" s="26">
        <f t="shared" ca="1" si="102"/>
        <v>0.27564057397652408</v>
      </c>
      <c r="BP649" s="29">
        <v>0</v>
      </c>
      <c r="BR649" s="22">
        <v>45194</v>
      </c>
      <c r="BS649" s="26">
        <f t="shared" ca="1" si="103"/>
        <v>0.1003239920957314</v>
      </c>
      <c r="BT649" s="29">
        <v>0</v>
      </c>
      <c r="BV649" s="22">
        <v>45194</v>
      </c>
      <c r="BW649" s="26">
        <f t="shared" ca="1" si="104"/>
        <v>0.45935002756901344</v>
      </c>
      <c r="BX649" s="29">
        <v>0</v>
      </c>
    </row>
    <row r="650" spans="2:77" ht="12.75" x14ac:dyDescent="0.2">
      <c r="B650" s="22">
        <v>45195</v>
      </c>
      <c r="C650" s="26">
        <f t="shared" ca="1" si="68"/>
        <v>0.5109988213859219</v>
      </c>
      <c r="D650" s="29">
        <f t="shared" ca="1" si="106"/>
        <v>76</v>
      </c>
      <c r="F650" s="22">
        <v>45195</v>
      </c>
      <c r="G650" s="26">
        <f t="shared" ca="1" si="88"/>
        <v>0.52028401721456474</v>
      </c>
      <c r="H650" s="29">
        <f t="shared" ca="1" si="107"/>
        <v>217</v>
      </c>
      <c r="J650" s="22">
        <v>45195</v>
      </c>
      <c r="K650" s="26">
        <f t="shared" ca="1" si="89"/>
        <v>0.60877443327392677</v>
      </c>
      <c r="L650" s="29">
        <f t="shared" ca="1" si="108"/>
        <v>153</v>
      </c>
      <c r="N650" s="22">
        <v>45195</v>
      </c>
      <c r="O650" s="26">
        <f t="shared" ca="1" si="90"/>
        <v>0.98593052872427378</v>
      </c>
      <c r="P650" s="29">
        <f t="shared" ca="1" si="109"/>
        <v>263</v>
      </c>
      <c r="R650" s="22">
        <v>45195</v>
      </c>
      <c r="S650" s="26">
        <f t="shared" ca="1" si="91"/>
        <v>0.56698609178511017</v>
      </c>
      <c r="T650" s="29">
        <f t="shared" ca="1" si="110"/>
        <v>141</v>
      </c>
      <c r="V650" s="22">
        <v>45195</v>
      </c>
      <c r="W650" s="26">
        <f t="shared" ca="1" si="92"/>
        <v>0.862796031321027</v>
      </c>
      <c r="X650" s="29">
        <f t="shared" ca="1" si="111"/>
        <v>242</v>
      </c>
      <c r="Z650" s="22">
        <v>45195</v>
      </c>
      <c r="AA650" s="26">
        <f t="shared" ca="1" si="93"/>
        <v>0.46795601888210681</v>
      </c>
      <c r="AB650" s="29">
        <f t="shared" ca="1" si="112"/>
        <v>269</v>
      </c>
      <c r="AC650"/>
      <c r="AD650" s="25"/>
      <c r="AF650" s="22">
        <v>45195</v>
      </c>
      <c r="AG650" s="26">
        <f t="shared" ca="1" si="94"/>
        <v>0.1312234082250977</v>
      </c>
      <c r="AH650" s="29">
        <f t="shared" ca="1" si="113"/>
        <v>230</v>
      </c>
      <c r="AJ650" s="22">
        <v>45195</v>
      </c>
      <c r="AK650" s="26">
        <f t="shared" ca="1" si="95"/>
        <v>0.32762670929316862</v>
      </c>
      <c r="AL650" s="29">
        <f t="shared" ca="1" si="114"/>
        <v>151</v>
      </c>
      <c r="AN650" s="22">
        <v>45195</v>
      </c>
      <c r="AO650" s="26">
        <f t="shared" ca="1" si="96"/>
        <v>0.11651031944177581</v>
      </c>
      <c r="AP650" s="29">
        <f t="shared" ca="1" si="115"/>
        <v>159</v>
      </c>
      <c r="AR650" s="22">
        <v>45195</v>
      </c>
      <c r="AS650" s="26">
        <f t="shared" ca="1" si="97"/>
        <v>0.60195517909928631</v>
      </c>
      <c r="AT650" s="29">
        <f t="shared" ca="1" si="116"/>
        <v>212</v>
      </c>
      <c r="AV650" s="22">
        <v>45195</v>
      </c>
      <c r="AW650" s="26">
        <f t="shared" ca="1" si="98"/>
        <v>0.4048431963670085</v>
      </c>
      <c r="AX650" s="29">
        <v>0</v>
      </c>
      <c r="AZ650" s="22">
        <v>45195</v>
      </c>
      <c r="BA650" s="26">
        <f t="shared" ca="1" si="99"/>
        <v>0.11378010314489084</v>
      </c>
      <c r="BB650" s="29">
        <v>0</v>
      </c>
      <c r="BC650"/>
      <c r="BD650" s="25"/>
      <c r="BF650" s="22">
        <v>45195</v>
      </c>
      <c r="BG650" s="26">
        <f t="shared" ca="1" si="100"/>
        <v>0.36586550212521252</v>
      </c>
      <c r="BH650" s="29">
        <v>0</v>
      </c>
      <c r="BJ650" s="22">
        <v>45195</v>
      </c>
      <c r="BK650" s="26">
        <f t="shared" ca="1" si="101"/>
        <v>0.18711865841416075</v>
      </c>
      <c r="BL650" s="29">
        <v>0</v>
      </c>
      <c r="BN650" s="22">
        <v>45195</v>
      </c>
      <c r="BO650" s="26">
        <f t="shared" ca="1" si="102"/>
        <v>0.1895411188259688</v>
      </c>
      <c r="BP650" s="29">
        <v>0</v>
      </c>
      <c r="BR650" s="22">
        <v>45195</v>
      </c>
      <c r="BS650" s="26">
        <f t="shared" ca="1" si="103"/>
        <v>6.5429029876290512E-3</v>
      </c>
      <c r="BT650" s="29">
        <v>0</v>
      </c>
      <c r="BV650" s="22">
        <v>45195</v>
      </c>
      <c r="BW650" s="26">
        <f t="shared" ca="1" si="104"/>
        <v>1.4368117533679614E-3</v>
      </c>
      <c r="BX650" s="29">
        <v>0</v>
      </c>
    </row>
    <row r="651" spans="2:77" ht="12.75" x14ac:dyDescent="0.2">
      <c r="B651" s="22">
        <v>45196</v>
      </c>
      <c r="C651" s="26">
        <f t="shared" ca="1" si="68"/>
        <v>0.54372751677094167</v>
      </c>
      <c r="D651" s="29">
        <f t="shared" ca="1" si="106"/>
        <v>78</v>
      </c>
      <c r="F651" s="22">
        <v>45196</v>
      </c>
      <c r="G651" s="26">
        <f t="shared" ca="1" si="88"/>
        <v>0.17754915131848892</v>
      </c>
      <c r="H651" s="29">
        <f t="shared" ca="1" si="107"/>
        <v>203</v>
      </c>
      <c r="J651" s="22">
        <v>45196</v>
      </c>
      <c r="K651" s="26">
        <f t="shared" ca="1" si="89"/>
        <v>0.8397807872431502</v>
      </c>
      <c r="L651" s="29">
        <f t="shared" ca="1" si="108"/>
        <v>160</v>
      </c>
      <c r="N651" s="22">
        <v>45196</v>
      </c>
      <c r="O651" s="26">
        <f t="shared" ca="1" si="90"/>
        <v>0.73106537526117077</v>
      </c>
      <c r="P651" s="29">
        <f t="shared" ca="1" si="109"/>
        <v>239</v>
      </c>
      <c r="R651" s="22">
        <v>45196</v>
      </c>
      <c r="S651" s="26">
        <f t="shared" ca="1" si="91"/>
        <v>0.26662526962511557</v>
      </c>
      <c r="T651" s="29">
        <f t="shared" ca="1" si="110"/>
        <v>133</v>
      </c>
      <c r="V651" s="22">
        <v>45196</v>
      </c>
      <c r="W651" s="26">
        <f t="shared" ca="1" si="92"/>
        <v>0.47826101896924267</v>
      </c>
      <c r="X651" s="29">
        <f t="shared" ca="1" si="111"/>
        <v>225</v>
      </c>
      <c r="Z651" s="22">
        <v>45196</v>
      </c>
      <c r="AA651" s="26">
        <f t="shared" ca="1" si="93"/>
        <v>0.32243256030842626</v>
      </c>
      <c r="AB651" s="29">
        <f t="shared" ca="1" si="112"/>
        <v>262</v>
      </c>
      <c r="AC651"/>
      <c r="AD651" s="25"/>
      <c r="AF651" s="22">
        <v>45196</v>
      </c>
      <c r="AG651" s="26">
        <f t="shared" ca="1" si="94"/>
        <v>6.7442613885617231E-2</v>
      </c>
      <c r="AH651" s="29">
        <f t="shared" ca="1" si="113"/>
        <v>197</v>
      </c>
      <c r="AJ651" s="22">
        <v>45196</v>
      </c>
      <c r="AK651" s="26">
        <f t="shared" ca="1" si="95"/>
        <v>0.9527808244415964</v>
      </c>
      <c r="AL651" s="29">
        <f t="shared" ca="1" si="114"/>
        <v>247</v>
      </c>
      <c r="AN651" s="22">
        <v>45196</v>
      </c>
      <c r="AO651" s="26">
        <f t="shared" ca="1" si="96"/>
        <v>0.539435726808558</v>
      </c>
      <c r="AP651" s="29">
        <f t="shared" ca="1" si="115"/>
        <v>239</v>
      </c>
      <c r="AR651" s="22">
        <v>45196</v>
      </c>
      <c r="AS651" s="26">
        <f t="shared" ca="1" si="97"/>
        <v>0.74422386782072691</v>
      </c>
      <c r="AT651" s="29">
        <f t="shared" ca="1" si="116"/>
        <v>233</v>
      </c>
      <c r="AV651" s="22">
        <v>45196</v>
      </c>
      <c r="AW651" s="26">
        <f t="shared" ca="1" si="98"/>
        <v>0.33577944258049752</v>
      </c>
      <c r="AX651" s="29">
        <v>0</v>
      </c>
      <c r="AZ651" s="22">
        <v>45196</v>
      </c>
      <c r="BA651" s="26">
        <f t="shared" ca="1" si="99"/>
        <v>0.43636141971870612</v>
      </c>
      <c r="BB651" s="29">
        <v>0</v>
      </c>
      <c r="BC651"/>
      <c r="BD651" s="25"/>
      <c r="BF651" s="22">
        <v>45196</v>
      </c>
      <c r="BG651" s="26">
        <f t="shared" ca="1" si="100"/>
        <v>0.15947690354834965</v>
      </c>
      <c r="BH651" s="29">
        <v>0</v>
      </c>
      <c r="BJ651" s="22">
        <v>45196</v>
      </c>
      <c r="BK651" s="26">
        <f t="shared" ca="1" si="101"/>
        <v>0.48334104220007834</v>
      </c>
      <c r="BL651" s="29">
        <v>0</v>
      </c>
      <c r="BN651" s="22">
        <v>45196</v>
      </c>
      <c r="BO651" s="26">
        <f t="shared" ca="1" si="102"/>
        <v>0.53048211337429252</v>
      </c>
      <c r="BP651" s="29">
        <v>0</v>
      </c>
      <c r="BR651" s="22">
        <v>45196</v>
      </c>
      <c r="BS651" s="26">
        <f t="shared" ca="1" si="103"/>
        <v>0.22025365751073167</v>
      </c>
      <c r="BT651" s="29">
        <v>0</v>
      </c>
      <c r="BV651" s="22">
        <v>45196</v>
      </c>
      <c r="BW651" s="26">
        <f t="shared" ca="1" si="104"/>
        <v>0.25018716539490959</v>
      </c>
      <c r="BX651" s="29">
        <v>0</v>
      </c>
    </row>
    <row r="652" spans="2:77" ht="12.75" x14ac:dyDescent="0.2">
      <c r="B652" s="22">
        <v>45197</v>
      </c>
      <c r="C652" s="26">
        <f t="shared" ca="1" si="68"/>
        <v>0.68100674356702595</v>
      </c>
      <c r="D652" s="29">
        <f t="shared" ca="1" si="106"/>
        <v>85</v>
      </c>
      <c r="F652" s="22">
        <v>45197</v>
      </c>
      <c r="G652" s="26">
        <f t="shared" ca="1" si="88"/>
        <v>0.37675074237495998</v>
      </c>
      <c r="H652" s="29">
        <f t="shared" ca="1" si="107"/>
        <v>211</v>
      </c>
      <c r="J652" s="22">
        <v>45197</v>
      </c>
      <c r="K652" s="26">
        <f t="shared" ca="1" si="89"/>
        <v>0.39420362338515269</v>
      </c>
      <c r="L652" s="29">
        <f t="shared" ca="1" si="108"/>
        <v>148</v>
      </c>
      <c r="N652" s="22">
        <v>45197</v>
      </c>
      <c r="O652" s="26">
        <f t="shared" ca="1" si="90"/>
        <v>0.14106494055829832</v>
      </c>
      <c r="P652" s="29">
        <f t="shared" ca="1" si="109"/>
        <v>213</v>
      </c>
      <c r="R652" s="22">
        <v>45197</v>
      </c>
      <c r="S652" s="26">
        <f t="shared" ca="1" si="91"/>
        <v>0.90736833883111756</v>
      </c>
      <c r="T652" s="29">
        <f t="shared" ca="1" si="110"/>
        <v>152</v>
      </c>
      <c r="V652" s="22">
        <v>45197</v>
      </c>
      <c r="W652" s="26">
        <f t="shared" ca="1" si="92"/>
        <v>6.9535509125512318E-2</v>
      </c>
      <c r="X652" s="29">
        <f t="shared" ca="1" si="111"/>
        <v>203</v>
      </c>
      <c r="Z652" s="22">
        <v>45197</v>
      </c>
      <c r="AA652" s="26">
        <f t="shared" ca="1" si="93"/>
        <v>0.62814368691899547</v>
      </c>
      <c r="AB652" s="29">
        <f t="shared" ca="1" si="112"/>
        <v>276</v>
      </c>
      <c r="AC652"/>
      <c r="AD652" s="25"/>
      <c r="AF652" s="22">
        <v>45197</v>
      </c>
      <c r="AG652" s="26">
        <f t="shared" ca="1" si="94"/>
        <v>0.52008638959892894</v>
      </c>
      <c r="AH652" s="29">
        <f t="shared" ca="1" si="113"/>
        <v>332</v>
      </c>
      <c r="AJ652" s="22">
        <v>45197</v>
      </c>
      <c r="AK652" s="26">
        <f t="shared" ca="1" si="95"/>
        <v>0.89079350799855483</v>
      </c>
      <c r="AL652" s="29">
        <f t="shared" ca="1" si="114"/>
        <v>227</v>
      </c>
      <c r="AN652" s="22">
        <v>45197</v>
      </c>
      <c r="AO652" s="26">
        <f t="shared" ca="1" si="96"/>
        <v>0.44464495801322701</v>
      </c>
      <c r="AP652" s="29">
        <f t="shared" ca="1" si="115"/>
        <v>224</v>
      </c>
      <c r="AR652" s="22">
        <v>45197</v>
      </c>
      <c r="AS652" s="26">
        <f t="shared" ca="1" si="97"/>
        <v>0.20639988226522643</v>
      </c>
      <c r="AT652" s="29">
        <f t="shared" ca="1" si="116"/>
        <v>155</v>
      </c>
      <c r="AV652" s="22">
        <v>45197</v>
      </c>
      <c r="AW652" s="26">
        <f t="shared" ca="1" si="98"/>
        <v>0.70467629024834777</v>
      </c>
      <c r="AX652" s="29">
        <v>0</v>
      </c>
      <c r="AZ652" s="22">
        <v>45197</v>
      </c>
      <c r="BA652" s="26">
        <f t="shared" ca="1" si="99"/>
        <v>0.4020633105021284</v>
      </c>
      <c r="BB652" s="29">
        <v>0</v>
      </c>
      <c r="BC652"/>
      <c r="BD652" s="25"/>
      <c r="BF652" s="22">
        <v>45197</v>
      </c>
      <c r="BG652" s="26">
        <f t="shared" ca="1" si="100"/>
        <v>0.3945916366205432</v>
      </c>
      <c r="BH652" s="29">
        <v>0</v>
      </c>
      <c r="BJ652" s="22">
        <v>45197</v>
      </c>
      <c r="BK652" s="26">
        <f t="shared" ca="1" si="101"/>
        <v>6.6613667881322614E-2</v>
      </c>
      <c r="BL652" s="29">
        <v>0</v>
      </c>
      <c r="BN652" s="22">
        <v>45197</v>
      </c>
      <c r="BO652" s="26">
        <f t="shared" ca="1" si="102"/>
        <v>5.193182175351585E-3</v>
      </c>
      <c r="BP652" s="29">
        <v>0</v>
      </c>
      <c r="BR652" s="22">
        <v>45197</v>
      </c>
      <c r="BS652" s="26">
        <f t="shared" ca="1" si="103"/>
        <v>0.77242733683473719</v>
      </c>
      <c r="BT652" s="29">
        <v>0</v>
      </c>
      <c r="BV652" s="22">
        <v>45197</v>
      </c>
      <c r="BW652" s="26">
        <f t="shared" ca="1" si="104"/>
        <v>0.34994384880998819</v>
      </c>
      <c r="BX652" s="29">
        <v>0</v>
      </c>
    </row>
    <row r="653" spans="2:77" ht="12.75" x14ac:dyDescent="0.2">
      <c r="B653" s="22">
        <v>45198</v>
      </c>
      <c r="C653" s="26">
        <f t="shared" ca="1" si="68"/>
        <v>0.97940541903062495</v>
      </c>
      <c r="D653" s="29">
        <f t="shared" ca="1" si="106"/>
        <v>116</v>
      </c>
      <c r="F653" s="22">
        <v>45198</v>
      </c>
      <c r="G653" s="26">
        <f t="shared" ca="1" si="88"/>
        <v>0.98335230907455218</v>
      </c>
      <c r="H653" s="29">
        <f t="shared" ca="1" si="107"/>
        <v>246</v>
      </c>
      <c r="J653" s="22">
        <v>45198</v>
      </c>
      <c r="K653" s="26">
        <f t="shared" ca="1" si="89"/>
        <v>0.17586568661487645</v>
      </c>
      <c r="L653" s="29">
        <f t="shared" ca="1" si="108"/>
        <v>141</v>
      </c>
      <c r="N653" s="22">
        <v>45198</v>
      </c>
      <c r="O653" s="26">
        <f t="shared" ca="1" si="90"/>
        <v>0.66986698409723056</v>
      </c>
      <c r="P653" s="29">
        <f t="shared" ca="1" si="109"/>
        <v>237</v>
      </c>
      <c r="R653" s="22">
        <v>45198</v>
      </c>
      <c r="S653" s="26">
        <f t="shared" ca="1" si="91"/>
        <v>0.91613924365665789</v>
      </c>
      <c r="T653" s="29">
        <f t="shared" ca="1" si="110"/>
        <v>152</v>
      </c>
      <c r="V653" s="22">
        <v>45198</v>
      </c>
      <c r="W653" s="26">
        <f t="shared" ca="1" si="92"/>
        <v>0.24697324898003481</v>
      </c>
      <c r="X653" s="29">
        <f t="shared" ca="1" si="111"/>
        <v>215</v>
      </c>
      <c r="Z653" s="22">
        <v>45198</v>
      </c>
      <c r="AA653" s="26">
        <f t="shared" ca="1" si="93"/>
        <v>0.74770108016891201</v>
      </c>
      <c r="AB653" s="29">
        <f t="shared" ca="1" si="112"/>
        <v>283</v>
      </c>
      <c r="AC653"/>
      <c r="AD653" s="25"/>
      <c r="AF653" s="22">
        <v>45198</v>
      </c>
      <c r="AG653" s="26">
        <f t="shared" ca="1" si="94"/>
        <v>0.96188827352539696</v>
      </c>
      <c r="AH653" s="29">
        <f t="shared" ca="1" si="113"/>
        <v>482</v>
      </c>
      <c r="AJ653" s="22">
        <v>45198</v>
      </c>
      <c r="AK653" s="26">
        <f t="shared" ca="1" si="95"/>
        <v>0.69774851004890293</v>
      </c>
      <c r="AL653" s="29">
        <f t="shared" ca="1" si="114"/>
        <v>194</v>
      </c>
      <c r="AN653" s="22">
        <v>45198</v>
      </c>
      <c r="AO653" s="26">
        <f t="shared" ca="1" si="96"/>
        <v>0.39365390831664837</v>
      </c>
      <c r="AP653" s="29">
        <f t="shared" ca="1" si="115"/>
        <v>216</v>
      </c>
      <c r="AR653" s="22">
        <v>45198</v>
      </c>
      <c r="AS653" s="26">
        <f t="shared" ca="1" si="97"/>
        <v>9.376830646915546E-2</v>
      </c>
      <c r="AT653" s="29">
        <f t="shared" ca="1" si="116"/>
        <v>129</v>
      </c>
      <c r="AV653" s="22">
        <v>45198</v>
      </c>
      <c r="AW653" s="26">
        <f t="shared" ca="1" si="98"/>
        <v>5.3133560263915913E-2</v>
      </c>
      <c r="AX653" s="29">
        <v>0</v>
      </c>
      <c r="AZ653" s="22">
        <v>45198</v>
      </c>
      <c r="BA653" s="26">
        <f t="shared" ca="1" si="99"/>
        <v>0.54713433846256121</v>
      </c>
      <c r="BB653" s="29">
        <v>0</v>
      </c>
      <c r="BC653"/>
      <c r="BD653" s="25"/>
      <c r="BF653" s="22">
        <v>45198</v>
      </c>
      <c r="BG653" s="26">
        <f t="shared" ca="1" si="100"/>
        <v>0.29001677251660707</v>
      </c>
      <c r="BH653" s="29">
        <v>0</v>
      </c>
      <c r="BJ653" s="22">
        <v>45198</v>
      </c>
      <c r="BK653" s="26">
        <f t="shared" ca="1" si="101"/>
        <v>8.0141733809114712E-2</v>
      </c>
      <c r="BL653" s="29">
        <v>0</v>
      </c>
      <c r="BN653" s="22">
        <v>45198</v>
      </c>
      <c r="BO653" s="26">
        <f t="shared" ca="1" si="102"/>
        <v>0.92391387391739765</v>
      </c>
      <c r="BP653" s="29">
        <v>0</v>
      </c>
      <c r="BR653" s="22">
        <v>45198</v>
      </c>
      <c r="BS653" s="26">
        <f t="shared" ca="1" si="103"/>
        <v>0.27601888981884781</v>
      </c>
      <c r="BT653" s="29">
        <v>0</v>
      </c>
      <c r="BV653" s="22">
        <v>45198</v>
      </c>
      <c r="BW653" s="26">
        <f t="shared" ca="1" si="104"/>
        <v>0.34079234013793125</v>
      </c>
      <c r="BX653" s="29">
        <v>0</v>
      </c>
    </row>
    <row r="654" spans="2:77" ht="12.75" x14ac:dyDescent="0.2">
      <c r="B654" s="22">
        <v>45199</v>
      </c>
      <c r="C654" s="26">
        <f t="shared" ca="1" si="68"/>
        <v>0.74016863039981284</v>
      </c>
      <c r="D654" s="29">
        <f t="shared" ca="1" si="106"/>
        <v>88</v>
      </c>
      <c r="E654">
        <v>2258</v>
      </c>
      <c r="F654" s="22">
        <v>45199</v>
      </c>
      <c r="G654" s="26">
        <f t="shared" ca="1" si="88"/>
        <v>0.6408790213785639</v>
      </c>
      <c r="H654" s="29">
        <f t="shared" ca="1" si="107"/>
        <v>221</v>
      </c>
      <c r="I654">
        <v>6300</v>
      </c>
      <c r="J654" s="22">
        <v>45199</v>
      </c>
      <c r="K654" s="26">
        <f t="shared" ca="1" si="89"/>
        <v>0.99358145438696355</v>
      </c>
      <c r="L654" s="29">
        <f t="shared" ca="1" si="108"/>
        <v>175</v>
      </c>
      <c r="M654">
        <v>4277</v>
      </c>
      <c r="N654" s="22">
        <v>45199</v>
      </c>
      <c r="O654" s="26">
        <f t="shared" ca="1" si="90"/>
        <v>0.8512591140576613</v>
      </c>
      <c r="P654" s="29">
        <f t="shared" ca="1" si="109"/>
        <v>246</v>
      </c>
      <c r="Q654">
        <v>6766</v>
      </c>
      <c r="R654" s="22">
        <v>45199</v>
      </c>
      <c r="S654" s="26">
        <f t="shared" ca="1" si="91"/>
        <v>0.61042090049184627</v>
      </c>
      <c r="T654" s="29">
        <f t="shared" ca="1" si="110"/>
        <v>142</v>
      </c>
      <c r="U654">
        <v>4139</v>
      </c>
      <c r="V654" s="22">
        <v>45199</v>
      </c>
      <c r="W654" s="26">
        <f t="shared" ca="1" si="92"/>
        <v>0.27742241402100698</v>
      </c>
      <c r="X654" s="29">
        <f t="shared" ca="1" si="111"/>
        <v>217</v>
      </c>
      <c r="Y654">
        <v>6542</v>
      </c>
      <c r="Z654" s="22">
        <v>45199</v>
      </c>
      <c r="AA654" s="26">
        <f t="shared" ca="1" si="93"/>
        <v>0.84796202240501228</v>
      </c>
      <c r="AB654" s="29">
        <f t="shared" ca="1" si="112"/>
        <v>289</v>
      </c>
      <c r="AC654">
        <v>7815</v>
      </c>
      <c r="AD654" s="25"/>
      <c r="AF654" s="22">
        <v>45199</v>
      </c>
      <c r="AG654" s="26">
        <f t="shared" ca="1" si="94"/>
        <v>0.14596372868530949</v>
      </c>
      <c r="AH654" s="29">
        <f t="shared" ca="1" si="113"/>
        <v>236</v>
      </c>
      <c r="AI654">
        <v>8837</v>
      </c>
      <c r="AJ654" s="22">
        <v>45199</v>
      </c>
      <c r="AK654" s="26">
        <f t="shared" ca="1" si="95"/>
        <v>0.91566056692908182</v>
      </c>
      <c r="AL654" s="29">
        <f t="shared" ca="1" si="114"/>
        <v>233</v>
      </c>
      <c r="AM654">
        <v>5583</v>
      </c>
      <c r="AN654" s="22">
        <v>45199</v>
      </c>
      <c r="AO654" s="26">
        <f t="shared" ca="1" si="96"/>
        <v>0.64655118689790658</v>
      </c>
      <c r="AP654" s="29">
        <f t="shared" ca="1" si="115"/>
        <v>256</v>
      </c>
      <c r="AQ654">
        <v>4280</v>
      </c>
      <c r="AR654" s="22">
        <v>45199</v>
      </c>
      <c r="AS654" s="26">
        <f t="shared" ca="1" si="97"/>
        <v>0.3625401522230145</v>
      </c>
      <c r="AT654" s="29">
        <f t="shared" ca="1" si="116"/>
        <v>180</v>
      </c>
      <c r="AU654">
        <v>6297</v>
      </c>
      <c r="AV654" s="22">
        <v>45199</v>
      </c>
      <c r="AW654" s="26">
        <f t="shared" ca="1" si="98"/>
        <v>0.94795219804093422</v>
      </c>
      <c r="AX654" s="29">
        <v>0</v>
      </c>
      <c r="AY654">
        <v>0</v>
      </c>
      <c r="AZ654" s="22">
        <v>45199</v>
      </c>
      <c r="BA654" s="26">
        <f t="shared" ca="1" si="99"/>
        <v>0.39375246652000939</v>
      </c>
      <c r="BB654" s="29">
        <v>0</v>
      </c>
      <c r="BC654">
        <v>0</v>
      </c>
      <c r="BD654" s="25"/>
      <c r="BF654" s="22">
        <v>45199</v>
      </c>
      <c r="BG654" s="26">
        <f t="shared" ca="1" si="100"/>
        <v>0.56926146324409033</v>
      </c>
      <c r="BH654" s="29">
        <v>0</v>
      </c>
      <c r="BI654">
        <v>0</v>
      </c>
      <c r="BJ654" s="22">
        <v>45199</v>
      </c>
      <c r="BK654" s="26">
        <f t="shared" ca="1" si="101"/>
        <v>0.93131426365087333</v>
      </c>
      <c r="BL654" s="29">
        <v>0</v>
      </c>
      <c r="BM654">
        <v>0</v>
      </c>
      <c r="BN654" s="22">
        <v>45199</v>
      </c>
      <c r="BO654" s="26">
        <f t="shared" ca="1" si="102"/>
        <v>0.29978534045588423</v>
      </c>
      <c r="BP654" s="29">
        <v>0</v>
      </c>
      <c r="BQ654">
        <v>0</v>
      </c>
      <c r="BR654" s="22">
        <v>45199</v>
      </c>
      <c r="BS654" s="26">
        <f t="shared" ca="1" si="103"/>
        <v>0.28766986559759378</v>
      </c>
      <c r="BT654" s="29">
        <v>0</v>
      </c>
      <c r="BU654">
        <v>0</v>
      </c>
      <c r="BV654" s="22">
        <v>45199</v>
      </c>
      <c r="BW654" s="26">
        <f t="shared" ca="1" si="104"/>
        <v>0.24289362571975626</v>
      </c>
      <c r="BX654" s="29">
        <v>0</v>
      </c>
      <c r="BY654">
        <v>0</v>
      </c>
    </row>
    <row r="655" spans="2:77" ht="12.75" x14ac:dyDescent="0.2">
      <c r="B655" s="22">
        <v>45200</v>
      </c>
      <c r="C655" s="26">
        <f t="shared" ca="1" si="68"/>
        <v>0.89166661902409694</v>
      </c>
      <c r="D655" s="29">
        <f ca="1">ROUNDUP(_xlfn.NORM.INV(C654,C$10,C$12),0)</f>
        <v>88</v>
      </c>
      <c r="F655" s="22">
        <v>45200</v>
      </c>
      <c r="G655" s="26">
        <f t="shared" ca="1" si="88"/>
        <v>3.9644491638570978E-2</v>
      </c>
      <c r="H655" s="29">
        <f ca="1">ROUNDUP(_xlfn.NORM.INV(G654,G$10,G$12),0)</f>
        <v>221</v>
      </c>
      <c r="J655" s="22">
        <v>45200</v>
      </c>
      <c r="K655" s="26">
        <f t="shared" ca="1" si="89"/>
        <v>0.92870459165157371</v>
      </c>
      <c r="L655" s="29">
        <f ca="1">ROUNDUP(_xlfn.NORM.INV(K654,K$10,K$12),0)</f>
        <v>175</v>
      </c>
      <c r="N655" s="22">
        <v>45200</v>
      </c>
      <c r="O655" s="26">
        <f t="shared" ca="1" si="90"/>
        <v>8.1600146527496809E-2</v>
      </c>
      <c r="P655" s="29">
        <f ca="1">ROUNDUP(_xlfn.NORM.INV(O654,O$10,O$12),0)</f>
        <v>246</v>
      </c>
      <c r="R655" s="22">
        <v>45200</v>
      </c>
      <c r="S655" s="26">
        <f t="shared" ca="1" si="91"/>
        <v>0.77679593800921087</v>
      </c>
      <c r="T655" s="29">
        <f ca="1">ROUNDUP(_xlfn.NORM.INV(S654,S$10,S$12),0)</f>
        <v>142</v>
      </c>
      <c r="V655" s="22">
        <v>45200</v>
      </c>
      <c r="W655" s="26">
        <f t="shared" ca="1" si="92"/>
        <v>0.43395859317386209</v>
      </c>
      <c r="X655" s="29">
        <f ca="1">ROUNDUP(_xlfn.NORM.INV(W654,W$10,W$12),0)</f>
        <v>217</v>
      </c>
      <c r="Z655" s="22">
        <v>45200</v>
      </c>
      <c r="AA655" s="26">
        <f t="shared" ca="1" si="93"/>
        <v>0.35058320602693016</v>
      </c>
      <c r="AB655" s="29">
        <f ca="1">ROUNDUP(_xlfn.NORM.INV(AA654,AA$10,AA$12),0)</f>
        <v>289</v>
      </c>
      <c r="AC655"/>
      <c r="AD655" s="25"/>
      <c r="AF655" s="22">
        <v>45200</v>
      </c>
      <c r="AG655" s="26">
        <f t="shared" ca="1" si="94"/>
        <v>0.25209812976012291</v>
      </c>
      <c r="AH655" s="29">
        <f ca="1">ROUNDUP(_xlfn.NORM.INV(AG654,AG$10,AG$12),0)</f>
        <v>236</v>
      </c>
      <c r="AJ655" s="22">
        <v>45200</v>
      </c>
      <c r="AK655" s="26">
        <f t="shared" ca="1" si="95"/>
        <v>0.39711848176221409</v>
      </c>
      <c r="AL655" s="29">
        <f ca="1">ROUNDUP(_xlfn.NORM.INV(AK654,AK$10,AK$12),0)</f>
        <v>233</v>
      </c>
      <c r="AN655" s="22">
        <v>45200</v>
      </c>
      <c r="AO655" s="26">
        <f t="shared" ca="1" si="96"/>
        <v>8.3817502467537275E-2</v>
      </c>
      <c r="AP655" s="29">
        <f ca="1">ROUNDUP(_xlfn.NORM.INV(AO654,AO$10,AO$12),0)</f>
        <v>256</v>
      </c>
      <c r="AR655" s="22">
        <v>45200</v>
      </c>
      <c r="AS655" s="26">
        <f t="shared" ca="1" si="97"/>
        <v>0.75562820100914529</v>
      </c>
      <c r="AT655" s="29">
        <f ca="1">ROUNDUP(_xlfn.NORM.INV(AS654,AS$10,AS$12),0)</f>
        <v>180</v>
      </c>
      <c r="AV655" s="22">
        <v>45200</v>
      </c>
      <c r="AW655" s="26">
        <f t="shared" ca="1" si="98"/>
        <v>0.83504645927193732</v>
      </c>
      <c r="AX655" s="29">
        <v>0</v>
      </c>
      <c r="AZ655" s="22">
        <v>45200</v>
      </c>
      <c r="BA655" s="26">
        <f t="shared" ca="1" si="99"/>
        <v>0.21840853795463477</v>
      </c>
      <c r="BB655" s="29">
        <v>0</v>
      </c>
      <c r="BC655"/>
      <c r="BD655" s="25"/>
      <c r="BF655" s="22">
        <v>45200</v>
      </c>
      <c r="BG655" s="26">
        <f t="shared" ca="1" si="100"/>
        <v>0.86553711642422637</v>
      </c>
      <c r="BH655" s="29">
        <v>0</v>
      </c>
      <c r="BJ655" s="22">
        <v>45200</v>
      </c>
      <c r="BK655" s="26">
        <f t="shared" ca="1" si="101"/>
        <v>0.14422121336395854</v>
      </c>
      <c r="BL655" s="29">
        <v>0</v>
      </c>
      <c r="BN655" s="22">
        <v>45200</v>
      </c>
      <c r="BO655" s="26">
        <f t="shared" ca="1" si="102"/>
        <v>5.6847095740551357E-2</v>
      </c>
      <c r="BP655" s="29">
        <v>0</v>
      </c>
      <c r="BR655" s="22">
        <v>45200</v>
      </c>
      <c r="BS655" s="26">
        <f t="shared" ca="1" si="103"/>
        <v>8.3010865601933936E-2</v>
      </c>
      <c r="BT655" s="29">
        <v>0</v>
      </c>
      <c r="BV655" s="22">
        <v>45200</v>
      </c>
      <c r="BW655" s="26">
        <f t="shared" ca="1" si="104"/>
        <v>0.68897978300512241</v>
      </c>
      <c r="BX655" s="29">
        <v>0</v>
      </c>
    </row>
    <row r="656" spans="2:77" ht="12.75" x14ac:dyDescent="0.2">
      <c r="B656" s="22">
        <v>45201</v>
      </c>
      <c r="C656" s="26">
        <f t="shared" ca="1" si="68"/>
        <v>0.83044253288621861</v>
      </c>
      <c r="D656" s="29">
        <f t="shared" ca="1" si="106"/>
        <v>95</v>
      </c>
      <c r="F656" s="22">
        <v>45201</v>
      </c>
      <c r="G656" s="26">
        <f t="shared" ca="1" si="88"/>
        <v>0.15424028337392071</v>
      </c>
      <c r="H656" s="29">
        <f t="shared" ca="1" si="107"/>
        <v>201</v>
      </c>
      <c r="J656" s="22">
        <v>45201</v>
      </c>
      <c r="K656" s="26">
        <f t="shared" ca="1" si="89"/>
        <v>0.87952114261717451</v>
      </c>
      <c r="L656" s="29">
        <f t="shared" ca="1" si="108"/>
        <v>162</v>
      </c>
      <c r="N656" s="22">
        <v>45201</v>
      </c>
      <c r="O656" s="26">
        <f t="shared" ca="1" si="90"/>
        <v>0.78840399595420296</v>
      </c>
      <c r="P656" s="29">
        <f t="shared" ca="1" si="109"/>
        <v>242</v>
      </c>
      <c r="R656" s="22">
        <v>45201</v>
      </c>
      <c r="S656" s="26">
        <f t="shared" ca="1" si="91"/>
        <v>0.71579921711757455</v>
      </c>
      <c r="T656" s="29">
        <f t="shared" ca="1" si="110"/>
        <v>145</v>
      </c>
      <c r="V656" s="22">
        <v>45201</v>
      </c>
      <c r="W656" s="26">
        <f t="shared" ca="1" si="92"/>
        <v>0.33712385464153094</v>
      </c>
      <c r="X656" s="29">
        <f t="shared" ca="1" si="111"/>
        <v>219</v>
      </c>
      <c r="Z656" s="22">
        <v>45201</v>
      </c>
      <c r="AA656" s="26">
        <f t="shared" ca="1" si="93"/>
        <v>0.80824565302678608</v>
      </c>
      <c r="AB656" s="29">
        <f t="shared" ca="1" si="112"/>
        <v>286</v>
      </c>
      <c r="AC656"/>
      <c r="AD656" s="25"/>
      <c r="AF656" s="22">
        <v>45201</v>
      </c>
      <c r="AG656" s="26">
        <f t="shared" ca="1" si="94"/>
        <v>0.27654317141300055</v>
      </c>
      <c r="AH656" s="29">
        <f t="shared" ca="1" si="113"/>
        <v>276</v>
      </c>
      <c r="AJ656" s="22">
        <v>45201</v>
      </c>
      <c r="AK656" s="26">
        <f t="shared" ca="1" si="95"/>
        <v>0.25850695798571566</v>
      </c>
      <c r="AL656" s="29">
        <f t="shared" ca="1" si="114"/>
        <v>141</v>
      </c>
      <c r="AN656" s="22">
        <v>45201</v>
      </c>
      <c r="AO656" s="26">
        <f t="shared" ca="1" si="96"/>
        <v>0.53932504564611361</v>
      </c>
      <c r="AP656" s="29">
        <f t="shared" ca="1" si="115"/>
        <v>239</v>
      </c>
      <c r="AR656" s="22">
        <v>45201</v>
      </c>
      <c r="AS656" s="26">
        <f t="shared" ca="1" si="97"/>
        <v>0.23556648207208564</v>
      </c>
      <c r="AT656" s="29">
        <f t="shared" ca="1" si="116"/>
        <v>160</v>
      </c>
      <c r="AV656" s="22">
        <v>45201</v>
      </c>
      <c r="AW656" s="26">
        <f t="shared" ca="1" si="98"/>
        <v>0.41403849831808603</v>
      </c>
      <c r="AX656" s="29">
        <f t="shared" ref="AX656:AX688" ca="1" si="117">ROUNDUP(_xlfn.NORM.INV(AW656,AW$10,AW$12),0)</f>
        <v>194</v>
      </c>
      <c r="AZ656" s="22">
        <v>45201</v>
      </c>
      <c r="BA656" s="26">
        <f t="shared" ca="1" si="99"/>
        <v>0.53349563692414526</v>
      </c>
      <c r="BB656" s="29">
        <v>0</v>
      </c>
      <c r="BC656"/>
      <c r="BD656" s="25"/>
      <c r="BF656" s="22">
        <v>45201</v>
      </c>
      <c r="BG656" s="26">
        <f t="shared" ca="1" si="100"/>
        <v>0.16707127425754542</v>
      </c>
      <c r="BH656" s="29">
        <v>0</v>
      </c>
      <c r="BJ656" s="22">
        <v>45201</v>
      </c>
      <c r="BK656" s="26">
        <f t="shared" ca="1" si="101"/>
        <v>0.101057666577691</v>
      </c>
      <c r="BL656" s="29">
        <v>0</v>
      </c>
      <c r="BN656" s="22">
        <v>45201</v>
      </c>
      <c r="BO656" s="26">
        <f t="shared" ca="1" si="102"/>
        <v>0.47654916280351689</v>
      </c>
      <c r="BP656" s="29">
        <v>0</v>
      </c>
      <c r="BR656" s="22">
        <v>45201</v>
      </c>
      <c r="BS656" s="26">
        <f t="shared" ca="1" si="103"/>
        <v>0.48715410156383721</v>
      </c>
      <c r="BT656" s="29">
        <v>0</v>
      </c>
      <c r="BV656" s="22">
        <v>45201</v>
      </c>
      <c r="BW656" s="26">
        <f t="shared" ca="1" si="104"/>
        <v>0.76451742376383047</v>
      </c>
      <c r="BX656" s="29">
        <v>0</v>
      </c>
    </row>
    <row r="657" spans="2:76" ht="12.75" x14ac:dyDescent="0.2">
      <c r="B657" s="22">
        <v>45202</v>
      </c>
      <c r="C657" s="26">
        <f t="shared" ca="1" si="68"/>
        <v>0.40497169814982181</v>
      </c>
      <c r="D657" s="29">
        <f t="shared" ca="1" si="106"/>
        <v>71</v>
      </c>
      <c r="F657" s="22">
        <v>45202</v>
      </c>
      <c r="G657" s="26">
        <f t="shared" ca="1" si="88"/>
        <v>0.9290672062108305</v>
      </c>
      <c r="H657" s="29">
        <f t="shared" ca="1" si="107"/>
        <v>237</v>
      </c>
      <c r="J657" s="22">
        <v>45202</v>
      </c>
      <c r="K657" s="26">
        <f t="shared" ca="1" si="89"/>
        <v>0.43754902004217677</v>
      </c>
      <c r="L657" s="29">
        <f t="shared" ca="1" si="108"/>
        <v>149</v>
      </c>
      <c r="N657" s="22">
        <v>45202</v>
      </c>
      <c r="O657" s="26">
        <f t="shared" ca="1" si="90"/>
        <v>0.40663952069764198</v>
      </c>
      <c r="P657" s="29">
        <f t="shared" ca="1" si="109"/>
        <v>226</v>
      </c>
      <c r="R657" s="22">
        <v>45202</v>
      </c>
      <c r="S657" s="26">
        <f t="shared" ca="1" si="91"/>
        <v>0.30201162684602267</v>
      </c>
      <c r="T657" s="29">
        <f t="shared" ca="1" si="110"/>
        <v>134</v>
      </c>
      <c r="V657" s="22">
        <v>45202</v>
      </c>
      <c r="W657" s="26">
        <f t="shared" ca="1" si="92"/>
        <v>0.95757275157552646</v>
      </c>
      <c r="X657" s="29">
        <f t="shared" ca="1" si="111"/>
        <v>251</v>
      </c>
      <c r="Z657" s="22">
        <v>45202</v>
      </c>
      <c r="AA657" s="26">
        <f t="shared" ca="1" si="93"/>
        <v>0.57500259783567453</v>
      </c>
      <c r="AB657" s="29">
        <f t="shared" ca="1" si="112"/>
        <v>274</v>
      </c>
      <c r="AC657"/>
      <c r="AD657" s="25"/>
      <c r="AF657" s="22">
        <v>45202</v>
      </c>
      <c r="AG657" s="26">
        <f t="shared" ca="1" si="94"/>
        <v>0.15713725597488748</v>
      </c>
      <c r="AH657" s="29">
        <f t="shared" ca="1" si="113"/>
        <v>240</v>
      </c>
      <c r="AJ657" s="22">
        <v>45202</v>
      </c>
      <c r="AK657" s="26">
        <f t="shared" ca="1" si="95"/>
        <v>0.73686278017782092</v>
      </c>
      <c r="AL657" s="29">
        <f t="shared" ca="1" si="114"/>
        <v>200</v>
      </c>
      <c r="AN657" s="22">
        <v>45202</v>
      </c>
      <c r="AO657" s="26">
        <f t="shared" ca="1" si="96"/>
        <v>0.31435079558984702</v>
      </c>
      <c r="AP657" s="29">
        <f t="shared" ca="1" si="115"/>
        <v>203</v>
      </c>
      <c r="AR657" s="22">
        <v>45202</v>
      </c>
      <c r="AS657" s="26">
        <f t="shared" ca="1" si="97"/>
        <v>0.54728332774368926</v>
      </c>
      <c r="AT657" s="29">
        <f t="shared" ca="1" si="116"/>
        <v>205</v>
      </c>
      <c r="AV657" s="22">
        <v>45202</v>
      </c>
      <c r="AW657" s="26">
        <f t="shared" ca="1" si="98"/>
        <v>0.13295700938042554</v>
      </c>
      <c r="AX657" s="29">
        <f t="shared" ca="1" si="117"/>
        <v>145</v>
      </c>
      <c r="AZ657" s="22">
        <v>45202</v>
      </c>
      <c r="BA657" s="26">
        <f t="shared" ca="1" si="99"/>
        <v>0.25685026596276095</v>
      </c>
      <c r="BB657" s="29">
        <v>0</v>
      </c>
      <c r="BC657"/>
      <c r="BD657" s="25"/>
      <c r="BF657" s="22">
        <v>45202</v>
      </c>
      <c r="BG657" s="26">
        <f t="shared" ca="1" si="100"/>
        <v>0.42066960351263583</v>
      </c>
      <c r="BH657" s="29">
        <v>0</v>
      </c>
      <c r="BJ657" s="22">
        <v>45202</v>
      </c>
      <c r="BK657" s="26">
        <f t="shared" ca="1" si="101"/>
        <v>0.18194978623527225</v>
      </c>
      <c r="BL657" s="29">
        <v>0</v>
      </c>
      <c r="BN657" s="22">
        <v>45202</v>
      </c>
      <c r="BO657" s="26">
        <f t="shared" ca="1" si="102"/>
        <v>0.69670414574760209</v>
      </c>
      <c r="BP657" s="29">
        <v>0</v>
      </c>
      <c r="BR657" s="22">
        <v>45202</v>
      </c>
      <c r="BS657" s="26">
        <f t="shared" ca="1" si="103"/>
        <v>0.1231576053638761</v>
      </c>
      <c r="BT657" s="29">
        <v>0</v>
      </c>
      <c r="BV657" s="22">
        <v>45202</v>
      </c>
      <c r="BW657" s="26">
        <f t="shared" ca="1" si="104"/>
        <v>0.82368450497126067</v>
      </c>
      <c r="BX657" s="29">
        <v>0</v>
      </c>
    </row>
    <row r="658" spans="2:76" ht="12.75" x14ac:dyDescent="0.2">
      <c r="B658" s="22">
        <v>45203</v>
      </c>
      <c r="C658" s="26">
        <f t="shared" ca="1" si="68"/>
        <v>0.97852825846596558</v>
      </c>
      <c r="D658" s="29">
        <f t="shared" ref="D658:D721" ca="1" si="118">ROUNDUP(_xlfn.NORM.INV(C658,C$10,C$12),0)</f>
        <v>116</v>
      </c>
      <c r="F658" s="22">
        <v>45203</v>
      </c>
      <c r="G658" s="26">
        <f t="shared" ca="1" si="88"/>
        <v>0.60850241835499441</v>
      </c>
      <c r="H658" s="29">
        <f t="shared" ca="1" si="107"/>
        <v>220</v>
      </c>
      <c r="J658" s="22">
        <v>45203</v>
      </c>
      <c r="K658" s="26">
        <f t="shared" ca="1" si="89"/>
        <v>0.87994641221129699</v>
      </c>
      <c r="L658" s="29">
        <f t="shared" ca="1" si="108"/>
        <v>162</v>
      </c>
      <c r="N658" s="22">
        <v>45203</v>
      </c>
      <c r="O658" s="26">
        <f t="shared" ca="1" si="90"/>
        <v>0.96258640933513506</v>
      </c>
      <c r="P658" s="29">
        <f t="shared" ca="1" si="109"/>
        <v>257</v>
      </c>
      <c r="R658" s="22">
        <v>45203</v>
      </c>
      <c r="S658" s="26">
        <f t="shared" ca="1" si="91"/>
        <v>0.43712077425734008</v>
      </c>
      <c r="T658" s="29">
        <f t="shared" ca="1" si="110"/>
        <v>138</v>
      </c>
      <c r="V658" s="22">
        <v>45203</v>
      </c>
      <c r="W658" s="26">
        <f t="shared" ca="1" si="92"/>
        <v>0.19605921251930802</v>
      </c>
      <c r="X658" s="29">
        <f t="shared" ca="1" si="111"/>
        <v>213</v>
      </c>
      <c r="Z658" s="22">
        <v>45203</v>
      </c>
      <c r="AA658" s="26">
        <f t="shared" ca="1" si="93"/>
        <v>9.1468360914598423E-2</v>
      </c>
      <c r="AB658" s="29">
        <f t="shared" ca="1" si="112"/>
        <v>247</v>
      </c>
      <c r="AC658"/>
      <c r="AD658" s="25"/>
      <c r="AF658" s="22">
        <v>45203</v>
      </c>
      <c r="AG658" s="26">
        <f t="shared" ca="1" si="94"/>
        <v>0.49636942837459175</v>
      </c>
      <c r="AH658" s="29">
        <f t="shared" ca="1" si="113"/>
        <v>327</v>
      </c>
      <c r="AJ658" s="22">
        <v>45203</v>
      </c>
      <c r="AK658" s="26">
        <f t="shared" ca="1" si="95"/>
        <v>0.8948823098785077</v>
      </c>
      <c r="AL658" s="29">
        <f t="shared" ca="1" si="114"/>
        <v>228</v>
      </c>
      <c r="AN658" s="22">
        <v>45203</v>
      </c>
      <c r="AO658" s="26">
        <f t="shared" ca="1" si="96"/>
        <v>0.38566956878494785</v>
      </c>
      <c r="AP658" s="29">
        <f t="shared" ca="1" si="115"/>
        <v>215</v>
      </c>
      <c r="AR658" s="22">
        <v>45203</v>
      </c>
      <c r="AS658" s="26">
        <f t="shared" ca="1" si="97"/>
        <v>0.47842781616352725</v>
      </c>
      <c r="AT658" s="29">
        <f t="shared" ca="1" si="116"/>
        <v>196</v>
      </c>
      <c r="AV658" s="22">
        <v>45203</v>
      </c>
      <c r="AW658" s="26">
        <f t="shared" ca="1" si="98"/>
        <v>0.84899908061296947</v>
      </c>
      <c r="AX658" s="29">
        <f t="shared" ca="1" si="117"/>
        <v>263</v>
      </c>
      <c r="AZ658" s="22">
        <v>45203</v>
      </c>
      <c r="BA658" s="26">
        <f t="shared" ca="1" si="99"/>
        <v>0.7396112681349406</v>
      </c>
      <c r="BB658" s="29">
        <v>0</v>
      </c>
      <c r="BC658"/>
      <c r="BD658" s="25"/>
      <c r="BF658" s="22">
        <v>45203</v>
      </c>
      <c r="BG658" s="26">
        <f t="shared" ca="1" si="100"/>
        <v>0.28999527046997287</v>
      </c>
      <c r="BH658" s="29">
        <v>0</v>
      </c>
      <c r="BJ658" s="22">
        <v>45203</v>
      </c>
      <c r="BK658" s="26">
        <f t="shared" ca="1" si="101"/>
        <v>0.39098365453363138</v>
      </c>
      <c r="BL658" s="29">
        <v>0</v>
      </c>
      <c r="BN658" s="22">
        <v>45203</v>
      </c>
      <c r="BO658" s="26">
        <f t="shared" ca="1" si="102"/>
        <v>0.9754490271199685</v>
      </c>
      <c r="BP658" s="29">
        <v>0</v>
      </c>
      <c r="BR658" s="22">
        <v>45203</v>
      </c>
      <c r="BS658" s="26">
        <f t="shared" ca="1" si="103"/>
        <v>0.35584621239431857</v>
      </c>
      <c r="BT658" s="29">
        <v>0</v>
      </c>
      <c r="BV658" s="22">
        <v>45203</v>
      </c>
      <c r="BW658" s="26">
        <f t="shared" ca="1" si="104"/>
        <v>0.49572730857620972</v>
      </c>
      <c r="BX658" s="29">
        <v>0</v>
      </c>
    </row>
    <row r="659" spans="2:76" ht="12.75" x14ac:dyDescent="0.2">
      <c r="B659" s="22">
        <v>45204</v>
      </c>
      <c r="C659" s="26">
        <f t="shared" ca="1" si="68"/>
        <v>0.31956896517108513</v>
      </c>
      <c r="D659" s="29">
        <f t="shared" ca="1" si="118"/>
        <v>66</v>
      </c>
      <c r="F659" s="22">
        <v>45204</v>
      </c>
      <c r="G659" s="26">
        <f t="shared" ca="1" si="88"/>
        <v>0.55881023489884085</v>
      </c>
      <c r="H659" s="29">
        <f t="shared" ca="1" si="107"/>
        <v>218</v>
      </c>
      <c r="J659" s="22">
        <v>45204</v>
      </c>
      <c r="K659" s="26">
        <f t="shared" ca="1" si="89"/>
        <v>0.54227410400354026</v>
      </c>
      <c r="L659" s="29">
        <f t="shared" ca="1" si="108"/>
        <v>152</v>
      </c>
      <c r="N659" s="22">
        <v>45204</v>
      </c>
      <c r="O659" s="26">
        <f t="shared" ca="1" si="90"/>
        <v>0.79455305905460771</v>
      </c>
      <c r="P659" s="29">
        <f t="shared" ca="1" si="109"/>
        <v>242</v>
      </c>
      <c r="R659" s="22">
        <v>45204</v>
      </c>
      <c r="S659" s="26">
        <f t="shared" ca="1" si="91"/>
        <v>0.42053087125401867</v>
      </c>
      <c r="T659" s="29">
        <f t="shared" ca="1" si="110"/>
        <v>137</v>
      </c>
      <c r="V659" s="22">
        <v>45204</v>
      </c>
      <c r="W659" s="26">
        <f t="shared" ca="1" si="92"/>
        <v>0.71035140269665875</v>
      </c>
      <c r="X659" s="29">
        <f t="shared" ca="1" si="111"/>
        <v>234</v>
      </c>
      <c r="Z659" s="22">
        <v>45204</v>
      </c>
      <c r="AA659" s="26">
        <f t="shared" ca="1" si="93"/>
        <v>0.23652573128905896</v>
      </c>
      <c r="AB659" s="29">
        <f t="shared" ca="1" si="112"/>
        <v>258</v>
      </c>
      <c r="AC659"/>
      <c r="AD659" s="25"/>
      <c r="AF659" s="22">
        <v>45204</v>
      </c>
      <c r="AG659" s="26">
        <f t="shared" ca="1" si="94"/>
        <v>0.62650118322216763</v>
      </c>
      <c r="AH659" s="29">
        <f t="shared" ca="1" si="113"/>
        <v>356</v>
      </c>
      <c r="AJ659" s="22">
        <v>45204</v>
      </c>
      <c r="AK659" s="26">
        <f t="shared" ca="1" si="95"/>
        <v>0.16856795700085103</v>
      </c>
      <c r="AL659" s="29">
        <f t="shared" ca="1" si="114"/>
        <v>127</v>
      </c>
      <c r="AN659" s="22">
        <v>45204</v>
      </c>
      <c r="AO659" s="26">
        <f t="shared" ca="1" si="96"/>
        <v>0.74082371419742055</v>
      </c>
      <c r="AP659" s="29">
        <f t="shared" ca="1" si="115"/>
        <v>273</v>
      </c>
      <c r="AR659" s="22">
        <v>45204</v>
      </c>
      <c r="AS659" s="26">
        <f t="shared" ca="1" si="97"/>
        <v>0.43227878437522038</v>
      </c>
      <c r="AT659" s="29">
        <f t="shared" ca="1" si="116"/>
        <v>189</v>
      </c>
      <c r="AV659" s="22">
        <v>45204</v>
      </c>
      <c r="AW659" s="26">
        <f t="shared" ca="1" si="98"/>
        <v>0.41923859483609072</v>
      </c>
      <c r="AX659" s="29">
        <f t="shared" ca="1" si="117"/>
        <v>195</v>
      </c>
      <c r="AZ659" s="22">
        <v>45204</v>
      </c>
      <c r="BA659" s="26">
        <f t="shared" ca="1" si="99"/>
        <v>0.71672397326140047</v>
      </c>
      <c r="BB659" s="29">
        <v>0</v>
      </c>
      <c r="BC659"/>
      <c r="BD659" s="25"/>
      <c r="BF659" s="22">
        <v>45204</v>
      </c>
      <c r="BG659" s="26">
        <f t="shared" ca="1" si="100"/>
        <v>6.1744640386622085E-2</v>
      </c>
      <c r="BH659" s="29">
        <v>0</v>
      </c>
      <c r="BJ659" s="22">
        <v>45204</v>
      </c>
      <c r="BK659" s="26">
        <f t="shared" ca="1" si="101"/>
        <v>0.97722110223579262</v>
      </c>
      <c r="BL659" s="29">
        <v>0</v>
      </c>
      <c r="BN659" s="22">
        <v>45204</v>
      </c>
      <c r="BO659" s="26">
        <f t="shared" ca="1" si="102"/>
        <v>0.6113215111527317</v>
      </c>
      <c r="BP659" s="29">
        <v>0</v>
      </c>
      <c r="BR659" s="22">
        <v>45204</v>
      </c>
      <c r="BS659" s="26">
        <f t="shared" ca="1" si="103"/>
        <v>0.15085694216802914</v>
      </c>
      <c r="BT659" s="29">
        <v>0</v>
      </c>
      <c r="BV659" s="22">
        <v>45204</v>
      </c>
      <c r="BW659" s="26">
        <f t="shared" ca="1" si="104"/>
        <v>0.44585683130891973</v>
      </c>
      <c r="BX659" s="29">
        <v>0</v>
      </c>
    </row>
    <row r="660" spans="2:76" ht="12.75" x14ac:dyDescent="0.2">
      <c r="B660" s="22">
        <v>45205</v>
      </c>
      <c r="C660" s="26">
        <f t="shared" ref="C660:C723" ca="1" si="119">RAND()</f>
        <v>0.5810145340093481</v>
      </c>
      <c r="D660" s="29">
        <f t="shared" ca="1" si="118"/>
        <v>80</v>
      </c>
      <c r="F660" s="22"/>
      <c r="G660" s="26">
        <f t="shared" ca="1" si="88"/>
        <v>0.46952435991533426</v>
      </c>
      <c r="H660" s="29">
        <f t="shared" ca="1" si="107"/>
        <v>215</v>
      </c>
      <c r="J660" s="22">
        <v>45205</v>
      </c>
      <c r="K660" s="26">
        <f t="shared" ca="1" si="89"/>
        <v>0.15855722324548849</v>
      </c>
      <c r="L660" s="29">
        <f t="shared" ca="1" si="108"/>
        <v>140</v>
      </c>
      <c r="N660" s="22">
        <v>45205</v>
      </c>
      <c r="O660" s="26">
        <f t="shared" ca="1" si="90"/>
        <v>0.58165666769985436</v>
      </c>
      <c r="P660" s="29">
        <f t="shared" ca="1" si="109"/>
        <v>233</v>
      </c>
      <c r="R660" s="22">
        <v>45205</v>
      </c>
      <c r="S660" s="26">
        <f t="shared" ca="1" si="91"/>
        <v>0.63786906257841502</v>
      </c>
      <c r="T660" s="29">
        <f t="shared" ca="1" si="110"/>
        <v>143</v>
      </c>
      <c r="V660" s="22">
        <v>45205</v>
      </c>
      <c r="W660" s="26">
        <f t="shared" ca="1" si="92"/>
        <v>0.3385831628158904</v>
      </c>
      <c r="X660" s="29">
        <f t="shared" ca="1" si="111"/>
        <v>219</v>
      </c>
      <c r="Z660" s="22">
        <v>45205</v>
      </c>
      <c r="AA660" s="26">
        <f t="shared" ca="1" si="93"/>
        <v>0.44916942237371627</v>
      </c>
      <c r="AB660" s="29">
        <f t="shared" ca="1" si="112"/>
        <v>268</v>
      </c>
      <c r="AC660"/>
      <c r="AD660" s="25"/>
      <c r="AF660" s="22">
        <v>45205</v>
      </c>
      <c r="AG660" s="26">
        <f t="shared" ca="1" si="94"/>
        <v>0.58543731941370802</v>
      </c>
      <c r="AH660" s="29">
        <f t="shared" ca="1" si="113"/>
        <v>346</v>
      </c>
      <c r="AJ660" s="22">
        <v>45205</v>
      </c>
      <c r="AK660" s="26">
        <f t="shared" ca="1" si="95"/>
        <v>0.28518315697764551</v>
      </c>
      <c r="AL660" s="29">
        <f t="shared" ca="1" si="114"/>
        <v>145</v>
      </c>
      <c r="AN660" s="22">
        <v>45205</v>
      </c>
      <c r="AO660" s="26">
        <f t="shared" ca="1" si="96"/>
        <v>0.94227592296405205</v>
      </c>
      <c r="AP660" s="29">
        <f t="shared" ca="1" si="115"/>
        <v>330</v>
      </c>
      <c r="AR660" s="22">
        <v>45205</v>
      </c>
      <c r="AS660" s="26">
        <f t="shared" ca="1" si="97"/>
        <v>0.86121623564158212</v>
      </c>
      <c r="AT660" s="29">
        <f t="shared" ca="1" si="116"/>
        <v>256</v>
      </c>
      <c r="AV660" s="22">
        <v>45205</v>
      </c>
      <c r="AW660" s="26">
        <f t="shared" ca="1" si="98"/>
        <v>0.65654030039856559</v>
      </c>
      <c r="AX660" s="29">
        <f t="shared" ca="1" si="117"/>
        <v>228</v>
      </c>
      <c r="AZ660" s="22">
        <v>45205</v>
      </c>
      <c r="BA660" s="26">
        <f t="shared" ca="1" si="99"/>
        <v>0.57329536404854653</v>
      </c>
      <c r="BB660" s="29">
        <v>0</v>
      </c>
      <c r="BC660"/>
      <c r="BD660" s="25"/>
      <c r="BF660" s="22">
        <v>45205</v>
      </c>
      <c r="BG660" s="26">
        <f t="shared" ca="1" si="100"/>
        <v>0.49927957735206474</v>
      </c>
      <c r="BH660" s="29">
        <v>0</v>
      </c>
      <c r="BJ660" s="22">
        <v>45205</v>
      </c>
      <c r="BK660" s="26">
        <f t="shared" ca="1" si="101"/>
        <v>0.77376943840395596</v>
      </c>
      <c r="BL660" s="29">
        <v>0</v>
      </c>
      <c r="BN660" s="22">
        <v>45205</v>
      </c>
      <c r="BO660" s="26">
        <f t="shared" ca="1" si="102"/>
        <v>0.17428438522729539</v>
      </c>
      <c r="BP660" s="29">
        <v>0</v>
      </c>
      <c r="BR660" s="22">
        <v>45205</v>
      </c>
      <c r="BS660" s="26">
        <f t="shared" ca="1" si="103"/>
        <v>0.10509159975692084</v>
      </c>
      <c r="BT660" s="29">
        <v>0</v>
      </c>
      <c r="BV660" s="22">
        <v>45205</v>
      </c>
      <c r="BW660" s="26">
        <f t="shared" ca="1" si="104"/>
        <v>7.2296331231054278E-2</v>
      </c>
      <c r="BX660" s="29">
        <v>0</v>
      </c>
    </row>
    <row r="661" spans="2:76" ht="12.75" x14ac:dyDescent="0.2">
      <c r="B661" s="22">
        <v>45206</v>
      </c>
      <c r="C661" s="26">
        <f t="shared" ca="1" si="119"/>
        <v>0.8159320778431719</v>
      </c>
      <c r="D661" s="29">
        <f t="shared" ca="1" si="118"/>
        <v>93</v>
      </c>
      <c r="F661" s="22"/>
      <c r="G661" s="26">
        <f t="shared" ca="1" si="88"/>
        <v>0.87982801345723094</v>
      </c>
      <c r="H661" s="29">
        <f t="shared" ca="1" si="107"/>
        <v>233</v>
      </c>
      <c r="J661" s="22">
        <v>45206</v>
      </c>
      <c r="K661" s="26">
        <f t="shared" ca="1" si="89"/>
        <v>0.68384324163440691</v>
      </c>
      <c r="L661" s="29">
        <f t="shared" ca="1" si="108"/>
        <v>155</v>
      </c>
      <c r="N661" s="22">
        <v>45206</v>
      </c>
      <c r="O661" s="26">
        <f t="shared" ca="1" si="90"/>
        <v>0.10095064182907698</v>
      </c>
      <c r="P661" s="29">
        <f t="shared" ca="1" si="109"/>
        <v>210</v>
      </c>
      <c r="R661" s="22">
        <v>45206</v>
      </c>
      <c r="S661" s="26">
        <f t="shared" ca="1" si="91"/>
        <v>5.2817846931220158E-3</v>
      </c>
      <c r="T661" s="29">
        <f t="shared" ca="1" si="110"/>
        <v>116</v>
      </c>
      <c r="V661" s="22">
        <v>45206</v>
      </c>
      <c r="W661" s="26">
        <f t="shared" ca="1" si="92"/>
        <v>0.45325648114815542</v>
      </c>
      <c r="X661" s="29">
        <f t="shared" ca="1" si="111"/>
        <v>224</v>
      </c>
      <c r="Z661" s="22">
        <v>45206</v>
      </c>
      <c r="AA661" s="26">
        <f t="shared" ca="1" si="93"/>
        <v>0.71448185794706154</v>
      </c>
      <c r="AB661" s="29">
        <f t="shared" ca="1" si="112"/>
        <v>281</v>
      </c>
      <c r="AC661"/>
      <c r="AD661" s="25"/>
      <c r="AF661" s="22">
        <v>45206</v>
      </c>
      <c r="AG661" s="26">
        <f t="shared" ca="1" si="94"/>
        <v>0.20048309771018735</v>
      </c>
      <c r="AH661" s="29">
        <f t="shared" ca="1" si="113"/>
        <v>254</v>
      </c>
      <c r="AJ661" s="22">
        <v>45206</v>
      </c>
      <c r="AK661" s="26">
        <f t="shared" ca="1" si="95"/>
        <v>0.58741195665949841</v>
      </c>
      <c r="AL661" s="29">
        <f t="shared" ca="1" si="114"/>
        <v>181</v>
      </c>
      <c r="AN661" s="22">
        <v>45206</v>
      </c>
      <c r="AO661" s="26">
        <f t="shared" ca="1" si="96"/>
        <v>0.40882212240102445</v>
      </c>
      <c r="AP661" s="29">
        <f t="shared" ca="1" si="115"/>
        <v>218</v>
      </c>
      <c r="AR661" s="22">
        <v>45206</v>
      </c>
      <c r="AS661" s="26">
        <f t="shared" ca="1" si="97"/>
        <v>0.63732429707268667</v>
      </c>
      <c r="AT661" s="29">
        <f t="shared" ca="1" si="116"/>
        <v>217</v>
      </c>
      <c r="AV661" s="22">
        <v>45206</v>
      </c>
      <c r="AW661" s="26">
        <f t="shared" ca="1" si="98"/>
        <v>0.25620281690015101</v>
      </c>
      <c r="AX661" s="29">
        <f t="shared" ca="1" si="117"/>
        <v>170</v>
      </c>
      <c r="AZ661" s="22">
        <v>45206</v>
      </c>
      <c r="BA661" s="26">
        <f t="shared" ca="1" si="99"/>
        <v>0.38092706019967104</v>
      </c>
      <c r="BB661" s="29">
        <v>0</v>
      </c>
      <c r="BC661"/>
      <c r="BD661" s="25"/>
      <c r="BF661" s="22">
        <v>45206</v>
      </c>
      <c r="BG661" s="26">
        <f t="shared" ca="1" si="100"/>
        <v>9.69446330326591E-2</v>
      </c>
      <c r="BH661" s="29">
        <v>0</v>
      </c>
      <c r="BJ661" s="22">
        <v>45206</v>
      </c>
      <c r="BK661" s="26">
        <f t="shared" ca="1" si="101"/>
        <v>5.5319347908709959E-2</v>
      </c>
      <c r="BL661" s="29">
        <v>0</v>
      </c>
      <c r="BN661" s="22">
        <v>45206</v>
      </c>
      <c r="BO661" s="26">
        <f t="shared" ca="1" si="102"/>
        <v>0.82811632140599523</v>
      </c>
      <c r="BP661" s="29">
        <v>0</v>
      </c>
      <c r="BR661" s="22">
        <v>45206</v>
      </c>
      <c r="BS661" s="26">
        <f t="shared" ca="1" si="103"/>
        <v>0.61434817293959909</v>
      </c>
      <c r="BT661" s="29">
        <v>0</v>
      </c>
      <c r="BV661" s="22">
        <v>45206</v>
      </c>
      <c r="BW661" s="26">
        <f t="shared" ca="1" si="104"/>
        <v>0.33057570360351574</v>
      </c>
      <c r="BX661" s="29">
        <v>0</v>
      </c>
    </row>
    <row r="662" spans="2:76" ht="12.75" x14ac:dyDescent="0.2">
      <c r="B662" s="22">
        <v>45207</v>
      </c>
      <c r="C662" s="26">
        <f t="shared" ca="1" si="119"/>
        <v>0.22795767248295817</v>
      </c>
      <c r="D662" s="29">
        <f t="shared" ca="1" si="118"/>
        <v>61</v>
      </c>
      <c r="F662" s="22"/>
      <c r="G662" s="26">
        <f t="shared" ca="1" si="88"/>
        <v>4.3098547424169631E-4</v>
      </c>
      <c r="H662" s="29">
        <f t="shared" ca="1" si="107"/>
        <v>168</v>
      </c>
      <c r="J662" s="22">
        <v>45207</v>
      </c>
      <c r="K662" s="26">
        <f t="shared" ca="1" si="89"/>
        <v>0.70601663245566226</v>
      </c>
      <c r="L662" s="29">
        <f t="shared" ca="1" si="108"/>
        <v>156</v>
      </c>
      <c r="N662" s="22">
        <v>45207</v>
      </c>
      <c r="O662" s="26">
        <f t="shared" ca="1" si="90"/>
        <v>0.10084977458078426</v>
      </c>
      <c r="P662" s="29">
        <f t="shared" ca="1" si="109"/>
        <v>210</v>
      </c>
      <c r="R662" s="22">
        <v>45207</v>
      </c>
      <c r="S662" s="26">
        <f t="shared" ca="1" si="91"/>
        <v>0.72146504602610939</v>
      </c>
      <c r="T662" s="29">
        <f t="shared" ca="1" si="110"/>
        <v>145</v>
      </c>
      <c r="V662" s="22">
        <v>45207</v>
      </c>
      <c r="W662" s="26">
        <f t="shared" ca="1" si="92"/>
        <v>0.52674032812179994</v>
      </c>
      <c r="X662" s="29">
        <f t="shared" ca="1" si="111"/>
        <v>227</v>
      </c>
      <c r="Z662" s="22">
        <v>45207</v>
      </c>
      <c r="AA662" s="26">
        <f t="shared" ca="1" si="93"/>
        <v>0.75042734235249675</v>
      </c>
      <c r="AB662" s="29">
        <f t="shared" ca="1" si="112"/>
        <v>283</v>
      </c>
      <c r="AC662"/>
      <c r="AD662" s="25"/>
      <c r="AF662" s="22">
        <v>45207</v>
      </c>
      <c r="AG662" s="26">
        <f t="shared" ca="1" si="94"/>
        <v>5.8391215907548366E-2</v>
      </c>
      <c r="AH662" s="29">
        <f t="shared" ca="1" si="113"/>
        <v>191</v>
      </c>
      <c r="AJ662" s="22">
        <v>45207</v>
      </c>
      <c r="AK662" s="26">
        <f t="shared" ca="1" si="95"/>
        <v>0.14362088356155001</v>
      </c>
      <c r="AL662" s="29">
        <f t="shared" ca="1" si="114"/>
        <v>123</v>
      </c>
      <c r="AN662" s="22">
        <v>45207</v>
      </c>
      <c r="AO662" s="26">
        <f t="shared" ca="1" si="96"/>
        <v>0.29167477340174341</v>
      </c>
      <c r="AP662" s="29">
        <f t="shared" ca="1" si="115"/>
        <v>199</v>
      </c>
      <c r="AR662" s="22">
        <v>45207</v>
      </c>
      <c r="AS662" s="26">
        <f t="shared" ca="1" si="97"/>
        <v>0.23358705564430171</v>
      </c>
      <c r="AT662" s="29">
        <f t="shared" ca="1" si="116"/>
        <v>160</v>
      </c>
      <c r="AV662" s="22">
        <v>45207</v>
      </c>
      <c r="AW662" s="26">
        <f t="shared" ca="1" si="98"/>
        <v>0.962817507817469</v>
      </c>
      <c r="AX662" s="29">
        <f t="shared" ca="1" si="117"/>
        <v>304</v>
      </c>
      <c r="AZ662" s="22">
        <v>45207</v>
      </c>
      <c r="BA662" s="26">
        <f t="shared" ca="1" si="99"/>
        <v>0.94655493725992956</v>
      </c>
      <c r="BB662" s="29">
        <v>0</v>
      </c>
      <c r="BC662"/>
      <c r="BD662" s="25"/>
      <c r="BF662" s="22">
        <v>45207</v>
      </c>
      <c r="BG662" s="26">
        <f t="shared" ca="1" si="100"/>
        <v>0.83960454180887789</v>
      </c>
      <c r="BH662" s="29">
        <v>0</v>
      </c>
      <c r="BJ662" s="22">
        <v>45207</v>
      </c>
      <c r="BK662" s="26">
        <f t="shared" ca="1" si="101"/>
        <v>0.73945666866460724</v>
      </c>
      <c r="BL662" s="29">
        <v>0</v>
      </c>
      <c r="BN662" s="22">
        <v>45207</v>
      </c>
      <c r="BO662" s="26">
        <f t="shared" ca="1" si="102"/>
        <v>0.51009730898434691</v>
      </c>
      <c r="BP662" s="29">
        <v>0</v>
      </c>
      <c r="BR662" s="22">
        <v>45207</v>
      </c>
      <c r="BS662" s="26">
        <f t="shared" ca="1" si="103"/>
        <v>0.41336067474437954</v>
      </c>
      <c r="BT662" s="29">
        <v>0</v>
      </c>
      <c r="BV662" s="22">
        <v>45207</v>
      </c>
      <c r="BW662" s="26">
        <f t="shared" ca="1" si="104"/>
        <v>0.72639412841209716</v>
      </c>
      <c r="BX662" s="29">
        <v>0</v>
      </c>
    </row>
    <row r="663" spans="2:76" ht="12.75" x14ac:dyDescent="0.2">
      <c r="B663" s="22">
        <v>45208</v>
      </c>
      <c r="C663" s="26">
        <f t="shared" ca="1" si="119"/>
        <v>4.4635543114289966E-2</v>
      </c>
      <c r="D663" s="29">
        <f t="shared" ca="1" si="118"/>
        <v>42</v>
      </c>
      <c r="F663" s="22"/>
      <c r="G663" s="26">
        <f t="shared" ca="1" si="88"/>
        <v>7.3568470073577252E-2</v>
      </c>
      <c r="H663" s="29">
        <f t="shared" ca="1" si="107"/>
        <v>195</v>
      </c>
      <c r="J663" s="22">
        <v>45208</v>
      </c>
      <c r="K663" s="26">
        <f t="shared" ca="1" si="89"/>
        <v>0.44174658059004024</v>
      </c>
      <c r="L663" s="29">
        <f t="shared" ca="1" si="108"/>
        <v>149</v>
      </c>
      <c r="N663" s="22">
        <v>45208</v>
      </c>
      <c r="O663" s="26">
        <f t="shared" ca="1" si="90"/>
        <v>0.33454922948093602</v>
      </c>
      <c r="P663" s="29">
        <f t="shared" ca="1" si="109"/>
        <v>223</v>
      </c>
      <c r="R663" s="22">
        <v>45208</v>
      </c>
      <c r="S663" s="26">
        <f t="shared" ca="1" si="91"/>
        <v>0.65107617949282703</v>
      </c>
      <c r="T663" s="29">
        <f t="shared" ca="1" si="110"/>
        <v>143</v>
      </c>
      <c r="V663" s="22">
        <v>45208</v>
      </c>
      <c r="W663" s="26">
        <f t="shared" ca="1" si="92"/>
        <v>3.1541843783794321E-2</v>
      </c>
      <c r="X663" s="29">
        <f t="shared" ca="1" si="111"/>
        <v>198</v>
      </c>
      <c r="Z663" s="22">
        <v>45208</v>
      </c>
      <c r="AA663" s="26">
        <f t="shared" ca="1" si="93"/>
        <v>7.5889691336697318E-2</v>
      </c>
      <c r="AB663" s="29">
        <f t="shared" ca="1" si="112"/>
        <v>245</v>
      </c>
      <c r="AC663"/>
      <c r="AD663" s="25"/>
      <c r="AF663" s="22">
        <v>45208</v>
      </c>
      <c r="AG663" s="26">
        <f t="shared" ca="1" si="94"/>
        <v>0.38783642906113747</v>
      </c>
      <c r="AH663" s="29">
        <f t="shared" ca="1" si="113"/>
        <v>303</v>
      </c>
      <c r="AJ663" s="22">
        <v>45208</v>
      </c>
      <c r="AK663" s="26">
        <f t="shared" ca="1" si="95"/>
        <v>0.98902912906703333</v>
      </c>
      <c r="AL663" s="29">
        <f t="shared" ca="1" si="114"/>
        <v>275</v>
      </c>
      <c r="AN663" s="22">
        <v>45208</v>
      </c>
      <c r="AO663" s="26">
        <f t="shared" ca="1" si="96"/>
        <v>3.6883346329848576E-2</v>
      </c>
      <c r="AP663" s="29">
        <f t="shared" ca="1" si="115"/>
        <v>122</v>
      </c>
      <c r="AR663" s="22">
        <v>45208</v>
      </c>
      <c r="AS663" s="26">
        <f t="shared" ca="1" si="97"/>
        <v>0.33911214673675383</v>
      </c>
      <c r="AT663" s="29">
        <f t="shared" ca="1" si="116"/>
        <v>177</v>
      </c>
      <c r="AV663" s="22">
        <v>45208</v>
      </c>
      <c r="AW663" s="26">
        <f t="shared" ca="1" si="98"/>
        <v>3.4278075315086198E-3</v>
      </c>
      <c r="AX663" s="29">
        <f t="shared" ca="1" si="117"/>
        <v>58</v>
      </c>
      <c r="AZ663" s="22">
        <v>45208</v>
      </c>
      <c r="BA663" s="26">
        <f t="shared" ca="1" si="99"/>
        <v>6.3612554244783848E-2</v>
      </c>
      <c r="BB663" s="29">
        <v>0</v>
      </c>
      <c r="BC663"/>
      <c r="BD663" s="25"/>
      <c r="BF663" s="22">
        <v>45208</v>
      </c>
      <c r="BG663" s="26">
        <f t="shared" ca="1" si="100"/>
        <v>0.26133082877947489</v>
      </c>
      <c r="BH663" s="29">
        <v>0</v>
      </c>
      <c r="BJ663" s="22">
        <v>45208</v>
      </c>
      <c r="BK663" s="26">
        <f t="shared" ca="1" si="101"/>
        <v>1.0911995787469819E-2</v>
      </c>
      <c r="BL663" s="29">
        <v>0</v>
      </c>
      <c r="BN663" s="22">
        <v>45208</v>
      </c>
      <c r="BO663" s="26">
        <f t="shared" ca="1" si="102"/>
        <v>0.64973747879337451</v>
      </c>
      <c r="BP663" s="29">
        <v>0</v>
      </c>
      <c r="BR663" s="22">
        <v>45208</v>
      </c>
      <c r="BS663" s="26">
        <f t="shared" ca="1" si="103"/>
        <v>0.60998025901477315</v>
      </c>
      <c r="BT663" s="29">
        <v>0</v>
      </c>
      <c r="BV663" s="22">
        <v>45208</v>
      </c>
      <c r="BW663" s="26">
        <f t="shared" ca="1" si="104"/>
        <v>0.95195169108115363</v>
      </c>
      <c r="BX663" s="29">
        <v>0</v>
      </c>
    </row>
    <row r="664" spans="2:76" ht="12.75" x14ac:dyDescent="0.2">
      <c r="B664" s="22">
        <v>45209</v>
      </c>
      <c r="C664" s="26">
        <f t="shared" ca="1" si="119"/>
        <v>0.45454247120397895</v>
      </c>
      <c r="D664" s="29">
        <f t="shared" ca="1" si="118"/>
        <v>73</v>
      </c>
      <c r="F664" s="22"/>
      <c r="G664" s="26">
        <f t="shared" ca="1" si="88"/>
        <v>0.32325524734610744</v>
      </c>
      <c r="H664" s="29">
        <f t="shared" ca="1" si="107"/>
        <v>209</v>
      </c>
      <c r="J664" s="22">
        <v>45209</v>
      </c>
      <c r="K664" s="26">
        <f t="shared" ca="1" si="89"/>
        <v>0.1457692345621131</v>
      </c>
      <c r="L664" s="29">
        <f t="shared" ca="1" si="108"/>
        <v>140</v>
      </c>
      <c r="N664" s="22">
        <v>45209</v>
      </c>
      <c r="O664" s="26">
        <f t="shared" ca="1" si="90"/>
        <v>0.15958480801546859</v>
      </c>
      <c r="P664" s="29">
        <f t="shared" ca="1" si="109"/>
        <v>215</v>
      </c>
      <c r="R664" s="22">
        <v>45209</v>
      </c>
      <c r="S664" s="26">
        <f t="shared" ca="1" si="91"/>
        <v>0.30240720796887433</v>
      </c>
      <c r="T664" s="29">
        <f t="shared" ca="1" si="110"/>
        <v>134</v>
      </c>
      <c r="V664" s="22">
        <v>45209</v>
      </c>
      <c r="W664" s="26">
        <f t="shared" ca="1" si="92"/>
        <v>0.99376306885825316</v>
      </c>
      <c r="X664" s="29">
        <f t="shared" ca="1" si="111"/>
        <v>263</v>
      </c>
      <c r="Z664" s="22">
        <v>45209</v>
      </c>
      <c r="AA664" s="26">
        <f t="shared" ca="1" si="93"/>
        <v>0.34921968221860533</v>
      </c>
      <c r="AB664" s="29">
        <f t="shared" ca="1" si="112"/>
        <v>264</v>
      </c>
      <c r="AC664"/>
      <c r="AD664" s="25"/>
      <c r="AF664" s="22">
        <v>45209</v>
      </c>
      <c r="AG664" s="26">
        <f t="shared" ca="1" si="94"/>
        <v>0.2814659460715081</v>
      </c>
      <c r="AH664" s="29">
        <f t="shared" ca="1" si="113"/>
        <v>277</v>
      </c>
      <c r="AJ664" s="22">
        <v>45209</v>
      </c>
      <c r="AK664" s="26">
        <f t="shared" ca="1" si="95"/>
        <v>0.94144596546069137</v>
      </c>
      <c r="AL664" s="29">
        <f t="shared" ca="1" si="114"/>
        <v>242</v>
      </c>
      <c r="AN664" s="22">
        <v>45209</v>
      </c>
      <c r="AO664" s="26">
        <f t="shared" ca="1" si="96"/>
        <v>0.88970465958435807</v>
      </c>
      <c r="AP664" s="29">
        <f t="shared" ca="1" si="115"/>
        <v>308</v>
      </c>
      <c r="AR664" s="22">
        <v>45209</v>
      </c>
      <c r="AS664" s="26">
        <f t="shared" ca="1" si="97"/>
        <v>0.8154775950663854</v>
      </c>
      <c r="AT664" s="29">
        <f t="shared" ca="1" si="116"/>
        <v>246</v>
      </c>
      <c r="AV664" s="22">
        <v>45209</v>
      </c>
      <c r="AW664" s="26">
        <f t="shared" ca="1" si="98"/>
        <v>0.54233575768906683</v>
      </c>
      <c r="AX664" s="29">
        <f t="shared" ca="1" si="117"/>
        <v>212</v>
      </c>
      <c r="AZ664" s="22">
        <v>45209</v>
      </c>
      <c r="BA664" s="26">
        <f t="shared" ca="1" si="99"/>
        <v>0.54525075380365295</v>
      </c>
      <c r="BB664" s="29">
        <v>0</v>
      </c>
      <c r="BC664"/>
      <c r="BD664" s="25"/>
      <c r="BF664" s="22">
        <v>45209</v>
      </c>
      <c r="BG664" s="26">
        <f t="shared" ca="1" si="100"/>
        <v>0.47084528490488842</v>
      </c>
      <c r="BH664" s="29">
        <v>0</v>
      </c>
      <c r="BJ664" s="22">
        <v>45209</v>
      </c>
      <c r="BK664" s="26">
        <f t="shared" ca="1" si="101"/>
        <v>0.75199579605413513</v>
      </c>
      <c r="BL664" s="29">
        <v>0</v>
      </c>
      <c r="BN664" s="22">
        <v>45209</v>
      </c>
      <c r="BO664" s="26">
        <f t="shared" ca="1" si="102"/>
        <v>0.53313795298566413</v>
      </c>
      <c r="BP664" s="29">
        <v>0</v>
      </c>
      <c r="BR664" s="22">
        <v>45209</v>
      </c>
      <c r="BS664" s="26">
        <f t="shared" ca="1" si="103"/>
        <v>0.87326880283708541</v>
      </c>
      <c r="BT664" s="29">
        <v>0</v>
      </c>
      <c r="BV664" s="22">
        <v>45209</v>
      </c>
      <c r="BW664" s="26">
        <f t="shared" ca="1" si="104"/>
        <v>0.58524733859731126</v>
      </c>
      <c r="BX664" s="29">
        <v>0</v>
      </c>
    </row>
    <row r="665" spans="2:76" ht="12.75" x14ac:dyDescent="0.2">
      <c r="B665" s="22">
        <v>45210</v>
      </c>
      <c r="C665" s="26">
        <f t="shared" ca="1" si="119"/>
        <v>4.09645025213905E-2</v>
      </c>
      <c r="D665" s="29">
        <f t="shared" ca="1" si="118"/>
        <v>41</v>
      </c>
      <c r="F665" s="22"/>
      <c r="G665" s="26">
        <f t="shared" ca="1" si="88"/>
        <v>0.62401718054629607</v>
      </c>
      <c r="H665" s="29">
        <f t="shared" ca="1" si="107"/>
        <v>220</v>
      </c>
      <c r="J665" s="22">
        <v>45210</v>
      </c>
      <c r="K665" s="26">
        <f t="shared" ca="1" si="89"/>
        <v>0.62330222689104742</v>
      </c>
      <c r="L665" s="29">
        <f t="shared" ca="1" si="108"/>
        <v>154</v>
      </c>
      <c r="N665" s="22">
        <v>45210</v>
      </c>
      <c r="O665" s="26">
        <f t="shared" ca="1" si="90"/>
        <v>0.33824918427327644</v>
      </c>
      <c r="P665" s="29">
        <f t="shared" ca="1" si="109"/>
        <v>223</v>
      </c>
      <c r="R665" s="22">
        <v>45210</v>
      </c>
      <c r="S665" s="26">
        <f t="shared" ca="1" si="91"/>
        <v>0.17348012654159306</v>
      </c>
      <c r="T665" s="29">
        <f t="shared" ca="1" si="110"/>
        <v>131</v>
      </c>
      <c r="V665" s="22">
        <v>45210</v>
      </c>
      <c r="W665" s="26">
        <f t="shared" ca="1" si="92"/>
        <v>0.73279529719914183</v>
      </c>
      <c r="X665" s="29">
        <f t="shared" ca="1" si="111"/>
        <v>235</v>
      </c>
      <c r="Z665" s="22">
        <v>45210</v>
      </c>
      <c r="AA665" s="26">
        <f t="shared" ca="1" si="93"/>
        <v>0.80142913152603679</v>
      </c>
      <c r="AB665" s="29">
        <f t="shared" ca="1" si="112"/>
        <v>286</v>
      </c>
      <c r="AC665"/>
      <c r="AD665" s="25"/>
      <c r="AF665" s="22">
        <v>45210</v>
      </c>
      <c r="AG665" s="26">
        <f t="shared" ca="1" si="94"/>
        <v>0.22094608113142677</v>
      </c>
      <c r="AH665" s="29">
        <f t="shared" ca="1" si="113"/>
        <v>260</v>
      </c>
      <c r="AJ665" s="22">
        <v>45210</v>
      </c>
      <c r="AK665" s="26">
        <f t="shared" ca="1" si="95"/>
        <v>0.16087632502677696</v>
      </c>
      <c r="AL665" s="29">
        <f t="shared" ca="1" si="114"/>
        <v>126</v>
      </c>
      <c r="AN665" s="22">
        <v>45210</v>
      </c>
      <c r="AO665" s="26">
        <f t="shared" ca="1" si="96"/>
        <v>0.86696789614635095</v>
      </c>
      <c r="AP665" s="29">
        <f t="shared" ca="1" si="115"/>
        <v>301</v>
      </c>
      <c r="AR665" s="22">
        <v>45210</v>
      </c>
      <c r="AS665" s="26">
        <f t="shared" ca="1" si="97"/>
        <v>0.54567338907958318</v>
      </c>
      <c r="AT665" s="29">
        <f t="shared" ca="1" si="116"/>
        <v>205</v>
      </c>
      <c r="AV665" s="22">
        <v>45210</v>
      </c>
      <c r="AW665" s="26">
        <f t="shared" ca="1" si="98"/>
        <v>0.18738928731917281</v>
      </c>
      <c r="AX665" s="29">
        <f t="shared" ca="1" si="117"/>
        <v>157</v>
      </c>
      <c r="AZ665" s="22">
        <v>45210</v>
      </c>
      <c r="BA665" s="26">
        <f t="shared" ca="1" si="99"/>
        <v>0.8664036133955817</v>
      </c>
      <c r="BB665" s="29">
        <v>0</v>
      </c>
      <c r="BC665"/>
      <c r="BD665" s="25"/>
      <c r="BF665" s="22">
        <v>45210</v>
      </c>
      <c r="BG665" s="26">
        <f t="shared" ca="1" si="100"/>
        <v>0.8601802916472725</v>
      </c>
      <c r="BH665" s="29">
        <v>0</v>
      </c>
      <c r="BJ665" s="22">
        <v>45210</v>
      </c>
      <c r="BK665" s="26">
        <f t="shared" ca="1" si="101"/>
        <v>2.0047047300444487E-2</v>
      </c>
      <c r="BL665" s="29">
        <v>0</v>
      </c>
      <c r="BN665" s="22">
        <v>45210</v>
      </c>
      <c r="BO665" s="26">
        <f t="shared" ca="1" si="102"/>
        <v>1.0369875333272272E-2</v>
      </c>
      <c r="BP665" s="29">
        <v>0</v>
      </c>
      <c r="BR665" s="22">
        <v>45210</v>
      </c>
      <c r="BS665" s="26">
        <f t="shared" ca="1" si="103"/>
        <v>0.80082050157994111</v>
      </c>
      <c r="BT665" s="29">
        <v>0</v>
      </c>
      <c r="BV665" s="22">
        <v>45210</v>
      </c>
      <c r="BW665" s="26">
        <f t="shared" ca="1" si="104"/>
        <v>0.90504414543778355</v>
      </c>
      <c r="BX665" s="29">
        <v>0</v>
      </c>
    </row>
    <row r="666" spans="2:76" ht="12.75" x14ac:dyDescent="0.2">
      <c r="B666" s="22">
        <v>45211</v>
      </c>
      <c r="C666" s="26">
        <f t="shared" ca="1" si="119"/>
        <v>0.67668582196314209</v>
      </c>
      <c r="D666" s="29">
        <f t="shared" ca="1" si="118"/>
        <v>85</v>
      </c>
      <c r="F666" s="22"/>
      <c r="G666" s="26">
        <f t="shared" ca="1" si="88"/>
        <v>0.19531469385169375</v>
      </c>
      <c r="H666" s="29">
        <f t="shared" ca="1" si="107"/>
        <v>204</v>
      </c>
      <c r="J666" s="22">
        <v>45211</v>
      </c>
      <c r="K666" s="26">
        <f t="shared" ca="1" si="89"/>
        <v>0.72616811224912581</v>
      </c>
      <c r="L666" s="29">
        <f t="shared" ca="1" si="108"/>
        <v>157</v>
      </c>
      <c r="N666" s="22">
        <v>45211</v>
      </c>
      <c r="O666" s="26">
        <f t="shared" ca="1" si="90"/>
        <v>0.42135553929521796</v>
      </c>
      <c r="P666" s="29">
        <f t="shared" ca="1" si="109"/>
        <v>227</v>
      </c>
      <c r="R666" s="22">
        <v>45211</v>
      </c>
      <c r="S666" s="26">
        <f t="shared" ca="1" si="91"/>
        <v>0.85051467878383658</v>
      </c>
      <c r="T666" s="29">
        <f t="shared" ca="1" si="110"/>
        <v>149</v>
      </c>
      <c r="V666" s="22">
        <v>45211</v>
      </c>
      <c r="W666" s="26">
        <f t="shared" ca="1" si="92"/>
        <v>0.96152250204969403</v>
      </c>
      <c r="X666" s="29">
        <f t="shared" ca="1" si="111"/>
        <v>252</v>
      </c>
      <c r="Z666" s="22">
        <v>45211</v>
      </c>
      <c r="AA666" s="26">
        <f t="shared" ca="1" si="93"/>
        <v>0.80019147565399928</v>
      </c>
      <c r="AB666" s="29">
        <f t="shared" ca="1" si="112"/>
        <v>286</v>
      </c>
      <c r="AC666"/>
      <c r="AD666" s="25"/>
      <c r="AF666" s="22">
        <v>45211</v>
      </c>
      <c r="AG666" s="26">
        <f t="shared" ca="1" si="94"/>
        <v>0.32298355855838978</v>
      </c>
      <c r="AH666" s="29">
        <f t="shared" ca="1" si="113"/>
        <v>287</v>
      </c>
      <c r="AJ666" s="22">
        <v>45211</v>
      </c>
      <c r="AK666" s="26">
        <f t="shared" ca="1" si="95"/>
        <v>0.87680375058421445</v>
      </c>
      <c r="AL666" s="29">
        <f t="shared" ca="1" si="114"/>
        <v>224</v>
      </c>
      <c r="AN666" s="22">
        <v>45211</v>
      </c>
      <c r="AO666" s="26">
        <f t="shared" ca="1" si="96"/>
        <v>0.90544132448180881</v>
      </c>
      <c r="AP666" s="29">
        <f t="shared" ca="1" si="115"/>
        <v>314</v>
      </c>
      <c r="AR666" s="22">
        <v>45211</v>
      </c>
      <c r="AS666" s="26">
        <f t="shared" ca="1" si="97"/>
        <v>0.42179603508042052</v>
      </c>
      <c r="AT666" s="29">
        <f t="shared" ca="1" si="116"/>
        <v>188</v>
      </c>
      <c r="AV666" s="22">
        <v>45211</v>
      </c>
      <c r="AW666" s="26">
        <f t="shared" ca="1" si="98"/>
        <v>0.30683395650608458</v>
      </c>
      <c r="AX666" s="29">
        <f t="shared" ca="1" si="117"/>
        <v>178</v>
      </c>
      <c r="AZ666" s="22">
        <v>45211</v>
      </c>
      <c r="BA666" s="26">
        <f t="shared" ca="1" si="99"/>
        <v>0.28233450423532991</v>
      </c>
      <c r="BB666" s="29">
        <v>0</v>
      </c>
      <c r="BC666"/>
      <c r="BD666" s="25"/>
      <c r="BF666" s="22">
        <v>45211</v>
      </c>
      <c r="BG666" s="26">
        <f t="shared" ca="1" si="100"/>
        <v>0.6168578475277573</v>
      </c>
      <c r="BH666" s="29">
        <v>0</v>
      </c>
      <c r="BJ666" s="22">
        <v>45211</v>
      </c>
      <c r="BK666" s="26">
        <f t="shared" ca="1" si="101"/>
        <v>0.65261492817131717</v>
      </c>
      <c r="BL666" s="29">
        <v>0</v>
      </c>
      <c r="BN666" s="22">
        <v>45211</v>
      </c>
      <c r="BO666" s="26">
        <f t="shared" ca="1" si="102"/>
        <v>0.23333891169311993</v>
      </c>
      <c r="BP666" s="29">
        <v>0</v>
      </c>
      <c r="BR666" s="22">
        <v>45211</v>
      </c>
      <c r="BS666" s="26">
        <f t="shared" ca="1" si="103"/>
        <v>0.76509541221184296</v>
      </c>
      <c r="BT666" s="29">
        <v>0</v>
      </c>
      <c r="BV666" s="22">
        <v>45211</v>
      </c>
      <c r="BW666" s="26">
        <f t="shared" ca="1" si="104"/>
        <v>0.6987663304223628</v>
      </c>
      <c r="BX666" s="29">
        <v>0</v>
      </c>
    </row>
    <row r="667" spans="2:76" ht="12.75" x14ac:dyDescent="0.2">
      <c r="B667" s="22">
        <v>45212</v>
      </c>
      <c r="C667" s="26">
        <f t="shared" ca="1" si="119"/>
        <v>0.28056821502235829</v>
      </c>
      <c r="D667" s="29">
        <f t="shared" ca="1" si="118"/>
        <v>64</v>
      </c>
      <c r="F667" s="22"/>
      <c r="G667" s="26">
        <f t="shared" ca="1" si="88"/>
        <v>5.7783784205256428E-4</v>
      </c>
      <c r="H667" s="29">
        <f t="shared" ca="1" si="107"/>
        <v>169</v>
      </c>
      <c r="J667" s="22">
        <v>45212</v>
      </c>
      <c r="K667" s="26">
        <f t="shared" ca="1" si="89"/>
        <v>0.7670966321619358</v>
      </c>
      <c r="L667" s="29">
        <f t="shared" ca="1" si="108"/>
        <v>158</v>
      </c>
      <c r="N667" s="22">
        <v>45212</v>
      </c>
      <c r="O667" s="26">
        <f t="shared" ca="1" si="90"/>
        <v>0.8506755858308882</v>
      </c>
      <c r="P667" s="29">
        <f t="shared" ca="1" si="109"/>
        <v>246</v>
      </c>
      <c r="R667" s="22">
        <v>45212</v>
      </c>
      <c r="S667" s="26">
        <f t="shared" ca="1" si="91"/>
        <v>0.66799086433656263</v>
      </c>
      <c r="T667" s="29">
        <f t="shared" ca="1" si="110"/>
        <v>143</v>
      </c>
      <c r="V667" s="22">
        <v>45212</v>
      </c>
      <c r="W667" s="26">
        <f t="shared" ca="1" si="92"/>
        <v>0.78365238565861095</v>
      </c>
      <c r="X667" s="29">
        <f t="shared" ca="1" si="111"/>
        <v>237</v>
      </c>
      <c r="Z667" s="22">
        <v>45212</v>
      </c>
      <c r="AA667" s="26">
        <f t="shared" ca="1" si="93"/>
        <v>0.61972229234395693</v>
      </c>
      <c r="AB667" s="29">
        <f t="shared" ca="1" si="112"/>
        <v>276</v>
      </c>
      <c r="AC667"/>
      <c r="AD667" s="25"/>
      <c r="AF667" s="22">
        <v>45212</v>
      </c>
      <c r="AG667" s="26">
        <f t="shared" ca="1" si="94"/>
        <v>0.64555275165842141</v>
      </c>
      <c r="AH667" s="29">
        <f t="shared" ca="1" si="113"/>
        <v>360</v>
      </c>
      <c r="AJ667" s="22">
        <v>45212</v>
      </c>
      <c r="AK667" s="26">
        <f t="shared" ca="1" si="95"/>
        <v>0.12409209510948416</v>
      </c>
      <c r="AL667" s="29">
        <f t="shared" ca="1" si="114"/>
        <v>118</v>
      </c>
      <c r="AN667" s="22">
        <v>45212</v>
      </c>
      <c r="AO667" s="26">
        <f t="shared" ca="1" si="96"/>
        <v>0.16443158640640809</v>
      </c>
      <c r="AP667" s="29">
        <f t="shared" ca="1" si="115"/>
        <v>172</v>
      </c>
      <c r="AR667" s="22">
        <v>45212</v>
      </c>
      <c r="AS667" s="26">
        <f t="shared" ca="1" si="97"/>
        <v>0.75855778920044314</v>
      </c>
      <c r="AT667" s="29">
        <f t="shared" ca="1" si="116"/>
        <v>236</v>
      </c>
      <c r="AV667" s="22">
        <v>45212</v>
      </c>
      <c r="AW667" s="26">
        <f t="shared" ca="1" si="98"/>
        <v>0.36303420465169567</v>
      </c>
      <c r="AX667" s="29">
        <f t="shared" ca="1" si="117"/>
        <v>187</v>
      </c>
      <c r="AZ667" s="22">
        <v>45212</v>
      </c>
      <c r="BA667" s="26">
        <f t="shared" ca="1" si="99"/>
        <v>0.30671879225421994</v>
      </c>
      <c r="BB667" s="29">
        <v>0</v>
      </c>
      <c r="BC667"/>
      <c r="BD667" s="25"/>
      <c r="BF667" s="22">
        <v>45212</v>
      </c>
      <c r="BG667" s="26">
        <f t="shared" ca="1" si="100"/>
        <v>0.33945593455174239</v>
      </c>
      <c r="BH667" s="29">
        <v>0</v>
      </c>
      <c r="BJ667" s="22">
        <v>45212</v>
      </c>
      <c r="BK667" s="26">
        <f t="shared" ca="1" si="101"/>
        <v>0.99371216793425565</v>
      </c>
      <c r="BL667" s="29">
        <v>0</v>
      </c>
      <c r="BN667" s="22">
        <v>45212</v>
      </c>
      <c r="BO667" s="26">
        <f t="shared" ca="1" si="102"/>
        <v>0.52258754025534782</v>
      </c>
      <c r="BP667" s="29">
        <v>0</v>
      </c>
      <c r="BR667" s="22">
        <v>45212</v>
      </c>
      <c r="BS667" s="26">
        <f t="shared" ca="1" si="103"/>
        <v>0.80212917724913335</v>
      </c>
      <c r="BT667" s="29">
        <v>0</v>
      </c>
      <c r="BV667" s="22">
        <v>45212</v>
      </c>
      <c r="BW667" s="26">
        <f t="shared" ca="1" si="104"/>
        <v>0.81114377827244744</v>
      </c>
      <c r="BX667" s="29">
        <v>0</v>
      </c>
    </row>
    <row r="668" spans="2:76" ht="12.75" x14ac:dyDescent="0.2">
      <c r="B668" s="22">
        <v>45213</v>
      </c>
      <c r="C668" s="26">
        <f t="shared" ca="1" si="119"/>
        <v>0.94578020315187117</v>
      </c>
      <c r="D668" s="29">
        <f t="shared" ca="1" si="118"/>
        <v>108</v>
      </c>
      <c r="F668" s="22"/>
      <c r="G668" s="26">
        <f t="shared" ca="1" si="88"/>
        <v>0.38595919851630622</v>
      </c>
      <c r="H668" s="29">
        <f t="shared" ca="1" si="107"/>
        <v>212</v>
      </c>
      <c r="J668" s="22">
        <v>45213</v>
      </c>
      <c r="K668" s="26">
        <f t="shared" ca="1" si="89"/>
        <v>0.16835708957689366</v>
      </c>
      <c r="L668" s="29">
        <f t="shared" ca="1" si="108"/>
        <v>141</v>
      </c>
      <c r="N668" s="22">
        <v>45213</v>
      </c>
      <c r="O668" s="26">
        <f t="shared" ca="1" si="90"/>
        <v>0.71530683096431891</v>
      </c>
      <c r="P668" s="29">
        <f t="shared" ca="1" si="109"/>
        <v>239</v>
      </c>
      <c r="R668" s="22">
        <v>45213</v>
      </c>
      <c r="S668" s="26">
        <f t="shared" ca="1" si="91"/>
        <v>0.49630871875634996</v>
      </c>
      <c r="T668" s="29">
        <f t="shared" ca="1" si="110"/>
        <v>139</v>
      </c>
      <c r="V668" s="22">
        <v>45213</v>
      </c>
      <c r="W668" s="26">
        <f t="shared" ca="1" si="92"/>
        <v>0.29803414858865251</v>
      </c>
      <c r="X668" s="29">
        <f t="shared" ca="1" si="111"/>
        <v>218</v>
      </c>
      <c r="Z668" s="22">
        <v>45213</v>
      </c>
      <c r="AA668" s="26">
        <f t="shared" ca="1" si="93"/>
        <v>0.15536428137027003</v>
      </c>
      <c r="AB668" s="29">
        <f t="shared" ca="1" si="112"/>
        <v>252</v>
      </c>
      <c r="AC668"/>
      <c r="AD668" s="25"/>
      <c r="AF668" s="22">
        <v>45213</v>
      </c>
      <c r="AG668" s="26">
        <f t="shared" ca="1" si="94"/>
        <v>1.5329712797504391E-2</v>
      </c>
      <c r="AH668" s="29">
        <f t="shared" ca="1" si="113"/>
        <v>139</v>
      </c>
      <c r="AJ668" s="22">
        <v>45213</v>
      </c>
      <c r="AK668" s="26">
        <f t="shared" ca="1" si="95"/>
        <v>0.21876916585318107</v>
      </c>
      <c r="AL668" s="29">
        <f t="shared" ca="1" si="114"/>
        <v>136</v>
      </c>
      <c r="AN668" s="22">
        <v>45213</v>
      </c>
      <c r="AO668" s="26">
        <f t="shared" ca="1" si="96"/>
        <v>0.31686249867989491</v>
      </c>
      <c r="AP668" s="29">
        <f t="shared" ca="1" si="115"/>
        <v>203</v>
      </c>
      <c r="AR668" s="22">
        <v>45213</v>
      </c>
      <c r="AS668" s="26">
        <f t="shared" ca="1" si="97"/>
        <v>0.19755874670332674</v>
      </c>
      <c r="AT668" s="29">
        <f t="shared" ca="1" si="116"/>
        <v>154</v>
      </c>
      <c r="AV668" s="22">
        <v>45213</v>
      </c>
      <c r="AW668" s="26">
        <f t="shared" ca="1" si="98"/>
        <v>8.776184388278796E-2</v>
      </c>
      <c r="AX668" s="29">
        <f t="shared" ca="1" si="117"/>
        <v>132</v>
      </c>
      <c r="AZ668" s="22">
        <v>45213</v>
      </c>
      <c r="BA668" s="26">
        <f t="shared" ca="1" si="99"/>
        <v>0.13705791695214165</v>
      </c>
      <c r="BB668" s="29">
        <v>0</v>
      </c>
      <c r="BC668"/>
      <c r="BD668" s="25"/>
      <c r="BF668" s="22">
        <v>45213</v>
      </c>
      <c r="BG668" s="26">
        <f t="shared" ca="1" si="100"/>
        <v>0.4217062592661881</v>
      </c>
      <c r="BH668" s="29">
        <v>0</v>
      </c>
      <c r="BJ668" s="22">
        <v>45213</v>
      </c>
      <c r="BK668" s="26">
        <f t="shared" ca="1" si="101"/>
        <v>0.43252026755039541</v>
      </c>
      <c r="BL668" s="29">
        <v>0</v>
      </c>
      <c r="BN668" s="22">
        <v>45213</v>
      </c>
      <c r="BO668" s="26">
        <f t="shared" ca="1" si="102"/>
        <v>0.31346289755356427</v>
      </c>
      <c r="BP668" s="29">
        <v>0</v>
      </c>
      <c r="BR668" s="22">
        <v>45213</v>
      </c>
      <c r="BS668" s="26">
        <f t="shared" ca="1" si="103"/>
        <v>0.78429003601974623</v>
      </c>
      <c r="BT668" s="29">
        <v>0</v>
      </c>
      <c r="BV668" s="22">
        <v>45213</v>
      </c>
      <c r="BW668" s="26">
        <f t="shared" ca="1" si="104"/>
        <v>0.7956875105391551</v>
      </c>
      <c r="BX668" s="29">
        <v>0</v>
      </c>
    </row>
    <row r="669" spans="2:76" ht="12.75" x14ac:dyDescent="0.2">
      <c r="B669" s="22">
        <v>45214</v>
      </c>
      <c r="C669" s="26">
        <f t="shared" ca="1" si="119"/>
        <v>0.59693012133322298</v>
      </c>
      <c r="D669" s="29">
        <f t="shared" ca="1" si="118"/>
        <v>80</v>
      </c>
      <c r="F669" s="22"/>
      <c r="G669" s="26">
        <f t="shared" ca="1" si="88"/>
        <v>0.15036401057486282</v>
      </c>
      <c r="H669" s="29">
        <f t="shared" ca="1" si="107"/>
        <v>201</v>
      </c>
      <c r="J669" s="22">
        <v>45214</v>
      </c>
      <c r="K669" s="26">
        <f t="shared" ca="1" si="89"/>
        <v>0.50646165863733006</v>
      </c>
      <c r="L669" s="29">
        <f t="shared" ca="1" si="108"/>
        <v>151</v>
      </c>
      <c r="N669" s="22">
        <v>45214</v>
      </c>
      <c r="O669" s="26">
        <f t="shared" ca="1" si="90"/>
        <v>0.83258994060437042</v>
      </c>
      <c r="P669" s="29">
        <f t="shared" ca="1" si="109"/>
        <v>245</v>
      </c>
      <c r="R669" s="22">
        <v>45214</v>
      </c>
      <c r="S669" s="26">
        <f t="shared" ca="1" si="91"/>
        <v>0.91828771251383456</v>
      </c>
      <c r="T669" s="29">
        <f t="shared" ca="1" si="110"/>
        <v>152</v>
      </c>
      <c r="V669" s="22">
        <v>45214</v>
      </c>
      <c r="W669" s="26">
        <f t="shared" ca="1" si="92"/>
        <v>0.46722177952479083</v>
      </c>
      <c r="X669" s="29">
        <f t="shared" ca="1" si="111"/>
        <v>224</v>
      </c>
      <c r="Z669" s="22">
        <v>45214</v>
      </c>
      <c r="AA669" s="26">
        <f t="shared" ca="1" si="93"/>
        <v>0.1692982997585325</v>
      </c>
      <c r="AB669" s="29">
        <f t="shared" ca="1" si="112"/>
        <v>253</v>
      </c>
      <c r="AC669"/>
      <c r="AD669" s="25"/>
      <c r="AF669" s="22">
        <v>45214</v>
      </c>
      <c r="AG669" s="26">
        <f t="shared" ca="1" si="94"/>
        <v>0.46115225850424146</v>
      </c>
      <c r="AH669" s="29">
        <f t="shared" ca="1" si="113"/>
        <v>319</v>
      </c>
      <c r="AJ669" s="22">
        <v>45214</v>
      </c>
      <c r="AK669" s="26">
        <f t="shared" ca="1" si="95"/>
        <v>0.21982877040447091</v>
      </c>
      <c r="AL669" s="29">
        <f t="shared" ca="1" si="114"/>
        <v>136</v>
      </c>
      <c r="AN669" s="22">
        <v>45214</v>
      </c>
      <c r="AO669" s="26">
        <f t="shared" ca="1" si="96"/>
        <v>9.421248539364302E-2</v>
      </c>
      <c r="AP669" s="29">
        <f t="shared" ca="1" si="115"/>
        <v>151</v>
      </c>
      <c r="AR669" s="22">
        <v>45214</v>
      </c>
      <c r="AS669" s="26">
        <f t="shared" ca="1" si="97"/>
        <v>0.70854289331913001</v>
      </c>
      <c r="AT669" s="29">
        <f t="shared" ca="1" si="116"/>
        <v>227</v>
      </c>
      <c r="AV669" s="22">
        <v>45214</v>
      </c>
      <c r="AW669" s="26">
        <f t="shared" ca="1" si="98"/>
        <v>0.21037797621384124</v>
      </c>
      <c r="AX669" s="29">
        <f t="shared" ca="1" si="117"/>
        <v>162</v>
      </c>
      <c r="AZ669" s="22">
        <v>45214</v>
      </c>
      <c r="BA669" s="26">
        <f t="shared" ca="1" si="99"/>
        <v>0.96576091684462795</v>
      </c>
      <c r="BB669" s="29">
        <v>0</v>
      </c>
      <c r="BC669"/>
      <c r="BD669" s="25"/>
      <c r="BF669" s="22">
        <v>45214</v>
      </c>
      <c r="BG669" s="26">
        <f t="shared" ca="1" si="100"/>
        <v>0.71328245462742235</v>
      </c>
      <c r="BH669" s="29">
        <v>0</v>
      </c>
      <c r="BJ669" s="22">
        <v>45214</v>
      </c>
      <c r="BK669" s="26">
        <f t="shared" ca="1" si="101"/>
        <v>0.6634294330923346</v>
      </c>
      <c r="BL669" s="29">
        <v>0</v>
      </c>
      <c r="BN669" s="22">
        <v>45214</v>
      </c>
      <c r="BO669" s="26">
        <f t="shared" ca="1" si="102"/>
        <v>0.2495153621325561</v>
      </c>
      <c r="BP669" s="29">
        <v>0</v>
      </c>
      <c r="BR669" s="22">
        <v>45214</v>
      </c>
      <c r="BS669" s="26">
        <f t="shared" ca="1" si="103"/>
        <v>0.73912784389003439</v>
      </c>
      <c r="BT669" s="29">
        <v>0</v>
      </c>
      <c r="BV669" s="22">
        <v>45214</v>
      </c>
      <c r="BW669" s="26">
        <f t="shared" ca="1" si="104"/>
        <v>0.61163705376226862</v>
      </c>
      <c r="BX669" s="29">
        <v>0</v>
      </c>
    </row>
    <row r="670" spans="2:76" ht="12.75" x14ac:dyDescent="0.2">
      <c r="B670" s="22">
        <v>45215</v>
      </c>
      <c r="C670" s="26">
        <f t="shared" ca="1" si="119"/>
        <v>0.19033573366753731</v>
      </c>
      <c r="D670" s="29">
        <f t="shared" ca="1" si="118"/>
        <v>58</v>
      </c>
      <c r="F670" s="22"/>
      <c r="G670" s="26">
        <f t="shared" ca="1" si="88"/>
        <v>0.45374187449807457</v>
      </c>
      <c r="H670" s="29">
        <f t="shared" ca="1" si="107"/>
        <v>214</v>
      </c>
      <c r="J670" s="22">
        <v>45215</v>
      </c>
      <c r="K670" s="26">
        <f t="shared" ca="1" si="89"/>
        <v>0.86418189602525519</v>
      </c>
      <c r="L670" s="29">
        <f t="shared" ca="1" si="108"/>
        <v>161</v>
      </c>
      <c r="N670" s="22">
        <v>45215</v>
      </c>
      <c r="O670" s="26">
        <f t="shared" ca="1" si="90"/>
        <v>0.61618848640483759</v>
      </c>
      <c r="P670" s="29">
        <f t="shared" ca="1" si="109"/>
        <v>234</v>
      </c>
      <c r="R670" s="22">
        <v>45215</v>
      </c>
      <c r="S670" s="26">
        <f t="shared" ca="1" si="91"/>
        <v>0.26405222064400413</v>
      </c>
      <c r="T670" s="29">
        <f t="shared" ca="1" si="110"/>
        <v>133</v>
      </c>
      <c r="V670" s="22">
        <v>45215</v>
      </c>
      <c r="W670" s="26">
        <f t="shared" ca="1" si="92"/>
        <v>0.25192952729055929</v>
      </c>
      <c r="X670" s="29">
        <f t="shared" ca="1" si="111"/>
        <v>215</v>
      </c>
      <c r="Z670" s="22">
        <v>45215</v>
      </c>
      <c r="AA670" s="26">
        <f t="shared" ca="1" si="93"/>
        <v>0.83064814192713765</v>
      </c>
      <c r="AB670" s="29">
        <f t="shared" ca="1" si="112"/>
        <v>288</v>
      </c>
      <c r="AC670"/>
      <c r="AD670" s="25"/>
      <c r="AF670" s="22">
        <v>45215</v>
      </c>
      <c r="AG670" s="26">
        <f t="shared" ca="1" si="94"/>
        <v>0.54586441273235764</v>
      </c>
      <c r="AH670" s="29">
        <f t="shared" ca="1" si="113"/>
        <v>338</v>
      </c>
      <c r="AJ670" s="22">
        <v>45215</v>
      </c>
      <c r="AK670" s="26">
        <f t="shared" ca="1" si="95"/>
        <v>0.96215832611505026</v>
      </c>
      <c r="AL670" s="29">
        <f t="shared" ca="1" si="114"/>
        <v>252</v>
      </c>
      <c r="AN670" s="22">
        <v>45215</v>
      </c>
      <c r="AO670" s="26">
        <f t="shared" ca="1" si="96"/>
        <v>0.92378012551301847</v>
      </c>
      <c r="AP670" s="29">
        <f t="shared" ca="1" si="115"/>
        <v>321</v>
      </c>
      <c r="AR670" s="22">
        <v>45215</v>
      </c>
      <c r="AS670" s="26">
        <f t="shared" ca="1" si="97"/>
        <v>0.84874941101248857</v>
      </c>
      <c r="AT670" s="29">
        <f t="shared" ca="1" si="116"/>
        <v>253</v>
      </c>
      <c r="AV670" s="22">
        <v>45215</v>
      </c>
      <c r="AW670" s="26">
        <f t="shared" ca="1" si="98"/>
        <v>0.87424869616669731</v>
      </c>
      <c r="AX670" s="29">
        <f t="shared" ca="1" si="117"/>
        <v>269</v>
      </c>
      <c r="AZ670" s="22">
        <v>45215</v>
      </c>
      <c r="BA670" s="26">
        <f t="shared" ca="1" si="99"/>
        <v>0.77892329190935017</v>
      </c>
      <c r="BB670" s="29">
        <v>0</v>
      </c>
      <c r="BC670"/>
      <c r="BD670" s="25"/>
      <c r="BF670" s="22">
        <v>45215</v>
      </c>
      <c r="BG670" s="26">
        <f t="shared" ca="1" si="100"/>
        <v>6.8624515345916293E-2</v>
      </c>
      <c r="BH670" s="29">
        <v>0</v>
      </c>
      <c r="BJ670" s="22">
        <v>45215</v>
      </c>
      <c r="BK670" s="26">
        <f t="shared" ca="1" si="101"/>
        <v>0.93492019857250797</v>
      </c>
      <c r="BL670" s="29">
        <v>0</v>
      </c>
      <c r="BN670" s="22">
        <v>45215</v>
      </c>
      <c r="BO670" s="26">
        <f t="shared" ca="1" si="102"/>
        <v>0.27239890822459756</v>
      </c>
      <c r="BP670" s="29">
        <v>0</v>
      </c>
      <c r="BR670" s="22">
        <v>45215</v>
      </c>
      <c r="BS670" s="26">
        <f t="shared" ca="1" si="103"/>
        <v>0.63122979012354308</v>
      </c>
      <c r="BT670" s="29">
        <v>0</v>
      </c>
      <c r="BV670" s="22">
        <v>45215</v>
      </c>
      <c r="BW670" s="26">
        <f t="shared" ca="1" si="104"/>
        <v>0.79648934349227551</v>
      </c>
      <c r="BX670" s="29">
        <v>0</v>
      </c>
    </row>
    <row r="671" spans="2:76" ht="12.75" x14ac:dyDescent="0.2">
      <c r="B671" s="22">
        <v>45216</v>
      </c>
      <c r="C671" s="26">
        <f t="shared" ca="1" si="119"/>
        <v>0.92254062085461985</v>
      </c>
      <c r="D671" s="29">
        <v>0</v>
      </c>
      <c r="F671" s="22"/>
      <c r="G671" s="26">
        <f t="shared" ca="1" si="88"/>
        <v>0.53904833515681849</v>
      </c>
      <c r="H671" s="29">
        <v>0</v>
      </c>
      <c r="J671" s="22">
        <v>45216</v>
      </c>
      <c r="K671" s="26">
        <f t="shared" ca="1" si="89"/>
        <v>0.51250716029809484</v>
      </c>
      <c r="L671" s="29">
        <v>0</v>
      </c>
      <c r="N671" s="22">
        <v>45216</v>
      </c>
      <c r="O671" s="26">
        <f t="shared" ca="1" si="90"/>
        <v>0.27986886407968692</v>
      </c>
      <c r="P671" s="29">
        <v>0</v>
      </c>
      <c r="R671" s="22">
        <v>45216</v>
      </c>
      <c r="S671" s="26">
        <f t="shared" ca="1" si="91"/>
        <v>0.79122797797338462</v>
      </c>
      <c r="T671" s="29">
        <v>0</v>
      </c>
      <c r="V671" s="22">
        <v>45216</v>
      </c>
      <c r="W671" s="26">
        <f t="shared" ca="1" si="92"/>
        <v>0.31438017591725897</v>
      </c>
      <c r="X671" s="29">
        <v>0</v>
      </c>
      <c r="Z671" s="22">
        <v>45216</v>
      </c>
      <c r="AA671" s="26">
        <f t="shared" ca="1" si="93"/>
        <v>0.81621889835000727</v>
      </c>
      <c r="AB671" s="29">
        <v>0</v>
      </c>
      <c r="AC671"/>
      <c r="AD671" s="25"/>
      <c r="AF671" s="22">
        <v>45216</v>
      </c>
      <c r="AG671" s="26">
        <f t="shared" ca="1" si="94"/>
        <v>0.49301414020320289</v>
      </c>
      <c r="AH671" s="29">
        <v>0</v>
      </c>
      <c r="AJ671" s="22">
        <v>45216</v>
      </c>
      <c r="AK671" s="26">
        <f t="shared" ca="1" si="95"/>
        <v>0.66914486732050471</v>
      </c>
      <c r="AL671" s="29">
        <v>0</v>
      </c>
      <c r="AN671" s="22">
        <v>45216</v>
      </c>
      <c r="AO671" s="26">
        <f t="shared" ca="1" si="96"/>
        <v>0.12122455139436539</v>
      </c>
      <c r="AP671" s="29">
        <v>0</v>
      </c>
      <c r="AR671" s="22">
        <v>45216</v>
      </c>
      <c r="AS671" s="26">
        <f t="shared" ca="1" si="97"/>
        <v>0.15982845774935683</v>
      </c>
      <c r="AT671" s="29">
        <v>0</v>
      </c>
      <c r="AV671" s="22">
        <v>45216</v>
      </c>
      <c r="AW671" s="26">
        <f t="shared" ca="1" si="98"/>
        <v>0.49802707964056847</v>
      </c>
      <c r="AX671" s="29">
        <v>0</v>
      </c>
      <c r="AZ671" s="22">
        <v>45216</v>
      </c>
      <c r="BA671" s="26">
        <f t="shared" ca="1" si="99"/>
        <v>0.43028183716898016</v>
      </c>
      <c r="BB671" s="29">
        <v>0</v>
      </c>
      <c r="BC671"/>
      <c r="BD671" s="25"/>
      <c r="BF671" s="22">
        <v>45216</v>
      </c>
      <c r="BG671" s="26">
        <f t="shared" ca="1" si="100"/>
        <v>0.66518243245085507</v>
      </c>
      <c r="BH671" s="29">
        <v>0</v>
      </c>
      <c r="BJ671" s="22">
        <v>45216</v>
      </c>
      <c r="BK671" s="26">
        <f t="shared" ca="1" si="101"/>
        <v>7.0067505468376812E-2</v>
      </c>
      <c r="BL671" s="29">
        <v>0</v>
      </c>
      <c r="BN671" s="22">
        <v>45216</v>
      </c>
      <c r="BO671" s="26">
        <f t="shared" ca="1" si="102"/>
        <v>7.6420684584891374E-2</v>
      </c>
      <c r="BP671" s="29">
        <v>0</v>
      </c>
      <c r="BR671" s="22">
        <v>45216</v>
      </c>
      <c r="BS671" s="26">
        <f t="shared" ca="1" si="103"/>
        <v>0.23787131678917606</v>
      </c>
      <c r="BT671" s="29">
        <v>0</v>
      </c>
      <c r="BV671" s="22">
        <v>45216</v>
      </c>
      <c r="BW671" s="26">
        <f t="shared" ca="1" si="104"/>
        <v>0.99462570043860754</v>
      </c>
      <c r="BX671" s="29">
        <v>0</v>
      </c>
    </row>
    <row r="672" spans="2:76" ht="12.75" x14ac:dyDescent="0.2">
      <c r="B672" s="22">
        <v>45217</v>
      </c>
      <c r="C672" s="26">
        <f t="shared" ca="1" si="119"/>
        <v>0.70377464075199181</v>
      </c>
      <c r="D672" s="29">
        <v>0</v>
      </c>
      <c r="F672" s="22"/>
      <c r="G672" s="26">
        <f t="shared" ca="1" si="88"/>
        <v>0.71414226226092137</v>
      </c>
      <c r="H672" s="29">
        <v>0</v>
      </c>
      <c r="J672" s="22">
        <v>45217</v>
      </c>
      <c r="K672" s="26">
        <f t="shared" ca="1" si="89"/>
        <v>0.28202369440822128</v>
      </c>
      <c r="L672" s="29">
        <v>0</v>
      </c>
      <c r="N672" s="22">
        <v>45217</v>
      </c>
      <c r="O672" s="26">
        <f t="shared" ca="1" si="90"/>
        <v>0.3652202920641614</v>
      </c>
      <c r="P672" s="29">
        <v>0</v>
      </c>
      <c r="R672" s="22">
        <v>45217</v>
      </c>
      <c r="S672" s="26">
        <f t="shared" ca="1" si="91"/>
        <v>0.13708599334620419</v>
      </c>
      <c r="T672" s="29">
        <v>0</v>
      </c>
      <c r="V672" s="22">
        <v>45217</v>
      </c>
      <c r="W672" s="26">
        <f t="shared" ca="1" si="92"/>
        <v>0.18890051918763562</v>
      </c>
      <c r="X672" s="29">
        <v>0</v>
      </c>
      <c r="Z672" s="22">
        <v>45217</v>
      </c>
      <c r="AA672" s="26">
        <f t="shared" ca="1" si="93"/>
        <v>0.42872363655753276</v>
      </c>
      <c r="AB672" s="29">
        <v>0</v>
      </c>
      <c r="AC672"/>
      <c r="AD672" s="25"/>
      <c r="AF672" s="22">
        <v>45217</v>
      </c>
      <c r="AG672" s="26">
        <f t="shared" ca="1" si="94"/>
        <v>0.20477369333015527</v>
      </c>
      <c r="AH672" s="29">
        <v>0</v>
      </c>
      <c r="AJ672" s="22">
        <v>45217</v>
      </c>
      <c r="AK672" s="26">
        <f t="shared" ca="1" si="95"/>
        <v>0.40617813800061608</v>
      </c>
      <c r="AL672" s="29">
        <v>0</v>
      </c>
      <c r="AN672" s="22">
        <v>45217</v>
      </c>
      <c r="AO672" s="26">
        <f t="shared" ca="1" si="96"/>
        <v>0.46867505079168725</v>
      </c>
      <c r="AP672" s="29">
        <v>0</v>
      </c>
      <c r="AR672" s="22">
        <v>45217</v>
      </c>
      <c r="AS672" s="26">
        <f t="shared" ca="1" si="97"/>
        <v>0.7063053140809995</v>
      </c>
      <c r="AT672" s="29">
        <v>0</v>
      </c>
      <c r="AV672" s="22">
        <v>45217</v>
      </c>
      <c r="AW672" s="26">
        <f t="shared" ca="1" si="98"/>
        <v>0.75055727963712371</v>
      </c>
      <c r="AX672" s="29">
        <v>0</v>
      </c>
      <c r="AZ672" s="22">
        <v>45217</v>
      </c>
      <c r="BA672" s="26">
        <f t="shared" ca="1" si="99"/>
        <v>0.68964338310921469</v>
      </c>
      <c r="BB672" s="29">
        <v>0</v>
      </c>
      <c r="BC672"/>
      <c r="BD672" s="25"/>
      <c r="BF672" s="22">
        <v>45217</v>
      </c>
      <c r="BG672" s="26">
        <f t="shared" ca="1" si="100"/>
        <v>0.17505984240964156</v>
      </c>
      <c r="BH672" s="29">
        <v>0</v>
      </c>
      <c r="BJ672" s="22">
        <v>45217</v>
      </c>
      <c r="BK672" s="26">
        <f t="shared" ca="1" si="101"/>
        <v>0.99830691180822118</v>
      </c>
      <c r="BL672" s="29">
        <v>0</v>
      </c>
      <c r="BN672" s="22">
        <v>45217</v>
      </c>
      <c r="BO672" s="26">
        <f t="shared" ca="1" si="102"/>
        <v>0.9189030034470913</v>
      </c>
      <c r="BP672" s="29">
        <v>0</v>
      </c>
      <c r="BR672" s="22">
        <v>45217</v>
      </c>
      <c r="BS672" s="26">
        <f t="shared" ca="1" si="103"/>
        <v>0.25463509508350324</v>
      </c>
      <c r="BT672" s="29">
        <v>0</v>
      </c>
      <c r="BV672" s="22">
        <v>45217</v>
      </c>
      <c r="BW672" s="26">
        <f t="shared" ca="1" si="104"/>
        <v>0.95257508405799163</v>
      </c>
      <c r="BX672" s="29">
        <v>0</v>
      </c>
    </row>
    <row r="673" spans="2:77" ht="12.75" x14ac:dyDescent="0.2">
      <c r="B673" s="22">
        <v>45218</v>
      </c>
      <c r="C673" s="26">
        <f t="shared" ca="1" si="119"/>
        <v>0.44638860797800251</v>
      </c>
      <c r="D673" s="29">
        <v>0</v>
      </c>
      <c r="F673" s="22"/>
      <c r="G673" s="26">
        <f t="shared" ca="1" si="88"/>
        <v>0.61597168625105292</v>
      </c>
      <c r="H673" s="29">
        <v>0</v>
      </c>
      <c r="J673" s="22">
        <v>45218</v>
      </c>
      <c r="K673" s="26">
        <f t="shared" ca="1" si="89"/>
        <v>0.39473002223736708</v>
      </c>
      <c r="L673" s="29">
        <v>0</v>
      </c>
      <c r="N673" s="22">
        <v>45218</v>
      </c>
      <c r="O673" s="26">
        <f t="shared" ca="1" si="90"/>
        <v>0.64798892066403579</v>
      </c>
      <c r="P673" s="29">
        <v>0</v>
      </c>
      <c r="R673" s="22">
        <v>45218</v>
      </c>
      <c r="S673" s="26">
        <f t="shared" ca="1" si="91"/>
        <v>0.48809570497521437</v>
      </c>
      <c r="T673" s="29">
        <v>0</v>
      </c>
      <c r="V673" s="22">
        <v>45218</v>
      </c>
      <c r="W673" s="26">
        <f t="shared" ca="1" si="92"/>
        <v>0.69041699348904295</v>
      </c>
      <c r="X673" s="29">
        <v>0</v>
      </c>
      <c r="Z673" s="22">
        <v>45218</v>
      </c>
      <c r="AA673" s="26">
        <f t="shared" ca="1" si="93"/>
        <v>0.7839187901027197</v>
      </c>
      <c r="AB673" s="29">
        <v>0</v>
      </c>
      <c r="AC673"/>
      <c r="AD673" s="25"/>
      <c r="AF673" s="22">
        <v>45218</v>
      </c>
      <c r="AG673" s="26">
        <f t="shared" ca="1" si="94"/>
        <v>4.7903471240444695E-3</v>
      </c>
      <c r="AH673" s="29">
        <v>0</v>
      </c>
      <c r="AJ673" s="22">
        <v>45218</v>
      </c>
      <c r="AK673" s="26">
        <f t="shared" ca="1" si="95"/>
        <v>0.20279159961658433</v>
      </c>
      <c r="AL673" s="29">
        <v>0</v>
      </c>
      <c r="AN673" s="22">
        <v>45218</v>
      </c>
      <c r="AO673" s="26">
        <f t="shared" ca="1" si="96"/>
        <v>0.95967381849576328</v>
      </c>
      <c r="AP673" s="29">
        <v>0</v>
      </c>
      <c r="AR673" s="22">
        <v>45218</v>
      </c>
      <c r="AS673" s="26">
        <f t="shared" ca="1" si="97"/>
        <v>0.55772952184769364</v>
      </c>
      <c r="AT673" s="29">
        <v>0</v>
      </c>
      <c r="AV673" s="22">
        <v>45218</v>
      </c>
      <c r="AW673" s="26">
        <f t="shared" ca="1" si="98"/>
        <v>0.23314627467859839</v>
      </c>
      <c r="AX673" s="29">
        <v>0</v>
      </c>
      <c r="AZ673" s="22">
        <v>45218</v>
      </c>
      <c r="BA673" s="26">
        <f t="shared" ca="1" si="99"/>
        <v>0.13067944106047902</v>
      </c>
      <c r="BB673" s="29">
        <v>0</v>
      </c>
      <c r="BC673"/>
      <c r="BD673" s="25"/>
      <c r="BF673" s="22">
        <v>45218</v>
      </c>
      <c r="BG673" s="26">
        <f t="shared" ca="1" si="100"/>
        <v>0.6739780518983296</v>
      </c>
      <c r="BH673" s="29">
        <v>0</v>
      </c>
      <c r="BJ673" s="22">
        <v>45218</v>
      </c>
      <c r="BK673" s="26">
        <f t="shared" ca="1" si="101"/>
        <v>0.48274233583987924</v>
      </c>
      <c r="BL673" s="29">
        <v>0</v>
      </c>
      <c r="BN673" s="22">
        <v>45218</v>
      </c>
      <c r="BO673" s="26">
        <f t="shared" ca="1" si="102"/>
        <v>0.96305774147707801</v>
      </c>
      <c r="BP673" s="29">
        <v>0</v>
      </c>
      <c r="BR673" s="22">
        <v>45218</v>
      </c>
      <c r="BS673" s="26">
        <f t="shared" ca="1" si="103"/>
        <v>0.31194609500219272</v>
      </c>
      <c r="BT673" s="29">
        <v>0</v>
      </c>
      <c r="BV673" s="22">
        <v>45218</v>
      </c>
      <c r="BW673" s="26">
        <f t="shared" ca="1" si="104"/>
        <v>0.17099682491866464</v>
      </c>
      <c r="BX673" s="29">
        <v>0</v>
      </c>
    </row>
    <row r="674" spans="2:77" ht="12.75" x14ac:dyDescent="0.2">
      <c r="B674" s="22">
        <v>45219</v>
      </c>
      <c r="C674" s="26">
        <f t="shared" ca="1" si="119"/>
        <v>0.13122258386712915</v>
      </c>
      <c r="D674" s="29">
        <v>0</v>
      </c>
      <c r="F674" s="22"/>
      <c r="G674" s="26">
        <f t="shared" ca="1" si="88"/>
        <v>0.15945750944234316</v>
      </c>
      <c r="H674" s="29">
        <v>0</v>
      </c>
      <c r="J674" s="22">
        <v>45219</v>
      </c>
      <c r="K674" s="26">
        <f t="shared" ca="1" si="89"/>
        <v>0.86033422534591486</v>
      </c>
      <c r="L674" s="29">
        <v>0</v>
      </c>
      <c r="N674" s="22">
        <v>45219</v>
      </c>
      <c r="O674" s="26">
        <f t="shared" ca="1" si="90"/>
        <v>0.11668253901692049</v>
      </c>
      <c r="P674" s="29">
        <v>0</v>
      </c>
      <c r="R674" s="22">
        <v>45219</v>
      </c>
      <c r="S674" s="26">
        <f t="shared" ca="1" si="91"/>
        <v>0.5832978015639364</v>
      </c>
      <c r="T674" s="29">
        <v>0</v>
      </c>
      <c r="V674" s="22">
        <v>45219</v>
      </c>
      <c r="W674" s="26">
        <f t="shared" ca="1" si="92"/>
        <v>0.76751524495778212</v>
      </c>
      <c r="X674" s="29">
        <v>0</v>
      </c>
      <c r="Z674" s="22">
        <v>45219</v>
      </c>
      <c r="AA674" s="26">
        <f t="shared" ca="1" si="93"/>
        <v>9.7568056203329312E-2</v>
      </c>
      <c r="AB674" s="29">
        <v>0</v>
      </c>
      <c r="AC674"/>
      <c r="AD674" s="25"/>
      <c r="AF674" s="22">
        <v>45219</v>
      </c>
      <c r="AG674" s="26">
        <f t="shared" ca="1" si="94"/>
        <v>0.77799441163575389</v>
      </c>
      <c r="AH674" s="29">
        <v>0</v>
      </c>
      <c r="AJ674" s="22">
        <v>45219</v>
      </c>
      <c r="AK674" s="26">
        <f t="shared" ca="1" si="95"/>
        <v>0.8274346259449431</v>
      </c>
      <c r="AL674" s="29">
        <v>0</v>
      </c>
      <c r="AN674" s="22">
        <v>45219</v>
      </c>
      <c r="AO674" s="26">
        <f t="shared" ca="1" si="96"/>
        <v>0.17813878039797315</v>
      </c>
      <c r="AP674" s="29">
        <v>0</v>
      </c>
      <c r="AR674" s="22">
        <v>45219</v>
      </c>
      <c r="AS674" s="26">
        <f t="shared" ca="1" si="97"/>
        <v>3.4886586725838109E-2</v>
      </c>
      <c r="AT674" s="29">
        <v>0</v>
      </c>
      <c r="AV674" s="22">
        <v>45219</v>
      </c>
      <c r="AW674" s="26">
        <f t="shared" ca="1" si="98"/>
        <v>0.65772420642020213</v>
      </c>
      <c r="AX674" s="29">
        <v>0</v>
      </c>
      <c r="AZ674" s="22">
        <v>45219</v>
      </c>
      <c r="BA674" s="26">
        <f t="shared" ca="1" si="99"/>
        <v>0.2972042721429331</v>
      </c>
      <c r="BB674" s="29">
        <v>0</v>
      </c>
      <c r="BC674"/>
      <c r="BD674" s="25"/>
      <c r="BF674" s="22">
        <v>45219</v>
      </c>
      <c r="BG674" s="26">
        <f t="shared" ca="1" si="100"/>
        <v>0.59996030983983439</v>
      </c>
      <c r="BH674" s="29">
        <v>0</v>
      </c>
      <c r="BJ674" s="22">
        <v>45219</v>
      </c>
      <c r="BK674" s="26">
        <f t="shared" ca="1" si="101"/>
        <v>0.96587716821097813</v>
      </c>
      <c r="BL674" s="29">
        <v>0</v>
      </c>
      <c r="BN674" s="22">
        <v>45219</v>
      </c>
      <c r="BO674" s="26">
        <f t="shared" ca="1" si="102"/>
        <v>0.13976952193493752</v>
      </c>
      <c r="BP674" s="29">
        <v>0</v>
      </c>
      <c r="BR674" s="22">
        <v>45219</v>
      </c>
      <c r="BS674" s="26">
        <f t="shared" ca="1" si="103"/>
        <v>0.60265233066571622</v>
      </c>
      <c r="BT674" s="29">
        <v>0</v>
      </c>
      <c r="BV674" s="22">
        <v>45219</v>
      </c>
      <c r="BW674" s="26">
        <f t="shared" ca="1" si="104"/>
        <v>0.9608284452659126</v>
      </c>
      <c r="BX674" s="29">
        <v>0</v>
      </c>
    </row>
    <row r="675" spans="2:77" ht="12.75" x14ac:dyDescent="0.2">
      <c r="B675" s="22">
        <v>45220</v>
      </c>
      <c r="C675" s="26">
        <f t="shared" ca="1" si="119"/>
        <v>0.54698327928344637</v>
      </c>
      <c r="D675" s="29">
        <v>0</v>
      </c>
      <c r="F675" s="22"/>
      <c r="G675" s="26">
        <f t="shared" ca="1" si="88"/>
        <v>0.2600046945710387</v>
      </c>
      <c r="H675" s="29">
        <v>0</v>
      </c>
      <c r="J675" s="22">
        <v>45220</v>
      </c>
      <c r="K675" s="26">
        <f t="shared" ca="1" si="89"/>
        <v>0.48365689190708505</v>
      </c>
      <c r="L675" s="29">
        <v>0</v>
      </c>
      <c r="N675" s="22">
        <v>45220</v>
      </c>
      <c r="O675" s="26">
        <f t="shared" ca="1" si="90"/>
        <v>0.45191951936081776</v>
      </c>
      <c r="P675" s="29">
        <v>0</v>
      </c>
      <c r="R675" s="22">
        <v>45220</v>
      </c>
      <c r="S675" s="26">
        <f t="shared" ca="1" si="91"/>
        <v>0.37438748707728864</v>
      </c>
      <c r="T675" s="29">
        <v>0</v>
      </c>
      <c r="V675" s="22">
        <v>45220</v>
      </c>
      <c r="W675" s="26">
        <f t="shared" ca="1" si="92"/>
        <v>0.77485724232120967</v>
      </c>
      <c r="X675" s="29">
        <v>0</v>
      </c>
      <c r="Z675" s="22">
        <v>45220</v>
      </c>
      <c r="AA675" s="26">
        <f t="shared" ca="1" si="93"/>
        <v>0.43224178657040457</v>
      </c>
      <c r="AB675" s="29">
        <v>0</v>
      </c>
      <c r="AC675"/>
      <c r="AD675" s="25"/>
      <c r="AF675" s="22">
        <v>45220</v>
      </c>
      <c r="AG675" s="26">
        <f t="shared" ca="1" si="94"/>
        <v>0.39593715919123584</v>
      </c>
      <c r="AH675" s="29">
        <v>0</v>
      </c>
      <c r="AJ675" s="22">
        <v>45220</v>
      </c>
      <c r="AK675" s="26">
        <f t="shared" ca="1" si="95"/>
        <v>0.43413928552624581</v>
      </c>
      <c r="AL675" s="29">
        <v>0</v>
      </c>
      <c r="AN675" s="22">
        <v>45220</v>
      </c>
      <c r="AO675" s="26">
        <f t="shared" ca="1" si="96"/>
        <v>0.84970297514714765</v>
      </c>
      <c r="AP675" s="29">
        <v>0</v>
      </c>
      <c r="AR675" s="22">
        <v>45220</v>
      </c>
      <c r="AS675" s="26">
        <f t="shared" ca="1" si="97"/>
        <v>0.28217245582327088</v>
      </c>
      <c r="AT675" s="29">
        <v>0</v>
      </c>
      <c r="AV675" s="22">
        <v>45220</v>
      </c>
      <c r="AW675" s="26">
        <f t="shared" ca="1" si="98"/>
        <v>0.88538463391727829</v>
      </c>
      <c r="AX675" s="29">
        <v>0</v>
      </c>
      <c r="AZ675" s="22">
        <v>45220</v>
      </c>
      <c r="BA675" s="26">
        <f t="shared" ca="1" si="99"/>
        <v>0.5006776828429006</v>
      </c>
      <c r="BB675" s="29">
        <v>0</v>
      </c>
      <c r="BC675"/>
      <c r="BD675" s="25"/>
      <c r="BF675" s="22">
        <v>45220</v>
      </c>
      <c r="BG675" s="26">
        <f t="shared" ca="1" si="100"/>
        <v>1.2928673656183776E-2</v>
      </c>
      <c r="BH675" s="29">
        <v>0</v>
      </c>
      <c r="BJ675" s="22">
        <v>45220</v>
      </c>
      <c r="BK675" s="26">
        <f t="shared" ca="1" si="101"/>
        <v>0.37633725642519666</v>
      </c>
      <c r="BL675" s="29">
        <v>0</v>
      </c>
      <c r="BN675" s="22">
        <v>45220</v>
      </c>
      <c r="BO675" s="26">
        <f t="shared" ca="1" si="102"/>
        <v>0.93534952684926465</v>
      </c>
      <c r="BP675" s="29">
        <v>0</v>
      </c>
      <c r="BR675" s="22">
        <v>45220</v>
      </c>
      <c r="BS675" s="26">
        <f t="shared" ca="1" si="103"/>
        <v>0.41270635402727329</v>
      </c>
      <c r="BT675" s="29">
        <v>0</v>
      </c>
      <c r="BV675" s="22">
        <v>45220</v>
      </c>
      <c r="BW675" s="26">
        <f t="shared" ca="1" si="104"/>
        <v>0.24121425116087192</v>
      </c>
      <c r="BX675" s="29">
        <v>0</v>
      </c>
    </row>
    <row r="676" spans="2:77" ht="12.75" x14ac:dyDescent="0.2">
      <c r="B676" s="22">
        <v>45221</v>
      </c>
      <c r="C676" s="26">
        <f t="shared" ca="1" si="119"/>
        <v>0.50837247839012922</v>
      </c>
      <c r="D676" s="29">
        <v>0</v>
      </c>
      <c r="F676" s="22"/>
      <c r="G676" s="26">
        <f t="shared" ca="1" si="88"/>
        <v>0.13791006460768784</v>
      </c>
      <c r="H676" s="29">
        <v>0</v>
      </c>
      <c r="J676" s="22">
        <v>45221</v>
      </c>
      <c r="K676" s="26">
        <f t="shared" ca="1" si="89"/>
        <v>0.65235644748307531</v>
      </c>
      <c r="L676" s="29">
        <v>0</v>
      </c>
      <c r="N676" s="22">
        <v>45221</v>
      </c>
      <c r="O676" s="26">
        <f t="shared" ca="1" si="90"/>
        <v>0.58347905568049152</v>
      </c>
      <c r="P676" s="29">
        <v>0</v>
      </c>
      <c r="R676" s="22">
        <v>45221</v>
      </c>
      <c r="S676" s="26">
        <f t="shared" ca="1" si="91"/>
        <v>0.63349735365626081</v>
      </c>
      <c r="T676" s="29">
        <v>0</v>
      </c>
      <c r="V676" s="22">
        <v>45221</v>
      </c>
      <c r="W676" s="26">
        <f t="shared" ca="1" si="92"/>
        <v>0.34274584872199121</v>
      </c>
      <c r="X676" s="29">
        <v>0</v>
      </c>
      <c r="Z676" s="22">
        <v>45221</v>
      </c>
      <c r="AA676" s="26">
        <f t="shared" ca="1" si="93"/>
        <v>0.59911572880649788</v>
      </c>
      <c r="AB676" s="29">
        <v>0</v>
      </c>
      <c r="AC676"/>
      <c r="AD676" s="25"/>
      <c r="AF676" s="22">
        <v>45221</v>
      </c>
      <c r="AG676" s="26">
        <f t="shared" ca="1" si="94"/>
        <v>0.49413798947185861</v>
      </c>
      <c r="AH676" s="29">
        <v>0</v>
      </c>
      <c r="AJ676" s="22">
        <v>45221</v>
      </c>
      <c r="AK676" s="26">
        <f t="shared" ca="1" si="95"/>
        <v>0.32018774885210954</v>
      </c>
      <c r="AL676" s="29">
        <v>0</v>
      </c>
      <c r="AN676" s="22">
        <v>45221</v>
      </c>
      <c r="AO676" s="26">
        <f t="shared" ca="1" si="96"/>
        <v>0.6732855502461299</v>
      </c>
      <c r="AP676" s="29">
        <v>0</v>
      </c>
      <c r="AR676" s="22">
        <v>45221</v>
      </c>
      <c r="AS676" s="26">
        <f t="shared" ca="1" si="97"/>
        <v>0.54976515232742706</v>
      </c>
      <c r="AT676" s="29">
        <v>0</v>
      </c>
      <c r="AV676" s="22">
        <v>45221</v>
      </c>
      <c r="AW676" s="26">
        <f t="shared" ca="1" si="98"/>
        <v>3.4930447648321317E-2</v>
      </c>
      <c r="AX676" s="29">
        <v>0</v>
      </c>
      <c r="AZ676" s="22">
        <v>45221</v>
      </c>
      <c r="BA676" s="26">
        <f t="shared" ca="1" si="99"/>
        <v>0.78428813018025911</v>
      </c>
      <c r="BB676" s="29">
        <v>0</v>
      </c>
      <c r="BC676"/>
      <c r="BD676" s="25"/>
      <c r="BF676" s="22">
        <v>45221</v>
      </c>
      <c r="BG676" s="26">
        <f t="shared" ca="1" si="100"/>
        <v>0.13857106550097575</v>
      </c>
      <c r="BH676" s="29">
        <v>0</v>
      </c>
      <c r="BJ676" s="22">
        <v>45221</v>
      </c>
      <c r="BK676" s="26">
        <f t="shared" ca="1" si="101"/>
        <v>0.99032013359831539</v>
      </c>
      <c r="BL676" s="29">
        <v>0</v>
      </c>
      <c r="BN676" s="22">
        <v>45221</v>
      </c>
      <c r="BO676" s="26">
        <f t="shared" ca="1" si="102"/>
        <v>0.39078430024426081</v>
      </c>
      <c r="BP676" s="29">
        <v>0</v>
      </c>
      <c r="BR676" s="22">
        <v>45221</v>
      </c>
      <c r="BS676" s="26">
        <f t="shared" ca="1" si="103"/>
        <v>0.93972281204938179</v>
      </c>
      <c r="BT676" s="29">
        <v>0</v>
      </c>
      <c r="BV676" s="22">
        <v>45221</v>
      </c>
      <c r="BW676" s="26">
        <f t="shared" ca="1" si="104"/>
        <v>0.14948886355370083</v>
      </c>
      <c r="BX676" s="29">
        <v>0</v>
      </c>
    </row>
    <row r="677" spans="2:77" ht="12.75" x14ac:dyDescent="0.2">
      <c r="B677" s="22">
        <v>45222</v>
      </c>
      <c r="C677" s="26">
        <f t="shared" ca="1" si="119"/>
        <v>0.73173369419281142</v>
      </c>
      <c r="D677" s="29">
        <v>0</v>
      </c>
      <c r="F677" s="22"/>
      <c r="G677" s="26">
        <f t="shared" ca="1" si="88"/>
        <v>0.62050179879759426</v>
      </c>
      <c r="H677" s="29">
        <v>0</v>
      </c>
      <c r="J677" s="22">
        <v>45222</v>
      </c>
      <c r="K677" s="26">
        <f t="shared" ca="1" si="89"/>
        <v>0.94010231224184593</v>
      </c>
      <c r="L677" s="29">
        <v>0</v>
      </c>
      <c r="N677" s="22">
        <v>45222</v>
      </c>
      <c r="O677" s="26">
        <f t="shared" ca="1" si="90"/>
        <v>0.58132399426370418</v>
      </c>
      <c r="P677" s="29">
        <v>0</v>
      </c>
      <c r="R677" s="22">
        <v>45222</v>
      </c>
      <c r="S677" s="26">
        <f t="shared" ca="1" si="91"/>
        <v>0.215776595748287</v>
      </c>
      <c r="T677" s="29">
        <v>0</v>
      </c>
      <c r="V677" s="22">
        <v>45222</v>
      </c>
      <c r="W677" s="26">
        <f t="shared" ca="1" si="92"/>
        <v>0.11603553287491009</v>
      </c>
      <c r="X677" s="29">
        <v>0</v>
      </c>
      <c r="Z677" s="22">
        <v>45222</v>
      </c>
      <c r="AA677" s="26">
        <f t="shared" ca="1" si="93"/>
        <v>0.91466021505319328</v>
      </c>
      <c r="AB677" s="29">
        <v>0</v>
      </c>
      <c r="AC677"/>
      <c r="AD677" s="25"/>
      <c r="AF677" s="22">
        <v>45222</v>
      </c>
      <c r="AG677" s="26">
        <f t="shared" ca="1" si="94"/>
        <v>0.9956294418677214</v>
      </c>
      <c r="AH677" s="29">
        <v>0</v>
      </c>
      <c r="AJ677" s="22">
        <v>45222</v>
      </c>
      <c r="AK677" s="26">
        <f t="shared" ca="1" si="95"/>
        <v>0.76214150437663364</v>
      </c>
      <c r="AL677" s="29">
        <v>0</v>
      </c>
      <c r="AN677" s="22">
        <v>45222</v>
      </c>
      <c r="AO677" s="26">
        <f t="shared" ca="1" si="96"/>
        <v>0.33763397103138293</v>
      </c>
      <c r="AP677" s="29">
        <v>0</v>
      </c>
      <c r="AR677" s="22">
        <v>45222</v>
      </c>
      <c r="AS677" s="26">
        <f t="shared" ca="1" si="97"/>
        <v>0.17558135233856453</v>
      </c>
      <c r="AT677" s="29">
        <v>0</v>
      </c>
      <c r="AV677" s="22">
        <v>45222</v>
      </c>
      <c r="AW677" s="26">
        <f t="shared" ca="1" si="98"/>
        <v>0.46208439927058254</v>
      </c>
      <c r="AX677" s="29">
        <v>0</v>
      </c>
      <c r="AZ677" s="22">
        <v>45222</v>
      </c>
      <c r="BA677" s="26">
        <f t="shared" ca="1" si="99"/>
        <v>0.24154211860761277</v>
      </c>
      <c r="BB677" s="29">
        <v>0</v>
      </c>
      <c r="BC677"/>
      <c r="BD677" s="25"/>
      <c r="BF677" s="22">
        <v>45222</v>
      </c>
      <c r="BG677" s="26">
        <f t="shared" ca="1" si="100"/>
        <v>0.98902707492248065</v>
      </c>
      <c r="BH677" s="29">
        <v>0</v>
      </c>
      <c r="BJ677" s="22">
        <v>45222</v>
      </c>
      <c r="BK677" s="26">
        <f t="shared" ca="1" si="101"/>
        <v>0.79373298779997647</v>
      </c>
      <c r="BL677" s="29">
        <v>0</v>
      </c>
      <c r="BN677" s="22">
        <v>45222</v>
      </c>
      <c r="BO677" s="26">
        <f t="shared" ca="1" si="102"/>
        <v>0.32467366201049019</v>
      </c>
      <c r="BP677" s="29">
        <v>0</v>
      </c>
      <c r="BR677" s="22">
        <v>45222</v>
      </c>
      <c r="BS677" s="26">
        <f t="shared" ca="1" si="103"/>
        <v>0.91175235160496149</v>
      </c>
      <c r="BT677" s="29">
        <v>0</v>
      </c>
      <c r="BV677" s="22">
        <v>45222</v>
      </c>
      <c r="BW677" s="26">
        <f t="shared" ca="1" si="104"/>
        <v>0.25965094754288298</v>
      </c>
      <c r="BX677" s="29">
        <v>0</v>
      </c>
    </row>
    <row r="678" spans="2:77" ht="12.75" x14ac:dyDescent="0.2">
      <c r="B678" s="22">
        <v>45223</v>
      </c>
      <c r="C678" s="26">
        <f t="shared" ca="1" si="119"/>
        <v>0.17615369978639239</v>
      </c>
      <c r="D678" s="29">
        <v>0</v>
      </c>
      <c r="F678" s="22"/>
      <c r="G678" s="26">
        <f t="shared" ca="1" si="88"/>
        <v>0.80130469957366435</v>
      </c>
      <c r="H678" s="29">
        <v>0</v>
      </c>
      <c r="J678" s="22">
        <v>45223</v>
      </c>
      <c r="K678" s="26">
        <f t="shared" ca="1" si="89"/>
        <v>0.59968097291961764</v>
      </c>
      <c r="L678" s="29">
        <v>0</v>
      </c>
      <c r="N678" s="22">
        <v>45223</v>
      </c>
      <c r="O678" s="26">
        <f t="shared" ca="1" si="90"/>
        <v>0.68435623822873959</v>
      </c>
      <c r="P678" s="29">
        <v>0</v>
      </c>
      <c r="R678" s="22">
        <v>45223</v>
      </c>
      <c r="S678" s="26">
        <f t="shared" ca="1" si="91"/>
        <v>0.57451081232559764</v>
      </c>
      <c r="T678" s="29">
        <v>0</v>
      </c>
      <c r="V678" s="22">
        <v>45223</v>
      </c>
      <c r="W678" s="26">
        <f t="shared" ca="1" si="92"/>
        <v>0.45168222509384848</v>
      </c>
      <c r="X678" s="29">
        <v>0</v>
      </c>
      <c r="Z678" s="22">
        <v>45223</v>
      </c>
      <c r="AA678" s="26">
        <f t="shared" ca="1" si="93"/>
        <v>0.84311274208529574</v>
      </c>
      <c r="AB678" s="29">
        <v>0</v>
      </c>
      <c r="AC678"/>
      <c r="AD678" s="25"/>
      <c r="AF678" s="22">
        <v>45223</v>
      </c>
      <c r="AG678" s="26">
        <f t="shared" ca="1" si="94"/>
        <v>0.24045624102899021</v>
      </c>
      <c r="AH678" s="29">
        <v>0</v>
      </c>
      <c r="AJ678" s="22">
        <v>45223</v>
      </c>
      <c r="AK678" s="26">
        <f t="shared" ca="1" si="95"/>
        <v>0.69527466233795154</v>
      </c>
      <c r="AL678" s="29">
        <v>0</v>
      </c>
      <c r="AN678" s="22">
        <v>45223</v>
      </c>
      <c r="AO678" s="26">
        <f t="shared" ca="1" si="96"/>
        <v>0.49289229996278217</v>
      </c>
      <c r="AP678" s="29">
        <v>0</v>
      </c>
      <c r="AR678" s="22">
        <v>45223</v>
      </c>
      <c r="AS678" s="26">
        <f t="shared" ca="1" si="97"/>
        <v>0.22430380984251785</v>
      </c>
      <c r="AT678" s="29">
        <v>0</v>
      </c>
      <c r="AV678" s="22">
        <v>45223</v>
      </c>
      <c r="AW678" s="26">
        <f t="shared" ca="1" si="98"/>
        <v>0.62605876159555918</v>
      </c>
      <c r="AX678" s="29">
        <v>0</v>
      </c>
      <c r="AZ678" s="22">
        <v>45223</v>
      </c>
      <c r="BA678" s="26">
        <f t="shared" ca="1" si="99"/>
        <v>0.75249563089785543</v>
      </c>
      <c r="BB678" s="29">
        <v>0</v>
      </c>
      <c r="BC678"/>
      <c r="BD678" s="25"/>
      <c r="BF678" s="22">
        <v>45223</v>
      </c>
      <c r="BG678" s="26">
        <f t="shared" ca="1" si="100"/>
        <v>0.49035386259605318</v>
      </c>
      <c r="BH678" s="29">
        <v>0</v>
      </c>
      <c r="BJ678" s="22">
        <v>45223</v>
      </c>
      <c r="BK678" s="26">
        <f t="shared" ca="1" si="101"/>
        <v>0.7576779390732945</v>
      </c>
      <c r="BL678" s="29">
        <v>0</v>
      </c>
      <c r="BN678" s="22">
        <v>45223</v>
      </c>
      <c r="BO678" s="26">
        <f t="shared" ca="1" si="102"/>
        <v>0.27579344666265304</v>
      </c>
      <c r="BP678" s="29">
        <v>0</v>
      </c>
      <c r="BR678" s="22">
        <v>45223</v>
      </c>
      <c r="BS678" s="26">
        <f t="shared" ca="1" si="103"/>
        <v>0.99008108218489466</v>
      </c>
      <c r="BT678" s="29">
        <v>0</v>
      </c>
      <c r="BV678" s="22">
        <v>45223</v>
      </c>
      <c r="BW678" s="26">
        <f t="shared" ca="1" si="104"/>
        <v>5.7637688476281923E-3</v>
      </c>
      <c r="BX678" s="29">
        <v>0</v>
      </c>
    </row>
    <row r="679" spans="2:77" ht="12.75" x14ac:dyDescent="0.2">
      <c r="B679" s="22">
        <v>45224</v>
      </c>
      <c r="C679" s="26">
        <f t="shared" ca="1" si="119"/>
        <v>0.72491794933369103</v>
      </c>
      <c r="D679" s="29">
        <v>0</v>
      </c>
      <c r="F679" s="22"/>
      <c r="G679" s="26">
        <f t="shared" ca="1" si="88"/>
        <v>0.53252382701187551</v>
      </c>
      <c r="H679" s="29">
        <v>0</v>
      </c>
      <c r="J679" s="22">
        <v>45224</v>
      </c>
      <c r="K679" s="26">
        <f t="shared" ca="1" si="89"/>
        <v>0.58889150255781608</v>
      </c>
      <c r="L679" s="29">
        <v>0</v>
      </c>
      <c r="N679" s="22">
        <v>45224</v>
      </c>
      <c r="O679" s="26">
        <f t="shared" ca="1" si="90"/>
        <v>0.7679268857346736</v>
      </c>
      <c r="P679" s="29">
        <v>0</v>
      </c>
      <c r="R679" s="22">
        <v>45224</v>
      </c>
      <c r="S679" s="26">
        <f t="shared" ca="1" si="91"/>
        <v>0.40874162705650929</v>
      </c>
      <c r="T679" s="29">
        <v>0</v>
      </c>
      <c r="V679" s="22">
        <v>45224</v>
      </c>
      <c r="W679" s="26">
        <f t="shared" ca="1" si="92"/>
        <v>3.0767844999106897E-2</v>
      </c>
      <c r="X679" s="29">
        <v>0</v>
      </c>
      <c r="Z679" s="22">
        <v>45224</v>
      </c>
      <c r="AA679" s="26">
        <f t="shared" ca="1" si="93"/>
        <v>0.59182693766043926</v>
      </c>
      <c r="AB679" s="29">
        <v>0</v>
      </c>
      <c r="AC679"/>
      <c r="AD679" s="25"/>
      <c r="AF679" s="22">
        <v>45224</v>
      </c>
      <c r="AG679" s="26">
        <f t="shared" ca="1" si="94"/>
        <v>0.93373384782477997</v>
      </c>
      <c r="AH679" s="29">
        <v>0</v>
      </c>
      <c r="AJ679" s="22">
        <v>45224</v>
      </c>
      <c r="AK679" s="26">
        <f t="shared" ca="1" si="95"/>
        <v>0.76104935267108842</v>
      </c>
      <c r="AL679" s="29">
        <v>0</v>
      </c>
      <c r="AN679" s="22">
        <v>45224</v>
      </c>
      <c r="AO679" s="26">
        <f t="shared" ca="1" si="96"/>
        <v>0.22954441809528114</v>
      </c>
      <c r="AP679" s="29">
        <v>0</v>
      </c>
      <c r="AR679" s="22">
        <v>45224</v>
      </c>
      <c r="AS679" s="26">
        <f t="shared" ca="1" si="97"/>
        <v>0.64224301358569114</v>
      </c>
      <c r="AT679" s="29">
        <v>0</v>
      </c>
      <c r="AV679" s="22">
        <v>45224</v>
      </c>
      <c r="AW679" s="26">
        <f t="shared" ca="1" si="98"/>
        <v>0.23174822718989285</v>
      </c>
      <c r="AX679" s="29">
        <v>0</v>
      </c>
      <c r="AZ679" s="22">
        <v>45224</v>
      </c>
      <c r="BA679" s="26">
        <f t="shared" ca="1" si="99"/>
        <v>0.84852337810189193</v>
      </c>
      <c r="BB679" s="29">
        <v>0</v>
      </c>
      <c r="BC679"/>
      <c r="BD679" s="25"/>
      <c r="BF679" s="22">
        <v>45224</v>
      </c>
      <c r="BG679" s="26">
        <f t="shared" ca="1" si="100"/>
        <v>0.4986155999577333</v>
      </c>
      <c r="BH679" s="29">
        <v>0</v>
      </c>
      <c r="BJ679" s="22">
        <v>45224</v>
      </c>
      <c r="BK679" s="26">
        <f t="shared" ca="1" si="101"/>
        <v>0.94699521604502379</v>
      </c>
      <c r="BL679" s="29">
        <v>0</v>
      </c>
      <c r="BN679" s="22">
        <v>45224</v>
      </c>
      <c r="BO679" s="26">
        <f t="shared" ca="1" si="102"/>
        <v>0.29316243953072918</v>
      </c>
      <c r="BP679" s="29">
        <v>0</v>
      </c>
      <c r="BR679" s="22">
        <v>45224</v>
      </c>
      <c r="BS679" s="26">
        <f t="shared" ca="1" si="103"/>
        <v>0.32359338775547208</v>
      </c>
      <c r="BT679" s="29">
        <v>0</v>
      </c>
      <c r="BV679" s="22">
        <v>45224</v>
      </c>
      <c r="BW679" s="26">
        <f t="shared" ca="1" si="104"/>
        <v>0.65304022871172385</v>
      </c>
      <c r="BX679" s="29">
        <v>0</v>
      </c>
    </row>
    <row r="680" spans="2:77" ht="12.75" x14ac:dyDescent="0.2">
      <c r="B680" s="22">
        <v>45225</v>
      </c>
      <c r="C680" s="26">
        <f t="shared" ca="1" si="119"/>
        <v>0.23082085520129947</v>
      </c>
      <c r="D680" s="29">
        <f t="shared" ca="1" si="118"/>
        <v>61</v>
      </c>
      <c r="F680" s="22"/>
      <c r="G680" s="26">
        <f t="shared" ca="1" si="88"/>
        <v>0.29515139167640814</v>
      </c>
      <c r="H680" s="29">
        <f t="shared" ca="1" si="107"/>
        <v>208</v>
      </c>
      <c r="J680" s="22">
        <v>45225</v>
      </c>
      <c r="K680" s="26">
        <f t="shared" ca="1" si="89"/>
        <v>0.20662738481522369</v>
      </c>
      <c r="L680" s="29">
        <f t="shared" ca="1" si="108"/>
        <v>142</v>
      </c>
      <c r="N680" s="22">
        <v>45225</v>
      </c>
      <c r="O680" s="26">
        <f t="shared" ca="1" si="90"/>
        <v>0.2881931837523487</v>
      </c>
      <c r="P680" s="29">
        <f t="shared" ca="1" si="109"/>
        <v>221</v>
      </c>
      <c r="R680" s="22">
        <v>45225</v>
      </c>
      <c r="S680" s="26">
        <f t="shared" ca="1" si="91"/>
        <v>0.25503164566054781</v>
      </c>
      <c r="T680" s="29">
        <f t="shared" ca="1" si="110"/>
        <v>133</v>
      </c>
      <c r="V680" s="22">
        <v>45225</v>
      </c>
      <c r="W680" s="26">
        <f t="shared" ca="1" si="92"/>
        <v>0.44428620347650749</v>
      </c>
      <c r="X680" s="29">
        <f t="shared" ca="1" si="111"/>
        <v>223</v>
      </c>
      <c r="Z680" s="22">
        <v>45225</v>
      </c>
      <c r="AA680" s="26">
        <f t="shared" ca="1" si="93"/>
        <v>0.66862374438573025</v>
      </c>
      <c r="AB680" s="29">
        <f t="shared" ca="1" si="112"/>
        <v>278</v>
      </c>
      <c r="AC680"/>
      <c r="AD680" s="25"/>
      <c r="AF680" s="22">
        <v>45225</v>
      </c>
      <c r="AG680" s="26">
        <f t="shared" ca="1" si="94"/>
        <v>0.93606381927798754</v>
      </c>
      <c r="AH680" s="29">
        <f t="shared" ca="1" si="113"/>
        <v>460</v>
      </c>
      <c r="AJ680" s="22">
        <v>45225</v>
      </c>
      <c r="AK680" s="26">
        <f t="shared" ca="1" si="95"/>
        <v>0.89593031547869184</v>
      </c>
      <c r="AL680" s="29">
        <f t="shared" ca="1" si="114"/>
        <v>228</v>
      </c>
      <c r="AN680" s="22">
        <v>45225</v>
      </c>
      <c r="AO680" s="26">
        <f t="shared" ca="1" si="96"/>
        <v>1.6175931241724784E-2</v>
      </c>
      <c r="AP680" s="29">
        <f t="shared" ca="1" si="115"/>
        <v>100</v>
      </c>
      <c r="AR680" s="22">
        <v>45225</v>
      </c>
      <c r="AS680" s="26">
        <f t="shared" ca="1" si="97"/>
        <v>0.33129080844827019</v>
      </c>
      <c r="AT680" s="29">
        <f t="shared" ca="1" si="116"/>
        <v>175</v>
      </c>
      <c r="AV680" s="22">
        <v>45225</v>
      </c>
      <c r="AW680" s="26">
        <f t="shared" ca="1" si="98"/>
        <v>0.86487043507023365</v>
      </c>
      <c r="AX680" s="29">
        <f t="shared" ca="1" si="117"/>
        <v>266</v>
      </c>
      <c r="AZ680" s="22">
        <v>45225</v>
      </c>
      <c r="BA680" s="26">
        <f t="shared" ca="1" si="99"/>
        <v>0.87500096165858143</v>
      </c>
      <c r="BB680" s="29">
        <v>0</v>
      </c>
      <c r="BC680"/>
      <c r="BD680" s="25"/>
      <c r="BF680" s="22">
        <v>45225</v>
      </c>
      <c r="BG680" s="26">
        <f t="shared" ca="1" si="100"/>
        <v>0.27974579901686902</v>
      </c>
      <c r="BH680" s="29">
        <v>0</v>
      </c>
      <c r="BJ680" s="22">
        <v>45225</v>
      </c>
      <c r="BK680" s="26">
        <f t="shared" ca="1" si="101"/>
        <v>0.89939343523288784</v>
      </c>
      <c r="BL680" s="29">
        <v>0</v>
      </c>
      <c r="BN680" s="22">
        <v>45225</v>
      </c>
      <c r="BO680" s="26">
        <f t="shared" ca="1" si="102"/>
        <v>0.29525389551854841</v>
      </c>
      <c r="BP680" s="29">
        <v>0</v>
      </c>
      <c r="BR680" s="22">
        <v>45225</v>
      </c>
      <c r="BS680" s="26">
        <f t="shared" ca="1" si="103"/>
        <v>0.13115030581062226</v>
      </c>
      <c r="BT680" s="29">
        <v>0</v>
      </c>
      <c r="BV680" s="22">
        <v>45225</v>
      </c>
      <c r="BW680" s="26">
        <f t="shared" ca="1" si="104"/>
        <v>0.23768241545821012</v>
      </c>
      <c r="BX680" s="29">
        <v>0</v>
      </c>
    </row>
    <row r="681" spans="2:77" ht="12.75" x14ac:dyDescent="0.2">
      <c r="B681" s="22">
        <v>45226</v>
      </c>
      <c r="C681" s="26">
        <f t="shared" ca="1" si="119"/>
        <v>0.91732836424829467</v>
      </c>
      <c r="D681" s="29">
        <f t="shared" ca="1" si="118"/>
        <v>103</v>
      </c>
      <c r="F681" s="22"/>
      <c r="G681" s="26">
        <f t="shared" ca="1" si="88"/>
        <v>0.62125436253822641</v>
      </c>
      <c r="H681" s="29">
        <f t="shared" ca="1" si="107"/>
        <v>220</v>
      </c>
      <c r="J681" s="22">
        <v>45226</v>
      </c>
      <c r="K681" s="26">
        <f t="shared" ca="1" si="89"/>
        <v>0.98957798933042074</v>
      </c>
      <c r="L681" s="29">
        <f t="shared" ca="1" si="108"/>
        <v>174</v>
      </c>
      <c r="N681" s="22">
        <v>45226</v>
      </c>
      <c r="O681" s="26">
        <f t="shared" ca="1" si="90"/>
        <v>0.87545707085497504</v>
      </c>
      <c r="P681" s="29">
        <f t="shared" ca="1" si="109"/>
        <v>247</v>
      </c>
      <c r="R681" s="22">
        <v>45226</v>
      </c>
      <c r="S681" s="26">
        <f t="shared" ca="1" si="91"/>
        <v>5.6229167578506489E-2</v>
      </c>
      <c r="T681" s="29">
        <f t="shared" ca="1" si="110"/>
        <v>125</v>
      </c>
      <c r="V681" s="22">
        <v>45226</v>
      </c>
      <c r="W681" s="26">
        <f t="shared" ca="1" si="92"/>
        <v>0.48559983610929047</v>
      </c>
      <c r="X681" s="29">
        <f t="shared" ca="1" si="111"/>
        <v>225</v>
      </c>
      <c r="Z681" s="22">
        <v>45226</v>
      </c>
      <c r="AA681" s="26">
        <f t="shared" ca="1" si="93"/>
        <v>0.17120543276203937</v>
      </c>
      <c r="AB681" s="29">
        <f t="shared" ca="1" si="112"/>
        <v>253</v>
      </c>
      <c r="AC681"/>
      <c r="AD681" s="25"/>
      <c r="AF681" s="22">
        <v>45226</v>
      </c>
      <c r="AG681" s="26">
        <f t="shared" ca="1" si="94"/>
        <v>0.58526277681083572</v>
      </c>
      <c r="AH681" s="29">
        <f t="shared" ca="1" si="113"/>
        <v>346</v>
      </c>
      <c r="AJ681" s="22">
        <v>45226</v>
      </c>
      <c r="AK681" s="26">
        <f t="shared" ca="1" si="95"/>
        <v>0.55135907334453593</v>
      </c>
      <c r="AL681" s="29">
        <f t="shared" ca="1" si="114"/>
        <v>177</v>
      </c>
      <c r="AN681" s="22">
        <v>45226</v>
      </c>
      <c r="AO681" s="26">
        <f t="shared" ca="1" si="96"/>
        <v>0.54140123620788327</v>
      </c>
      <c r="AP681" s="29">
        <f t="shared" ca="1" si="115"/>
        <v>239</v>
      </c>
      <c r="AR681" s="22">
        <v>45226</v>
      </c>
      <c r="AS681" s="26">
        <f t="shared" ca="1" si="97"/>
        <v>5.5084430380767491E-2</v>
      </c>
      <c r="AT681" s="29">
        <f t="shared" ca="1" si="116"/>
        <v>114</v>
      </c>
      <c r="AV681" s="22">
        <v>45226</v>
      </c>
      <c r="AW681" s="26">
        <f t="shared" ca="1" si="98"/>
        <v>0.27502693431058389</v>
      </c>
      <c r="AX681" s="29">
        <f t="shared" ca="1" si="117"/>
        <v>173</v>
      </c>
      <c r="AZ681" s="22">
        <v>45226</v>
      </c>
      <c r="BA681" s="26">
        <f t="shared" ca="1" si="99"/>
        <v>0.55096365080885878</v>
      </c>
      <c r="BB681" s="29">
        <v>0</v>
      </c>
      <c r="BC681"/>
      <c r="BD681" s="25"/>
      <c r="BF681" s="22">
        <v>45226</v>
      </c>
      <c r="BG681" s="26">
        <f t="shared" ca="1" si="100"/>
        <v>0.26717678073219109</v>
      </c>
      <c r="BH681" s="29">
        <v>0</v>
      </c>
      <c r="BJ681" s="22">
        <v>45226</v>
      </c>
      <c r="BK681" s="26">
        <f t="shared" ca="1" si="101"/>
        <v>0.33088078217631578</v>
      </c>
      <c r="BL681" s="29">
        <v>0</v>
      </c>
      <c r="BN681" s="22">
        <v>45226</v>
      </c>
      <c r="BO681" s="26">
        <f t="shared" ca="1" si="102"/>
        <v>0.95956470026489138</v>
      </c>
      <c r="BP681" s="29">
        <v>0</v>
      </c>
      <c r="BR681" s="22">
        <v>45226</v>
      </c>
      <c r="BS681" s="26">
        <f t="shared" ca="1" si="103"/>
        <v>0.28117664450306756</v>
      </c>
      <c r="BT681" s="29">
        <v>0</v>
      </c>
      <c r="BV681" s="22">
        <v>45226</v>
      </c>
      <c r="BW681" s="26">
        <f t="shared" ca="1" si="104"/>
        <v>0.83942367743941648</v>
      </c>
      <c r="BX681" s="29">
        <v>0</v>
      </c>
    </row>
    <row r="682" spans="2:77" ht="12.75" x14ac:dyDescent="0.2">
      <c r="B682" s="22">
        <v>45227</v>
      </c>
      <c r="C682" s="26">
        <f t="shared" ca="1" si="119"/>
        <v>8.4272580424008092E-2</v>
      </c>
      <c r="D682" s="29">
        <f t="shared" ca="1" si="118"/>
        <v>48</v>
      </c>
      <c r="F682" s="22"/>
      <c r="G682" s="26">
        <f t="shared" ca="1" si="88"/>
        <v>0.14841664411957123</v>
      </c>
      <c r="H682" s="29">
        <f t="shared" ca="1" si="107"/>
        <v>201</v>
      </c>
      <c r="J682" s="22">
        <v>45227</v>
      </c>
      <c r="K682" s="26">
        <f t="shared" ca="1" si="89"/>
        <v>0.43633749647801479</v>
      </c>
      <c r="L682" s="29">
        <f t="shared" ca="1" si="108"/>
        <v>149</v>
      </c>
      <c r="N682" s="22">
        <v>45227</v>
      </c>
      <c r="O682" s="26">
        <f t="shared" ca="1" si="90"/>
        <v>0.47804402957651893</v>
      </c>
      <c r="P682" s="29">
        <f t="shared" ca="1" si="109"/>
        <v>229</v>
      </c>
      <c r="R682" s="22">
        <v>45227</v>
      </c>
      <c r="S682" s="26">
        <f t="shared" ca="1" si="91"/>
        <v>0.32885835650866646</v>
      </c>
      <c r="T682" s="29">
        <f t="shared" ca="1" si="110"/>
        <v>135</v>
      </c>
      <c r="V682" s="22">
        <v>45227</v>
      </c>
      <c r="W682" s="26">
        <f t="shared" ca="1" si="92"/>
        <v>0.3688099727006563</v>
      </c>
      <c r="X682" s="29">
        <f t="shared" ca="1" si="111"/>
        <v>220</v>
      </c>
      <c r="Z682" s="22">
        <v>45227</v>
      </c>
      <c r="AA682" s="26">
        <f t="shared" ca="1" si="93"/>
        <v>0.4588841015117392</v>
      </c>
      <c r="AB682" s="29">
        <f t="shared" ca="1" si="112"/>
        <v>269</v>
      </c>
      <c r="AC682"/>
      <c r="AD682" s="25"/>
      <c r="AF682" s="22">
        <v>45227</v>
      </c>
      <c r="AG682" s="26">
        <f t="shared" ca="1" si="94"/>
        <v>0.77369703440057258</v>
      </c>
      <c r="AH682" s="29">
        <f t="shared" ca="1" si="113"/>
        <v>393</v>
      </c>
      <c r="AJ682" s="22">
        <v>45227</v>
      </c>
      <c r="AK682" s="26">
        <f t="shared" ca="1" si="95"/>
        <v>0.63453699554148901</v>
      </c>
      <c r="AL682" s="29">
        <f t="shared" ca="1" si="114"/>
        <v>187</v>
      </c>
      <c r="AN682" s="22">
        <v>45227</v>
      </c>
      <c r="AO682" s="26">
        <f t="shared" ca="1" si="96"/>
        <v>0.23765364685268764</v>
      </c>
      <c r="AP682" s="29">
        <f t="shared" ca="1" si="115"/>
        <v>188</v>
      </c>
      <c r="AR682" s="22">
        <v>45227</v>
      </c>
      <c r="AS682" s="26">
        <f t="shared" ca="1" si="97"/>
        <v>0.67277417329772826</v>
      </c>
      <c r="AT682" s="29">
        <f t="shared" ca="1" si="116"/>
        <v>222</v>
      </c>
      <c r="AV682" s="22">
        <v>45227</v>
      </c>
      <c r="AW682" s="26">
        <f t="shared" ca="1" si="98"/>
        <v>0.59300545412883288</v>
      </c>
      <c r="AX682" s="29">
        <f t="shared" ca="1" si="117"/>
        <v>219</v>
      </c>
      <c r="AZ682" s="22">
        <v>45227</v>
      </c>
      <c r="BA682" s="26">
        <f t="shared" ca="1" si="99"/>
        <v>0.7328570778204514</v>
      </c>
      <c r="BB682" s="29">
        <v>0</v>
      </c>
      <c r="BC682"/>
      <c r="BD682" s="25"/>
      <c r="BF682" s="22">
        <v>45227</v>
      </c>
      <c r="BG682" s="26">
        <f t="shared" ca="1" si="100"/>
        <v>0.46234243238597861</v>
      </c>
      <c r="BH682" s="29">
        <v>0</v>
      </c>
      <c r="BJ682" s="22">
        <v>45227</v>
      </c>
      <c r="BK682" s="26">
        <f t="shared" ca="1" si="101"/>
        <v>0.53682642531244362</v>
      </c>
      <c r="BL682" s="29">
        <v>0</v>
      </c>
      <c r="BN682" s="22">
        <v>45227</v>
      </c>
      <c r="BO682" s="26">
        <f t="shared" ca="1" si="102"/>
        <v>0.38178839104124618</v>
      </c>
      <c r="BP682" s="29">
        <v>0</v>
      </c>
      <c r="BR682" s="22">
        <v>45227</v>
      </c>
      <c r="BS682" s="26">
        <f t="shared" ca="1" si="103"/>
        <v>0.8562476341764369</v>
      </c>
      <c r="BT682" s="29">
        <v>0</v>
      </c>
      <c r="BV682" s="22">
        <v>45227</v>
      </c>
      <c r="BW682" s="26">
        <f t="shared" ca="1" si="104"/>
        <v>0.21209114841337084</v>
      </c>
      <c r="BX682" s="29">
        <v>0</v>
      </c>
    </row>
    <row r="683" spans="2:77" ht="12.75" x14ac:dyDescent="0.2">
      <c r="B683" s="22">
        <v>45228</v>
      </c>
      <c r="C683" s="26">
        <f t="shared" ca="1" si="119"/>
        <v>0.60112330193621588</v>
      </c>
      <c r="D683" s="29">
        <f t="shared" ca="1" si="118"/>
        <v>81</v>
      </c>
      <c r="F683" s="22"/>
      <c r="G683" s="26">
        <f t="shared" ca="1" si="88"/>
        <v>0.48056911589121298</v>
      </c>
      <c r="H683" s="29">
        <f t="shared" ca="1" si="107"/>
        <v>215</v>
      </c>
      <c r="J683" s="22">
        <v>45228</v>
      </c>
      <c r="K683" s="26">
        <f t="shared" ca="1" si="89"/>
        <v>0.38998577429778014</v>
      </c>
      <c r="L683" s="29">
        <f t="shared" ca="1" si="108"/>
        <v>148</v>
      </c>
      <c r="N683" s="22">
        <v>45228</v>
      </c>
      <c r="O683" s="26">
        <f t="shared" ca="1" si="90"/>
        <v>0.6884481584404778</v>
      </c>
      <c r="P683" s="29">
        <f t="shared" ca="1" si="109"/>
        <v>237</v>
      </c>
      <c r="R683" s="22">
        <v>45228</v>
      </c>
      <c r="S683" s="26">
        <f t="shared" ca="1" si="91"/>
        <v>0.12586520869257334</v>
      </c>
      <c r="T683" s="29">
        <f t="shared" ca="1" si="110"/>
        <v>129</v>
      </c>
      <c r="V683" s="22">
        <v>45228</v>
      </c>
      <c r="W683" s="26">
        <f t="shared" ca="1" si="92"/>
        <v>0.22021558646146011</v>
      </c>
      <c r="X683" s="29">
        <f t="shared" ca="1" si="111"/>
        <v>214</v>
      </c>
      <c r="Z683" s="22">
        <v>45228</v>
      </c>
      <c r="AA683" s="26">
        <f t="shared" ca="1" si="93"/>
        <v>0.89749229194059321</v>
      </c>
      <c r="AB683" s="29">
        <f t="shared" ca="1" si="112"/>
        <v>293</v>
      </c>
      <c r="AC683"/>
      <c r="AD683" s="25"/>
      <c r="AF683" s="22">
        <v>45228</v>
      </c>
      <c r="AG683" s="26">
        <f t="shared" ca="1" si="94"/>
        <v>0.1887612059083571</v>
      </c>
      <c r="AH683" s="29">
        <f t="shared" ca="1" si="113"/>
        <v>251</v>
      </c>
      <c r="AJ683" s="22">
        <v>45228</v>
      </c>
      <c r="AK683" s="26">
        <f t="shared" ca="1" si="95"/>
        <v>1.9229639710394597E-2</v>
      </c>
      <c r="AL683" s="29">
        <f t="shared" ca="1" si="114"/>
        <v>77</v>
      </c>
      <c r="AN683" s="22">
        <v>45228</v>
      </c>
      <c r="AO683" s="26">
        <f t="shared" ca="1" si="96"/>
        <v>0.21745248622953817</v>
      </c>
      <c r="AP683" s="29">
        <f t="shared" ca="1" si="115"/>
        <v>184</v>
      </c>
      <c r="AR683" s="22">
        <v>45228</v>
      </c>
      <c r="AS683" s="26">
        <f t="shared" ca="1" si="97"/>
        <v>0.3528963874337121</v>
      </c>
      <c r="AT683" s="29">
        <f t="shared" ca="1" si="116"/>
        <v>179</v>
      </c>
      <c r="AV683" s="22">
        <v>45228</v>
      </c>
      <c r="AW683" s="26">
        <f t="shared" ca="1" si="98"/>
        <v>0.34715455278583174</v>
      </c>
      <c r="AX683" s="29">
        <f t="shared" ca="1" si="117"/>
        <v>184</v>
      </c>
      <c r="AZ683" s="22">
        <v>45228</v>
      </c>
      <c r="BA683" s="26">
        <f t="shared" ca="1" si="99"/>
        <v>0.77235667175526312</v>
      </c>
      <c r="BB683" s="29">
        <v>0</v>
      </c>
      <c r="BC683"/>
      <c r="BD683" s="25"/>
      <c r="BF683" s="22">
        <v>45228</v>
      </c>
      <c r="BG683" s="26">
        <f t="shared" ca="1" si="100"/>
        <v>2.9232672534447057E-2</v>
      </c>
      <c r="BH683" s="29">
        <v>0</v>
      </c>
      <c r="BJ683" s="22">
        <v>45228</v>
      </c>
      <c r="BK683" s="26">
        <f t="shared" ca="1" si="101"/>
        <v>0.26038525926154821</v>
      </c>
      <c r="BL683" s="29">
        <v>0</v>
      </c>
      <c r="BN683" s="22">
        <v>45228</v>
      </c>
      <c r="BO683" s="26">
        <f t="shared" ca="1" si="102"/>
        <v>0.91735016422343596</v>
      </c>
      <c r="BP683" s="29">
        <v>0</v>
      </c>
      <c r="BR683" s="22">
        <v>45228</v>
      </c>
      <c r="BS683" s="26">
        <f t="shared" ca="1" si="103"/>
        <v>0.50551324744620596</v>
      </c>
      <c r="BT683" s="29">
        <v>0</v>
      </c>
      <c r="BV683" s="22">
        <v>45228</v>
      </c>
      <c r="BW683" s="26">
        <f t="shared" ca="1" si="104"/>
        <v>0.86086351341104383</v>
      </c>
      <c r="BX683" s="29">
        <v>0</v>
      </c>
    </row>
    <row r="684" spans="2:77" ht="12.75" x14ac:dyDescent="0.2">
      <c r="B684" s="22">
        <v>45229</v>
      </c>
      <c r="C684" s="26">
        <f t="shared" ca="1" si="119"/>
        <v>0.34989083497263984</v>
      </c>
      <c r="D684" s="29">
        <f t="shared" ca="1" si="118"/>
        <v>68</v>
      </c>
      <c r="F684" s="22"/>
      <c r="G684" s="26">
        <f t="shared" ca="1" si="88"/>
        <v>0.16120501929226649</v>
      </c>
      <c r="H684" s="29">
        <f t="shared" ca="1" si="107"/>
        <v>202</v>
      </c>
      <c r="J684" s="22">
        <v>45229</v>
      </c>
      <c r="K684" s="26">
        <f t="shared" ca="1" si="89"/>
        <v>0.55083389858034504</v>
      </c>
      <c r="L684" s="29">
        <f t="shared" ca="1" si="108"/>
        <v>152</v>
      </c>
      <c r="N684" s="22">
        <v>45229</v>
      </c>
      <c r="O684" s="26">
        <f t="shared" ca="1" si="90"/>
        <v>5.2804725219418147E-2</v>
      </c>
      <c r="P684" s="29">
        <f t="shared" ca="1" si="109"/>
        <v>205</v>
      </c>
      <c r="R684" s="22">
        <v>45229</v>
      </c>
      <c r="S684" s="26">
        <f t="shared" ca="1" si="91"/>
        <v>0.80226574189467892</v>
      </c>
      <c r="T684" s="29">
        <f t="shared" ca="1" si="110"/>
        <v>147</v>
      </c>
      <c r="V684" s="22">
        <v>45229</v>
      </c>
      <c r="W684" s="26">
        <f t="shared" ca="1" si="92"/>
        <v>0.38710385013901993</v>
      </c>
      <c r="X684" s="29">
        <f t="shared" ca="1" si="111"/>
        <v>221</v>
      </c>
      <c r="Z684" s="22">
        <v>45229</v>
      </c>
      <c r="AA684" s="26">
        <f t="shared" ca="1" si="93"/>
        <v>0.87028952969961704</v>
      </c>
      <c r="AB684" s="29">
        <f t="shared" ca="1" si="112"/>
        <v>291</v>
      </c>
      <c r="AC684"/>
      <c r="AD684" s="25"/>
      <c r="AF684" s="22">
        <v>45229</v>
      </c>
      <c r="AG684" s="26">
        <f t="shared" ca="1" si="94"/>
        <v>0.84069068678258896</v>
      </c>
      <c r="AH684" s="29">
        <f t="shared" ca="1" si="113"/>
        <v>414</v>
      </c>
      <c r="AJ684" s="22">
        <v>45229</v>
      </c>
      <c r="AK684" s="26">
        <f t="shared" ca="1" si="95"/>
        <v>0.89837593538824767</v>
      </c>
      <c r="AL684" s="29">
        <f t="shared" ca="1" si="114"/>
        <v>229</v>
      </c>
      <c r="AN684" s="22">
        <v>45229</v>
      </c>
      <c r="AO684" s="26">
        <f t="shared" ca="1" si="96"/>
        <v>0.23832200506297629</v>
      </c>
      <c r="AP684" s="29">
        <f t="shared" ca="1" si="115"/>
        <v>189</v>
      </c>
      <c r="AR684" s="22">
        <v>45229</v>
      </c>
      <c r="AS684" s="26">
        <f t="shared" ca="1" si="97"/>
        <v>0.25607434043994337</v>
      </c>
      <c r="AT684" s="29">
        <f t="shared" ca="1" si="116"/>
        <v>164</v>
      </c>
      <c r="AV684" s="22">
        <v>45229</v>
      </c>
      <c r="AW684" s="26">
        <f t="shared" ca="1" si="98"/>
        <v>0.89948501091008326</v>
      </c>
      <c r="AX684" s="29">
        <f t="shared" ca="1" si="117"/>
        <v>276</v>
      </c>
      <c r="AZ684" s="22">
        <v>45229</v>
      </c>
      <c r="BA684" s="26">
        <f t="shared" ca="1" si="99"/>
        <v>0.10574283827035091</v>
      </c>
      <c r="BB684" s="29">
        <v>0</v>
      </c>
      <c r="BC684"/>
      <c r="BD684" s="25"/>
      <c r="BF684" s="22">
        <v>45229</v>
      </c>
      <c r="BG684" s="26">
        <f t="shared" ca="1" si="100"/>
        <v>0.34303333229750665</v>
      </c>
      <c r="BH684" s="29">
        <v>0</v>
      </c>
      <c r="BJ684" s="22">
        <v>45229</v>
      </c>
      <c r="BK684" s="26">
        <f t="shared" ca="1" si="101"/>
        <v>0.90032763700687413</v>
      </c>
      <c r="BL684" s="29">
        <v>0</v>
      </c>
      <c r="BN684" s="22">
        <v>45229</v>
      </c>
      <c r="BO684" s="26">
        <f t="shared" ca="1" si="102"/>
        <v>0.99833511292926991</v>
      </c>
      <c r="BP684" s="29">
        <v>0</v>
      </c>
      <c r="BR684" s="22">
        <v>45229</v>
      </c>
      <c r="BS684" s="26">
        <f t="shared" ca="1" si="103"/>
        <v>0.66070569070077245</v>
      </c>
      <c r="BT684" s="29">
        <v>0</v>
      </c>
      <c r="BV684" s="22">
        <v>45229</v>
      </c>
      <c r="BW684" s="26">
        <f t="shared" ca="1" si="104"/>
        <v>0.9345138758134891</v>
      </c>
      <c r="BX684" s="29">
        <v>0</v>
      </c>
    </row>
    <row r="685" spans="2:77" ht="12.75" x14ac:dyDescent="0.2">
      <c r="B685" s="22">
        <v>45230</v>
      </c>
      <c r="C685" s="26">
        <f t="shared" ca="1" si="119"/>
        <v>0.27614918261148258</v>
      </c>
      <c r="D685" s="29">
        <f t="shared" ca="1" si="118"/>
        <v>64</v>
      </c>
      <c r="E685">
        <v>1512</v>
      </c>
      <c r="F685" s="22"/>
      <c r="G685" s="26">
        <f t="shared" ca="1" si="88"/>
        <v>0.12589466788550741</v>
      </c>
      <c r="H685" s="29">
        <f t="shared" ca="1" si="107"/>
        <v>199</v>
      </c>
      <c r="I685">
        <v>1670</v>
      </c>
      <c r="J685" s="22">
        <v>45230</v>
      </c>
      <c r="K685" s="26">
        <f t="shared" ca="1" si="89"/>
        <v>0.75431300527806888</v>
      </c>
      <c r="L685" s="29">
        <f t="shared" ca="1" si="108"/>
        <v>157</v>
      </c>
      <c r="M685">
        <v>3252</v>
      </c>
      <c r="N685" s="22">
        <v>45230</v>
      </c>
      <c r="O685" s="26">
        <f t="shared" ca="1" si="90"/>
        <v>0.83082909880777578</v>
      </c>
      <c r="P685" s="29">
        <f t="shared" ca="1" si="109"/>
        <v>244</v>
      </c>
      <c r="Q685">
        <v>5016</v>
      </c>
      <c r="R685" s="22">
        <v>45230</v>
      </c>
      <c r="S685" s="26">
        <f t="shared" ca="1" si="91"/>
        <v>0.49287240118896003</v>
      </c>
      <c r="T685" s="29">
        <f t="shared" ca="1" si="110"/>
        <v>139</v>
      </c>
      <c r="U685">
        <v>3103</v>
      </c>
      <c r="V685" s="22">
        <v>45230</v>
      </c>
      <c r="W685" s="26">
        <f t="shared" ca="1" si="92"/>
        <v>0.99422711979798628</v>
      </c>
      <c r="X685" s="29">
        <f t="shared" ca="1" si="111"/>
        <v>263</v>
      </c>
      <c r="Y685">
        <v>4924</v>
      </c>
      <c r="Z685" s="22">
        <v>45230</v>
      </c>
      <c r="AA685" s="26">
        <f t="shared" ca="1" si="93"/>
        <v>0.87343253199264348</v>
      </c>
      <c r="AB685" s="29">
        <f t="shared" ca="1" si="112"/>
        <v>291</v>
      </c>
      <c r="AC685">
        <v>5988</v>
      </c>
      <c r="AD685" s="25"/>
      <c r="AF685" s="22">
        <v>45230</v>
      </c>
      <c r="AG685" s="26">
        <f t="shared" ca="1" si="94"/>
        <v>0.86010674994712677</v>
      </c>
      <c r="AH685" s="29">
        <f t="shared" ca="1" si="113"/>
        <v>422</v>
      </c>
      <c r="AI685">
        <v>6724</v>
      </c>
      <c r="AJ685" s="22">
        <v>45230</v>
      </c>
      <c r="AK685" s="26">
        <f t="shared" ca="1" si="95"/>
        <v>0.57703325311467979</v>
      </c>
      <c r="AL685" s="29">
        <f t="shared" ca="1" si="114"/>
        <v>180</v>
      </c>
      <c r="AM685">
        <v>3884</v>
      </c>
      <c r="AN685" s="22">
        <v>45230</v>
      </c>
      <c r="AO685" s="26">
        <f t="shared" ca="1" si="96"/>
        <v>0.68917660093251265</v>
      </c>
      <c r="AP685" s="29">
        <f t="shared" ca="1" si="115"/>
        <v>263</v>
      </c>
      <c r="AQ685">
        <v>3246</v>
      </c>
      <c r="AR685" s="22">
        <v>45230</v>
      </c>
      <c r="AS685" s="26">
        <f t="shared" ca="1" si="97"/>
        <v>0.48982501119993982</v>
      </c>
      <c r="AT685" s="29">
        <f t="shared" ca="1" si="116"/>
        <v>197</v>
      </c>
      <c r="AU685">
        <v>4717</v>
      </c>
      <c r="AV685" s="22">
        <v>45230</v>
      </c>
      <c r="AW685" s="26">
        <f t="shared" ca="1" si="98"/>
        <v>0.3584537870913409</v>
      </c>
      <c r="AX685" s="29">
        <f t="shared" ca="1" si="117"/>
        <v>186</v>
      </c>
      <c r="AY685">
        <v>4011</v>
      </c>
      <c r="AZ685" s="22">
        <v>45230</v>
      </c>
      <c r="BA685" s="26">
        <f t="shared" ca="1" si="99"/>
        <v>0.22219060139100621</v>
      </c>
      <c r="BB685" s="29">
        <v>0</v>
      </c>
      <c r="BC685">
        <v>0</v>
      </c>
      <c r="BD685" s="25"/>
      <c r="BF685" s="22">
        <v>45230</v>
      </c>
      <c r="BG685" s="26">
        <f t="shared" ca="1" si="100"/>
        <v>0.32310245450752695</v>
      </c>
      <c r="BH685" s="29">
        <v>0</v>
      </c>
      <c r="BI685">
        <v>0</v>
      </c>
      <c r="BJ685" s="22">
        <v>45230</v>
      </c>
      <c r="BK685" s="26">
        <f t="shared" ca="1" si="101"/>
        <v>0.22741912850609214</v>
      </c>
      <c r="BL685" s="29">
        <v>0</v>
      </c>
      <c r="BM685">
        <v>0</v>
      </c>
      <c r="BN685" s="22">
        <v>45230</v>
      </c>
      <c r="BO685" s="26">
        <f t="shared" ca="1" si="102"/>
        <v>0.84071743684544742</v>
      </c>
      <c r="BP685" s="29">
        <v>0</v>
      </c>
      <c r="BQ685">
        <v>0</v>
      </c>
      <c r="BR685" s="22">
        <v>45230</v>
      </c>
      <c r="BS685" s="26">
        <f t="shared" ca="1" si="103"/>
        <v>0.23263535599108287</v>
      </c>
      <c r="BT685" s="29">
        <v>0</v>
      </c>
      <c r="BU685">
        <v>0</v>
      </c>
      <c r="BV685" s="22">
        <v>45230</v>
      </c>
      <c r="BW685" s="26">
        <f t="shared" ca="1" si="104"/>
        <v>0.94903679195052193</v>
      </c>
      <c r="BX685" s="29">
        <v>0</v>
      </c>
      <c r="BY685">
        <v>0</v>
      </c>
    </row>
    <row r="686" spans="2:77" ht="12.75" x14ac:dyDescent="0.2">
      <c r="B686" s="22">
        <v>45231</v>
      </c>
      <c r="C686" s="26">
        <f t="shared" ca="1" si="119"/>
        <v>0.30282402454473423</v>
      </c>
      <c r="D686" s="29">
        <f ca="1">ROUNDUP(_xlfn.NORM.INV(C685,C$10,C$12),0)</f>
        <v>64</v>
      </c>
      <c r="F686" s="22"/>
      <c r="G686" s="26">
        <f t="shared" ca="1" si="88"/>
        <v>0.30561501716042339</v>
      </c>
      <c r="H686" s="29">
        <f ca="1">ROUNDUP(_xlfn.NORM.INV(G685,G$10,G$12),0)</f>
        <v>199</v>
      </c>
      <c r="J686" s="22">
        <v>45231</v>
      </c>
      <c r="K686" s="26">
        <f t="shared" ca="1" si="89"/>
        <v>0.67764847569919895</v>
      </c>
      <c r="L686" s="29">
        <f ca="1">ROUNDUP(_xlfn.NORM.INV(K685,K$10,K$12),0)</f>
        <v>157</v>
      </c>
      <c r="N686" s="22">
        <v>45231</v>
      </c>
      <c r="O686" s="26">
        <f t="shared" ca="1" si="90"/>
        <v>0.45348711474577552</v>
      </c>
      <c r="P686" s="29">
        <f ca="1">ROUNDUP(_xlfn.NORM.INV(O685,O$10,O$12),0)</f>
        <v>244</v>
      </c>
      <c r="R686" s="22">
        <v>45231</v>
      </c>
      <c r="S686" s="26">
        <f t="shared" ca="1" si="91"/>
        <v>0.36995583546819333</v>
      </c>
      <c r="T686" s="29">
        <f ca="1">ROUNDUP(_xlfn.NORM.INV(S685,S$10,S$12),0)</f>
        <v>139</v>
      </c>
      <c r="V686" s="22">
        <v>45231</v>
      </c>
      <c r="W686" s="26">
        <f t="shared" ca="1" si="92"/>
        <v>0.30397054434434734</v>
      </c>
      <c r="X686" s="29">
        <f ca="1">ROUNDUP(_xlfn.NORM.INV(W685,W$10,W$12),0)</f>
        <v>263</v>
      </c>
      <c r="Z686" s="22">
        <v>45231</v>
      </c>
      <c r="AA686" s="26">
        <f t="shared" ca="1" si="93"/>
        <v>0.56350634690086887</v>
      </c>
      <c r="AB686" s="29">
        <f ca="1">ROUNDUP(_xlfn.NORM.INV(AA685,AA$10,AA$12),0)</f>
        <v>291</v>
      </c>
      <c r="AC686"/>
      <c r="AD686" s="25"/>
      <c r="AF686" s="22">
        <v>45231</v>
      </c>
      <c r="AG686" s="26">
        <f t="shared" ca="1" si="94"/>
        <v>0.50200128179002956</v>
      </c>
      <c r="AH686" s="29">
        <f ca="1">ROUNDUP(_xlfn.NORM.INV(AG685,AG$10,AG$12),0)</f>
        <v>422</v>
      </c>
      <c r="AJ686" s="22">
        <v>45231</v>
      </c>
      <c r="AK686" s="26">
        <f t="shared" ca="1" si="95"/>
        <v>0.51559506673432465</v>
      </c>
      <c r="AL686" s="29">
        <f ca="1">ROUNDUP(_xlfn.NORM.INV(AK685,AK$10,AK$12),0)</f>
        <v>180</v>
      </c>
      <c r="AN686" s="22">
        <v>45231</v>
      </c>
      <c r="AO686" s="26">
        <f t="shared" ca="1" si="96"/>
        <v>0.37546388844749046</v>
      </c>
      <c r="AP686" s="29">
        <f ca="1">ROUNDUP(_xlfn.NORM.INV(AO685,AO$10,AO$12),0)</f>
        <v>263</v>
      </c>
      <c r="AR686" s="22">
        <v>45231</v>
      </c>
      <c r="AS686" s="26">
        <f t="shared" ca="1" si="97"/>
        <v>0.7730745488730707</v>
      </c>
      <c r="AT686" s="29">
        <f ca="1">ROUNDUP(_xlfn.NORM.INV(AS685,AS$10,AS$12),0)</f>
        <v>197</v>
      </c>
      <c r="AV686" s="22">
        <v>45231</v>
      </c>
      <c r="AW686" s="26">
        <f t="shared" ca="1" si="98"/>
        <v>0.58870295102141335</v>
      </c>
      <c r="AX686" s="29">
        <f ca="1">ROUNDUP(_xlfn.NORM.INV(AW685,AW$10,AW$12),0)</f>
        <v>186</v>
      </c>
      <c r="AZ686" s="22">
        <v>45231</v>
      </c>
      <c r="BA686" s="26">
        <f t="shared" ca="1" si="99"/>
        <v>0.62171256937351937</v>
      </c>
      <c r="BB686" s="29">
        <v>0</v>
      </c>
      <c r="BC686"/>
      <c r="BD686" s="25"/>
      <c r="BF686" s="22">
        <v>45231</v>
      </c>
      <c r="BG686" s="26">
        <f t="shared" ca="1" si="100"/>
        <v>0.74750309826835026</v>
      </c>
      <c r="BH686" s="29">
        <v>0</v>
      </c>
      <c r="BJ686" s="22">
        <v>45231</v>
      </c>
      <c r="BK686" s="26">
        <f t="shared" ca="1" si="101"/>
        <v>0.33898961253282889</v>
      </c>
      <c r="BL686" s="29">
        <v>0</v>
      </c>
      <c r="BN686" s="22">
        <v>45231</v>
      </c>
      <c r="BO686" s="26">
        <f t="shared" ca="1" si="102"/>
        <v>0.41522968813308236</v>
      </c>
      <c r="BP686" s="29">
        <v>0</v>
      </c>
      <c r="BR686" s="22">
        <v>45231</v>
      </c>
      <c r="BS686" s="26">
        <f t="shared" ca="1" si="103"/>
        <v>0.35001760522601288</v>
      </c>
      <c r="BT686" s="29">
        <v>0</v>
      </c>
      <c r="BV686" s="22">
        <v>45231</v>
      </c>
      <c r="BW686" s="26">
        <f t="shared" ca="1" si="104"/>
        <v>0.34178727158592903</v>
      </c>
      <c r="BX686" s="29">
        <v>0</v>
      </c>
    </row>
    <row r="687" spans="2:77" ht="12.75" x14ac:dyDescent="0.2">
      <c r="B687" s="22">
        <v>45232</v>
      </c>
      <c r="C687" s="26">
        <f t="shared" ca="1" si="119"/>
        <v>0.77818193587516449</v>
      </c>
      <c r="D687" s="29">
        <f t="shared" ca="1" si="118"/>
        <v>91</v>
      </c>
      <c r="F687" s="22"/>
      <c r="G687" s="26">
        <f t="shared" ca="1" si="88"/>
        <v>0.32911751807341294</v>
      </c>
      <c r="H687" s="29">
        <f t="shared" ca="1" si="107"/>
        <v>210</v>
      </c>
      <c r="J687" s="22">
        <v>45232</v>
      </c>
      <c r="K687" s="26">
        <f t="shared" ca="1" si="89"/>
        <v>0.5259443949827296</v>
      </c>
      <c r="L687" s="29">
        <f t="shared" ca="1" si="108"/>
        <v>151</v>
      </c>
      <c r="N687" s="22">
        <v>45232</v>
      </c>
      <c r="O687" s="26">
        <f t="shared" ca="1" si="90"/>
        <v>0.55727371024167471</v>
      </c>
      <c r="P687" s="29">
        <f t="shared" ca="1" si="109"/>
        <v>232</v>
      </c>
      <c r="R687" s="22">
        <v>45232</v>
      </c>
      <c r="S687" s="26">
        <f t="shared" ca="1" si="91"/>
        <v>0.97707176789405681</v>
      </c>
      <c r="T687" s="29">
        <f t="shared" ca="1" si="110"/>
        <v>158</v>
      </c>
      <c r="V687" s="22">
        <v>45232</v>
      </c>
      <c r="W687" s="26">
        <f t="shared" ca="1" si="92"/>
        <v>0.82196291667996779</v>
      </c>
      <c r="X687" s="29">
        <f t="shared" ca="1" si="111"/>
        <v>239</v>
      </c>
      <c r="Z687" s="22">
        <v>45232</v>
      </c>
      <c r="AA687" s="26">
        <f t="shared" ca="1" si="93"/>
        <v>0.95329553436757963</v>
      </c>
      <c r="AB687" s="29">
        <f t="shared" ca="1" si="112"/>
        <v>301</v>
      </c>
      <c r="AC687"/>
      <c r="AD687" s="25"/>
      <c r="AF687" s="22">
        <v>45232</v>
      </c>
      <c r="AG687" s="26">
        <f t="shared" ca="1" si="94"/>
        <v>5.3114080983397982E-2</v>
      </c>
      <c r="AH687" s="29">
        <f t="shared" ca="1" si="113"/>
        <v>187</v>
      </c>
      <c r="AJ687" s="22">
        <v>45232</v>
      </c>
      <c r="AK687" s="26">
        <f t="shared" ca="1" si="95"/>
        <v>0.41351375465724838</v>
      </c>
      <c r="AL687" s="29">
        <f t="shared" ca="1" si="114"/>
        <v>161</v>
      </c>
      <c r="AN687" s="22">
        <v>45232</v>
      </c>
      <c r="AO687" s="26">
        <f t="shared" ca="1" si="96"/>
        <v>0.46585349922045594</v>
      </c>
      <c r="AP687" s="29">
        <f t="shared" ca="1" si="115"/>
        <v>227</v>
      </c>
      <c r="AR687" s="22">
        <v>45232</v>
      </c>
      <c r="AS687" s="26">
        <f t="shared" ca="1" si="97"/>
        <v>0.86130970629774528</v>
      </c>
      <c r="AT687" s="29">
        <f t="shared" ca="1" si="116"/>
        <v>256</v>
      </c>
      <c r="AV687" s="22">
        <v>45232</v>
      </c>
      <c r="AW687" s="26">
        <f t="shared" ca="1" si="98"/>
        <v>2.8219049495074033E-3</v>
      </c>
      <c r="AX687" s="29">
        <f t="shared" ca="1" si="117"/>
        <v>54</v>
      </c>
      <c r="AZ687" s="22">
        <v>45232</v>
      </c>
      <c r="BA687" s="26">
        <f t="shared" ca="1" si="99"/>
        <v>0.1142233142316893</v>
      </c>
      <c r="BB687" s="29">
        <f t="shared" ref="BB687:BB688" ca="1" si="120">ROUNDUP(_xlfn.NORM.INV(BA687,BA$10,BA$12),0)</f>
        <v>159</v>
      </c>
      <c r="BC687"/>
      <c r="BD687" s="25"/>
      <c r="BF687" s="22">
        <v>45232</v>
      </c>
      <c r="BG687" s="26">
        <f t="shared" ca="1" si="100"/>
        <v>0.18011069659191536</v>
      </c>
      <c r="BH687" s="29">
        <v>0</v>
      </c>
      <c r="BJ687" s="22">
        <v>45232</v>
      </c>
      <c r="BK687" s="26">
        <f t="shared" ca="1" si="101"/>
        <v>0.86944376322194583</v>
      </c>
      <c r="BL687" s="29">
        <v>0</v>
      </c>
      <c r="BN687" s="22">
        <v>45232</v>
      </c>
      <c r="BO687" s="26">
        <f t="shared" ca="1" si="102"/>
        <v>0.57705896223030961</v>
      </c>
      <c r="BP687" s="29">
        <v>0</v>
      </c>
      <c r="BR687" s="22">
        <v>45232</v>
      </c>
      <c r="BS687" s="26">
        <f t="shared" ca="1" si="103"/>
        <v>0.8027048812273001</v>
      </c>
      <c r="BT687" s="29">
        <v>0</v>
      </c>
      <c r="BV687" s="22">
        <v>45232</v>
      </c>
      <c r="BW687" s="26">
        <f t="shared" ca="1" si="104"/>
        <v>0.77169090030716814</v>
      </c>
      <c r="BX687" s="29">
        <v>0</v>
      </c>
    </row>
    <row r="688" spans="2:77" ht="12.75" x14ac:dyDescent="0.2">
      <c r="B688" s="22">
        <v>45233</v>
      </c>
      <c r="C688" s="26">
        <f t="shared" ca="1" si="119"/>
        <v>0.88761696568254345</v>
      </c>
      <c r="D688" s="29">
        <f t="shared" ca="1" si="118"/>
        <v>100</v>
      </c>
      <c r="F688" s="22"/>
      <c r="G688" s="26">
        <f t="shared" ca="1" si="88"/>
        <v>0.74891007604438986</v>
      </c>
      <c r="H688" s="29">
        <f t="shared" ca="1" si="107"/>
        <v>226</v>
      </c>
      <c r="J688" s="22">
        <v>45233</v>
      </c>
      <c r="K688" s="26">
        <f t="shared" ca="1" si="89"/>
        <v>0.25353228907420111</v>
      </c>
      <c r="L688" s="29">
        <f t="shared" ca="1" si="108"/>
        <v>144</v>
      </c>
      <c r="N688" s="22">
        <v>45233</v>
      </c>
      <c r="O688" s="26">
        <f t="shared" ca="1" si="90"/>
        <v>0.2411771618796783</v>
      </c>
      <c r="P688" s="29">
        <f t="shared" ca="1" si="109"/>
        <v>219</v>
      </c>
      <c r="R688" s="22">
        <v>45233</v>
      </c>
      <c r="S688" s="26">
        <f t="shared" ca="1" si="91"/>
        <v>0.24237334464528704</v>
      </c>
      <c r="T688" s="29">
        <f t="shared" ca="1" si="110"/>
        <v>133</v>
      </c>
      <c r="V688" s="22">
        <v>45233</v>
      </c>
      <c r="W688" s="26">
        <f t="shared" ca="1" si="92"/>
        <v>0.87738901379590639</v>
      </c>
      <c r="X688" s="29">
        <f t="shared" ca="1" si="111"/>
        <v>243</v>
      </c>
      <c r="Z688" s="22">
        <v>45233</v>
      </c>
      <c r="AA688" s="26">
        <f t="shared" ca="1" si="93"/>
        <v>0.72215344126202119</v>
      </c>
      <c r="AB688" s="29">
        <f t="shared" ca="1" si="112"/>
        <v>281</v>
      </c>
      <c r="AC688"/>
      <c r="AD688" s="25"/>
      <c r="AF688" s="22">
        <v>45233</v>
      </c>
      <c r="AG688" s="26">
        <f t="shared" ca="1" si="94"/>
        <v>0.74410151829392523</v>
      </c>
      <c r="AH688" s="29">
        <f t="shared" ca="1" si="113"/>
        <v>385</v>
      </c>
      <c r="AJ688" s="22">
        <v>45233</v>
      </c>
      <c r="AK688" s="26">
        <f t="shared" ca="1" si="95"/>
        <v>0.5237770273034793</v>
      </c>
      <c r="AL688" s="29">
        <f t="shared" ca="1" si="114"/>
        <v>174</v>
      </c>
      <c r="AN688" s="22">
        <v>45233</v>
      </c>
      <c r="AO688" s="26">
        <f t="shared" ca="1" si="96"/>
        <v>0.34438168643764611</v>
      </c>
      <c r="AP688" s="29">
        <f t="shared" ca="1" si="115"/>
        <v>208</v>
      </c>
      <c r="AR688" s="22">
        <v>45233</v>
      </c>
      <c r="AS688" s="26">
        <f t="shared" ca="1" si="97"/>
        <v>0.80606801375261461</v>
      </c>
      <c r="AT688" s="29">
        <f t="shared" ca="1" si="116"/>
        <v>244</v>
      </c>
      <c r="AV688" s="22">
        <v>45233</v>
      </c>
      <c r="AW688" s="26">
        <f t="shared" ca="1" si="98"/>
        <v>0.12740728092939135</v>
      </c>
      <c r="AX688" s="29">
        <f t="shared" ca="1" si="117"/>
        <v>144</v>
      </c>
      <c r="AZ688" s="22">
        <v>45233</v>
      </c>
      <c r="BA688" s="26">
        <f t="shared" ca="1" si="99"/>
        <v>0.23395488251985452</v>
      </c>
      <c r="BB688" s="29">
        <f t="shared" ca="1" si="120"/>
        <v>189</v>
      </c>
      <c r="BC688"/>
      <c r="BD688" s="25"/>
      <c r="BF688" s="22">
        <v>45233</v>
      </c>
      <c r="BG688" s="26">
        <f t="shared" ca="1" si="100"/>
        <v>0.41839698590854024</v>
      </c>
      <c r="BH688" s="29">
        <v>0</v>
      </c>
      <c r="BJ688" s="22">
        <v>45233</v>
      </c>
      <c r="BK688" s="26">
        <f t="shared" ca="1" si="101"/>
        <v>0.57028335810912056</v>
      </c>
      <c r="BL688" s="29">
        <v>0</v>
      </c>
      <c r="BN688" s="22">
        <v>45233</v>
      </c>
      <c r="BO688" s="26">
        <f t="shared" ca="1" si="102"/>
        <v>0.8489825416652802</v>
      </c>
      <c r="BP688" s="29">
        <v>0</v>
      </c>
      <c r="BR688" s="22">
        <v>45233</v>
      </c>
      <c r="BS688" s="26">
        <f t="shared" ca="1" si="103"/>
        <v>0.54733371918058027</v>
      </c>
      <c r="BT688" s="29">
        <v>0</v>
      </c>
      <c r="BV688" s="22">
        <v>45233</v>
      </c>
      <c r="BW688" s="26">
        <f t="shared" ca="1" si="104"/>
        <v>0.10892399445429135</v>
      </c>
      <c r="BX688" s="29">
        <v>0</v>
      </c>
    </row>
    <row r="689" spans="2:76" ht="12.75" x14ac:dyDescent="0.2">
      <c r="B689" s="22">
        <v>45234</v>
      </c>
      <c r="C689" s="26">
        <f t="shared" ca="1" si="119"/>
        <v>0.50430014381186672</v>
      </c>
      <c r="D689" s="29">
        <f t="shared" ca="1" si="118"/>
        <v>76</v>
      </c>
      <c r="F689" s="22"/>
      <c r="G689" s="26">
        <f t="shared" ca="1" si="88"/>
        <v>0.71673846401282526</v>
      </c>
      <c r="H689" s="29">
        <f t="shared" ref="H689:H752" ca="1" si="121">ROUNDUP(_xlfn.NORM.INV(G689,G$10,G$12),0)</f>
        <v>224</v>
      </c>
      <c r="J689" s="22">
        <v>45234</v>
      </c>
      <c r="K689" s="26">
        <f t="shared" ca="1" si="89"/>
        <v>0.70666203156224672</v>
      </c>
      <c r="L689" s="29">
        <f t="shared" ref="L689:L752" ca="1" si="122">ROUNDUP(_xlfn.NORM.INV(K689,K$10,K$12),0)</f>
        <v>156</v>
      </c>
      <c r="N689" s="22">
        <v>45234</v>
      </c>
      <c r="O689" s="26">
        <f t="shared" ca="1" si="90"/>
        <v>0.19961634155112096</v>
      </c>
      <c r="P689" s="29">
        <f t="shared" ref="P689:P752" ca="1" si="123">ROUNDUP(_xlfn.NORM.INV(O689,O$10,O$12),0)</f>
        <v>217</v>
      </c>
      <c r="R689" s="22">
        <v>45234</v>
      </c>
      <c r="S689" s="26">
        <f t="shared" ca="1" si="91"/>
        <v>0.81280488601906353</v>
      </c>
      <c r="T689" s="29">
        <f t="shared" ref="T689:T752" ca="1" si="124">ROUNDUP(_xlfn.NORM.INV(S689,S$10,S$12),0)</f>
        <v>147</v>
      </c>
      <c r="V689" s="22">
        <v>45234</v>
      </c>
      <c r="W689" s="26">
        <f t="shared" ca="1" si="92"/>
        <v>0.27598864040943039</v>
      </c>
      <c r="X689" s="29">
        <f t="shared" ref="X689:X752" ca="1" si="125">ROUNDUP(_xlfn.NORM.INV(W689,W$10,W$12),0)</f>
        <v>217</v>
      </c>
      <c r="Z689" s="22">
        <v>45234</v>
      </c>
      <c r="AA689" s="26">
        <f t="shared" ca="1" si="93"/>
        <v>0.48965282304453794</v>
      </c>
      <c r="AB689" s="29">
        <f t="shared" ref="AB689:AB752" ca="1" si="126">ROUNDUP(_xlfn.NORM.INV(AA689,AA$10,AA$12),0)</f>
        <v>270</v>
      </c>
      <c r="AC689"/>
      <c r="AD689" s="25"/>
      <c r="AF689" s="22">
        <v>45234</v>
      </c>
      <c r="AG689" s="26">
        <f t="shared" ca="1" si="94"/>
        <v>0.59113131512057715</v>
      </c>
      <c r="AH689" s="29">
        <f t="shared" ref="AH689:AH752" ca="1" si="127">ROUNDUP(_xlfn.NORM.INV(AG689,AG$10,AG$12),0)</f>
        <v>348</v>
      </c>
      <c r="AJ689" s="22">
        <v>45234</v>
      </c>
      <c r="AK689" s="26">
        <f t="shared" ca="1" si="95"/>
        <v>0.6680695776629163</v>
      </c>
      <c r="AL689" s="29">
        <f t="shared" ref="AL689:AL752" ca="1" si="128">ROUNDUP(_xlfn.NORM.INV(AK689,AK$10,AK$12),0)</f>
        <v>191</v>
      </c>
      <c r="AN689" s="22">
        <v>45234</v>
      </c>
      <c r="AO689" s="26">
        <f t="shared" ca="1" si="96"/>
        <v>0.61346074310560117</v>
      </c>
      <c r="AP689" s="29">
        <f t="shared" ref="AP689:AP752" ca="1" si="129">ROUNDUP(_xlfn.NORM.INV(AO689,AO$10,AO$12),0)</f>
        <v>250</v>
      </c>
      <c r="AR689" s="22">
        <v>45234</v>
      </c>
      <c r="AS689" s="26">
        <f t="shared" ca="1" si="97"/>
        <v>0.22542141107443381</v>
      </c>
      <c r="AT689" s="29">
        <f t="shared" ref="AT689:AT752" ca="1" si="130">ROUNDUP(_xlfn.NORM.INV(AS689,AS$10,AS$12),0)</f>
        <v>159</v>
      </c>
      <c r="AV689" s="22">
        <v>45234</v>
      </c>
      <c r="AW689" s="26">
        <f t="shared" ca="1" si="98"/>
        <v>0.5461791523434828</v>
      </c>
      <c r="AX689" s="29">
        <f t="shared" ref="AX689:AX752" ca="1" si="131">ROUNDUP(_xlfn.NORM.INV(AW689,AW$10,AW$12),0)</f>
        <v>212</v>
      </c>
      <c r="AZ689" s="22">
        <v>45234</v>
      </c>
      <c r="BA689" s="26">
        <f t="shared" ca="1" si="99"/>
        <v>0.40537971788832372</v>
      </c>
      <c r="BB689" s="29">
        <f t="shared" ref="BB689:BB752" ca="1" si="132">ROUNDUP(_xlfn.NORM.INV(BA689,BA$10,BA$12),0)</f>
        <v>219</v>
      </c>
      <c r="BC689"/>
      <c r="BD689" s="25"/>
      <c r="BF689" s="22">
        <v>45234</v>
      </c>
      <c r="BG689" s="26">
        <f t="shared" ca="1" si="100"/>
        <v>0.7165503031080126</v>
      </c>
      <c r="BH689" s="29">
        <v>0</v>
      </c>
      <c r="BJ689" s="22">
        <v>45234</v>
      </c>
      <c r="BK689" s="26">
        <f t="shared" ca="1" si="101"/>
        <v>4.0197039604822238E-2</v>
      </c>
      <c r="BL689" s="29">
        <v>0</v>
      </c>
      <c r="BN689" s="22">
        <v>45234</v>
      </c>
      <c r="BO689" s="26">
        <f t="shared" ca="1" si="102"/>
        <v>0.55526312119407462</v>
      </c>
      <c r="BP689" s="29">
        <v>0</v>
      </c>
      <c r="BR689" s="22">
        <v>45234</v>
      </c>
      <c r="BS689" s="26">
        <f t="shared" ca="1" si="103"/>
        <v>0.43198666647638373</v>
      </c>
      <c r="BT689" s="29">
        <v>0</v>
      </c>
      <c r="BV689" s="22">
        <v>45234</v>
      </c>
      <c r="BW689" s="26">
        <f t="shared" ca="1" si="104"/>
        <v>0.10631166773032941</v>
      </c>
      <c r="BX689" s="29">
        <v>0</v>
      </c>
    </row>
    <row r="690" spans="2:76" ht="12.75" x14ac:dyDescent="0.2">
      <c r="B690" s="22">
        <v>45235</v>
      </c>
      <c r="C690" s="26">
        <f t="shared" ca="1" si="119"/>
        <v>0.77231754653583107</v>
      </c>
      <c r="D690" s="29">
        <f t="shared" ca="1" si="118"/>
        <v>90</v>
      </c>
      <c r="F690" s="22"/>
      <c r="G690" s="26">
        <f t="shared" ca="1" si="88"/>
        <v>2.7046997348491919E-2</v>
      </c>
      <c r="H690" s="29">
        <f t="shared" ca="1" si="121"/>
        <v>188</v>
      </c>
      <c r="J690" s="22">
        <v>45235</v>
      </c>
      <c r="K690" s="26">
        <f t="shared" ca="1" si="89"/>
        <v>0.66752054121292459</v>
      </c>
      <c r="L690" s="29">
        <f t="shared" ca="1" si="122"/>
        <v>155</v>
      </c>
      <c r="N690" s="22">
        <v>45235</v>
      </c>
      <c r="O690" s="26">
        <f t="shared" ca="1" si="90"/>
        <v>0.76464919628100392</v>
      </c>
      <c r="P690" s="29">
        <f t="shared" ca="1" si="123"/>
        <v>241</v>
      </c>
      <c r="R690" s="22">
        <v>45235</v>
      </c>
      <c r="S690" s="26">
        <f t="shared" ca="1" si="91"/>
        <v>0.76199988898891535</v>
      </c>
      <c r="T690" s="29">
        <f t="shared" ca="1" si="124"/>
        <v>146</v>
      </c>
      <c r="V690" s="22">
        <v>45235</v>
      </c>
      <c r="W690" s="26">
        <f t="shared" ca="1" si="92"/>
        <v>0.35430874074812846</v>
      </c>
      <c r="X690" s="29">
        <f t="shared" ca="1" si="125"/>
        <v>220</v>
      </c>
      <c r="Z690" s="22">
        <v>45235</v>
      </c>
      <c r="AA690" s="26">
        <f t="shared" ca="1" si="93"/>
        <v>0.83846891168228765</v>
      </c>
      <c r="AB690" s="29">
        <f t="shared" ca="1" si="126"/>
        <v>288</v>
      </c>
      <c r="AC690"/>
      <c r="AD690" s="25"/>
      <c r="AF690" s="22">
        <v>45235</v>
      </c>
      <c r="AG690" s="26">
        <f t="shared" ca="1" si="94"/>
        <v>0.86551485576452736</v>
      </c>
      <c r="AH690" s="29">
        <f t="shared" ca="1" si="127"/>
        <v>424</v>
      </c>
      <c r="AJ690" s="22">
        <v>45235</v>
      </c>
      <c r="AK690" s="26">
        <f t="shared" ca="1" si="95"/>
        <v>0.55095241099772496</v>
      </c>
      <c r="AL690" s="29">
        <f t="shared" ca="1" si="128"/>
        <v>177</v>
      </c>
      <c r="AN690" s="22">
        <v>45235</v>
      </c>
      <c r="AO690" s="26">
        <f t="shared" ca="1" si="96"/>
        <v>0.28447721247333135</v>
      </c>
      <c r="AP690" s="29">
        <f t="shared" ca="1" si="129"/>
        <v>197</v>
      </c>
      <c r="AR690" s="22">
        <v>45235</v>
      </c>
      <c r="AS690" s="26">
        <f t="shared" ca="1" si="97"/>
        <v>0.75362115688019904</v>
      </c>
      <c r="AT690" s="29">
        <f t="shared" ca="1" si="130"/>
        <v>235</v>
      </c>
      <c r="AV690" s="22">
        <v>45235</v>
      </c>
      <c r="AW690" s="26">
        <f t="shared" ca="1" si="98"/>
        <v>0.82039795399465198</v>
      </c>
      <c r="AX690" s="29">
        <f t="shared" ca="1" si="131"/>
        <v>256</v>
      </c>
      <c r="AZ690" s="22">
        <v>45235</v>
      </c>
      <c r="BA690" s="26">
        <f t="shared" ca="1" si="99"/>
        <v>0.2574117097908224</v>
      </c>
      <c r="BB690" s="29">
        <f t="shared" ca="1" si="132"/>
        <v>193</v>
      </c>
      <c r="BC690"/>
      <c r="BD690" s="25"/>
      <c r="BF690" s="22">
        <v>45235</v>
      </c>
      <c r="BG690" s="26">
        <f t="shared" ca="1" si="100"/>
        <v>0.74423125410964019</v>
      </c>
      <c r="BH690" s="29">
        <v>0</v>
      </c>
      <c r="BJ690" s="22">
        <v>45235</v>
      </c>
      <c r="BK690" s="26">
        <f t="shared" ca="1" si="101"/>
        <v>0.45766499432806218</v>
      </c>
      <c r="BL690" s="29">
        <v>0</v>
      </c>
      <c r="BN690" s="22">
        <v>45235</v>
      </c>
      <c r="BO690" s="26">
        <f t="shared" ca="1" si="102"/>
        <v>0.52470790738714024</v>
      </c>
      <c r="BP690" s="29">
        <v>0</v>
      </c>
      <c r="BR690" s="22">
        <v>45235</v>
      </c>
      <c r="BS690" s="26">
        <f t="shared" ca="1" si="103"/>
        <v>0.38212692607556142</v>
      </c>
      <c r="BT690" s="29">
        <v>0</v>
      </c>
      <c r="BV690" s="22">
        <v>45235</v>
      </c>
      <c r="BW690" s="26">
        <f t="shared" ca="1" si="104"/>
        <v>1.8881335399585364E-3</v>
      </c>
      <c r="BX690" s="29">
        <v>0</v>
      </c>
    </row>
    <row r="691" spans="2:76" ht="12.75" x14ac:dyDescent="0.2">
      <c r="B691" s="22">
        <v>45236</v>
      </c>
      <c r="C691" s="26">
        <f t="shared" ca="1" si="119"/>
        <v>0.20848733012857412</v>
      </c>
      <c r="D691" s="29">
        <f t="shared" ca="1" si="118"/>
        <v>59</v>
      </c>
      <c r="F691" s="22"/>
      <c r="G691" s="26">
        <f t="shared" ca="1" si="88"/>
        <v>0.97112221744329441</v>
      </c>
      <c r="H691" s="29">
        <f t="shared" ca="1" si="121"/>
        <v>243</v>
      </c>
      <c r="J691" s="22">
        <v>45236</v>
      </c>
      <c r="K691" s="26">
        <f t="shared" ca="1" si="89"/>
        <v>0.47342785872099802</v>
      </c>
      <c r="L691" s="29">
        <f t="shared" ca="1" si="122"/>
        <v>150</v>
      </c>
      <c r="N691" s="22">
        <v>45236</v>
      </c>
      <c r="O691" s="26">
        <f t="shared" ca="1" si="90"/>
        <v>0.25038240553807156</v>
      </c>
      <c r="P691" s="29">
        <f t="shared" ca="1" si="123"/>
        <v>220</v>
      </c>
      <c r="R691" s="22">
        <v>45236</v>
      </c>
      <c r="S691" s="26">
        <f t="shared" ca="1" si="91"/>
        <v>0.889012546365887</v>
      </c>
      <c r="T691" s="29">
        <f t="shared" ca="1" si="124"/>
        <v>151</v>
      </c>
      <c r="V691" s="22">
        <v>45236</v>
      </c>
      <c r="W691" s="26">
        <f t="shared" ca="1" si="92"/>
        <v>0.61859676493531945</v>
      </c>
      <c r="X691" s="29">
        <f t="shared" ca="1" si="125"/>
        <v>230</v>
      </c>
      <c r="Z691" s="22">
        <v>45236</v>
      </c>
      <c r="AA691" s="26">
        <f t="shared" ca="1" si="93"/>
        <v>3.7856460883997523E-2</v>
      </c>
      <c r="AB691" s="29">
        <f t="shared" ca="1" si="126"/>
        <v>239</v>
      </c>
      <c r="AC691"/>
      <c r="AD691" s="25"/>
      <c r="AF691" s="22">
        <v>45236</v>
      </c>
      <c r="AG691" s="26">
        <f t="shared" ca="1" si="94"/>
        <v>0.77217361039476717</v>
      </c>
      <c r="AH691" s="29">
        <f t="shared" ca="1" si="127"/>
        <v>393</v>
      </c>
      <c r="AJ691" s="22">
        <v>45236</v>
      </c>
      <c r="AK691" s="26">
        <f t="shared" ca="1" si="95"/>
        <v>8.9019517753446964E-3</v>
      </c>
      <c r="AL691" s="29">
        <f t="shared" ca="1" si="128"/>
        <v>63</v>
      </c>
      <c r="AN691" s="22">
        <v>45236</v>
      </c>
      <c r="AO691" s="26">
        <f t="shared" ca="1" si="96"/>
        <v>0.42444318250088342</v>
      </c>
      <c r="AP691" s="29">
        <f t="shared" ca="1" si="129"/>
        <v>221</v>
      </c>
      <c r="AR691" s="22">
        <v>45236</v>
      </c>
      <c r="AS691" s="26">
        <f t="shared" ca="1" si="97"/>
        <v>0.13661896095108461</v>
      </c>
      <c r="AT691" s="29">
        <f t="shared" ca="1" si="130"/>
        <v>141</v>
      </c>
      <c r="AV691" s="22">
        <v>45236</v>
      </c>
      <c r="AW691" s="26">
        <f t="shared" ca="1" si="98"/>
        <v>0.33588217445396906</v>
      </c>
      <c r="AX691" s="29">
        <f t="shared" ca="1" si="131"/>
        <v>183</v>
      </c>
      <c r="AZ691" s="22">
        <v>45236</v>
      </c>
      <c r="BA691" s="26">
        <f t="shared" ca="1" si="99"/>
        <v>0.97431626312709463</v>
      </c>
      <c r="BB691" s="29">
        <f t="shared" ca="1" si="132"/>
        <v>355</v>
      </c>
      <c r="BC691"/>
      <c r="BD691" s="25"/>
      <c r="BF691" s="22">
        <v>45236</v>
      </c>
      <c r="BG691" s="26">
        <f t="shared" ca="1" si="100"/>
        <v>0.30921877288247934</v>
      </c>
      <c r="BH691" s="29">
        <v>0</v>
      </c>
      <c r="BJ691" s="22">
        <v>45236</v>
      </c>
      <c r="BK691" s="26">
        <f t="shared" ca="1" si="101"/>
        <v>0.53671963453748317</v>
      </c>
      <c r="BL691" s="29">
        <v>0</v>
      </c>
      <c r="BN691" s="22">
        <v>45236</v>
      </c>
      <c r="BO691" s="26">
        <f t="shared" ca="1" si="102"/>
        <v>0.64996457966496057</v>
      </c>
      <c r="BP691" s="29">
        <v>0</v>
      </c>
      <c r="BR691" s="22">
        <v>45236</v>
      </c>
      <c r="BS691" s="26">
        <f t="shared" ca="1" si="103"/>
        <v>0.46533003627001068</v>
      </c>
      <c r="BT691" s="29">
        <v>0</v>
      </c>
      <c r="BV691" s="22">
        <v>45236</v>
      </c>
      <c r="BW691" s="26">
        <f t="shared" ca="1" si="104"/>
        <v>0.80447303181064123</v>
      </c>
      <c r="BX691" s="29">
        <v>0</v>
      </c>
    </row>
    <row r="692" spans="2:76" ht="12.75" x14ac:dyDescent="0.2">
      <c r="B692" s="22">
        <v>45237</v>
      </c>
      <c r="C692" s="26">
        <f t="shared" ca="1" si="119"/>
        <v>0.95448149202471633</v>
      </c>
      <c r="D692" s="29">
        <f t="shared" ca="1" si="118"/>
        <v>109</v>
      </c>
      <c r="F692" s="22"/>
      <c r="G692" s="26">
        <f t="shared" ca="1" si="88"/>
        <v>8.4618340810705739E-2</v>
      </c>
      <c r="H692" s="29">
        <f t="shared" ca="1" si="121"/>
        <v>196</v>
      </c>
      <c r="J692" s="22">
        <v>45237</v>
      </c>
      <c r="K692" s="26">
        <f t="shared" ca="1" si="89"/>
        <v>0.54007494125848243</v>
      </c>
      <c r="L692" s="29">
        <f t="shared" ca="1" si="122"/>
        <v>152</v>
      </c>
      <c r="N692" s="22">
        <v>45237</v>
      </c>
      <c r="O692" s="26">
        <f t="shared" ca="1" si="90"/>
        <v>0.42231790748566578</v>
      </c>
      <c r="P692" s="29">
        <f t="shared" ca="1" si="123"/>
        <v>227</v>
      </c>
      <c r="R692" s="22">
        <v>45237</v>
      </c>
      <c r="S692" s="26">
        <f t="shared" ca="1" si="91"/>
        <v>9.3546459382595537E-2</v>
      </c>
      <c r="T692" s="29">
        <f t="shared" ca="1" si="124"/>
        <v>127</v>
      </c>
      <c r="V692" s="22">
        <v>45237</v>
      </c>
      <c r="W692" s="26">
        <f t="shared" ca="1" si="92"/>
        <v>0.16845405017225323</v>
      </c>
      <c r="X692" s="29">
        <f t="shared" ca="1" si="125"/>
        <v>211</v>
      </c>
      <c r="Z692" s="22">
        <v>45237</v>
      </c>
      <c r="AA692" s="26">
        <f t="shared" ca="1" si="93"/>
        <v>0.40904653273654412</v>
      </c>
      <c r="AB692" s="29">
        <f t="shared" ca="1" si="126"/>
        <v>266</v>
      </c>
      <c r="AC692"/>
      <c r="AD692" s="25"/>
      <c r="AF692" s="22">
        <v>45237</v>
      </c>
      <c r="AG692" s="26">
        <f t="shared" ca="1" si="94"/>
        <v>0.16066959568172512</v>
      </c>
      <c r="AH692" s="29">
        <f t="shared" ca="1" si="127"/>
        <v>241</v>
      </c>
      <c r="AJ692" s="22">
        <v>45237</v>
      </c>
      <c r="AK692" s="26">
        <f t="shared" ca="1" si="95"/>
        <v>0.7815763926600976</v>
      </c>
      <c r="AL692" s="29">
        <f t="shared" ca="1" si="128"/>
        <v>206</v>
      </c>
      <c r="AN692" s="22">
        <v>45237</v>
      </c>
      <c r="AO692" s="26">
        <f t="shared" ca="1" si="96"/>
        <v>0.93228823098961711</v>
      </c>
      <c r="AP692" s="29">
        <f t="shared" ca="1" si="129"/>
        <v>325</v>
      </c>
      <c r="AR692" s="22">
        <v>45237</v>
      </c>
      <c r="AS692" s="26">
        <f t="shared" ca="1" si="97"/>
        <v>0.80662910269021271</v>
      </c>
      <c r="AT692" s="29">
        <f t="shared" ca="1" si="130"/>
        <v>244</v>
      </c>
      <c r="AV692" s="22">
        <v>45237</v>
      </c>
      <c r="AW692" s="26">
        <f t="shared" ca="1" si="98"/>
        <v>0.26362364878901734</v>
      </c>
      <c r="AX692" s="29">
        <f t="shared" ca="1" si="131"/>
        <v>171</v>
      </c>
      <c r="AZ692" s="22">
        <v>45237</v>
      </c>
      <c r="BA692" s="26">
        <f t="shared" ca="1" si="99"/>
        <v>0.15230751697754263</v>
      </c>
      <c r="BB692" s="29">
        <f t="shared" ca="1" si="132"/>
        <v>170</v>
      </c>
      <c r="BC692"/>
      <c r="BD692" s="25"/>
      <c r="BF692" s="22">
        <v>45237</v>
      </c>
      <c r="BG692" s="26">
        <f t="shared" ca="1" si="100"/>
        <v>0.83825470208757014</v>
      </c>
      <c r="BH692" s="29">
        <v>0</v>
      </c>
      <c r="BJ692" s="22">
        <v>45237</v>
      </c>
      <c r="BK692" s="26">
        <f t="shared" ca="1" si="101"/>
        <v>9.7072912110752085E-2</v>
      </c>
      <c r="BL692" s="29">
        <v>0</v>
      </c>
      <c r="BN692" s="22">
        <v>45237</v>
      </c>
      <c r="BO692" s="26">
        <f t="shared" ca="1" si="102"/>
        <v>0.14835702105223425</v>
      </c>
      <c r="BP692" s="29">
        <v>0</v>
      </c>
      <c r="BR692" s="22">
        <v>45237</v>
      </c>
      <c r="BS692" s="26">
        <f t="shared" ca="1" si="103"/>
        <v>0.40865969207793451</v>
      </c>
      <c r="BT692" s="29">
        <v>0</v>
      </c>
      <c r="BV692" s="22">
        <v>45237</v>
      </c>
      <c r="BW692" s="26">
        <f t="shared" ca="1" si="104"/>
        <v>0.39186214958124899</v>
      </c>
      <c r="BX692" s="29">
        <v>0</v>
      </c>
    </row>
    <row r="693" spans="2:76" ht="12.75" x14ac:dyDescent="0.2">
      <c r="B693" s="22">
        <v>45238</v>
      </c>
      <c r="C693" s="26">
        <f t="shared" ca="1" si="119"/>
        <v>0.57091118614186109</v>
      </c>
      <c r="D693" s="29">
        <f t="shared" ca="1" si="118"/>
        <v>79</v>
      </c>
      <c r="F693" s="22"/>
      <c r="G693" s="26">
        <f t="shared" ca="1" si="88"/>
        <v>0.68608606662968696</v>
      </c>
      <c r="H693" s="29">
        <f t="shared" ca="1" si="121"/>
        <v>223</v>
      </c>
      <c r="J693" s="22">
        <v>45238</v>
      </c>
      <c r="K693" s="26">
        <f t="shared" ca="1" si="89"/>
        <v>0.1151704208282307</v>
      </c>
      <c r="L693" s="29">
        <f t="shared" ca="1" si="122"/>
        <v>139</v>
      </c>
      <c r="N693" s="22">
        <v>45238</v>
      </c>
      <c r="O693" s="26">
        <f t="shared" ca="1" si="90"/>
        <v>5.9804350524684913E-2</v>
      </c>
      <c r="P693" s="29">
        <f t="shared" ca="1" si="123"/>
        <v>206</v>
      </c>
      <c r="R693" s="22">
        <v>45238</v>
      </c>
      <c r="S693" s="26">
        <f t="shared" ca="1" si="91"/>
        <v>7.9914097344990886E-2</v>
      </c>
      <c r="T693" s="29">
        <f t="shared" ca="1" si="124"/>
        <v>126</v>
      </c>
      <c r="V693" s="22">
        <v>45238</v>
      </c>
      <c r="W693" s="26">
        <f t="shared" ca="1" si="92"/>
        <v>0.49281792884281717</v>
      </c>
      <c r="X693" s="29">
        <f t="shared" ca="1" si="125"/>
        <v>225</v>
      </c>
      <c r="Z693" s="22">
        <v>45238</v>
      </c>
      <c r="AA693" s="26">
        <f t="shared" ca="1" si="93"/>
        <v>0.22151186997808126</v>
      </c>
      <c r="AB693" s="29">
        <f t="shared" ca="1" si="126"/>
        <v>257</v>
      </c>
      <c r="AC693"/>
      <c r="AD693" s="25"/>
      <c r="AF693" s="22">
        <v>45238</v>
      </c>
      <c r="AG693" s="26">
        <f t="shared" ca="1" si="94"/>
        <v>0.55417969205373696</v>
      </c>
      <c r="AH693" s="29">
        <f t="shared" ca="1" si="127"/>
        <v>339</v>
      </c>
      <c r="AJ693" s="22">
        <v>45238</v>
      </c>
      <c r="AK693" s="26">
        <f t="shared" ca="1" si="95"/>
        <v>0.66661686665504116</v>
      </c>
      <c r="AL693" s="29">
        <f t="shared" ca="1" si="128"/>
        <v>190</v>
      </c>
      <c r="AN693" s="22">
        <v>45238</v>
      </c>
      <c r="AO693" s="26">
        <f t="shared" ca="1" si="96"/>
        <v>0.27798018418934956</v>
      </c>
      <c r="AP693" s="29">
        <f t="shared" ca="1" si="129"/>
        <v>196</v>
      </c>
      <c r="AR693" s="22">
        <v>45238</v>
      </c>
      <c r="AS693" s="26">
        <f t="shared" ca="1" si="97"/>
        <v>0.49580450853325853</v>
      </c>
      <c r="AT693" s="29">
        <f t="shared" ca="1" si="130"/>
        <v>198</v>
      </c>
      <c r="AV693" s="22">
        <v>45238</v>
      </c>
      <c r="AW693" s="26">
        <f t="shared" ca="1" si="98"/>
        <v>0.55666451044176202</v>
      </c>
      <c r="AX693" s="29">
        <f t="shared" ca="1" si="131"/>
        <v>214</v>
      </c>
      <c r="AZ693" s="22">
        <v>45238</v>
      </c>
      <c r="BA693" s="26">
        <f t="shared" ca="1" si="99"/>
        <v>0.35117502636789177</v>
      </c>
      <c r="BB693" s="29">
        <f t="shared" ca="1" si="132"/>
        <v>210</v>
      </c>
      <c r="BC693"/>
      <c r="BD693" s="25"/>
      <c r="BF693" s="22">
        <v>45238</v>
      </c>
      <c r="BG693" s="26">
        <f t="shared" ca="1" si="100"/>
        <v>4.5424710785176292E-2</v>
      </c>
      <c r="BH693" s="29">
        <v>0</v>
      </c>
      <c r="BJ693" s="22">
        <v>45238</v>
      </c>
      <c r="BK693" s="26">
        <f t="shared" ca="1" si="101"/>
        <v>0.89607077707706784</v>
      </c>
      <c r="BL693" s="29">
        <v>0</v>
      </c>
      <c r="BN693" s="22">
        <v>45238</v>
      </c>
      <c r="BO693" s="26">
        <f t="shared" ca="1" si="102"/>
        <v>2.6466361917667935E-2</v>
      </c>
      <c r="BP693" s="29">
        <v>0</v>
      </c>
      <c r="BR693" s="22">
        <v>45238</v>
      </c>
      <c r="BS693" s="26">
        <f t="shared" ca="1" si="103"/>
        <v>0.72029696329793735</v>
      </c>
      <c r="BT693" s="29">
        <v>0</v>
      </c>
      <c r="BV693" s="22">
        <v>45238</v>
      </c>
      <c r="BW693" s="26">
        <f t="shared" ca="1" si="104"/>
        <v>0.49344942049711771</v>
      </c>
      <c r="BX693" s="29">
        <v>0</v>
      </c>
    </row>
    <row r="694" spans="2:76" ht="12.75" x14ac:dyDescent="0.2">
      <c r="B694" s="22">
        <v>45239</v>
      </c>
      <c r="C694" s="26">
        <f t="shared" ca="1" si="119"/>
        <v>0.37573764302314239</v>
      </c>
      <c r="D694" s="29">
        <f t="shared" ca="1" si="118"/>
        <v>69</v>
      </c>
      <c r="F694" s="22"/>
      <c r="G694" s="26">
        <f t="shared" ca="1" si="88"/>
        <v>0.18555532841557976</v>
      </c>
      <c r="H694" s="29">
        <f t="shared" ca="1" si="121"/>
        <v>203</v>
      </c>
      <c r="J694" s="22">
        <v>45239</v>
      </c>
      <c r="K694" s="26">
        <f t="shared" ca="1" si="89"/>
        <v>0.81771999067110024</v>
      </c>
      <c r="L694" s="29">
        <f t="shared" ca="1" si="122"/>
        <v>160</v>
      </c>
      <c r="N694" s="22">
        <v>45239</v>
      </c>
      <c r="O694" s="26">
        <f t="shared" ca="1" si="90"/>
        <v>0.5914815416940018</v>
      </c>
      <c r="P694" s="29">
        <f t="shared" ca="1" si="123"/>
        <v>233</v>
      </c>
      <c r="R694" s="22">
        <v>45239</v>
      </c>
      <c r="S694" s="26">
        <f t="shared" ca="1" si="91"/>
        <v>8.0586674318908202E-2</v>
      </c>
      <c r="T694" s="29">
        <f t="shared" ca="1" si="124"/>
        <v>126</v>
      </c>
      <c r="V694" s="22">
        <v>45239</v>
      </c>
      <c r="W694" s="26">
        <f t="shared" ca="1" si="92"/>
        <v>0.69576899839843731</v>
      </c>
      <c r="X694" s="29">
        <f t="shared" ca="1" si="125"/>
        <v>233</v>
      </c>
      <c r="Z694" s="22">
        <v>45239</v>
      </c>
      <c r="AA694" s="26">
        <f t="shared" ca="1" si="93"/>
        <v>0.84103745693401855</v>
      </c>
      <c r="AB694" s="29">
        <f t="shared" ca="1" si="126"/>
        <v>288</v>
      </c>
      <c r="AC694"/>
      <c r="AD694" s="25"/>
      <c r="AF694" s="22">
        <v>45239</v>
      </c>
      <c r="AG694" s="26">
        <f t="shared" ca="1" si="94"/>
        <v>0.16192520121668119</v>
      </c>
      <c r="AH694" s="29">
        <f t="shared" ca="1" si="127"/>
        <v>241</v>
      </c>
      <c r="AJ694" s="22">
        <v>45239</v>
      </c>
      <c r="AK694" s="26">
        <f t="shared" ca="1" si="95"/>
        <v>0.85940274790055571</v>
      </c>
      <c r="AL694" s="29">
        <f t="shared" ca="1" si="128"/>
        <v>220</v>
      </c>
      <c r="AN694" s="22">
        <v>45239</v>
      </c>
      <c r="AO694" s="26">
        <f t="shared" ca="1" si="96"/>
        <v>0.47133359311998535</v>
      </c>
      <c r="AP694" s="29">
        <f t="shared" ca="1" si="129"/>
        <v>228</v>
      </c>
      <c r="AR694" s="22">
        <v>45239</v>
      </c>
      <c r="AS694" s="26">
        <f t="shared" ca="1" si="97"/>
        <v>8.2138122365922439E-2</v>
      </c>
      <c r="AT694" s="29">
        <f t="shared" ca="1" si="130"/>
        <v>125</v>
      </c>
      <c r="AV694" s="22">
        <v>45239</v>
      </c>
      <c r="AW694" s="26">
        <f t="shared" ca="1" si="98"/>
        <v>0.99540976242832069</v>
      </c>
      <c r="AX694" s="29">
        <f t="shared" ca="1" si="131"/>
        <v>349</v>
      </c>
      <c r="AZ694" s="22">
        <v>45239</v>
      </c>
      <c r="BA694" s="26">
        <f t="shared" ca="1" si="99"/>
        <v>0.85779792445076108</v>
      </c>
      <c r="BB694" s="29">
        <f t="shared" ca="1" si="132"/>
        <v>301</v>
      </c>
      <c r="BC694"/>
      <c r="BD694" s="25"/>
      <c r="BF694" s="22">
        <v>45239</v>
      </c>
      <c r="BG694" s="26">
        <f t="shared" ca="1" si="100"/>
        <v>0.34653051188013639</v>
      </c>
      <c r="BH694" s="29">
        <v>0</v>
      </c>
      <c r="BJ694" s="22">
        <v>45239</v>
      </c>
      <c r="BK694" s="26">
        <f t="shared" ca="1" si="101"/>
        <v>3.6976681837544767E-2</v>
      </c>
      <c r="BL694" s="29">
        <v>0</v>
      </c>
      <c r="BN694" s="22">
        <v>45239</v>
      </c>
      <c r="BO694" s="26">
        <f t="shared" ca="1" si="102"/>
        <v>0.45378020990211321</v>
      </c>
      <c r="BP694" s="29">
        <v>0</v>
      </c>
      <c r="BR694" s="22">
        <v>45239</v>
      </c>
      <c r="BS694" s="26">
        <f t="shared" ca="1" si="103"/>
        <v>0.92221859753802149</v>
      </c>
      <c r="BT694" s="29">
        <v>0</v>
      </c>
      <c r="BV694" s="22">
        <v>45239</v>
      </c>
      <c r="BW694" s="26">
        <f t="shared" ca="1" si="104"/>
        <v>0.23468302692943743</v>
      </c>
      <c r="BX694" s="29">
        <v>0</v>
      </c>
    </row>
    <row r="695" spans="2:76" ht="12.75" x14ac:dyDescent="0.2">
      <c r="B695" s="22">
        <v>45240</v>
      </c>
      <c r="C695" s="26">
        <f t="shared" ca="1" si="119"/>
        <v>1.1481906970556954E-2</v>
      </c>
      <c r="D695" s="29">
        <f t="shared" ca="1" si="118"/>
        <v>30</v>
      </c>
      <c r="F695" s="22"/>
      <c r="G695" s="26">
        <f t="shared" ca="1" si="88"/>
        <v>0.15340345713711268</v>
      </c>
      <c r="H695" s="29">
        <f t="shared" ca="1" si="121"/>
        <v>201</v>
      </c>
      <c r="J695" s="22">
        <v>45240</v>
      </c>
      <c r="K695" s="26">
        <f t="shared" ca="1" si="89"/>
        <v>0.2609483577907411</v>
      </c>
      <c r="L695" s="29">
        <f t="shared" ca="1" si="122"/>
        <v>144</v>
      </c>
      <c r="N695" s="22">
        <v>45240</v>
      </c>
      <c r="O695" s="26">
        <f t="shared" ca="1" si="90"/>
        <v>0.60790209873075685</v>
      </c>
      <c r="P695" s="29">
        <f t="shared" ca="1" si="123"/>
        <v>234</v>
      </c>
      <c r="R695" s="22">
        <v>45240</v>
      </c>
      <c r="S695" s="26">
        <f t="shared" ca="1" si="91"/>
        <v>0.76782611234866593</v>
      </c>
      <c r="T695" s="29">
        <f t="shared" ca="1" si="124"/>
        <v>146</v>
      </c>
      <c r="V695" s="22">
        <v>45240</v>
      </c>
      <c r="W695" s="26">
        <f t="shared" ca="1" si="92"/>
        <v>3.5391038061207691E-2</v>
      </c>
      <c r="X695" s="29">
        <f t="shared" ca="1" si="125"/>
        <v>198</v>
      </c>
      <c r="Z695" s="22">
        <v>45240</v>
      </c>
      <c r="AA695" s="26">
        <f t="shared" ca="1" si="93"/>
        <v>0.55776222703095413</v>
      </c>
      <c r="AB695" s="29">
        <f t="shared" ca="1" si="126"/>
        <v>273</v>
      </c>
      <c r="AC695"/>
      <c r="AD695" s="25"/>
      <c r="AF695" s="22">
        <v>45240</v>
      </c>
      <c r="AG695" s="26">
        <f t="shared" ca="1" si="94"/>
        <v>0.96217607507432201</v>
      </c>
      <c r="AH695" s="29">
        <f t="shared" ca="1" si="127"/>
        <v>482</v>
      </c>
      <c r="AJ695" s="22">
        <v>45240</v>
      </c>
      <c r="AK695" s="26">
        <f t="shared" ca="1" si="95"/>
        <v>0.93796127608672775</v>
      </c>
      <c r="AL695" s="29">
        <f t="shared" ca="1" si="128"/>
        <v>241</v>
      </c>
      <c r="AN695" s="22">
        <v>45240</v>
      </c>
      <c r="AO695" s="26">
        <f t="shared" ca="1" si="96"/>
        <v>8.7338046135710945E-3</v>
      </c>
      <c r="AP695" s="29">
        <f t="shared" ca="1" si="129"/>
        <v>85</v>
      </c>
      <c r="AR695" s="22">
        <v>45240</v>
      </c>
      <c r="AS695" s="26">
        <f t="shared" ca="1" si="97"/>
        <v>0.74929466563471525</v>
      </c>
      <c r="AT695" s="29">
        <f t="shared" ca="1" si="130"/>
        <v>234</v>
      </c>
      <c r="AV695" s="22">
        <v>45240</v>
      </c>
      <c r="AW695" s="26">
        <f t="shared" ca="1" si="98"/>
        <v>0.33501713769584196</v>
      </c>
      <c r="AX695" s="29">
        <f t="shared" ca="1" si="131"/>
        <v>183</v>
      </c>
      <c r="AZ695" s="22">
        <v>45240</v>
      </c>
      <c r="BA695" s="26">
        <f t="shared" ca="1" si="99"/>
        <v>0.72193763052893445</v>
      </c>
      <c r="BB695" s="29">
        <f t="shared" ca="1" si="132"/>
        <v>271</v>
      </c>
      <c r="BC695"/>
      <c r="BD695" s="25"/>
      <c r="BF695" s="22">
        <v>45240</v>
      </c>
      <c r="BG695" s="26">
        <f t="shared" ca="1" si="100"/>
        <v>0.11311079222416742</v>
      </c>
      <c r="BH695" s="29">
        <v>0</v>
      </c>
      <c r="BJ695" s="22">
        <v>45240</v>
      </c>
      <c r="BK695" s="26">
        <f t="shared" ca="1" si="101"/>
        <v>0.81403448677762869</v>
      </c>
      <c r="BL695" s="29">
        <v>0</v>
      </c>
      <c r="BN695" s="22">
        <v>45240</v>
      </c>
      <c r="BO695" s="26">
        <f t="shared" ca="1" si="102"/>
        <v>0.29792203755372026</v>
      </c>
      <c r="BP695" s="29">
        <v>0</v>
      </c>
      <c r="BR695" s="22">
        <v>45240</v>
      </c>
      <c r="BS695" s="26">
        <f t="shared" ca="1" si="103"/>
        <v>0.81661627458052199</v>
      </c>
      <c r="BT695" s="29">
        <v>0</v>
      </c>
      <c r="BV695" s="22">
        <v>45240</v>
      </c>
      <c r="BW695" s="26">
        <f t="shared" ca="1" si="104"/>
        <v>0.50608339171469741</v>
      </c>
      <c r="BX695" s="29">
        <v>0</v>
      </c>
    </row>
    <row r="696" spans="2:76" ht="12.75" x14ac:dyDescent="0.2">
      <c r="B696" s="22">
        <v>45241</v>
      </c>
      <c r="C696" s="26">
        <f t="shared" ca="1" si="119"/>
        <v>0.36275161957430901</v>
      </c>
      <c r="D696" s="29">
        <f t="shared" ca="1" si="118"/>
        <v>68</v>
      </c>
      <c r="F696" s="22"/>
      <c r="G696" s="26">
        <f t="shared" ca="1" si="88"/>
        <v>0.74495274004726109</v>
      </c>
      <c r="H696" s="29">
        <f t="shared" ca="1" si="121"/>
        <v>225</v>
      </c>
      <c r="J696" s="22">
        <v>45241</v>
      </c>
      <c r="K696" s="26">
        <f t="shared" ca="1" si="89"/>
        <v>0.45731919873953308</v>
      </c>
      <c r="L696" s="29">
        <f t="shared" ca="1" si="122"/>
        <v>149</v>
      </c>
      <c r="N696" s="22">
        <v>45241</v>
      </c>
      <c r="O696" s="26">
        <f t="shared" ca="1" si="90"/>
        <v>0.54625752046535214</v>
      </c>
      <c r="P696" s="29">
        <f t="shared" ca="1" si="123"/>
        <v>232</v>
      </c>
      <c r="R696" s="22">
        <v>45241</v>
      </c>
      <c r="S696" s="26">
        <f t="shared" ca="1" si="91"/>
        <v>0.74403752996855466</v>
      </c>
      <c r="T696" s="29">
        <f t="shared" ca="1" si="124"/>
        <v>145</v>
      </c>
      <c r="V696" s="22">
        <v>45241</v>
      </c>
      <c r="W696" s="26">
        <f t="shared" ca="1" si="92"/>
        <v>0.97175761111770009</v>
      </c>
      <c r="X696" s="29">
        <f t="shared" ca="1" si="125"/>
        <v>254</v>
      </c>
      <c r="Z696" s="22">
        <v>45241</v>
      </c>
      <c r="AA696" s="26">
        <f t="shared" ca="1" si="93"/>
        <v>0.45990593698029991</v>
      </c>
      <c r="AB696" s="29">
        <f t="shared" ca="1" si="126"/>
        <v>269</v>
      </c>
      <c r="AC696"/>
      <c r="AD696" s="25"/>
      <c r="AF696" s="22">
        <v>45241</v>
      </c>
      <c r="AG696" s="26">
        <f t="shared" ca="1" si="94"/>
        <v>0.90076472505719607</v>
      </c>
      <c r="AH696" s="29">
        <f t="shared" ca="1" si="127"/>
        <v>440</v>
      </c>
      <c r="AJ696" s="22">
        <v>45241</v>
      </c>
      <c r="AK696" s="26">
        <f t="shared" ca="1" si="95"/>
        <v>0.57649236961633199</v>
      </c>
      <c r="AL696" s="29">
        <f t="shared" ca="1" si="128"/>
        <v>180</v>
      </c>
      <c r="AN696" s="22">
        <v>45241</v>
      </c>
      <c r="AO696" s="26">
        <f t="shared" ca="1" si="96"/>
        <v>0.72672372954633147</v>
      </c>
      <c r="AP696" s="29">
        <f t="shared" ca="1" si="129"/>
        <v>270</v>
      </c>
      <c r="AR696" s="22">
        <v>45241</v>
      </c>
      <c r="AS696" s="26">
        <f t="shared" ca="1" si="97"/>
        <v>5.5071454907577033E-3</v>
      </c>
      <c r="AT696" s="29">
        <f t="shared" ca="1" si="130"/>
        <v>64</v>
      </c>
      <c r="AV696" s="22">
        <v>45241</v>
      </c>
      <c r="AW696" s="26">
        <f t="shared" ca="1" si="98"/>
        <v>0.51571081747019487</v>
      </c>
      <c r="AX696" s="29">
        <f t="shared" ca="1" si="131"/>
        <v>208</v>
      </c>
      <c r="AZ696" s="22">
        <v>45241</v>
      </c>
      <c r="BA696" s="26">
        <f t="shared" ca="1" si="99"/>
        <v>0.25058018200475896</v>
      </c>
      <c r="BB696" s="29">
        <f t="shared" ca="1" si="132"/>
        <v>192</v>
      </c>
      <c r="BC696"/>
      <c r="BD696" s="25"/>
      <c r="BF696" s="22">
        <v>45241</v>
      </c>
      <c r="BG696" s="26">
        <f t="shared" ca="1" si="100"/>
        <v>0.81917566039544287</v>
      </c>
      <c r="BH696" s="29">
        <v>0</v>
      </c>
      <c r="BJ696" s="22">
        <v>45241</v>
      </c>
      <c r="BK696" s="26">
        <f t="shared" ca="1" si="101"/>
        <v>0.72579582076600835</v>
      </c>
      <c r="BL696" s="29">
        <v>0</v>
      </c>
      <c r="BN696" s="22">
        <v>45241</v>
      </c>
      <c r="BO696" s="26">
        <f t="shared" ca="1" si="102"/>
        <v>0.42765762497126525</v>
      </c>
      <c r="BP696" s="29">
        <v>0</v>
      </c>
      <c r="BR696" s="22">
        <v>45241</v>
      </c>
      <c r="BS696" s="26">
        <f t="shared" ca="1" si="103"/>
        <v>0.11594497713363705</v>
      </c>
      <c r="BT696" s="29">
        <v>0</v>
      </c>
      <c r="BV696" s="22">
        <v>45241</v>
      </c>
      <c r="BW696" s="26">
        <f t="shared" ca="1" si="104"/>
        <v>0.66068442606955924</v>
      </c>
      <c r="BX696" s="29">
        <v>0</v>
      </c>
    </row>
    <row r="697" spans="2:76" ht="12.75" x14ac:dyDescent="0.2">
      <c r="B697" s="22">
        <v>45242</v>
      </c>
      <c r="C697" s="26">
        <f t="shared" ca="1" si="119"/>
        <v>0.33659477228458701</v>
      </c>
      <c r="D697" s="29">
        <f t="shared" ca="1" si="118"/>
        <v>67</v>
      </c>
      <c r="F697" s="22"/>
      <c r="G697" s="26">
        <f t="shared" ca="1" si="88"/>
        <v>0.47343423472553148</v>
      </c>
      <c r="H697" s="29">
        <f t="shared" ca="1" si="121"/>
        <v>215</v>
      </c>
      <c r="J697" s="22">
        <v>45242</v>
      </c>
      <c r="K697" s="26">
        <f t="shared" ca="1" si="89"/>
        <v>0.31772155234540123</v>
      </c>
      <c r="L697" s="29">
        <f t="shared" ca="1" si="122"/>
        <v>146</v>
      </c>
      <c r="N697" s="22">
        <v>45242</v>
      </c>
      <c r="O697" s="26">
        <f t="shared" ca="1" si="90"/>
        <v>0.88731150872872522</v>
      </c>
      <c r="P697" s="29">
        <f t="shared" ca="1" si="123"/>
        <v>248</v>
      </c>
      <c r="R697" s="22">
        <v>45242</v>
      </c>
      <c r="S697" s="26">
        <f t="shared" ca="1" si="91"/>
        <v>0.43827393213903576</v>
      </c>
      <c r="T697" s="29">
        <f t="shared" ca="1" si="124"/>
        <v>138</v>
      </c>
      <c r="V697" s="22">
        <v>45242</v>
      </c>
      <c r="W697" s="26">
        <f t="shared" ca="1" si="92"/>
        <v>0.23632524338408967</v>
      </c>
      <c r="X697" s="29">
        <f t="shared" ca="1" si="125"/>
        <v>215</v>
      </c>
      <c r="Z697" s="22">
        <v>45242</v>
      </c>
      <c r="AA697" s="26">
        <f t="shared" ca="1" si="93"/>
        <v>0.61604449499586378</v>
      </c>
      <c r="AB697" s="29">
        <f t="shared" ca="1" si="126"/>
        <v>276</v>
      </c>
      <c r="AC697"/>
      <c r="AD697" s="25"/>
      <c r="AF697" s="22">
        <v>45242</v>
      </c>
      <c r="AG697" s="26">
        <f t="shared" ca="1" si="94"/>
        <v>0.86847081662486769</v>
      </c>
      <c r="AH697" s="29">
        <f t="shared" ca="1" si="127"/>
        <v>425</v>
      </c>
      <c r="AJ697" s="22">
        <v>45242</v>
      </c>
      <c r="AK697" s="26">
        <f t="shared" ca="1" si="95"/>
        <v>0.24452793781892068</v>
      </c>
      <c r="AL697" s="29">
        <f t="shared" ca="1" si="128"/>
        <v>139</v>
      </c>
      <c r="AN697" s="22">
        <v>45242</v>
      </c>
      <c r="AO697" s="26">
        <f t="shared" ca="1" si="96"/>
        <v>0.98756593414494365</v>
      </c>
      <c r="AP697" s="29">
        <f t="shared" ca="1" si="129"/>
        <v>371</v>
      </c>
      <c r="AR697" s="22">
        <v>45242</v>
      </c>
      <c r="AS697" s="26">
        <f t="shared" ca="1" si="97"/>
        <v>0.53804633388905643</v>
      </c>
      <c r="AT697" s="29">
        <f t="shared" ca="1" si="130"/>
        <v>204</v>
      </c>
      <c r="AV697" s="22">
        <v>45242</v>
      </c>
      <c r="AW697" s="26">
        <f t="shared" ca="1" si="98"/>
        <v>0.23179031992536947</v>
      </c>
      <c r="AX697" s="29">
        <f t="shared" ca="1" si="131"/>
        <v>166</v>
      </c>
      <c r="AZ697" s="22">
        <v>45242</v>
      </c>
      <c r="BA697" s="26">
        <f t="shared" ca="1" si="99"/>
        <v>0.48171318943769248</v>
      </c>
      <c r="BB697" s="29">
        <f t="shared" ca="1" si="132"/>
        <v>231</v>
      </c>
      <c r="BC697"/>
      <c r="BD697" s="25"/>
      <c r="BF697" s="22">
        <v>45242</v>
      </c>
      <c r="BG697" s="26">
        <f t="shared" ca="1" si="100"/>
        <v>0.73965837601121276</v>
      </c>
      <c r="BH697" s="29">
        <v>0</v>
      </c>
      <c r="BJ697" s="22">
        <v>45242</v>
      </c>
      <c r="BK697" s="26">
        <f t="shared" ca="1" si="101"/>
        <v>0.97882472645696816</v>
      </c>
      <c r="BL697" s="29">
        <v>0</v>
      </c>
      <c r="BN697" s="22">
        <v>45242</v>
      </c>
      <c r="BO697" s="26">
        <f t="shared" ca="1" si="102"/>
        <v>0.46618040171889719</v>
      </c>
      <c r="BP697" s="29">
        <v>0</v>
      </c>
      <c r="BR697" s="22">
        <v>45242</v>
      </c>
      <c r="BS697" s="26">
        <f t="shared" ca="1" si="103"/>
        <v>6.0973127224925205E-2</v>
      </c>
      <c r="BT697" s="29">
        <v>0</v>
      </c>
      <c r="BV697" s="22">
        <v>45242</v>
      </c>
      <c r="BW697" s="26">
        <f t="shared" ca="1" si="104"/>
        <v>0.72947953745848237</v>
      </c>
      <c r="BX697" s="29">
        <v>0</v>
      </c>
    </row>
    <row r="698" spans="2:76" ht="12.75" x14ac:dyDescent="0.2">
      <c r="B698" s="22">
        <v>45243</v>
      </c>
      <c r="C698" s="26">
        <f t="shared" ca="1" si="119"/>
        <v>9.9447526546136866E-2</v>
      </c>
      <c r="D698" s="29">
        <f t="shared" ca="1" si="118"/>
        <v>50</v>
      </c>
      <c r="F698" s="22"/>
      <c r="G698" s="26">
        <f t="shared" ca="1" si="88"/>
        <v>0.13519032002266684</v>
      </c>
      <c r="H698" s="29">
        <f t="shared" ca="1" si="121"/>
        <v>200</v>
      </c>
      <c r="J698" s="22">
        <v>45243</v>
      </c>
      <c r="K698" s="26">
        <f t="shared" ca="1" si="89"/>
        <v>0.19014177201794358</v>
      </c>
      <c r="L698" s="29">
        <f t="shared" ca="1" si="122"/>
        <v>142</v>
      </c>
      <c r="N698" s="22">
        <v>45243</v>
      </c>
      <c r="O698" s="26">
        <f t="shared" ca="1" si="90"/>
        <v>0.4209374417959636</v>
      </c>
      <c r="P698" s="29">
        <f t="shared" ca="1" si="123"/>
        <v>227</v>
      </c>
      <c r="R698" s="22">
        <v>45243</v>
      </c>
      <c r="S698" s="26">
        <f t="shared" ca="1" si="91"/>
        <v>0.37313111684764211</v>
      </c>
      <c r="T698" s="29">
        <f t="shared" ca="1" si="124"/>
        <v>136</v>
      </c>
      <c r="V698" s="22">
        <v>45243</v>
      </c>
      <c r="W698" s="26">
        <f t="shared" ca="1" si="92"/>
        <v>0.90952914593921064</v>
      </c>
      <c r="X698" s="29">
        <f t="shared" ca="1" si="125"/>
        <v>246</v>
      </c>
      <c r="Z698" s="22">
        <v>45243</v>
      </c>
      <c r="AA698" s="26">
        <f t="shared" ca="1" si="93"/>
        <v>6.1621865197785342E-2</v>
      </c>
      <c r="AB698" s="29">
        <f t="shared" ca="1" si="126"/>
        <v>243</v>
      </c>
      <c r="AC698"/>
      <c r="AD698" s="25"/>
      <c r="AF698" s="22">
        <v>45243</v>
      </c>
      <c r="AG698" s="26">
        <f t="shared" ca="1" si="94"/>
        <v>0.28762676280974486</v>
      </c>
      <c r="AH698" s="29">
        <f t="shared" ca="1" si="127"/>
        <v>279</v>
      </c>
      <c r="AJ698" s="22">
        <v>45243</v>
      </c>
      <c r="AK698" s="26">
        <f t="shared" ca="1" si="95"/>
        <v>0.19479184431511565</v>
      </c>
      <c r="AL698" s="29">
        <f t="shared" ca="1" si="128"/>
        <v>132</v>
      </c>
      <c r="AN698" s="22">
        <v>45243</v>
      </c>
      <c r="AO698" s="26">
        <f t="shared" ca="1" si="96"/>
        <v>8.0584939609750661E-2</v>
      </c>
      <c r="AP698" s="29">
        <f t="shared" ca="1" si="129"/>
        <v>146</v>
      </c>
      <c r="AR698" s="22">
        <v>45243</v>
      </c>
      <c r="AS698" s="26">
        <f t="shared" ca="1" si="97"/>
        <v>0.72022862325985781</v>
      </c>
      <c r="AT698" s="29">
        <f t="shared" ca="1" si="130"/>
        <v>229</v>
      </c>
      <c r="AV698" s="22">
        <v>45243</v>
      </c>
      <c r="AW698" s="26">
        <f t="shared" ca="1" si="98"/>
        <v>0.86650911518737639</v>
      </c>
      <c r="AX698" s="29">
        <f t="shared" ca="1" si="131"/>
        <v>267</v>
      </c>
      <c r="AZ698" s="22">
        <v>45243</v>
      </c>
      <c r="BA698" s="26">
        <f t="shared" ca="1" si="99"/>
        <v>0.54988192553074244</v>
      </c>
      <c r="BB698" s="29">
        <f t="shared" ca="1" si="132"/>
        <v>242</v>
      </c>
      <c r="BC698"/>
      <c r="BD698" s="25"/>
      <c r="BF698" s="22">
        <v>45243</v>
      </c>
      <c r="BG698" s="26">
        <f t="shared" ca="1" si="100"/>
        <v>0.92814115950798093</v>
      </c>
      <c r="BH698" s="29">
        <v>0</v>
      </c>
      <c r="BJ698" s="22">
        <v>45243</v>
      </c>
      <c r="BK698" s="26">
        <f t="shared" ca="1" si="101"/>
        <v>0.88942795268042574</v>
      </c>
      <c r="BL698" s="29">
        <v>0</v>
      </c>
      <c r="BN698" s="22">
        <v>45243</v>
      </c>
      <c r="BO698" s="26">
        <f t="shared" ca="1" si="102"/>
        <v>9.4669019813392818E-2</v>
      </c>
      <c r="BP698" s="29">
        <v>0</v>
      </c>
      <c r="BR698" s="22">
        <v>45243</v>
      </c>
      <c r="BS698" s="26">
        <f t="shared" ca="1" si="103"/>
        <v>0.32245642637885208</v>
      </c>
      <c r="BT698" s="29">
        <v>0</v>
      </c>
      <c r="BV698" s="22">
        <v>45243</v>
      </c>
      <c r="BW698" s="26">
        <f t="shared" ca="1" si="104"/>
        <v>0.39736035324543595</v>
      </c>
      <c r="BX698" s="29">
        <v>0</v>
      </c>
    </row>
    <row r="699" spans="2:76" ht="12.75" x14ac:dyDescent="0.2">
      <c r="B699" s="22">
        <v>45244</v>
      </c>
      <c r="C699" s="26">
        <f t="shared" ca="1" si="119"/>
        <v>0.32412020232819438</v>
      </c>
      <c r="D699" s="29">
        <f t="shared" ca="1" si="118"/>
        <v>66</v>
      </c>
      <c r="F699" s="22"/>
      <c r="G699" s="26">
        <f t="shared" ca="1" si="88"/>
        <v>0.49220080344092398</v>
      </c>
      <c r="H699" s="29">
        <f t="shared" ca="1" si="121"/>
        <v>216</v>
      </c>
      <c r="J699" s="22">
        <v>45244</v>
      </c>
      <c r="K699" s="26">
        <f t="shared" ca="1" si="89"/>
        <v>0.36203678039334164</v>
      </c>
      <c r="L699" s="29">
        <f t="shared" ca="1" si="122"/>
        <v>147</v>
      </c>
      <c r="N699" s="22">
        <v>45244</v>
      </c>
      <c r="O699" s="26">
        <f t="shared" ca="1" si="90"/>
        <v>0.6282307320701398</v>
      </c>
      <c r="P699" s="29">
        <f t="shared" ca="1" si="123"/>
        <v>235</v>
      </c>
      <c r="R699" s="22">
        <v>45244</v>
      </c>
      <c r="S699" s="26">
        <f t="shared" ca="1" si="91"/>
        <v>0.4654984542645535</v>
      </c>
      <c r="T699" s="29">
        <f t="shared" ca="1" si="124"/>
        <v>138</v>
      </c>
      <c r="V699" s="22">
        <v>45244</v>
      </c>
      <c r="W699" s="26">
        <f t="shared" ca="1" si="92"/>
        <v>0.37206851434221533</v>
      </c>
      <c r="X699" s="29">
        <f t="shared" ca="1" si="125"/>
        <v>221</v>
      </c>
      <c r="Z699" s="22">
        <v>45244</v>
      </c>
      <c r="AA699" s="26">
        <f t="shared" ca="1" si="93"/>
        <v>0.31752394583795762</v>
      </c>
      <c r="AB699" s="29">
        <f t="shared" ca="1" si="126"/>
        <v>262</v>
      </c>
      <c r="AC699"/>
      <c r="AD699" s="25"/>
      <c r="AF699" s="22">
        <v>45244</v>
      </c>
      <c r="AG699" s="26">
        <f t="shared" ca="1" si="94"/>
        <v>0.18624735549748883</v>
      </c>
      <c r="AH699" s="29">
        <f t="shared" ca="1" si="127"/>
        <v>250</v>
      </c>
      <c r="AJ699" s="22">
        <v>45244</v>
      </c>
      <c r="AK699" s="26">
        <f t="shared" ca="1" si="95"/>
        <v>0.58589307104989219</v>
      </c>
      <c r="AL699" s="29">
        <f t="shared" ca="1" si="128"/>
        <v>181</v>
      </c>
      <c r="AN699" s="22">
        <v>45244</v>
      </c>
      <c r="AO699" s="26">
        <f t="shared" ca="1" si="96"/>
        <v>0.20510222088330687</v>
      </c>
      <c r="AP699" s="29">
        <f t="shared" ca="1" si="129"/>
        <v>182</v>
      </c>
      <c r="AR699" s="22">
        <v>45244</v>
      </c>
      <c r="AS699" s="26">
        <f t="shared" ca="1" si="97"/>
        <v>0.10798546309168322</v>
      </c>
      <c r="AT699" s="29">
        <f t="shared" ca="1" si="130"/>
        <v>133</v>
      </c>
      <c r="AV699" s="22">
        <v>45244</v>
      </c>
      <c r="AW699" s="26">
        <f t="shared" ca="1" si="98"/>
        <v>0.31656435005400951</v>
      </c>
      <c r="AX699" s="29">
        <f t="shared" ca="1" si="131"/>
        <v>180</v>
      </c>
      <c r="AZ699" s="22">
        <v>45244</v>
      </c>
      <c r="BA699" s="26">
        <f t="shared" ca="1" si="99"/>
        <v>0.74596228800430708</v>
      </c>
      <c r="BB699" s="29">
        <f t="shared" ca="1" si="132"/>
        <v>275</v>
      </c>
      <c r="BC699"/>
      <c r="BD699" s="25"/>
      <c r="BF699" s="22">
        <v>45244</v>
      </c>
      <c r="BG699" s="26">
        <f t="shared" ca="1" si="100"/>
        <v>6.1234228620861919E-2</v>
      </c>
      <c r="BH699" s="29">
        <v>0</v>
      </c>
      <c r="BJ699" s="22">
        <v>45244</v>
      </c>
      <c r="BK699" s="26">
        <f t="shared" ca="1" si="101"/>
        <v>0.80003936986236701</v>
      </c>
      <c r="BL699" s="29">
        <v>0</v>
      </c>
      <c r="BN699" s="22">
        <v>45244</v>
      </c>
      <c r="BO699" s="26">
        <f t="shared" ca="1" si="102"/>
        <v>0.79306236148681963</v>
      </c>
      <c r="BP699" s="29">
        <v>0</v>
      </c>
      <c r="BR699" s="22">
        <v>45244</v>
      </c>
      <c r="BS699" s="26">
        <f t="shared" ca="1" si="103"/>
        <v>0.38860763025377099</v>
      </c>
      <c r="BT699" s="29">
        <v>0</v>
      </c>
      <c r="BV699" s="22">
        <v>45244</v>
      </c>
      <c r="BW699" s="26">
        <f t="shared" ca="1" si="104"/>
        <v>0.73976776626816587</v>
      </c>
      <c r="BX699" s="29">
        <v>0</v>
      </c>
    </row>
    <row r="700" spans="2:76" ht="12.75" x14ac:dyDescent="0.2">
      <c r="B700" s="22">
        <v>45245</v>
      </c>
      <c r="C700" s="26">
        <f t="shared" ca="1" si="119"/>
        <v>5.8119286735397457E-2</v>
      </c>
      <c r="D700" s="29">
        <f t="shared" ca="1" si="118"/>
        <v>44</v>
      </c>
      <c r="F700" s="22"/>
      <c r="G700" s="26">
        <f t="shared" ca="1" si="88"/>
        <v>0.13216739260377552</v>
      </c>
      <c r="H700" s="29">
        <f t="shared" ca="1" si="121"/>
        <v>200</v>
      </c>
      <c r="J700" s="22">
        <v>45245</v>
      </c>
      <c r="K700" s="26">
        <f t="shared" ca="1" si="89"/>
        <v>0.62408911396156908</v>
      </c>
      <c r="L700" s="29">
        <f t="shared" ca="1" si="122"/>
        <v>154</v>
      </c>
      <c r="N700" s="22">
        <v>45245</v>
      </c>
      <c r="O700" s="26">
        <f t="shared" ca="1" si="90"/>
        <v>0.30329498762859219</v>
      </c>
      <c r="P700" s="29">
        <f t="shared" ca="1" si="123"/>
        <v>222</v>
      </c>
      <c r="R700" s="22">
        <v>45245</v>
      </c>
      <c r="S700" s="26">
        <f t="shared" ca="1" si="91"/>
        <v>0.63605632011404678</v>
      </c>
      <c r="T700" s="29">
        <f t="shared" ca="1" si="124"/>
        <v>142</v>
      </c>
      <c r="V700" s="22">
        <v>45245</v>
      </c>
      <c r="W700" s="26">
        <f t="shared" ca="1" si="92"/>
        <v>0.19863246585014216</v>
      </c>
      <c r="X700" s="29">
        <f t="shared" ca="1" si="125"/>
        <v>213</v>
      </c>
      <c r="Z700" s="22">
        <v>45245</v>
      </c>
      <c r="AA700" s="26">
        <f t="shared" ca="1" si="93"/>
        <v>0.74459772309145111</v>
      </c>
      <c r="AB700" s="29">
        <f t="shared" ca="1" si="126"/>
        <v>282</v>
      </c>
      <c r="AC700"/>
      <c r="AD700" s="25"/>
      <c r="AF700" s="22">
        <v>45245</v>
      </c>
      <c r="AG700" s="26">
        <f t="shared" ca="1" si="94"/>
        <v>0.35558870270136023</v>
      </c>
      <c r="AH700" s="29">
        <f t="shared" ca="1" si="127"/>
        <v>295</v>
      </c>
      <c r="AJ700" s="22">
        <v>45245</v>
      </c>
      <c r="AK700" s="26">
        <f t="shared" ca="1" si="95"/>
        <v>0.47330540562917955</v>
      </c>
      <c r="AL700" s="29">
        <f t="shared" ca="1" si="128"/>
        <v>168</v>
      </c>
      <c r="AN700" s="22">
        <v>45245</v>
      </c>
      <c r="AO700" s="26">
        <f t="shared" ca="1" si="96"/>
        <v>0.75019599914039836</v>
      </c>
      <c r="AP700" s="29">
        <f t="shared" ca="1" si="129"/>
        <v>274</v>
      </c>
      <c r="AR700" s="22">
        <v>45245</v>
      </c>
      <c r="AS700" s="26">
        <f t="shared" ca="1" si="97"/>
        <v>0.70960175495213362</v>
      </c>
      <c r="AT700" s="29">
        <f t="shared" ca="1" si="130"/>
        <v>228</v>
      </c>
      <c r="AV700" s="22">
        <v>45245</v>
      </c>
      <c r="AW700" s="26">
        <f t="shared" ca="1" si="98"/>
        <v>0.47481641956890797</v>
      </c>
      <c r="AX700" s="29">
        <f t="shared" ca="1" si="131"/>
        <v>203</v>
      </c>
      <c r="AZ700" s="22">
        <v>45245</v>
      </c>
      <c r="BA700" s="26">
        <f t="shared" ca="1" si="99"/>
        <v>0.53191926175507109</v>
      </c>
      <c r="BB700" s="29">
        <f t="shared" ca="1" si="132"/>
        <v>239</v>
      </c>
      <c r="BC700"/>
      <c r="BD700" s="25"/>
      <c r="BF700" s="22">
        <v>45245</v>
      </c>
      <c r="BG700" s="26">
        <f t="shared" ca="1" si="100"/>
        <v>0.41009863071770725</v>
      </c>
      <c r="BH700" s="29">
        <v>0</v>
      </c>
      <c r="BJ700" s="22">
        <v>45245</v>
      </c>
      <c r="BK700" s="26">
        <f t="shared" ca="1" si="101"/>
        <v>0.22117745797783173</v>
      </c>
      <c r="BL700" s="29">
        <v>0</v>
      </c>
      <c r="BN700" s="22">
        <v>45245</v>
      </c>
      <c r="BO700" s="26">
        <f t="shared" ca="1" si="102"/>
        <v>0.57404753271520947</v>
      </c>
      <c r="BP700" s="29">
        <v>0</v>
      </c>
      <c r="BR700" s="22">
        <v>45245</v>
      </c>
      <c r="BS700" s="26">
        <f t="shared" ca="1" si="103"/>
        <v>0.10319519299825441</v>
      </c>
      <c r="BT700" s="29">
        <v>0</v>
      </c>
      <c r="BV700" s="22">
        <v>45245</v>
      </c>
      <c r="BW700" s="26">
        <f t="shared" ca="1" si="104"/>
        <v>0.65691858502095524</v>
      </c>
      <c r="BX700" s="29">
        <v>0</v>
      </c>
    </row>
    <row r="701" spans="2:76" ht="12.75" x14ac:dyDescent="0.2">
      <c r="B701" s="22">
        <v>45246</v>
      </c>
      <c r="C701" s="26">
        <f t="shared" ca="1" si="119"/>
        <v>0.2751179084024078</v>
      </c>
      <c r="D701" s="29">
        <f t="shared" ca="1" si="118"/>
        <v>64</v>
      </c>
      <c r="F701" s="22"/>
      <c r="G701" s="26">
        <f t="shared" ca="1" si="88"/>
        <v>0.9624800853897536</v>
      </c>
      <c r="H701" s="29">
        <f t="shared" ca="1" si="121"/>
        <v>241</v>
      </c>
      <c r="J701" s="22">
        <v>45246</v>
      </c>
      <c r="K701" s="26">
        <f t="shared" ca="1" si="89"/>
        <v>0.34860309230814501</v>
      </c>
      <c r="L701" s="29">
        <f t="shared" ca="1" si="122"/>
        <v>147</v>
      </c>
      <c r="N701" s="22">
        <v>45246</v>
      </c>
      <c r="O701" s="26">
        <f t="shared" ca="1" si="90"/>
        <v>0.83774035005343572</v>
      </c>
      <c r="P701" s="29">
        <f t="shared" ca="1" si="123"/>
        <v>245</v>
      </c>
      <c r="R701" s="22">
        <v>45246</v>
      </c>
      <c r="S701" s="26">
        <f t="shared" ca="1" si="91"/>
        <v>0.66644153910628168</v>
      </c>
      <c r="T701" s="29">
        <f t="shared" ca="1" si="124"/>
        <v>143</v>
      </c>
      <c r="V701" s="22">
        <v>45246</v>
      </c>
      <c r="W701" s="26">
        <f t="shared" ca="1" si="92"/>
        <v>0.59522877081631476</v>
      </c>
      <c r="X701" s="29">
        <f t="shared" ca="1" si="125"/>
        <v>229</v>
      </c>
      <c r="Z701" s="22">
        <v>45246</v>
      </c>
      <c r="AA701" s="26">
        <f t="shared" ca="1" si="93"/>
        <v>0.34348596955130917</v>
      </c>
      <c r="AB701" s="29">
        <f t="shared" ca="1" si="126"/>
        <v>263</v>
      </c>
      <c r="AC701"/>
      <c r="AD701" s="25"/>
      <c r="AF701" s="22">
        <v>45246</v>
      </c>
      <c r="AG701" s="26">
        <f t="shared" ca="1" si="94"/>
        <v>0.45666152151090489</v>
      </c>
      <c r="AH701" s="29">
        <f t="shared" ca="1" si="127"/>
        <v>318</v>
      </c>
      <c r="AJ701" s="22">
        <v>45246</v>
      </c>
      <c r="AK701" s="26">
        <f t="shared" ca="1" si="95"/>
        <v>0.72391744339261832</v>
      </c>
      <c r="AL701" s="29">
        <f t="shared" ca="1" si="128"/>
        <v>198</v>
      </c>
      <c r="AN701" s="22">
        <v>45246</v>
      </c>
      <c r="AO701" s="26">
        <f t="shared" ca="1" si="96"/>
        <v>2.9222159024200334E-3</v>
      </c>
      <c r="AP701" s="29">
        <f t="shared" ca="1" si="129"/>
        <v>62</v>
      </c>
      <c r="AR701" s="22">
        <v>45246</v>
      </c>
      <c r="AS701" s="26">
        <f t="shared" ca="1" si="97"/>
        <v>0.96636161676211207</v>
      </c>
      <c r="AT701" s="29">
        <f t="shared" ca="1" si="130"/>
        <v>295</v>
      </c>
      <c r="AV701" s="22">
        <v>45246</v>
      </c>
      <c r="AW701" s="26">
        <f t="shared" ca="1" si="98"/>
        <v>0.570493057660171</v>
      </c>
      <c r="AX701" s="29">
        <f t="shared" ca="1" si="131"/>
        <v>216</v>
      </c>
      <c r="AZ701" s="22">
        <v>45246</v>
      </c>
      <c r="BA701" s="26">
        <f t="shared" ca="1" si="99"/>
        <v>0.54366246620254155</v>
      </c>
      <c r="BB701" s="29">
        <f t="shared" ca="1" si="132"/>
        <v>241</v>
      </c>
      <c r="BC701"/>
      <c r="BD701" s="25"/>
      <c r="BF701" s="22">
        <v>45246</v>
      </c>
      <c r="BG701" s="26">
        <f t="shared" ca="1" si="100"/>
        <v>0.55378548541819106</v>
      </c>
      <c r="BH701" s="29">
        <v>0</v>
      </c>
      <c r="BJ701" s="22">
        <v>45246</v>
      </c>
      <c r="BK701" s="26">
        <f t="shared" ca="1" si="101"/>
        <v>6.0935514047749662E-3</v>
      </c>
      <c r="BL701" s="29">
        <v>0</v>
      </c>
      <c r="BN701" s="22">
        <v>45246</v>
      </c>
      <c r="BO701" s="26">
        <f t="shared" ca="1" si="102"/>
        <v>7.2869121294912742E-2</v>
      </c>
      <c r="BP701" s="29">
        <v>0</v>
      </c>
      <c r="BR701" s="22">
        <v>45246</v>
      </c>
      <c r="BS701" s="26">
        <f t="shared" ca="1" si="103"/>
        <v>0.3941904993478258</v>
      </c>
      <c r="BT701" s="29">
        <v>0</v>
      </c>
      <c r="BV701" s="22">
        <v>45246</v>
      </c>
      <c r="BW701" s="26">
        <f t="shared" ca="1" si="104"/>
        <v>0.97738037316862847</v>
      </c>
      <c r="BX701" s="29">
        <v>0</v>
      </c>
    </row>
    <row r="702" spans="2:76" ht="12.75" x14ac:dyDescent="0.2">
      <c r="B702" s="22">
        <v>45247</v>
      </c>
      <c r="C702" s="26">
        <f t="shared" ca="1" si="119"/>
        <v>0.1899547816964019</v>
      </c>
      <c r="D702" s="29">
        <f t="shared" ca="1" si="118"/>
        <v>58</v>
      </c>
      <c r="F702" s="22"/>
      <c r="G702" s="26">
        <f t="shared" ca="1" si="88"/>
        <v>0.41406738115506947</v>
      </c>
      <c r="H702" s="29">
        <f t="shared" ca="1" si="121"/>
        <v>213</v>
      </c>
      <c r="J702" s="22">
        <v>45247</v>
      </c>
      <c r="K702" s="26">
        <f t="shared" ca="1" si="89"/>
        <v>8.9561216482623385E-2</v>
      </c>
      <c r="L702" s="29">
        <f t="shared" ca="1" si="122"/>
        <v>137</v>
      </c>
      <c r="N702" s="22">
        <v>45247</v>
      </c>
      <c r="O702" s="26">
        <f t="shared" ca="1" si="90"/>
        <v>5.7209959663912846E-2</v>
      </c>
      <c r="P702" s="29">
        <f t="shared" ca="1" si="123"/>
        <v>206</v>
      </c>
      <c r="R702" s="22">
        <v>45247</v>
      </c>
      <c r="S702" s="26">
        <f t="shared" ca="1" si="91"/>
        <v>0.44694889095333401</v>
      </c>
      <c r="T702" s="29">
        <f t="shared" ca="1" si="124"/>
        <v>138</v>
      </c>
      <c r="V702" s="22">
        <v>45247</v>
      </c>
      <c r="W702" s="26">
        <f t="shared" ca="1" si="92"/>
        <v>0.8295033586479712</v>
      </c>
      <c r="X702" s="29">
        <f t="shared" ca="1" si="125"/>
        <v>240</v>
      </c>
      <c r="Z702" s="22">
        <v>45247</v>
      </c>
      <c r="AA702" s="26">
        <f t="shared" ca="1" si="93"/>
        <v>0.48742702628795342</v>
      </c>
      <c r="AB702" s="29">
        <f t="shared" ca="1" si="126"/>
        <v>270</v>
      </c>
      <c r="AC702"/>
      <c r="AD702" s="25"/>
      <c r="AF702" s="22">
        <v>45247</v>
      </c>
      <c r="AG702" s="26">
        <f t="shared" ca="1" si="94"/>
        <v>0.9940404412793864</v>
      </c>
      <c r="AH702" s="29">
        <f t="shared" ca="1" si="127"/>
        <v>547</v>
      </c>
      <c r="AJ702" s="22">
        <v>45247</v>
      </c>
      <c r="AK702" s="26">
        <f t="shared" ca="1" si="95"/>
        <v>2.3766174385520977E-2</v>
      </c>
      <c r="AL702" s="29">
        <f t="shared" ca="1" si="128"/>
        <v>81</v>
      </c>
      <c r="AN702" s="22">
        <v>45247</v>
      </c>
      <c r="AO702" s="26">
        <f t="shared" ca="1" si="96"/>
        <v>0.80848292731162641</v>
      </c>
      <c r="AP702" s="29">
        <f t="shared" ca="1" si="129"/>
        <v>287</v>
      </c>
      <c r="AR702" s="22">
        <v>45247</v>
      </c>
      <c r="AS702" s="26">
        <f t="shared" ca="1" si="97"/>
        <v>0.14767851640921892</v>
      </c>
      <c r="AT702" s="29">
        <f t="shared" ca="1" si="130"/>
        <v>143</v>
      </c>
      <c r="AV702" s="22">
        <v>45247</v>
      </c>
      <c r="AW702" s="26">
        <f t="shared" ca="1" si="98"/>
        <v>0.20397722558083065</v>
      </c>
      <c r="AX702" s="29">
        <f t="shared" ca="1" si="131"/>
        <v>161</v>
      </c>
      <c r="AZ702" s="22">
        <v>45247</v>
      </c>
      <c r="BA702" s="26">
        <f t="shared" ca="1" si="99"/>
        <v>0.53379232567801704</v>
      </c>
      <c r="BB702" s="29">
        <f t="shared" ca="1" si="132"/>
        <v>239</v>
      </c>
      <c r="BC702"/>
      <c r="BD702" s="25"/>
      <c r="BF702" s="22">
        <v>45247</v>
      </c>
      <c r="BG702" s="26">
        <f t="shared" ca="1" si="100"/>
        <v>0.24232259937419542</v>
      </c>
      <c r="BH702" s="29">
        <v>0</v>
      </c>
      <c r="BJ702" s="22">
        <v>45247</v>
      </c>
      <c r="BK702" s="26">
        <f t="shared" ca="1" si="101"/>
        <v>7.5592190552038474E-3</v>
      </c>
      <c r="BL702" s="29">
        <v>0</v>
      </c>
      <c r="BN702" s="22">
        <v>45247</v>
      </c>
      <c r="BO702" s="26">
        <f t="shared" ca="1" si="102"/>
        <v>0.50382631149537349</v>
      </c>
      <c r="BP702" s="29">
        <v>0</v>
      </c>
      <c r="BR702" s="22">
        <v>45247</v>
      </c>
      <c r="BS702" s="26">
        <f t="shared" ca="1" si="103"/>
        <v>5.8529624553281923E-2</v>
      </c>
      <c r="BT702" s="29">
        <v>0</v>
      </c>
      <c r="BV702" s="22">
        <v>45247</v>
      </c>
      <c r="BW702" s="26">
        <f t="shared" ca="1" si="104"/>
        <v>0.70730947847072323</v>
      </c>
      <c r="BX702" s="29">
        <v>0</v>
      </c>
    </row>
    <row r="703" spans="2:76" ht="12.75" x14ac:dyDescent="0.2">
      <c r="B703" s="22">
        <v>45248</v>
      </c>
      <c r="C703" s="26">
        <f t="shared" ca="1" si="119"/>
        <v>0.26436127198892745</v>
      </c>
      <c r="D703" s="29">
        <f t="shared" ca="1" si="118"/>
        <v>63</v>
      </c>
      <c r="F703" s="22"/>
      <c r="G703" s="26">
        <f t="shared" ca="1" si="88"/>
        <v>0.21528368976652257</v>
      </c>
      <c r="H703" s="29">
        <f t="shared" ca="1" si="121"/>
        <v>205</v>
      </c>
      <c r="J703" s="22">
        <v>45248</v>
      </c>
      <c r="K703" s="26">
        <f t="shared" ca="1" si="89"/>
        <v>0.42963165376223122</v>
      </c>
      <c r="L703" s="29">
        <f t="shared" ca="1" si="122"/>
        <v>149</v>
      </c>
      <c r="N703" s="22">
        <v>45248</v>
      </c>
      <c r="O703" s="26">
        <f t="shared" ca="1" si="90"/>
        <v>0.53338738692045506</v>
      </c>
      <c r="P703" s="29">
        <f t="shared" ca="1" si="123"/>
        <v>231</v>
      </c>
      <c r="R703" s="22">
        <v>45248</v>
      </c>
      <c r="S703" s="26">
        <f t="shared" ca="1" si="91"/>
        <v>0.24230393198543565</v>
      </c>
      <c r="T703" s="29">
        <f t="shared" ca="1" si="124"/>
        <v>133</v>
      </c>
      <c r="V703" s="22">
        <v>45248</v>
      </c>
      <c r="W703" s="26">
        <f t="shared" ca="1" si="92"/>
        <v>0.97450725176315001</v>
      </c>
      <c r="X703" s="29">
        <f t="shared" ca="1" si="125"/>
        <v>255</v>
      </c>
      <c r="Z703" s="22">
        <v>45248</v>
      </c>
      <c r="AA703" s="26">
        <f t="shared" ca="1" si="93"/>
        <v>0.68951900236221497</v>
      </c>
      <c r="AB703" s="29">
        <f t="shared" ca="1" si="126"/>
        <v>279</v>
      </c>
      <c r="AC703"/>
      <c r="AD703" s="25"/>
      <c r="AF703" s="22">
        <v>45248</v>
      </c>
      <c r="AG703" s="26">
        <f t="shared" ca="1" si="94"/>
        <v>0.96835139278160998</v>
      </c>
      <c r="AH703" s="29">
        <f t="shared" ca="1" si="127"/>
        <v>489</v>
      </c>
      <c r="AJ703" s="22">
        <v>45248</v>
      </c>
      <c r="AK703" s="26">
        <f t="shared" ca="1" si="95"/>
        <v>0.50002821674074238</v>
      </c>
      <c r="AL703" s="29">
        <f t="shared" ca="1" si="128"/>
        <v>171</v>
      </c>
      <c r="AN703" s="22">
        <v>45248</v>
      </c>
      <c r="AO703" s="26">
        <f t="shared" ca="1" si="96"/>
        <v>0.1385822182611649</v>
      </c>
      <c r="AP703" s="29">
        <f t="shared" ca="1" si="129"/>
        <v>165</v>
      </c>
      <c r="AR703" s="22">
        <v>45248</v>
      </c>
      <c r="AS703" s="26">
        <f t="shared" ca="1" si="97"/>
        <v>0.80802344480820587</v>
      </c>
      <c r="AT703" s="29">
        <f t="shared" ca="1" si="130"/>
        <v>244</v>
      </c>
      <c r="AV703" s="22">
        <v>45248</v>
      </c>
      <c r="AW703" s="26">
        <f t="shared" ca="1" si="98"/>
        <v>0.52258219162576458</v>
      </c>
      <c r="AX703" s="29">
        <f t="shared" ca="1" si="131"/>
        <v>209</v>
      </c>
      <c r="AZ703" s="22">
        <v>45248</v>
      </c>
      <c r="BA703" s="26">
        <f t="shared" ca="1" si="99"/>
        <v>0.52594957765144279</v>
      </c>
      <c r="BB703" s="29">
        <f t="shared" ca="1" si="132"/>
        <v>238</v>
      </c>
      <c r="BC703"/>
      <c r="BD703" s="25"/>
      <c r="BF703" s="22">
        <v>45248</v>
      </c>
      <c r="BG703" s="26">
        <f t="shared" ca="1" si="100"/>
        <v>0.13613215631535147</v>
      </c>
      <c r="BH703" s="29">
        <v>0</v>
      </c>
      <c r="BJ703" s="22">
        <v>45248</v>
      </c>
      <c r="BK703" s="26">
        <f t="shared" ca="1" si="101"/>
        <v>0.56510008966059855</v>
      </c>
      <c r="BL703" s="29">
        <v>0</v>
      </c>
      <c r="BN703" s="22">
        <v>45248</v>
      </c>
      <c r="BO703" s="26">
        <f t="shared" ca="1" si="102"/>
        <v>0.8253760084253694</v>
      </c>
      <c r="BP703" s="29">
        <v>0</v>
      </c>
      <c r="BR703" s="22">
        <v>45248</v>
      </c>
      <c r="BS703" s="26">
        <f t="shared" ca="1" si="103"/>
        <v>0.77469162831419081</v>
      </c>
      <c r="BT703" s="29">
        <v>0</v>
      </c>
      <c r="BV703" s="22">
        <v>45248</v>
      </c>
      <c r="BW703" s="26">
        <f t="shared" ca="1" si="104"/>
        <v>4.382031085278193E-2</v>
      </c>
      <c r="BX703" s="29">
        <v>0</v>
      </c>
    </row>
    <row r="704" spans="2:76" ht="12.75" x14ac:dyDescent="0.2">
      <c r="B704" s="22">
        <v>45249</v>
      </c>
      <c r="C704" s="26">
        <f t="shared" ca="1" si="119"/>
        <v>0.27530583887841653</v>
      </c>
      <c r="D704" s="29">
        <f t="shared" ca="1" si="118"/>
        <v>64</v>
      </c>
      <c r="F704" s="22"/>
      <c r="G704" s="26">
        <f t="shared" ca="1" si="88"/>
        <v>0.11268217090715937</v>
      </c>
      <c r="H704" s="29">
        <f t="shared" ca="1" si="121"/>
        <v>198</v>
      </c>
      <c r="J704" s="22">
        <v>45249</v>
      </c>
      <c r="K704" s="26">
        <f t="shared" ca="1" si="89"/>
        <v>0.59787725116136814</v>
      </c>
      <c r="L704" s="29">
        <f t="shared" ca="1" si="122"/>
        <v>153</v>
      </c>
      <c r="N704" s="22">
        <v>45249</v>
      </c>
      <c r="O704" s="26">
        <f t="shared" ca="1" si="90"/>
        <v>0.93502270386482922</v>
      </c>
      <c r="P704" s="29">
        <f t="shared" ca="1" si="123"/>
        <v>253</v>
      </c>
      <c r="R704" s="22">
        <v>45249</v>
      </c>
      <c r="S704" s="26">
        <f t="shared" ca="1" si="91"/>
        <v>0.13387891723580259</v>
      </c>
      <c r="T704" s="29">
        <f t="shared" ca="1" si="124"/>
        <v>129</v>
      </c>
      <c r="V704" s="22">
        <v>45249</v>
      </c>
      <c r="W704" s="26">
        <f t="shared" ca="1" si="92"/>
        <v>0.16773880371085115</v>
      </c>
      <c r="X704" s="29">
        <f t="shared" ca="1" si="125"/>
        <v>211</v>
      </c>
      <c r="Z704" s="22">
        <v>45249</v>
      </c>
      <c r="AA704" s="26">
        <f t="shared" ca="1" si="93"/>
        <v>0.44247456503110194</v>
      </c>
      <c r="AB704" s="29">
        <f t="shared" ca="1" si="126"/>
        <v>268</v>
      </c>
      <c r="AC704"/>
      <c r="AD704" s="25"/>
      <c r="AF704" s="22">
        <v>45249</v>
      </c>
      <c r="AG704" s="26">
        <f t="shared" ca="1" si="94"/>
        <v>0.13901193579847149</v>
      </c>
      <c r="AH704" s="29">
        <f t="shared" ca="1" si="127"/>
        <v>233</v>
      </c>
      <c r="AJ704" s="22">
        <v>45249</v>
      </c>
      <c r="AK704" s="26">
        <f t="shared" ca="1" si="95"/>
        <v>0.47403902514050933</v>
      </c>
      <c r="AL704" s="29">
        <f t="shared" ca="1" si="128"/>
        <v>168</v>
      </c>
      <c r="AN704" s="22">
        <v>45249</v>
      </c>
      <c r="AO704" s="26">
        <f t="shared" ca="1" si="96"/>
        <v>0.53380698920224823</v>
      </c>
      <c r="AP704" s="29">
        <f t="shared" ca="1" si="129"/>
        <v>238</v>
      </c>
      <c r="AR704" s="22">
        <v>45249</v>
      </c>
      <c r="AS704" s="26">
        <f t="shared" ca="1" si="97"/>
        <v>0.21013927761011886</v>
      </c>
      <c r="AT704" s="29">
        <f t="shared" ca="1" si="130"/>
        <v>156</v>
      </c>
      <c r="AV704" s="22">
        <v>45249</v>
      </c>
      <c r="AW704" s="26">
        <f t="shared" ca="1" si="98"/>
        <v>0.66949640217307971</v>
      </c>
      <c r="AX704" s="29">
        <f t="shared" ca="1" si="131"/>
        <v>230</v>
      </c>
      <c r="AZ704" s="22">
        <v>45249</v>
      </c>
      <c r="BA704" s="26">
        <f t="shared" ca="1" si="99"/>
        <v>0.28191187445004484</v>
      </c>
      <c r="BB704" s="29">
        <f t="shared" ca="1" si="132"/>
        <v>198</v>
      </c>
      <c r="BC704"/>
      <c r="BD704" s="25"/>
      <c r="BF704" s="22">
        <v>45249</v>
      </c>
      <c r="BG704" s="26">
        <f t="shared" ca="1" si="100"/>
        <v>0.28997195762247518</v>
      </c>
      <c r="BH704" s="29">
        <v>0</v>
      </c>
      <c r="BJ704" s="22">
        <v>45249</v>
      </c>
      <c r="BK704" s="26">
        <f t="shared" ca="1" si="101"/>
        <v>0.32560975813451964</v>
      </c>
      <c r="BL704" s="29">
        <v>0</v>
      </c>
      <c r="BN704" s="22">
        <v>45249</v>
      </c>
      <c r="BO704" s="26">
        <f t="shared" ca="1" si="102"/>
        <v>0.29140048136757823</v>
      </c>
      <c r="BP704" s="29">
        <v>0</v>
      </c>
      <c r="BR704" s="22">
        <v>45249</v>
      </c>
      <c r="BS704" s="26">
        <f t="shared" ca="1" si="103"/>
        <v>0.44302464066870773</v>
      </c>
      <c r="BT704" s="29">
        <v>0</v>
      </c>
      <c r="BV704" s="22">
        <v>45249</v>
      </c>
      <c r="BW704" s="26">
        <f t="shared" ca="1" si="104"/>
        <v>0.93347229718784119</v>
      </c>
      <c r="BX704" s="29">
        <v>0</v>
      </c>
    </row>
    <row r="705" spans="2:77" ht="12.75" x14ac:dyDescent="0.2">
      <c r="B705" s="22">
        <v>45250</v>
      </c>
      <c r="C705" s="26">
        <f t="shared" ca="1" si="119"/>
        <v>0.20198605187627083</v>
      </c>
      <c r="D705" s="29">
        <f t="shared" ca="1" si="118"/>
        <v>59</v>
      </c>
      <c r="F705" s="22"/>
      <c r="G705" s="26">
        <f t="shared" ca="1" si="88"/>
        <v>0.99096157700027609</v>
      </c>
      <c r="H705" s="29">
        <f t="shared" ca="1" si="121"/>
        <v>250</v>
      </c>
      <c r="J705" s="22">
        <v>45250</v>
      </c>
      <c r="K705" s="26">
        <f t="shared" ca="1" si="89"/>
        <v>0.60985397691969256</v>
      </c>
      <c r="L705" s="29">
        <f t="shared" ca="1" si="122"/>
        <v>153</v>
      </c>
      <c r="N705" s="22">
        <v>45250</v>
      </c>
      <c r="O705" s="26">
        <f t="shared" ca="1" si="90"/>
        <v>0.64430765389837164</v>
      </c>
      <c r="P705" s="29">
        <f t="shared" ca="1" si="123"/>
        <v>236</v>
      </c>
      <c r="R705" s="22">
        <v>45250</v>
      </c>
      <c r="S705" s="26">
        <f t="shared" ca="1" si="91"/>
        <v>0.53636371672467731</v>
      </c>
      <c r="T705" s="29">
        <f t="shared" ca="1" si="124"/>
        <v>140</v>
      </c>
      <c r="V705" s="22">
        <v>45250</v>
      </c>
      <c r="W705" s="26">
        <f t="shared" ca="1" si="92"/>
        <v>0.76654052915227477</v>
      </c>
      <c r="X705" s="29">
        <f t="shared" ca="1" si="125"/>
        <v>236</v>
      </c>
      <c r="Z705" s="22">
        <v>45250</v>
      </c>
      <c r="AA705" s="26">
        <f t="shared" ca="1" si="93"/>
        <v>0.4110504085128599</v>
      </c>
      <c r="AB705" s="29">
        <f t="shared" ca="1" si="126"/>
        <v>266</v>
      </c>
      <c r="AC705"/>
      <c r="AD705" s="25"/>
      <c r="AF705" s="22">
        <v>45250</v>
      </c>
      <c r="AG705" s="26">
        <f t="shared" ca="1" si="94"/>
        <v>0.50055708602087512</v>
      </c>
      <c r="AH705" s="29">
        <f t="shared" ca="1" si="127"/>
        <v>328</v>
      </c>
      <c r="AJ705" s="22">
        <v>45250</v>
      </c>
      <c r="AK705" s="26">
        <f t="shared" ca="1" si="95"/>
        <v>0.41807754074170578</v>
      </c>
      <c r="AL705" s="29">
        <f t="shared" ca="1" si="128"/>
        <v>162</v>
      </c>
      <c r="AN705" s="22">
        <v>45250</v>
      </c>
      <c r="AO705" s="26">
        <f t="shared" ca="1" si="96"/>
        <v>0.88355136668466783</v>
      </c>
      <c r="AP705" s="29">
        <f t="shared" ca="1" si="129"/>
        <v>306</v>
      </c>
      <c r="AR705" s="22">
        <v>45250</v>
      </c>
      <c r="AS705" s="26">
        <f t="shared" ca="1" si="97"/>
        <v>0.78207550761433686</v>
      </c>
      <c r="AT705" s="29">
        <f t="shared" ca="1" si="130"/>
        <v>240</v>
      </c>
      <c r="AV705" s="22">
        <v>45250</v>
      </c>
      <c r="AW705" s="26">
        <f t="shared" ca="1" si="98"/>
        <v>0.1676692319576788</v>
      </c>
      <c r="AX705" s="29">
        <f t="shared" ca="1" si="131"/>
        <v>153</v>
      </c>
      <c r="AZ705" s="22">
        <v>45250</v>
      </c>
      <c r="BA705" s="26">
        <f t="shared" ca="1" si="99"/>
        <v>0.99132635420749282</v>
      </c>
      <c r="BB705" s="29">
        <f t="shared" ca="1" si="132"/>
        <v>382</v>
      </c>
      <c r="BC705"/>
      <c r="BD705" s="25"/>
      <c r="BF705" s="22">
        <v>45250</v>
      </c>
      <c r="BG705" s="26">
        <f t="shared" ca="1" si="100"/>
        <v>0.22475385892186028</v>
      </c>
      <c r="BH705" s="29">
        <v>0</v>
      </c>
      <c r="BJ705" s="22">
        <v>45250</v>
      </c>
      <c r="BK705" s="26">
        <f t="shared" ca="1" si="101"/>
        <v>0.55280912613399735</v>
      </c>
      <c r="BL705" s="29">
        <v>0</v>
      </c>
      <c r="BN705" s="22">
        <v>45250</v>
      </c>
      <c r="BO705" s="26">
        <f t="shared" ca="1" si="102"/>
        <v>0.99521250734545763</v>
      </c>
      <c r="BP705" s="29">
        <v>0</v>
      </c>
      <c r="BR705" s="22">
        <v>45250</v>
      </c>
      <c r="BS705" s="26">
        <f t="shared" ca="1" si="103"/>
        <v>0.47943619281530847</v>
      </c>
      <c r="BT705" s="29">
        <v>0</v>
      </c>
      <c r="BV705" s="22">
        <v>45250</v>
      </c>
      <c r="BW705" s="26">
        <f t="shared" ca="1" si="104"/>
        <v>0.66556286113803997</v>
      </c>
      <c r="BX705" s="29">
        <v>0</v>
      </c>
    </row>
    <row r="706" spans="2:77" ht="12.75" x14ac:dyDescent="0.2">
      <c r="B706" s="22">
        <v>45251</v>
      </c>
      <c r="C706" s="26">
        <f t="shared" ca="1" si="119"/>
        <v>0.61399574086160347</v>
      </c>
      <c r="D706" s="29">
        <f t="shared" ca="1" si="118"/>
        <v>81</v>
      </c>
      <c r="F706" s="22"/>
      <c r="G706" s="26">
        <f t="shared" ca="1" si="88"/>
        <v>0.51514657753073334</v>
      </c>
      <c r="H706" s="29">
        <f t="shared" ca="1" si="121"/>
        <v>216</v>
      </c>
      <c r="J706" s="22">
        <v>45251</v>
      </c>
      <c r="K706" s="26">
        <f t="shared" ca="1" si="89"/>
        <v>0.95509210826092061</v>
      </c>
      <c r="L706" s="29">
        <f t="shared" ca="1" si="122"/>
        <v>167</v>
      </c>
      <c r="N706" s="22">
        <v>45251</v>
      </c>
      <c r="O706" s="26">
        <f t="shared" ca="1" si="90"/>
        <v>3.780060469967983E-2</v>
      </c>
      <c r="P706" s="29">
        <f t="shared" ca="1" si="123"/>
        <v>203</v>
      </c>
      <c r="R706" s="22">
        <v>45251</v>
      </c>
      <c r="S706" s="26">
        <f t="shared" ca="1" si="91"/>
        <v>0.11665781307422185</v>
      </c>
      <c r="T706" s="29">
        <f t="shared" ca="1" si="124"/>
        <v>128</v>
      </c>
      <c r="V706" s="22">
        <v>45251</v>
      </c>
      <c r="W706" s="26">
        <f t="shared" ca="1" si="92"/>
        <v>0.48565536546497357</v>
      </c>
      <c r="X706" s="29">
        <f t="shared" ca="1" si="125"/>
        <v>225</v>
      </c>
      <c r="Z706" s="22">
        <v>45251</v>
      </c>
      <c r="AA706" s="26">
        <f t="shared" ca="1" si="93"/>
        <v>0.16286175759114629</v>
      </c>
      <c r="AB706" s="29">
        <f t="shared" ca="1" si="126"/>
        <v>253</v>
      </c>
      <c r="AC706"/>
      <c r="AD706" s="25"/>
      <c r="AF706" s="22">
        <v>45251</v>
      </c>
      <c r="AG706" s="26">
        <f t="shared" ca="1" si="94"/>
        <v>0.7278487316234189</v>
      </c>
      <c r="AH706" s="29">
        <f t="shared" ca="1" si="127"/>
        <v>380</v>
      </c>
      <c r="AJ706" s="22">
        <v>45251</v>
      </c>
      <c r="AK706" s="26">
        <f t="shared" ca="1" si="95"/>
        <v>4.9793775229864501E-2</v>
      </c>
      <c r="AL706" s="29">
        <f t="shared" ca="1" si="128"/>
        <v>96</v>
      </c>
      <c r="AN706" s="22">
        <v>45251</v>
      </c>
      <c r="AO706" s="26">
        <f t="shared" ca="1" si="96"/>
        <v>0.26365810890690677</v>
      </c>
      <c r="AP706" s="29">
        <f t="shared" ca="1" si="129"/>
        <v>193</v>
      </c>
      <c r="AR706" s="22">
        <v>45251</v>
      </c>
      <c r="AS706" s="26">
        <f t="shared" ca="1" si="97"/>
        <v>0.71713000538408744</v>
      </c>
      <c r="AT706" s="29">
        <f t="shared" ca="1" si="130"/>
        <v>229</v>
      </c>
      <c r="AV706" s="22">
        <v>45251</v>
      </c>
      <c r="AW706" s="26">
        <f t="shared" ca="1" si="98"/>
        <v>5.7067441780375261E-2</v>
      </c>
      <c r="AX706" s="29">
        <f t="shared" ca="1" si="131"/>
        <v>119</v>
      </c>
      <c r="AZ706" s="22">
        <v>45251</v>
      </c>
      <c r="BA706" s="26">
        <f t="shared" ca="1" si="99"/>
        <v>0.57981617920447293</v>
      </c>
      <c r="BB706" s="29">
        <f t="shared" ca="1" si="132"/>
        <v>247</v>
      </c>
      <c r="BC706"/>
      <c r="BD706" s="25"/>
      <c r="BF706" s="22">
        <v>45251</v>
      </c>
      <c r="BG706" s="26">
        <f t="shared" ca="1" si="100"/>
        <v>0.52367570906935379</v>
      </c>
      <c r="BH706" s="29">
        <v>0</v>
      </c>
      <c r="BJ706" s="22">
        <v>45251</v>
      </c>
      <c r="BK706" s="26">
        <f t="shared" ca="1" si="101"/>
        <v>0.67756202908489616</v>
      </c>
      <c r="BL706" s="29">
        <v>0</v>
      </c>
      <c r="BN706" s="22">
        <v>45251</v>
      </c>
      <c r="BO706" s="26">
        <f t="shared" ca="1" si="102"/>
        <v>0.34640667967526584</v>
      </c>
      <c r="BP706" s="29">
        <v>0</v>
      </c>
      <c r="BR706" s="22">
        <v>45251</v>
      </c>
      <c r="BS706" s="26">
        <f t="shared" ca="1" si="103"/>
        <v>0.46038944961697903</v>
      </c>
      <c r="BT706" s="29">
        <v>0</v>
      </c>
      <c r="BV706" s="22">
        <v>45251</v>
      </c>
      <c r="BW706" s="26">
        <f t="shared" ca="1" si="104"/>
        <v>0.56732291585609107</v>
      </c>
      <c r="BX706" s="29">
        <v>0</v>
      </c>
    </row>
    <row r="707" spans="2:77" ht="12.75" x14ac:dyDescent="0.2">
      <c r="B707" s="22">
        <v>45252</v>
      </c>
      <c r="C707" s="26">
        <f t="shared" ca="1" si="119"/>
        <v>0.27993186548650051</v>
      </c>
      <c r="D707" s="29">
        <f t="shared" ca="1" si="118"/>
        <v>64</v>
      </c>
      <c r="F707" s="22"/>
      <c r="G707" s="26">
        <f t="shared" ca="1" si="88"/>
        <v>0.53364599869128526</v>
      </c>
      <c r="H707" s="29">
        <f t="shared" ca="1" si="121"/>
        <v>217</v>
      </c>
      <c r="J707" s="22">
        <v>45252</v>
      </c>
      <c r="K707" s="26">
        <f t="shared" ca="1" si="89"/>
        <v>0.23645348290467982</v>
      </c>
      <c r="L707" s="29">
        <f t="shared" ca="1" si="122"/>
        <v>143</v>
      </c>
      <c r="N707" s="22">
        <v>45252</v>
      </c>
      <c r="O707" s="26">
        <f t="shared" ca="1" si="90"/>
        <v>0.53428219813360189</v>
      </c>
      <c r="P707" s="29">
        <f t="shared" ca="1" si="123"/>
        <v>231</v>
      </c>
      <c r="R707" s="22">
        <v>45252</v>
      </c>
      <c r="S707" s="26">
        <f t="shared" ca="1" si="91"/>
        <v>0.56768078535679778</v>
      </c>
      <c r="T707" s="29">
        <f t="shared" ca="1" si="124"/>
        <v>141</v>
      </c>
      <c r="V707" s="22">
        <v>45252</v>
      </c>
      <c r="W707" s="26">
        <f t="shared" ca="1" si="92"/>
        <v>0.11737214428672205</v>
      </c>
      <c r="X707" s="29">
        <f t="shared" ca="1" si="125"/>
        <v>208</v>
      </c>
      <c r="Z707" s="22">
        <v>45252</v>
      </c>
      <c r="AA707" s="26">
        <f t="shared" ca="1" si="93"/>
        <v>0.45377963770568308</v>
      </c>
      <c r="AB707" s="29">
        <f t="shared" ca="1" si="126"/>
        <v>268</v>
      </c>
      <c r="AC707"/>
      <c r="AD707" s="25"/>
      <c r="AF707" s="22">
        <v>45252</v>
      </c>
      <c r="AG707" s="26">
        <f t="shared" ca="1" si="94"/>
        <v>0.25130047425509294</v>
      </c>
      <c r="AH707" s="29">
        <f t="shared" ca="1" si="127"/>
        <v>269</v>
      </c>
      <c r="AJ707" s="22">
        <v>45252</v>
      </c>
      <c r="AK707" s="26">
        <f t="shared" ca="1" si="95"/>
        <v>0.30101113318763051</v>
      </c>
      <c r="AL707" s="29">
        <f t="shared" ca="1" si="128"/>
        <v>147</v>
      </c>
      <c r="AN707" s="22">
        <v>45252</v>
      </c>
      <c r="AO707" s="26">
        <f t="shared" ca="1" si="96"/>
        <v>0.34370624764507651</v>
      </c>
      <c r="AP707" s="29">
        <f t="shared" ca="1" si="129"/>
        <v>208</v>
      </c>
      <c r="AR707" s="22">
        <v>45252</v>
      </c>
      <c r="AS707" s="26">
        <f t="shared" ca="1" si="97"/>
        <v>0.99901677002912348</v>
      </c>
      <c r="AT707" s="29">
        <f t="shared" ca="1" si="130"/>
        <v>362</v>
      </c>
      <c r="AV707" s="22">
        <v>45252</v>
      </c>
      <c r="AW707" s="26">
        <f t="shared" ca="1" si="98"/>
        <v>1.8524966889244654E-2</v>
      </c>
      <c r="AX707" s="29">
        <f t="shared" ca="1" si="131"/>
        <v>92</v>
      </c>
      <c r="AZ707" s="22">
        <v>45252</v>
      </c>
      <c r="BA707" s="26">
        <f t="shared" ca="1" si="99"/>
        <v>0.62923552087358825</v>
      </c>
      <c r="BB707" s="29">
        <f t="shared" ca="1" si="132"/>
        <v>255</v>
      </c>
      <c r="BC707"/>
      <c r="BD707" s="25"/>
      <c r="BF707" s="22">
        <v>45252</v>
      </c>
      <c r="BG707" s="26">
        <f t="shared" ca="1" si="100"/>
        <v>6.7730914164073619E-2</v>
      </c>
      <c r="BH707" s="29">
        <v>0</v>
      </c>
      <c r="BJ707" s="22">
        <v>45252</v>
      </c>
      <c r="BK707" s="26">
        <f t="shared" ca="1" si="101"/>
        <v>5.6771487875016957E-2</v>
      </c>
      <c r="BL707" s="29">
        <v>0</v>
      </c>
      <c r="BN707" s="22">
        <v>45252</v>
      </c>
      <c r="BO707" s="26">
        <f t="shared" ca="1" si="102"/>
        <v>0.5330390880699809</v>
      </c>
      <c r="BP707" s="29">
        <v>0</v>
      </c>
      <c r="BR707" s="22">
        <v>45252</v>
      </c>
      <c r="BS707" s="26">
        <f t="shared" ca="1" si="103"/>
        <v>0.84041232207399019</v>
      </c>
      <c r="BT707" s="29">
        <v>0</v>
      </c>
      <c r="BV707" s="22">
        <v>45252</v>
      </c>
      <c r="BW707" s="26">
        <f t="shared" ca="1" si="104"/>
        <v>0.30634387368444127</v>
      </c>
      <c r="BX707" s="29">
        <v>0</v>
      </c>
    </row>
    <row r="708" spans="2:77" ht="12.75" x14ac:dyDescent="0.2">
      <c r="B708" s="22">
        <v>45253</v>
      </c>
      <c r="C708" s="26">
        <f t="shared" ca="1" si="119"/>
        <v>0.5838684131257228</v>
      </c>
      <c r="D708" s="29">
        <f t="shared" ca="1" si="118"/>
        <v>80</v>
      </c>
      <c r="F708" s="22"/>
      <c r="G708" s="26">
        <f t="shared" ca="1" si="88"/>
        <v>0.74424938502828264</v>
      </c>
      <c r="H708" s="29">
        <f t="shared" ca="1" si="121"/>
        <v>225</v>
      </c>
      <c r="J708" s="22">
        <v>45253</v>
      </c>
      <c r="K708" s="26">
        <f t="shared" ca="1" si="89"/>
        <v>9.7970672075778142E-2</v>
      </c>
      <c r="L708" s="29">
        <f t="shared" ca="1" si="122"/>
        <v>138</v>
      </c>
      <c r="N708" s="22">
        <v>45253</v>
      </c>
      <c r="O708" s="26">
        <f t="shared" ca="1" si="90"/>
        <v>0.55186052677700415</v>
      </c>
      <c r="P708" s="29">
        <f t="shared" ca="1" si="123"/>
        <v>232</v>
      </c>
      <c r="R708" s="22">
        <v>45253</v>
      </c>
      <c r="S708" s="26">
        <f t="shared" ca="1" si="91"/>
        <v>0.49572039318978145</v>
      </c>
      <c r="T708" s="29">
        <f t="shared" ca="1" si="124"/>
        <v>139</v>
      </c>
      <c r="V708" s="22">
        <v>45253</v>
      </c>
      <c r="W708" s="26">
        <f t="shared" ca="1" si="92"/>
        <v>0.12243398014965823</v>
      </c>
      <c r="X708" s="29">
        <f t="shared" ca="1" si="125"/>
        <v>208</v>
      </c>
      <c r="Z708" s="22">
        <v>45253</v>
      </c>
      <c r="AA708" s="26">
        <f t="shared" ca="1" si="93"/>
        <v>0.21943121545908828</v>
      </c>
      <c r="AB708" s="29">
        <f t="shared" ca="1" si="126"/>
        <v>257</v>
      </c>
      <c r="AC708"/>
      <c r="AD708" s="25"/>
      <c r="AF708" s="22">
        <v>45253</v>
      </c>
      <c r="AG708" s="26">
        <f t="shared" ca="1" si="94"/>
        <v>6.6118749288601397E-2</v>
      </c>
      <c r="AH708" s="29">
        <f t="shared" ca="1" si="127"/>
        <v>196</v>
      </c>
      <c r="AJ708" s="22">
        <v>45253</v>
      </c>
      <c r="AK708" s="26">
        <f t="shared" ca="1" si="95"/>
        <v>0.73442633120528011</v>
      </c>
      <c r="AL708" s="29">
        <f t="shared" ca="1" si="128"/>
        <v>199</v>
      </c>
      <c r="AN708" s="22">
        <v>45253</v>
      </c>
      <c r="AO708" s="26">
        <f t="shared" ca="1" si="96"/>
        <v>0.32931613936837145</v>
      </c>
      <c r="AP708" s="29">
        <f t="shared" ca="1" si="129"/>
        <v>205</v>
      </c>
      <c r="AR708" s="22">
        <v>45253</v>
      </c>
      <c r="AS708" s="26">
        <f t="shared" ca="1" si="97"/>
        <v>0.68706862694283211</v>
      </c>
      <c r="AT708" s="29">
        <f t="shared" ca="1" si="130"/>
        <v>224</v>
      </c>
      <c r="AV708" s="22">
        <v>45253</v>
      </c>
      <c r="AW708" s="26">
        <f t="shared" ca="1" si="98"/>
        <v>0.59408100072449421</v>
      </c>
      <c r="AX708" s="29">
        <f t="shared" ca="1" si="131"/>
        <v>219</v>
      </c>
      <c r="AZ708" s="22">
        <v>45253</v>
      </c>
      <c r="BA708" s="26">
        <f t="shared" ca="1" si="99"/>
        <v>6.8786368417450672E-2</v>
      </c>
      <c r="BB708" s="29">
        <f t="shared" ca="1" si="132"/>
        <v>142</v>
      </c>
      <c r="BC708"/>
      <c r="BD708" s="25"/>
      <c r="BF708" s="22">
        <v>45253</v>
      </c>
      <c r="BG708" s="26">
        <f t="shared" ca="1" si="100"/>
        <v>0.55871485728615999</v>
      </c>
      <c r="BH708" s="29">
        <v>0</v>
      </c>
      <c r="BJ708" s="22">
        <v>45253</v>
      </c>
      <c r="BK708" s="26">
        <f t="shared" ca="1" si="101"/>
        <v>0.94669027238336934</v>
      </c>
      <c r="BL708" s="29">
        <v>0</v>
      </c>
      <c r="BN708" s="22">
        <v>45253</v>
      </c>
      <c r="BO708" s="26">
        <f t="shared" ca="1" si="102"/>
        <v>6.4245750126400991E-2</v>
      </c>
      <c r="BP708" s="29">
        <v>0</v>
      </c>
      <c r="BR708" s="22">
        <v>45253</v>
      </c>
      <c r="BS708" s="26">
        <f t="shared" ca="1" si="103"/>
        <v>0.33056139230473314</v>
      </c>
      <c r="BT708" s="29">
        <v>0</v>
      </c>
      <c r="BV708" s="22">
        <v>45253</v>
      </c>
      <c r="BW708" s="26">
        <f t="shared" ca="1" si="104"/>
        <v>0.88676728071662414</v>
      </c>
      <c r="BX708" s="29">
        <v>0</v>
      </c>
    </row>
    <row r="709" spans="2:77" ht="12.75" x14ac:dyDescent="0.2">
      <c r="B709" s="22">
        <v>45254</v>
      </c>
      <c r="C709" s="26">
        <f t="shared" ca="1" si="119"/>
        <v>0.32318694776108914</v>
      </c>
      <c r="D709" s="29">
        <f t="shared" ca="1" si="118"/>
        <v>66</v>
      </c>
      <c r="F709" s="22"/>
      <c r="G709" s="26">
        <f t="shared" ca="1" si="88"/>
        <v>0.70413952019217885</v>
      </c>
      <c r="H709" s="29">
        <f t="shared" ca="1" si="121"/>
        <v>224</v>
      </c>
      <c r="J709" s="22">
        <v>45254</v>
      </c>
      <c r="K709" s="26">
        <f t="shared" ca="1" si="89"/>
        <v>9.4318287838306536E-2</v>
      </c>
      <c r="L709" s="29">
        <f t="shared" ca="1" si="122"/>
        <v>137</v>
      </c>
      <c r="N709" s="22">
        <v>45254</v>
      </c>
      <c r="O709" s="26">
        <f t="shared" ca="1" si="90"/>
        <v>0.89582925332942365</v>
      </c>
      <c r="P709" s="29">
        <f t="shared" ca="1" si="123"/>
        <v>249</v>
      </c>
      <c r="R709" s="22">
        <v>45254</v>
      </c>
      <c r="S709" s="26">
        <f t="shared" ca="1" si="91"/>
        <v>0.95203436790008678</v>
      </c>
      <c r="T709" s="29">
        <f t="shared" ca="1" si="124"/>
        <v>155</v>
      </c>
      <c r="V709" s="22">
        <v>45254</v>
      </c>
      <c r="W709" s="26">
        <f t="shared" ca="1" si="92"/>
        <v>8.7763210168385952E-2</v>
      </c>
      <c r="X709" s="29">
        <f t="shared" ca="1" si="125"/>
        <v>205</v>
      </c>
      <c r="Z709" s="22">
        <v>45254</v>
      </c>
      <c r="AA709" s="26">
        <f t="shared" ca="1" si="93"/>
        <v>0.41607772393468989</v>
      </c>
      <c r="AB709" s="29">
        <f t="shared" ca="1" si="126"/>
        <v>267</v>
      </c>
      <c r="AC709"/>
      <c r="AD709" s="25"/>
      <c r="AF709" s="22">
        <v>45254</v>
      </c>
      <c r="AG709" s="26">
        <f t="shared" ca="1" si="94"/>
        <v>0.2814206204846823</v>
      </c>
      <c r="AH709" s="29">
        <f t="shared" ca="1" si="127"/>
        <v>277</v>
      </c>
      <c r="AJ709" s="22">
        <v>45254</v>
      </c>
      <c r="AK709" s="26">
        <f t="shared" ca="1" si="95"/>
        <v>0.40750296558635823</v>
      </c>
      <c r="AL709" s="29">
        <f t="shared" ca="1" si="128"/>
        <v>160</v>
      </c>
      <c r="AN709" s="22">
        <v>45254</v>
      </c>
      <c r="AO709" s="26">
        <f t="shared" ca="1" si="96"/>
        <v>0.87000606711582085</v>
      </c>
      <c r="AP709" s="29">
        <f t="shared" ca="1" si="129"/>
        <v>302</v>
      </c>
      <c r="AR709" s="22">
        <v>45254</v>
      </c>
      <c r="AS709" s="26">
        <f t="shared" ca="1" si="97"/>
        <v>3.0754492086424556E-2</v>
      </c>
      <c r="AT709" s="29">
        <f t="shared" ca="1" si="130"/>
        <v>100</v>
      </c>
      <c r="AV709" s="22">
        <v>45254</v>
      </c>
      <c r="AW709" s="26">
        <f t="shared" ca="1" si="98"/>
        <v>3.4004315536377838E-3</v>
      </c>
      <c r="AX709" s="29">
        <f t="shared" ca="1" si="131"/>
        <v>58</v>
      </c>
      <c r="AZ709" s="22">
        <v>45254</v>
      </c>
      <c r="BA709" s="26">
        <f t="shared" ca="1" si="99"/>
        <v>0.52820562780822877</v>
      </c>
      <c r="BB709" s="29">
        <f t="shared" ca="1" si="132"/>
        <v>238</v>
      </c>
      <c r="BC709"/>
      <c r="BD709" s="25"/>
      <c r="BF709" s="22">
        <v>45254</v>
      </c>
      <c r="BG709" s="26">
        <f t="shared" ca="1" si="100"/>
        <v>0.46591406462616036</v>
      </c>
      <c r="BH709" s="29">
        <v>0</v>
      </c>
      <c r="BJ709" s="22">
        <v>45254</v>
      </c>
      <c r="BK709" s="26">
        <f t="shared" ca="1" si="101"/>
        <v>5.5157738058500771E-2</v>
      </c>
      <c r="BL709" s="29">
        <v>0</v>
      </c>
      <c r="BN709" s="22">
        <v>45254</v>
      </c>
      <c r="BO709" s="26">
        <f t="shared" ca="1" si="102"/>
        <v>0.77499004123473747</v>
      </c>
      <c r="BP709" s="29">
        <v>0</v>
      </c>
      <c r="BR709" s="22">
        <v>45254</v>
      </c>
      <c r="BS709" s="26">
        <f t="shared" ca="1" si="103"/>
        <v>0.82738053424423008</v>
      </c>
      <c r="BT709" s="29">
        <v>0</v>
      </c>
      <c r="BV709" s="22">
        <v>45254</v>
      </c>
      <c r="BW709" s="26">
        <f t="shared" ca="1" si="104"/>
        <v>0.32179307101228438</v>
      </c>
      <c r="BX709" s="29">
        <v>0</v>
      </c>
    </row>
    <row r="710" spans="2:77" ht="12.75" x14ac:dyDescent="0.2">
      <c r="B710" s="22">
        <v>45255</v>
      </c>
      <c r="C710" s="26">
        <f t="shared" ca="1" si="119"/>
        <v>0.1432515560696026</v>
      </c>
      <c r="D710" s="29">
        <f t="shared" ca="1" si="118"/>
        <v>54</v>
      </c>
      <c r="F710" s="22"/>
      <c r="G710" s="26">
        <f t="shared" ca="1" si="88"/>
        <v>0.69682191800280924</v>
      </c>
      <c r="H710" s="29">
        <f t="shared" ca="1" si="121"/>
        <v>223</v>
      </c>
      <c r="J710" s="22">
        <v>45255</v>
      </c>
      <c r="K710" s="26">
        <f t="shared" ca="1" si="89"/>
        <v>6.4522959434799021E-2</v>
      </c>
      <c r="L710" s="29">
        <f t="shared" ca="1" si="122"/>
        <v>135</v>
      </c>
      <c r="N710" s="22">
        <v>45255</v>
      </c>
      <c r="O710" s="26">
        <f t="shared" ca="1" si="90"/>
        <v>5.5487615873401452E-2</v>
      </c>
      <c r="P710" s="29">
        <f t="shared" ca="1" si="123"/>
        <v>205</v>
      </c>
      <c r="R710" s="22">
        <v>45255</v>
      </c>
      <c r="S710" s="26">
        <f t="shared" ca="1" si="91"/>
        <v>0.44249405078878101</v>
      </c>
      <c r="T710" s="29">
        <f t="shared" ca="1" si="124"/>
        <v>138</v>
      </c>
      <c r="V710" s="22">
        <v>45255</v>
      </c>
      <c r="W710" s="26">
        <f t="shared" ca="1" si="92"/>
        <v>0.50370021361506656</v>
      </c>
      <c r="X710" s="29">
        <f t="shared" ca="1" si="125"/>
        <v>226</v>
      </c>
      <c r="Z710" s="22">
        <v>45255</v>
      </c>
      <c r="AA710" s="26">
        <f t="shared" ca="1" si="93"/>
        <v>0.84987680380871311</v>
      </c>
      <c r="AB710" s="29">
        <f t="shared" ca="1" si="126"/>
        <v>289</v>
      </c>
      <c r="AC710"/>
      <c r="AD710" s="25"/>
      <c r="AF710" s="22">
        <v>45255</v>
      </c>
      <c r="AG710" s="26">
        <f t="shared" ca="1" si="94"/>
        <v>0.17610114029911794</v>
      </c>
      <c r="AH710" s="29">
        <f t="shared" ca="1" si="127"/>
        <v>246</v>
      </c>
      <c r="AJ710" s="22">
        <v>45255</v>
      </c>
      <c r="AK710" s="26">
        <f t="shared" ca="1" si="95"/>
        <v>0.37261167458979194</v>
      </c>
      <c r="AL710" s="29">
        <f t="shared" ca="1" si="128"/>
        <v>156</v>
      </c>
      <c r="AN710" s="22">
        <v>45255</v>
      </c>
      <c r="AO710" s="26">
        <f t="shared" ca="1" si="96"/>
        <v>0.65025556535616147</v>
      </c>
      <c r="AP710" s="29">
        <f t="shared" ca="1" si="129"/>
        <v>256</v>
      </c>
      <c r="AR710" s="22">
        <v>45255</v>
      </c>
      <c r="AS710" s="26">
        <f t="shared" ca="1" si="97"/>
        <v>0.88859733129530538</v>
      </c>
      <c r="AT710" s="29">
        <f t="shared" ca="1" si="130"/>
        <v>263</v>
      </c>
      <c r="AV710" s="22">
        <v>45255</v>
      </c>
      <c r="AW710" s="26">
        <f t="shared" ca="1" si="98"/>
        <v>0.81716399861376421</v>
      </c>
      <c r="AX710" s="29">
        <f t="shared" ca="1" si="131"/>
        <v>256</v>
      </c>
      <c r="AZ710" s="22">
        <v>45255</v>
      </c>
      <c r="BA710" s="26">
        <f t="shared" ca="1" si="99"/>
        <v>0.41674975498676414</v>
      </c>
      <c r="BB710" s="29">
        <f t="shared" ca="1" si="132"/>
        <v>221</v>
      </c>
      <c r="BC710"/>
      <c r="BD710" s="25"/>
      <c r="BF710" s="22">
        <v>45255</v>
      </c>
      <c r="BG710" s="26">
        <f t="shared" ca="1" si="100"/>
        <v>0.61130392495817787</v>
      </c>
      <c r="BH710" s="29">
        <v>0</v>
      </c>
      <c r="BJ710" s="22">
        <v>45255</v>
      </c>
      <c r="BK710" s="26">
        <f t="shared" ca="1" si="101"/>
        <v>0.82234903493448253</v>
      </c>
      <c r="BL710" s="29">
        <v>0</v>
      </c>
      <c r="BN710" s="22">
        <v>45255</v>
      </c>
      <c r="BO710" s="26">
        <f t="shared" ca="1" si="102"/>
        <v>0.42578054106140273</v>
      </c>
      <c r="BP710" s="29">
        <v>0</v>
      </c>
      <c r="BR710" s="22">
        <v>45255</v>
      </c>
      <c r="BS710" s="26">
        <f t="shared" ca="1" si="103"/>
        <v>0.40866449659693915</v>
      </c>
      <c r="BT710" s="29">
        <v>0</v>
      </c>
      <c r="BV710" s="22">
        <v>45255</v>
      </c>
      <c r="BW710" s="26">
        <f t="shared" ca="1" si="104"/>
        <v>0.43984368727130185</v>
      </c>
      <c r="BX710" s="29">
        <v>0</v>
      </c>
    </row>
    <row r="711" spans="2:77" ht="12.75" x14ac:dyDescent="0.2">
      <c r="B711" s="22">
        <v>45256</v>
      </c>
      <c r="C711" s="26">
        <f t="shared" ca="1" si="119"/>
        <v>0.93610296453410669</v>
      </c>
      <c r="D711" s="29">
        <f t="shared" ca="1" si="118"/>
        <v>106</v>
      </c>
      <c r="F711" s="22"/>
      <c r="G711" s="26">
        <f t="shared" ca="1" si="88"/>
        <v>0.58626962566706631</v>
      </c>
      <c r="H711" s="29">
        <f t="shared" ca="1" si="121"/>
        <v>219</v>
      </c>
      <c r="J711" s="22">
        <v>45256</v>
      </c>
      <c r="K711" s="26">
        <f t="shared" ca="1" si="89"/>
        <v>0.50708392908061073</v>
      </c>
      <c r="L711" s="29">
        <f t="shared" ca="1" si="122"/>
        <v>151</v>
      </c>
      <c r="N711" s="22">
        <v>45256</v>
      </c>
      <c r="O711" s="26">
        <f t="shared" ca="1" si="90"/>
        <v>0.83158651874278922</v>
      </c>
      <c r="P711" s="29">
        <f t="shared" ca="1" si="123"/>
        <v>245</v>
      </c>
      <c r="R711" s="22">
        <v>45256</v>
      </c>
      <c r="S711" s="26">
        <f t="shared" ca="1" si="91"/>
        <v>0.17378687987663888</v>
      </c>
      <c r="T711" s="29">
        <f t="shared" ca="1" si="124"/>
        <v>131</v>
      </c>
      <c r="V711" s="22">
        <v>45256</v>
      </c>
      <c r="W711" s="26">
        <f t="shared" ca="1" si="92"/>
        <v>0.96947823480416095</v>
      </c>
      <c r="X711" s="29">
        <f t="shared" ca="1" si="125"/>
        <v>254</v>
      </c>
      <c r="Z711" s="22">
        <v>45256</v>
      </c>
      <c r="AA711" s="26">
        <f t="shared" ca="1" si="93"/>
        <v>0.8217484098765564</v>
      </c>
      <c r="AB711" s="29">
        <f t="shared" ca="1" si="126"/>
        <v>287</v>
      </c>
      <c r="AC711"/>
      <c r="AD711" s="25"/>
      <c r="AF711" s="22">
        <v>45256</v>
      </c>
      <c r="AG711" s="26">
        <f t="shared" ca="1" si="94"/>
        <v>0.91509680098787338</v>
      </c>
      <c r="AH711" s="29">
        <f t="shared" ca="1" si="127"/>
        <v>447</v>
      </c>
      <c r="AJ711" s="22">
        <v>45256</v>
      </c>
      <c r="AK711" s="26">
        <f t="shared" ca="1" si="95"/>
        <v>0.37993328933274495</v>
      </c>
      <c r="AL711" s="29">
        <f t="shared" ca="1" si="128"/>
        <v>157</v>
      </c>
      <c r="AN711" s="22">
        <v>45256</v>
      </c>
      <c r="AO711" s="26">
        <f t="shared" ca="1" si="96"/>
        <v>0.81543410753278101</v>
      </c>
      <c r="AP711" s="29">
        <f t="shared" ca="1" si="129"/>
        <v>288</v>
      </c>
      <c r="AR711" s="22">
        <v>45256</v>
      </c>
      <c r="AS711" s="26">
        <f t="shared" ca="1" si="97"/>
        <v>0.76713822223664574</v>
      </c>
      <c r="AT711" s="29">
        <f t="shared" ca="1" si="130"/>
        <v>237</v>
      </c>
      <c r="AV711" s="22">
        <v>45256</v>
      </c>
      <c r="AW711" s="26">
        <f t="shared" ca="1" si="98"/>
        <v>0.3539679768745464</v>
      </c>
      <c r="AX711" s="29">
        <f t="shared" ca="1" si="131"/>
        <v>185</v>
      </c>
      <c r="AZ711" s="22">
        <v>45256</v>
      </c>
      <c r="BA711" s="26">
        <f t="shared" ca="1" si="99"/>
        <v>0.32988863484218078</v>
      </c>
      <c r="BB711" s="29">
        <f t="shared" ca="1" si="132"/>
        <v>207</v>
      </c>
      <c r="BC711"/>
      <c r="BD711" s="25"/>
      <c r="BF711" s="22">
        <v>45256</v>
      </c>
      <c r="BG711" s="26">
        <f t="shared" ca="1" si="100"/>
        <v>9.4976603342581956E-2</v>
      </c>
      <c r="BH711" s="29">
        <v>0</v>
      </c>
      <c r="BJ711" s="22">
        <v>45256</v>
      </c>
      <c r="BK711" s="26">
        <f t="shared" ca="1" si="101"/>
        <v>0.69025894556948819</v>
      </c>
      <c r="BL711" s="29">
        <v>0</v>
      </c>
      <c r="BN711" s="22">
        <v>45256</v>
      </c>
      <c r="BO711" s="26">
        <f t="shared" ca="1" si="102"/>
        <v>0.34994234338755248</v>
      </c>
      <c r="BP711" s="29">
        <v>0</v>
      </c>
      <c r="BR711" s="22">
        <v>45256</v>
      </c>
      <c r="BS711" s="26">
        <f t="shared" ca="1" si="103"/>
        <v>0.4611202022568115</v>
      </c>
      <c r="BT711" s="29">
        <v>0</v>
      </c>
      <c r="BV711" s="22">
        <v>45256</v>
      </c>
      <c r="BW711" s="26">
        <f t="shared" ca="1" si="104"/>
        <v>0.80522956867633588</v>
      </c>
      <c r="BX711" s="29">
        <v>0</v>
      </c>
    </row>
    <row r="712" spans="2:77" ht="12.75" x14ac:dyDescent="0.2">
      <c r="B712" s="22">
        <v>45257</v>
      </c>
      <c r="C712" s="26">
        <f t="shared" ca="1" si="119"/>
        <v>0.36473456105006152</v>
      </c>
      <c r="D712" s="29">
        <f t="shared" ca="1" si="118"/>
        <v>69</v>
      </c>
      <c r="F712" s="22"/>
      <c r="G712" s="26">
        <f t="shared" ca="1" si="88"/>
        <v>0.21760897619674391</v>
      </c>
      <c r="H712" s="29">
        <f t="shared" ca="1" si="121"/>
        <v>205</v>
      </c>
      <c r="J712" s="22">
        <v>45257</v>
      </c>
      <c r="K712" s="26">
        <f t="shared" ca="1" si="89"/>
        <v>0.90673603805941316</v>
      </c>
      <c r="L712" s="29">
        <f t="shared" ca="1" si="122"/>
        <v>164</v>
      </c>
      <c r="N712" s="22">
        <v>45257</v>
      </c>
      <c r="O712" s="26">
        <f t="shared" ca="1" si="90"/>
        <v>0.82775216756750924</v>
      </c>
      <c r="P712" s="29">
        <f t="shared" ca="1" si="123"/>
        <v>244</v>
      </c>
      <c r="R712" s="22">
        <v>45257</v>
      </c>
      <c r="S712" s="26">
        <f t="shared" ca="1" si="91"/>
        <v>0.38267378864839274</v>
      </c>
      <c r="T712" s="29">
        <f t="shared" ca="1" si="124"/>
        <v>136</v>
      </c>
      <c r="V712" s="22">
        <v>45257</v>
      </c>
      <c r="W712" s="26">
        <f t="shared" ca="1" si="92"/>
        <v>0.71716505873984182</v>
      </c>
      <c r="X712" s="29">
        <f t="shared" ca="1" si="125"/>
        <v>234</v>
      </c>
      <c r="Z712" s="22">
        <v>45257</v>
      </c>
      <c r="AA712" s="26">
        <f t="shared" ca="1" si="93"/>
        <v>0.8668258678824361</v>
      </c>
      <c r="AB712" s="29">
        <f t="shared" ca="1" si="126"/>
        <v>291</v>
      </c>
      <c r="AC712"/>
      <c r="AD712" s="25"/>
      <c r="AF712" s="22">
        <v>45257</v>
      </c>
      <c r="AG712" s="26">
        <f t="shared" ca="1" si="94"/>
        <v>0.27478208099720147</v>
      </c>
      <c r="AH712" s="29">
        <f t="shared" ca="1" si="127"/>
        <v>275</v>
      </c>
      <c r="AJ712" s="22">
        <v>45257</v>
      </c>
      <c r="AK712" s="26">
        <f t="shared" ca="1" si="95"/>
        <v>0.569943064632084</v>
      </c>
      <c r="AL712" s="29">
        <f t="shared" ca="1" si="128"/>
        <v>179</v>
      </c>
      <c r="AN712" s="22">
        <v>45257</v>
      </c>
      <c r="AO712" s="26">
        <f t="shared" ca="1" si="96"/>
        <v>0.54070830724171803</v>
      </c>
      <c r="AP712" s="29">
        <f t="shared" ca="1" si="129"/>
        <v>239</v>
      </c>
      <c r="AR712" s="22">
        <v>45257</v>
      </c>
      <c r="AS712" s="26">
        <f t="shared" ca="1" si="97"/>
        <v>0.5842398146843315</v>
      </c>
      <c r="AT712" s="29">
        <f t="shared" ca="1" si="130"/>
        <v>210</v>
      </c>
      <c r="AV712" s="22">
        <v>45257</v>
      </c>
      <c r="AW712" s="26">
        <f t="shared" ca="1" si="98"/>
        <v>0.75712673999354585</v>
      </c>
      <c r="AX712" s="29">
        <f t="shared" ca="1" si="131"/>
        <v>244</v>
      </c>
      <c r="AZ712" s="22">
        <v>45257</v>
      </c>
      <c r="BA712" s="26">
        <f t="shared" ca="1" si="99"/>
        <v>0.45867364341241468</v>
      </c>
      <c r="BB712" s="29">
        <f t="shared" ca="1" si="132"/>
        <v>228</v>
      </c>
      <c r="BC712"/>
      <c r="BD712" s="25"/>
      <c r="BF712" s="22">
        <v>45257</v>
      </c>
      <c r="BG712" s="26">
        <f t="shared" ca="1" si="100"/>
        <v>0.21609359300923658</v>
      </c>
      <c r="BH712" s="29">
        <v>0</v>
      </c>
      <c r="BJ712" s="22">
        <v>45257</v>
      </c>
      <c r="BK712" s="26">
        <f t="shared" ca="1" si="101"/>
        <v>0.42460693550629136</v>
      </c>
      <c r="BL712" s="29">
        <v>0</v>
      </c>
      <c r="BN712" s="22">
        <v>45257</v>
      </c>
      <c r="BO712" s="26">
        <f t="shared" ca="1" si="102"/>
        <v>0.50002383042971388</v>
      </c>
      <c r="BP712" s="29">
        <v>0</v>
      </c>
      <c r="BR712" s="22">
        <v>45257</v>
      </c>
      <c r="BS712" s="26">
        <f t="shared" ca="1" si="103"/>
        <v>0.76711777255047253</v>
      </c>
      <c r="BT712" s="29">
        <v>0</v>
      </c>
      <c r="BV712" s="22">
        <v>45257</v>
      </c>
      <c r="BW712" s="26">
        <f t="shared" ca="1" si="104"/>
        <v>0.55096070877020109</v>
      </c>
      <c r="BX712" s="29">
        <v>0</v>
      </c>
    </row>
    <row r="713" spans="2:77" ht="12.75" x14ac:dyDescent="0.2">
      <c r="B713" s="22">
        <v>45258</v>
      </c>
      <c r="C713" s="26">
        <f t="shared" ca="1" si="119"/>
        <v>0.62118763247528874</v>
      </c>
      <c r="D713" s="29">
        <f t="shared" ca="1" si="118"/>
        <v>82</v>
      </c>
      <c r="F713" s="22"/>
      <c r="G713" s="26">
        <f t="shared" ca="1" si="88"/>
        <v>0.26886151970729844</v>
      </c>
      <c r="H713" s="29">
        <f t="shared" ca="1" si="121"/>
        <v>207</v>
      </c>
      <c r="J713" s="22">
        <v>45258</v>
      </c>
      <c r="K713" s="26">
        <f t="shared" ca="1" si="89"/>
        <v>0.14626000220987567</v>
      </c>
      <c r="L713" s="29">
        <f t="shared" ca="1" si="122"/>
        <v>140</v>
      </c>
      <c r="N713" s="22">
        <v>45258</v>
      </c>
      <c r="O713" s="26">
        <f t="shared" ca="1" si="90"/>
        <v>0.54672333011959762</v>
      </c>
      <c r="P713" s="29">
        <f t="shared" ca="1" si="123"/>
        <v>232</v>
      </c>
      <c r="R713" s="22">
        <v>45258</v>
      </c>
      <c r="S713" s="26">
        <f t="shared" ca="1" si="91"/>
        <v>1.5023686109312262E-2</v>
      </c>
      <c r="T713" s="29">
        <f t="shared" ca="1" si="124"/>
        <v>119</v>
      </c>
      <c r="V713" s="22">
        <v>45258</v>
      </c>
      <c r="W713" s="26">
        <f t="shared" ca="1" si="92"/>
        <v>3.7670466106815459E-2</v>
      </c>
      <c r="X713" s="29">
        <f t="shared" ca="1" si="125"/>
        <v>199</v>
      </c>
      <c r="Z713" s="22">
        <v>45258</v>
      </c>
      <c r="AA713" s="26">
        <f t="shared" ca="1" si="93"/>
        <v>0.96433448642966013</v>
      </c>
      <c r="AB713" s="29">
        <f t="shared" ca="1" si="126"/>
        <v>303</v>
      </c>
      <c r="AC713"/>
      <c r="AD713" s="25"/>
      <c r="AF713" s="22">
        <v>45258</v>
      </c>
      <c r="AG713" s="26">
        <f t="shared" ca="1" si="94"/>
        <v>0.267978082930728</v>
      </c>
      <c r="AH713" s="29">
        <f t="shared" ca="1" si="127"/>
        <v>274</v>
      </c>
      <c r="AJ713" s="22">
        <v>45258</v>
      </c>
      <c r="AK713" s="26">
        <f t="shared" ca="1" si="95"/>
        <v>0.80686798259261583</v>
      </c>
      <c r="AL713" s="29">
        <f t="shared" ca="1" si="128"/>
        <v>210</v>
      </c>
      <c r="AN713" s="22">
        <v>45258</v>
      </c>
      <c r="AO713" s="26">
        <f t="shared" ca="1" si="96"/>
        <v>0.17399916560219242</v>
      </c>
      <c r="AP713" s="29">
        <f t="shared" ca="1" si="129"/>
        <v>174</v>
      </c>
      <c r="AR713" s="22">
        <v>45258</v>
      </c>
      <c r="AS713" s="26">
        <f t="shared" ca="1" si="97"/>
        <v>0.86860721655864537</v>
      </c>
      <c r="AT713" s="29">
        <f t="shared" ca="1" si="130"/>
        <v>258</v>
      </c>
      <c r="AV713" s="22">
        <v>45258</v>
      </c>
      <c r="AW713" s="26">
        <f t="shared" ca="1" si="98"/>
        <v>0.77367519019347586</v>
      </c>
      <c r="AX713" s="29">
        <f t="shared" ca="1" si="131"/>
        <v>247</v>
      </c>
      <c r="AZ713" s="22">
        <v>45258</v>
      </c>
      <c r="BA713" s="26">
        <f t="shared" ca="1" si="99"/>
        <v>0.83594306363563409</v>
      </c>
      <c r="BB713" s="29">
        <f t="shared" ca="1" si="132"/>
        <v>295</v>
      </c>
      <c r="BC713"/>
      <c r="BD713" s="25"/>
      <c r="BF713" s="22">
        <v>45258</v>
      </c>
      <c r="BG713" s="26">
        <f t="shared" ca="1" si="100"/>
        <v>0.52825109359777223</v>
      </c>
      <c r="BH713" s="29">
        <v>0</v>
      </c>
      <c r="BJ713" s="22">
        <v>45258</v>
      </c>
      <c r="BK713" s="26">
        <f t="shared" ca="1" si="101"/>
        <v>0.9144306478624239</v>
      </c>
      <c r="BL713" s="29">
        <v>0</v>
      </c>
      <c r="BN713" s="22">
        <v>45258</v>
      </c>
      <c r="BO713" s="26">
        <f t="shared" ca="1" si="102"/>
        <v>0.89601036105776199</v>
      </c>
      <c r="BP713" s="29">
        <v>0</v>
      </c>
      <c r="BR713" s="22">
        <v>45258</v>
      </c>
      <c r="BS713" s="26">
        <f t="shared" ca="1" si="103"/>
        <v>0.59516409532740822</v>
      </c>
      <c r="BT713" s="29">
        <v>0</v>
      </c>
      <c r="BV713" s="22">
        <v>45258</v>
      </c>
      <c r="BW713" s="26">
        <f t="shared" ca="1" si="104"/>
        <v>0.89432616744572502</v>
      </c>
      <c r="BX713" s="29">
        <v>0</v>
      </c>
    </row>
    <row r="714" spans="2:77" ht="12.75" x14ac:dyDescent="0.2">
      <c r="B714" s="22">
        <v>45259</v>
      </c>
      <c r="C714" s="26">
        <f t="shared" ca="1" si="119"/>
        <v>0.48450527430710111</v>
      </c>
      <c r="D714" s="29">
        <f t="shared" ca="1" si="118"/>
        <v>75</v>
      </c>
      <c r="F714" s="22"/>
      <c r="G714" s="26">
        <f t="shared" ca="1" si="88"/>
        <v>0.59033497942416646</v>
      </c>
      <c r="H714" s="29">
        <f t="shared" ca="1" si="121"/>
        <v>219</v>
      </c>
      <c r="J714" s="22">
        <v>45259</v>
      </c>
      <c r="K714" s="26">
        <f t="shared" ca="1" si="89"/>
        <v>0.30493071193832932</v>
      </c>
      <c r="L714" s="29">
        <f t="shared" ca="1" si="122"/>
        <v>145</v>
      </c>
      <c r="N714" s="22">
        <v>45259</v>
      </c>
      <c r="O714" s="26">
        <f t="shared" ca="1" si="90"/>
        <v>0.37284911393724385</v>
      </c>
      <c r="P714" s="29">
        <f t="shared" ca="1" si="123"/>
        <v>225</v>
      </c>
      <c r="R714" s="22">
        <v>45259</v>
      </c>
      <c r="S714" s="26">
        <f t="shared" ca="1" si="91"/>
        <v>0.6254824363299325</v>
      </c>
      <c r="T714" s="29">
        <f t="shared" ca="1" si="124"/>
        <v>142</v>
      </c>
      <c r="V714" s="22">
        <v>45259</v>
      </c>
      <c r="W714" s="26">
        <f t="shared" ca="1" si="92"/>
        <v>7.8305566457905762E-3</v>
      </c>
      <c r="X714" s="29">
        <f t="shared" ca="1" si="125"/>
        <v>189</v>
      </c>
      <c r="Z714" s="22">
        <v>45259</v>
      </c>
      <c r="AA714" s="26">
        <f t="shared" ca="1" si="93"/>
        <v>0.75198506552530131</v>
      </c>
      <c r="AB714" s="29">
        <f t="shared" ca="1" si="126"/>
        <v>283</v>
      </c>
      <c r="AC714"/>
      <c r="AD714" s="25"/>
      <c r="AF714" s="22">
        <v>45259</v>
      </c>
      <c r="AG714" s="26">
        <f t="shared" ca="1" si="94"/>
        <v>0.67073073039079301</v>
      </c>
      <c r="AH714" s="29">
        <f t="shared" ca="1" si="127"/>
        <v>366</v>
      </c>
      <c r="AJ714" s="22">
        <v>45259</v>
      </c>
      <c r="AK714" s="26">
        <f t="shared" ca="1" si="95"/>
        <v>0.98950626109599882</v>
      </c>
      <c r="AL714" s="29">
        <f t="shared" ca="1" si="128"/>
        <v>276</v>
      </c>
      <c r="AN714" s="22">
        <v>45259</v>
      </c>
      <c r="AO714" s="26">
        <f t="shared" ca="1" si="96"/>
        <v>0.20046004126120875</v>
      </c>
      <c r="AP714" s="29">
        <f t="shared" ca="1" si="129"/>
        <v>181</v>
      </c>
      <c r="AR714" s="22">
        <v>45259</v>
      </c>
      <c r="AS714" s="26">
        <f t="shared" ca="1" si="97"/>
        <v>0.27141021033984558</v>
      </c>
      <c r="AT714" s="29">
        <f t="shared" ca="1" si="130"/>
        <v>166</v>
      </c>
      <c r="AV714" s="22">
        <v>45259</v>
      </c>
      <c r="AW714" s="26">
        <f t="shared" ca="1" si="98"/>
        <v>0.13548788162492065</v>
      </c>
      <c r="AX714" s="29">
        <f t="shared" ca="1" si="131"/>
        <v>146</v>
      </c>
      <c r="AZ714" s="22">
        <v>45259</v>
      </c>
      <c r="BA714" s="26">
        <f t="shared" ca="1" si="99"/>
        <v>0.20959064622486656</v>
      </c>
      <c r="BB714" s="29">
        <f t="shared" ca="1" si="132"/>
        <v>184</v>
      </c>
      <c r="BC714"/>
      <c r="BD714" s="25"/>
      <c r="BF714" s="22">
        <v>45259</v>
      </c>
      <c r="BG714" s="26">
        <f t="shared" ca="1" si="100"/>
        <v>0.68501430578042233</v>
      </c>
      <c r="BH714" s="29">
        <v>0</v>
      </c>
      <c r="BJ714" s="22">
        <v>45259</v>
      </c>
      <c r="BK714" s="26">
        <f t="shared" ca="1" si="101"/>
        <v>0.63002459300243119</v>
      </c>
      <c r="BL714" s="29">
        <v>0</v>
      </c>
      <c r="BN714" s="22">
        <v>45259</v>
      </c>
      <c r="BO714" s="26">
        <f t="shared" ca="1" si="102"/>
        <v>0.16872801573157703</v>
      </c>
      <c r="BP714" s="29">
        <v>0</v>
      </c>
      <c r="BR714" s="22">
        <v>45259</v>
      </c>
      <c r="BS714" s="26">
        <f t="shared" ca="1" si="103"/>
        <v>0.76675482277430651</v>
      </c>
      <c r="BT714" s="29">
        <v>0</v>
      </c>
      <c r="BV714" s="22">
        <v>45259</v>
      </c>
      <c r="BW714" s="26">
        <f t="shared" ca="1" si="104"/>
        <v>0.70400247012898831</v>
      </c>
      <c r="BX714" s="29">
        <v>0</v>
      </c>
    </row>
    <row r="715" spans="2:77" ht="12.75" x14ac:dyDescent="0.2">
      <c r="B715" s="22">
        <v>45260</v>
      </c>
      <c r="C715" s="26">
        <f t="shared" ca="1" si="119"/>
        <v>0.47893254500579374</v>
      </c>
      <c r="D715" s="29">
        <f t="shared" ca="1" si="118"/>
        <v>74</v>
      </c>
      <c r="E715">
        <v>2204</v>
      </c>
      <c r="F715" s="22"/>
      <c r="G715" s="26">
        <f t="shared" ca="1" si="88"/>
        <v>0.18150696435167413</v>
      </c>
      <c r="H715" s="29">
        <f t="shared" ca="1" si="121"/>
        <v>203</v>
      </c>
      <c r="I715">
        <v>2195</v>
      </c>
      <c r="J715" s="22">
        <v>45260</v>
      </c>
      <c r="K715" s="26">
        <f t="shared" ca="1" si="89"/>
        <v>0.50069123510637481</v>
      </c>
      <c r="L715" s="29">
        <f t="shared" ca="1" si="122"/>
        <v>151</v>
      </c>
      <c r="M715">
        <v>4548</v>
      </c>
      <c r="N715" s="22">
        <v>45260</v>
      </c>
      <c r="O715" s="26">
        <f t="shared" ca="1" si="90"/>
        <v>0.68842687081566045</v>
      </c>
      <c r="P715" s="29">
        <f t="shared" ca="1" si="123"/>
        <v>237</v>
      </c>
      <c r="Q715">
        <v>6904</v>
      </c>
      <c r="R715" s="22">
        <v>45260</v>
      </c>
      <c r="S715" s="26">
        <f t="shared" ca="1" si="91"/>
        <v>0.67893972329833085</v>
      </c>
      <c r="T715" s="29">
        <f t="shared" ca="1" si="124"/>
        <v>144</v>
      </c>
      <c r="U715">
        <v>4198</v>
      </c>
      <c r="V715" s="22">
        <v>45260</v>
      </c>
      <c r="W715" s="26">
        <f t="shared" ca="1" si="92"/>
        <v>0.90315988244990419</v>
      </c>
      <c r="X715" s="29">
        <f t="shared" ca="1" si="125"/>
        <v>245</v>
      </c>
      <c r="Y715">
        <v>6686</v>
      </c>
      <c r="Z715" s="22">
        <v>45260</v>
      </c>
      <c r="AA715" s="26">
        <f t="shared" ca="1" si="93"/>
        <v>0.58859240316161765</v>
      </c>
      <c r="AB715" s="29">
        <f t="shared" ca="1" si="126"/>
        <v>275</v>
      </c>
      <c r="AC715">
        <v>8094</v>
      </c>
      <c r="AD715" s="25"/>
      <c r="AF715" s="22">
        <v>45260</v>
      </c>
      <c r="AG715" s="26">
        <f t="shared" ca="1" si="94"/>
        <v>0.1152115488175649</v>
      </c>
      <c r="AH715" s="29">
        <f t="shared" ca="1" si="127"/>
        <v>223</v>
      </c>
      <c r="AI715">
        <v>9967</v>
      </c>
      <c r="AJ715" s="22">
        <v>45260</v>
      </c>
      <c r="AK715" s="26">
        <f t="shared" ca="1" si="95"/>
        <v>0.84120840453684842</v>
      </c>
      <c r="AL715" s="29">
        <f t="shared" ca="1" si="128"/>
        <v>216</v>
      </c>
      <c r="AM715">
        <v>5088</v>
      </c>
      <c r="AN715" s="22">
        <v>45260</v>
      </c>
      <c r="AO715" s="26">
        <f t="shared" ca="1" si="96"/>
        <v>0.55815844931668335</v>
      </c>
      <c r="AP715" s="29">
        <f t="shared" ca="1" si="129"/>
        <v>242</v>
      </c>
      <c r="AQ715">
        <v>4582</v>
      </c>
      <c r="AR715" s="22">
        <v>45260</v>
      </c>
      <c r="AS715" s="26">
        <f t="shared" ca="1" si="97"/>
        <v>0.53566049072277688</v>
      </c>
      <c r="AT715" s="29">
        <f t="shared" ca="1" si="130"/>
        <v>203</v>
      </c>
      <c r="AU715">
        <v>6300</v>
      </c>
      <c r="AV715" s="22">
        <v>45260</v>
      </c>
      <c r="AW715" s="26">
        <f t="shared" ca="1" si="98"/>
        <v>0.2527572551301035</v>
      </c>
      <c r="AX715" s="29">
        <f t="shared" ca="1" si="131"/>
        <v>170</v>
      </c>
      <c r="AY715">
        <v>5694</v>
      </c>
      <c r="AZ715" s="22">
        <v>45260</v>
      </c>
      <c r="BA715" s="26">
        <f t="shared" ca="1" si="99"/>
        <v>0.68556501680982251</v>
      </c>
      <c r="BB715" s="29">
        <f t="shared" ca="1" si="132"/>
        <v>264</v>
      </c>
      <c r="BC715">
        <v>5167</v>
      </c>
      <c r="BD715" s="25"/>
      <c r="BF715" s="22">
        <v>45260</v>
      </c>
      <c r="BG715" s="26">
        <f t="shared" ca="1" si="100"/>
        <v>0.92737846376324218</v>
      </c>
      <c r="BH715" s="29">
        <v>0</v>
      </c>
      <c r="BI715">
        <v>0</v>
      </c>
      <c r="BJ715" s="22">
        <v>45260</v>
      </c>
      <c r="BK715" s="26">
        <f t="shared" ca="1" si="101"/>
        <v>0.8152179577003702</v>
      </c>
      <c r="BL715" s="29">
        <v>0</v>
      </c>
      <c r="BM715">
        <v>0</v>
      </c>
      <c r="BN715" s="22">
        <v>45260</v>
      </c>
      <c r="BO715" s="26">
        <f t="shared" ca="1" si="102"/>
        <v>4.4470735201532774E-3</v>
      </c>
      <c r="BP715" s="29">
        <v>0</v>
      </c>
      <c r="BQ715">
        <v>0</v>
      </c>
      <c r="BR715" s="22">
        <v>45260</v>
      </c>
      <c r="BS715" s="26">
        <f t="shared" ca="1" si="103"/>
        <v>0.62639330267436699</v>
      </c>
      <c r="BT715" s="29">
        <v>0</v>
      </c>
      <c r="BU715">
        <v>0</v>
      </c>
      <c r="BV715" s="22">
        <v>45260</v>
      </c>
      <c r="BW715" s="26">
        <f t="shared" ca="1" si="104"/>
        <v>0.96894073125933911</v>
      </c>
      <c r="BX715" s="29">
        <v>0</v>
      </c>
      <c r="BY715">
        <v>0</v>
      </c>
    </row>
    <row r="716" spans="2:77" ht="12.75" x14ac:dyDescent="0.2">
      <c r="B716" s="22">
        <v>45261</v>
      </c>
      <c r="C716" s="26">
        <f t="shared" ca="1" si="119"/>
        <v>0.78633817068093703</v>
      </c>
      <c r="D716" s="29">
        <f ca="1">ROUNDUP(_xlfn.NORM.INV(C715,C$10,C$12),0)</f>
        <v>74</v>
      </c>
      <c r="F716" s="22"/>
      <c r="G716" s="26">
        <f t="shared" ca="1" si="88"/>
        <v>0.11671232610790572</v>
      </c>
      <c r="H716" s="29">
        <f ca="1">ROUNDUP(_xlfn.NORM.INV(G715,G$10,G$12),0)</f>
        <v>203</v>
      </c>
      <c r="J716" s="22">
        <v>45261</v>
      </c>
      <c r="K716" s="26">
        <f t="shared" ca="1" si="89"/>
        <v>0.83682078244781688</v>
      </c>
      <c r="L716" s="29">
        <f ca="1">ROUNDUP(_xlfn.NORM.INV(K715,K$10,K$12),0)</f>
        <v>151</v>
      </c>
      <c r="N716" s="22">
        <v>45261</v>
      </c>
      <c r="O716" s="26">
        <f t="shared" ca="1" si="90"/>
        <v>0.37365159734129982</v>
      </c>
      <c r="P716" s="29">
        <f ca="1">ROUNDUP(_xlfn.NORM.INV(O715,O$10,O$12),0)</f>
        <v>237</v>
      </c>
      <c r="R716" s="22">
        <v>45261</v>
      </c>
      <c r="S716" s="26">
        <f t="shared" ca="1" si="91"/>
        <v>0.26223634613220936</v>
      </c>
      <c r="T716" s="29">
        <f ca="1">ROUNDUP(_xlfn.NORM.INV(S715,S$10,S$12),0)</f>
        <v>144</v>
      </c>
      <c r="V716" s="22">
        <v>45261</v>
      </c>
      <c r="W716" s="26">
        <f t="shared" ca="1" si="92"/>
        <v>0.9991439935278531</v>
      </c>
      <c r="X716" s="29">
        <f ca="1">ROUNDUP(_xlfn.NORM.INV(W715,W$10,W$12),0)</f>
        <v>245</v>
      </c>
      <c r="Z716" s="22">
        <v>45261</v>
      </c>
      <c r="AA716" s="26">
        <f t="shared" ca="1" si="93"/>
        <v>0.90620341354884493</v>
      </c>
      <c r="AB716" s="29">
        <f ca="1">ROUNDUP(_xlfn.NORM.INV(AA715,AA$10,AA$12),0)</f>
        <v>275</v>
      </c>
      <c r="AC716"/>
      <c r="AD716" s="25"/>
      <c r="AF716" s="22">
        <v>45261</v>
      </c>
      <c r="AG716" s="26">
        <f t="shared" ca="1" si="94"/>
        <v>0.38222712001637138</v>
      </c>
      <c r="AH716" s="29">
        <f ca="1">ROUNDUP(_xlfn.NORM.INV(AG715,AG$10,AG$12),0)</f>
        <v>223</v>
      </c>
      <c r="AJ716" s="22">
        <v>45261</v>
      </c>
      <c r="AK716" s="26">
        <f t="shared" ca="1" si="95"/>
        <v>0.81448910402941799</v>
      </c>
      <c r="AL716" s="29">
        <f ca="1">ROUNDUP(_xlfn.NORM.INV(AK715,AK$10,AK$12),0)</f>
        <v>216</v>
      </c>
      <c r="AN716" s="22">
        <v>45261</v>
      </c>
      <c r="AO716" s="26">
        <f t="shared" ca="1" si="96"/>
        <v>0.44910622440805015</v>
      </c>
      <c r="AP716" s="29">
        <f ca="1">ROUNDUP(_xlfn.NORM.INV(AO715,AO$10,AO$12),0)</f>
        <v>242</v>
      </c>
      <c r="AR716" s="22">
        <v>45261</v>
      </c>
      <c r="AS716" s="26">
        <f t="shared" ca="1" si="97"/>
        <v>0.8263287667289011</v>
      </c>
      <c r="AT716" s="29">
        <f ca="1">ROUNDUP(_xlfn.NORM.INV(AS715,AS$10,AS$12),0)</f>
        <v>203</v>
      </c>
      <c r="AV716" s="22">
        <v>45261</v>
      </c>
      <c r="AW716" s="26">
        <f t="shared" ca="1" si="98"/>
        <v>4.2973005320146251E-2</v>
      </c>
      <c r="AX716" s="29">
        <f ca="1">ROUNDUP(_xlfn.NORM.INV(AW715,AW$10,AW$12),0)</f>
        <v>170</v>
      </c>
      <c r="AZ716" s="22">
        <v>45261</v>
      </c>
      <c r="BA716" s="26">
        <f t="shared" ca="1" si="99"/>
        <v>0.38716470321920493</v>
      </c>
      <c r="BB716" s="29">
        <f ca="1">ROUNDUP(_xlfn.NORM.INV(BA715,BA$10,BA$12),0)</f>
        <v>264</v>
      </c>
      <c r="BC716"/>
      <c r="BD716" s="25"/>
      <c r="BF716" s="22">
        <v>45261</v>
      </c>
      <c r="BG716" s="26">
        <f t="shared" ca="1" si="100"/>
        <v>0.91872592201426517</v>
      </c>
      <c r="BH716" s="29">
        <v>0</v>
      </c>
      <c r="BJ716" s="22">
        <v>45261</v>
      </c>
      <c r="BK716" s="26">
        <f t="shared" ca="1" si="101"/>
        <v>0.45318520203593937</v>
      </c>
      <c r="BL716" s="29">
        <v>0</v>
      </c>
      <c r="BN716" s="22">
        <v>45261</v>
      </c>
      <c r="BO716" s="26">
        <f t="shared" ca="1" si="102"/>
        <v>0.28946716873344425</v>
      </c>
      <c r="BP716" s="29">
        <v>0</v>
      </c>
      <c r="BR716" s="22">
        <v>45261</v>
      </c>
      <c r="BS716" s="26">
        <f t="shared" ca="1" si="103"/>
        <v>3.7849366309841148E-2</v>
      </c>
      <c r="BT716" s="29">
        <v>0</v>
      </c>
      <c r="BV716" s="22">
        <v>45261</v>
      </c>
      <c r="BW716" s="26">
        <f t="shared" ca="1" si="104"/>
        <v>0.47290925839737319</v>
      </c>
      <c r="BX716" s="29">
        <v>0</v>
      </c>
    </row>
    <row r="717" spans="2:77" ht="12.75" x14ac:dyDescent="0.2">
      <c r="B717" s="22">
        <v>45262</v>
      </c>
      <c r="C717" s="26">
        <f t="shared" ca="1" si="119"/>
        <v>0.99216805414455378</v>
      </c>
      <c r="D717" s="29">
        <f t="shared" ca="1" si="118"/>
        <v>124</v>
      </c>
      <c r="F717" s="22"/>
      <c r="G717" s="26">
        <f t="shared" ca="1" si="88"/>
        <v>0.54505068824600056</v>
      </c>
      <c r="H717" s="29">
        <f t="shared" ca="1" si="121"/>
        <v>218</v>
      </c>
      <c r="J717" s="22">
        <v>45262</v>
      </c>
      <c r="K717" s="26">
        <f t="shared" ca="1" si="89"/>
        <v>0.86342667518358573</v>
      </c>
      <c r="L717" s="29">
        <f t="shared" ca="1" si="122"/>
        <v>161</v>
      </c>
      <c r="N717" s="22">
        <v>45262</v>
      </c>
      <c r="O717" s="26">
        <f t="shared" ca="1" si="90"/>
        <v>0.91242834905521897</v>
      </c>
      <c r="P717" s="29">
        <f t="shared" ca="1" si="123"/>
        <v>251</v>
      </c>
      <c r="R717" s="22">
        <v>45262</v>
      </c>
      <c r="S717" s="26">
        <f t="shared" ca="1" si="91"/>
        <v>0.47707443241312986</v>
      </c>
      <c r="T717" s="29">
        <f t="shared" ca="1" si="124"/>
        <v>139</v>
      </c>
      <c r="V717" s="22">
        <v>45262</v>
      </c>
      <c r="W717" s="26">
        <f t="shared" ca="1" si="92"/>
        <v>0.30337636766143128</v>
      </c>
      <c r="X717" s="29">
        <f t="shared" ca="1" si="125"/>
        <v>218</v>
      </c>
      <c r="Z717" s="22">
        <v>45262</v>
      </c>
      <c r="AA717" s="26">
        <f t="shared" ca="1" si="93"/>
        <v>0.72541923607408365</v>
      </c>
      <c r="AB717" s="29">
        <f t="shared" ca="1" si="126"/>
        <v>281</v>
      </c>
      <c r="AC717"/>
      <c r="AD717" s="25"/>
      <c r="AF717" s="22">
        <v>45262</v>
      </c>
      <c r="AG717" s="26">
        <f t="shared" ca="1" si="94"/>
        <v>0.4414071687818456</v>
      </c>
      <c r="AH717" s="29">
        <f t="shared" ca="1" si="127"/>
        <v>315</v>
      </c>
      <c r="AJ717" s="22">
        <v>45262</v>
      </c>
      <c r="AK717" s="26">
        <f t="shared" ca="1" si="95"/>
        <v>0.69111164619074872</v>
      </c>
      <c r="AL717" s="29">
        <f t="shared" ca="1" si="128"/>
        <v>194</v>
      </c>
      <c r="AN717" s="22">
        <v>45262</v>
      </c>
      <c r="AO717" s="26">
        <f t="shared" ca="1" si="96"/>
        <v>0.96282215280395445</v>
      </c>
      <c r="AP717" s="29">
        <f t="shared" ca="1" si="129"/>
        <v>343</v>
      </c>
      <c r="AR717" s="22">
        <v>45262</v>
      </c>
      <c r="AS717" s="26">
        <f t="shared" ca="1" si="97"/>
        <v>0.15637413916794896</v>
      </c>
      <c r="AT717" s="29">
        <f t="shared" ca="1" si="130"/>
        <v>145</v>
      </c>
      <c r="AV717" s="22">
        <v>45262</v>
      </c>
      <c r="AW717" s="26">
        <f t="shared" ca="1" si="98"/>
        <v>0.35229762776271434</v>
      </c>
      <c r="AX717" s="29">
        <f t="shared" ca="1" si="131"/>
        <v>185</v>
      </c>
      <c r="AZ717" s="22">
        <v>45262</v>
      </c>
      <c r="BA717" s="26">
        <f t="shared" ca="1" si="99"/>
        <v>0.69204835411321486</v>
      </c>
      <c r="BB717" s="29">
        <f t="shared" ca="1" si="132"/>
        <v>265</v>
      </c>
      <c r="BC717"/>
      <c r="BD717" s="25"/>
      <c r="BF717" s="22">
        <v>45262</v>
      </c>
      <c r="BG717" s="26">
        <f t="shared" ca="1" si="100"/>
        <v>6.3890066631979159E-2</v>
      </c>
      <c r="BH717" s="29">
        <f t="shared" ref="BH717:BH752" ca="1" si="133">ROUNDUP(_xlfn.NORM.INV(BG717,BG$10,BG$12),0)</f>
        <v>120</v>
      </c>
      <c r="BJ717" s="22">
        <v>45262</v>
      </c>
      <c r="BK717" s="26">
        <f t="shared" ca="1" si="101"/>
        <v>0.80453564499434871</v>
      </c>
      <c r="BL717" s="29">
        <v>0</v>
      </c>
      <c r="BN717" s="22">
        <v>45262</v>
      </c>
      <c r="BO717" s="26">
        <f t="shared" ca="1" si="102"/>
        <v>8.3319714268781486E-2</v>
      </c>
      <c r="BP717" s="29">
        <v>0</v>
      </c>
      <c r="BR717" s="22">
        <v>45262</v>
      </c>
      <c r="BS717" s="26">
        <f t="shared" ca="1" si="103"/>
        <v>0.96776359085975638</v>
      </c>
      <c r="BT717" s="29">
        <v>0</v>
      </c>
      <c r="BV717" s="22">
        <v>45262</v>
      </c>
      <c r="BW717" s="26">
        <f t="shared" ca="1" si="104"/>
        <v>0.55358298101482961</v>
      </c>
      <c r="BX717" s="29">
        <v>0</v>
      </c>
    </row>
    <row r="718" spans="2:77" ht="12.75" x14ac:dyDescent="0.2">
      <c r="B718" s="22">
        <v>45263</v>
      </c>
      <c r="C718" s="26">
        <f t="shared" ca="1" si="119"/>
        <v>2.0753758540281719E-2</v>
      </c>
      <c r="D718" s="29">
        <f t="shared" ca="1" si="118"/>
        <v>35</v>
      </c>
      <c r="F718" s="22"/>
      <c r="G718" s="26">
        <f t="shared" ca="1" si="88"/>
        <v>0.63407252170428341</v>
      </c>
      <c r="H718" s="29">
        <f t="shared" ca="1" si="121"/>
        <v>221</v>
      </c>
      <c r="J718" s="22">
        <v>45263</v>
      </c>
      <c r="K718" s="26">
        <f t="shared" ca="1" si="89"/>
        <v>0.35798627271877237</v>
      </c>
      <c r="L718" s="29">
        <f t="shared" ca="1" si="122"/>
        <v>147</v>
      </c>
      <c r="N718" s="22">
        <v>45263</v>
      </c>
      <c r="O718" s="26">
        <f t="shared" ca="1" si="90"/>
        <v>0.49713366820594274</v>
      </c>
      <c r="P718" s="29">
        <f t="shared" ca="1" si="123"/>
        <v>230</v>
      </c>
      <c r="R718" s="22">
        <v>45263</v>
      </c>
      <c r="S718" s="26">
        <f t="shared" ca="1" si="91"/>
        <v>4.1761092780202569E-2</v>
      </c>
      <c r="T718" s="29">
        <f t="shared" ca="1" si="124"/>
        <v>123</v>
      </c>
      <c r="V718" s="22">
        <v>45263</v>
      </c>
      <c r="W718" s="26">
        <f t="shared" ca="1" si="92"/>
        <v>0.94912947114052892</v>
      </c>
      <c r="X718" s="29">
        <f t="shared" ca="1" si="125"/>
        <v>250</v>
      </c>
      <c r="Z718" s="22">
        <v>45263</v>
      </c>
      <c r="AA718" s="26">
        <f t="shared" ca="1" si="93"/>
        <v>0.71740060906611802</v>
      </c>
      <c r="AB718" s="29">
        <f t="shared" ca="1" si="126"/>
        <v>281</v>
      </c>
      <c r="AC718"/>
      <c r="AD718" s="25"/>
      <c r="AF718" s="22">
        <v>45263</v>
      </c>
      <c r="AG718" s="26">
        <f t="shared" ca="1" si="94"/>
        <v>6.1468111420739158E-2</v>
      </c>
      <c r="AH718" s="29">
        <f t="shared" ca="1" si="127"/>
        <v>193</v>
      </c>
      <c r="AJ718" s="22">
        <v>45263</v>
      </c>
      <c r="AK718" s="26">
        <f t="shared" ca="1" si="95"/>
        <v>0.51531901893164878</v>
      </c>
      <c r="AL718" s="29">
        <f t="shared" ca="1" si="128"/>
        <v>173</v>
      </c>
      <c r="AN718" s="22">
        <v>45263</v>
      </c>
      <c r="AO718" s="26">
        <f t="shared" ca="1" si="96"/>
        <v>7.8560814807610346E-2</v>
      </c>
      <c r="AP718" s="29">
        <f t="shared" ca="1" si="129"/>
        <v>145</v>
      </c>
      <c r="AR718" s="22">
        <v>45263</v>
      </c>
      <c r="AS718" s="26">
        <f t="shared" ca="1" si="97"/>
        <v>0.45867292700064954</v>
      </c>
      <c r="AT718" s="29">
        <f t="shared" ca="1" si="130"/>
        <v>193</v>
      </c>
      <c r="AV718" s="22">
        <v>45263</v>
      </c>
      <c r="AW718" s="26">
        <f t="shared" ca="1" si="98"/>
        <v>0.76277993951794465</v>
      </c>
      <c r="AX718" s="29">
        <f t="shared" ca="1" si="131"/>
        <v>245</v>
      </c>
      <c r="AZ718" s="22">
        <v>45263</v>
      </c>
      <c r="BA718" s="26">
        <f t="shared" ca="1" si="99"/>
        <v>0.46144959164029709</v>
      </c>
      <c r="BB718" s="29">
        <f t="shared" ca="1" si="132"/>
        <v>228</v>
      </c>
      <c r="BC718"/>
      <c r="BD718" s="25"/>
      <c r="BF718" s="22">
        <v>45263</v>
      </c>
      <c r="BG718" s="26">
        <f t="shared" ca="1" si="100"/>
        <v>0.16601637148542647</v>
      </c>
      <c r="BH718" s="29">
        <f t="shared" ca="1" si="133"/>
        <v>149</v>
      </c>
      <c r="BJ718" s="22">
        <v>45263</v>
      </c>
      <c r="BK718" s="26">
        <f t="shared" ca="1" si="101"/>
        <v>0.75560102779480309</v>
      </c>
      <c r="BL718" s="29">
        <v>0</v>
      </c>
      <c r="BN718" s="22">
        <v>45263</v>
      </c>
      <c r="BO718" s="26">
        <f t="shared" ca="1" si="102"/>
        <v>0.51865339252395637</v>
      </c>
      <c r="BP718" s="29">
        <v>0</v>
      </c>
      <c r="BR718" s="22">
        <v>45263</v>
      </c>
      <c r="BS718" s="26">
        <f t="shared" ca="1" si="103"/>
        <v>0.23460075846037043</v>
      </c>
      <c r="BT718" s="29">
        <v>0</v>
      </c>
      <c r="BV718" s="22">
        <v>45263</v>
      </c>
      <c r="BW718" s="26">
        <f t="shared" ca="1" si="104"/>
        <v>0.65203122489517373</v>
      </c>
      <c r="BX718" s="29">
        <v>0</v>
      </c>
    </row>
    <row r="719" spans="2:77" ht="12.75" x14ac:dyDescent="0.2">
      <c r="B719" s="22">
        <v>45264</v>
      </c>
      <c r="C719" s="26">
        <f t="shared" ca="1" si="119"/>
        <v>0.35558658896907958</v>
      </c>
      <c r="D719" s="29">
        <f t="shared" ca="1" si="118"/>
        <v>68</v>
      </c>
      <c r="F719" s="22"/>
      <c r="G719" s="26">
        <f t="shared" ca="1" si="88"/>
        <v>1.4099974373771307E-4</v>
      </c>
      <c r="H719" s="29">
        <f t="shared" ca="1" si="121"/>
        <v>164</v>
      </c>
      <c r="J719" s="22">
        <v>45264</v>
      </c>
      <c r="K719" s="26">
        <f t="shared" ca="1" si="89"/>
        <v>0.71689891331030708</v>
      </c>
      <c r="L719" s="29">
        <f t="shared" ca="1" si="122"/>
        <v>156</v>
      </c>
      <c r="N719" s="22">
        <v>45264</v>
      </c>
      <c r="O719" s="26">
        <f t="shared" ca="1" si="90"/>
        <v>0.27083049194831688</v>
      </c>
      <c r="P719" s="29">
        <f t="shared" ca="1" si="123"/>
        <v>221</v>
      </c>
      <c r="R719" s="22">
        <v>45264</v>
      </c>
      <c r="S719" s="26">
        <f t="shared" ca="1" si="91"/>
        <v>0.99860258822567394</v>
      </c>
      <c r="T719" s="29">
        <f t="shared" ca="1" si="124"/>
        <v>167</v>
      </c>
      <c r="V719" s="22">
        <v>45264</v>
      </c>
      <c r="W719" s="26">
        <f t="shared" ca="1" si="92"/>
        <v>0.42897850240577462</v>
      </c>
      <c r="X719" s="29">
        <f t="shared" ca="1" si="125"/>
        <v>223</v>
      </c>
      <c r="Z719" s="22">
        <v>45264</v>
      </c>
      <c r="AA719" s="26">
        <f t="shared" ca="1" si="93"/>
        <v>0.64183415405248989</v>
      </c>
      <c r="AB719" s="29">
        <f t="shared" ca="1" si="126"/>
        <v>277</v>
      </c>
      <c r="AC719"/>
      <c r="AD719" s="25"/>
      <c r="AF719" s="22">
        <v>45264</v>
      </c>
      <c r="AG719" s="26">
        <f t="shared" ca="1" si="94"/>
        <v>0.83542300767267252</v>
      </c>
      <c r="AH719" s="29">
        <f t="shared" ca="1" si="127"/>
        <v>413</v>
      </c>
      <c r="AJ719" s="22">
        <v>45264</v>
      </c>
      <c r="AK719" s="26">
        <f t="shared" ca="1" si="95"/>
        <v>0.25500211531189365</v>
      </c>
      <c r="AL719" s="29">
        <f t="shared" ca="1" si="128"/>
        <v>141</v>
      </c>
      <c r="AN719" s="22">
        <v>45264</v>
      </c>
      <c r="AO719" s="26">
        <f t="shared" ca="1" si="96"/>
        <v>0.18295028580529538</v>
      </c>
      <c r="AP719" s="29">
        <f t="shared" ca="1" si="129"/>
        <v>177</v>
      </c>
      <c r="AR719" s="22">
        <v>45264</v>
      </c>
      <c r="AS719" s="26">
        <f t="shared" ca="1" si="97"/>
        <v>1.9455693245183259E-2</v>
      </c>
      <c r="AT719" s="29">
        <f t="shared" ca="1" si="130"/>
        <v>89</v>
      </c>
      <c r="AV719" s="22">
        <v>45264</v>
      </c>
      <c r="AW719" s="26">
        <f t="shared" ca="1" si="98"/>
        <v>0.33277377697585442</v>
      </c>
      <c r="AX719" s="29">
        <f t="shared" ca="1" si="131"/>
        <v>182</v>
      </c>
      <c r="AZ719" s="22">
        <v>45264</v>
      </c>
      <c r="BA719" s="26">
        <f t="shared" ca="1" si="99"/>
        <v>0.53209841055866591</v>
      </c>
      <c r="BB719" s="29">
        <f t="shared" ca="1" si="132"/>
        <v>239</v>
      </c>
      <c r="BC719"/>
      <c r="BD719" s="25"/>
      <c r="BF719" s="22">
        <v>45264</v>
      </c>
      <c r="BG719" s="26">
        <f t="shared" ca="1" si="100"/>
        <v>0.49855681474883773</v>
      </c>
      <c r="BH719" s="29">
        <f t="shared" ca="1" si="133"/>
        <v>201</v>
      </c>
      <c r="BJ719" s="22">
        <v>45264</v>
      </c>
      <c r="BK719" s="26">
        <f t="shared" ca="1" si="101"/>
        <v>5.613507532526163E-2</v>
      </c>
      <c r="BL719" s="29">
        <v>0</v>
      </c>
      <c r="BN719" s="22">
        <v>45264</v>
      </c>
      <c r="BO719" s="26">
        <f t="shared" ca="1" si="102"/>
        <v>8.3010190527017969E-2</v>
      </c>
      <c r="BP719" s="29">
        <v>0</v>
      </c>
      <c r="BR719" s="22">
        <v>45264</v>
      </c>
      <c r="BS719" s="26">
        <f t="shared" ca="1" si="103"/>
        <v>3.3720067004277876E-2</v>
      </c>
      <c r="BT719" s="29">
        <v>0</v>
      </c>
      <c r="BV719" s="22">
        <v>45264</v>
      </c>
      <c r="BW719" s="26">
        <f t="shared" ca="1" si="104"/>
        <v>0.59044666229354947</v>
      </c>
      <c r="BX719" s="29">
        <v>0</v>
      </c>
    </row>
    <row r="720" spans="2:77" ht="12.75" x14ac:dyDescent="0.2">
      <c r="B720" s="22">
        <v>45265</v>
      </c>
      <c r="C720" s="26">
        <f t="shared" ca="1" si="119"/>
        <v>0.76173406403507449</v>
      </c>
      <c r="D720" s="29">
        <f t="shared" ca="1" si="118"/>
        <v>90</v>
      </c>
      <c r="F720" s="22"/>
      <c r="G720" s="26">
        <f t="shared" ca="1" si="88"/>
        <v>0.63071199917695586</v>
      </c>
      <c r="H720" s="29">
        <f t="shared" ca="1" si="121"/>
        <v>221</v>
      </c>
      <c r="J720" s="22">
        <v>45265</v>
      </c>
      <c r="K720" s="26">
        <f t="shared" ca="1" si="89"/>
        <v>0.78284348201466969</v>
      </c>
      <c r="L720" s="29">
        <f t="shared" ca="1" si="122"/>
        <v>158</v>
      </c>
      <c r="N720" s="22">
        <v>45265</v>
      </c>
      <c r="O720" s="26">
        <f t="shared" ca="1" si="90"/>
        <v>0.24676465744974607</v>
      </c>
      <c r="P720" s="29">
        <f t="shared" ca="1" si="123"/>
        <v>219</v>
      </c>
      <c r="R720" s="22">
        <v>45265</v>
      </c>
      <c r="S720" s="26">
        <f t="shared" ca="1" si="91"/>
        <v>0.26132883625515613</v>
      </c>
      <c r="T720" s="29">
        <f t="shared" ca="1" si="124"/>
        <v>133</v>
      </c>
      <c r="V720" s="22">
        <v>45265</v>
      </c>
      <c r="W720" s="26">
        <f t="shared" ca="1" si="92"/>
        <v>0.22291654938450034</v>
      </c>
      <c r="X720" s="29">
        <f t="shared" ca="1" si="125"/>
        <v>214</v>
      </c>
      <c r="Z720" s="22">
        <v>45265</v>
      </c>
      <c r="AA720" s="26">
        <f t="shared" ca="1" si="93"/>
        <v>0.15692843353470076</v>
      </c>
      <c r="AB720" s="29">
        <f t="shared" ca="1" si="126"/>
        <v>252</v>
      </c>
      <c r="AC720"/>
      <c r="AD720" s="25"/>
      <c r="AF720" s="22">
        <v>45265</v>
      </c>
      <c r="AG720" s="26">
        <f t="shared" ca="1" si="94"/>
        <v>0.34987608275803428</v>
      </c>
      <c r="AH720" s="29">
        <f t="shared" ca="1" si="127"/>
        <v>294</v>
      </c>
      <c r="AJ720" s="22">
        <v>45265</v>
      </c>
      <c r="AK720" s="26">
        <f t="shared" ca="1" si="95"/>
        <v>0.72776165397662795</v>
      </c>
      <c r="AL720" s="29">
        <f t="shared" ca="1" si="128"/>
        <v>198</v>
      </c>
      <c r="AN720" s="22">
        <v>45265</v>
      </c>
      <c r="AO720" s="26">
        <f t="shared" ca="1" si="96"/>
        <v>0.54194489404359614</v>
      </c>
      <c r="AP720" s="29">
        <f t="shared" ca="1" si="129"/>
        <v>239</v>
      </c>
      <c r="AR720" s="22">
        <v>45265</v>
      </c>
      <c r="AS720" s="26">
        <f t="shared" ca="1" si="97"/>
        <v>0.17038190436385092</v>
      </c>
      <c r="AT720" s="29">
        <f t="shared" ca="1" si="130"/>
        <v>148</v>
      </c>
      <c r="AV720" s="22">
        <v>45265</v>
      </c>
      <c r="AW720" s="26">
        <f t="shared" ca="1" si="98"/>
        <v>0.44670785921368472</v>
      </c>
      <c r="AX720" s="29">
        <f t="shared" ca="1" si="131"/>
        <v>199</v>
      </c>
      <c r="AZ720" s="22">
        <v>45265</v>
      </c>
      <c r="BA720" s="26">
        <f t="shared" ca="1" si="99"/>
        <v>0.15910368205564285</v>
      </c>
      <c r="BB720" s="29">
        <f t="shared" ca="1" si="132"/>
        <v>172</v>
      </c>
      <c r="BC720"/>
      <c r="BD720" s="25"/>
      <c r="BF720" s="22">
        <v>45265</v>
      </c>
      <c r="BG720" s="26">
        <f t="shared" ca="1" si="100"/>
        <v>0.16377903229714719</v>
      </c>
      <c r="BH720" s="29">
        <f t="shared" ca="1" si="133"/>
        <v>149</v>
      </c>
      <c r="BJ720" s="22">
        <v>45265</v>
      </c>
      <c r="BK720" s="26">
        <f t="shared" ca="1" si="101"/>
        <v>4.5608345767874203E-2</v>
      </c>
      <c r="BL720" s="29">
        <v>0</v>
      </c>
      <c r="BN720" s="22">
        <v>45265</v>
      </c>
      <c r="BO720" s="26">
        <f t="shared" ca="1" si="102"/>
        <v>0.47134082509405584</v>
      </c>
      <c r="BP720" s="29">
        <v>0</v>
      </c>
      <c r="BR720" s="22">
        <v>45265</v>
      </c>
      <c r="BS720" s="26">
        <f t="shared" ca="1" si="103"/>
        <v>0.43010768472486216</v>
      </c>
      <c r="BT720" s="29">
        <v>0</v>
      </c>
      <c r="BV720" s="22">
        <v>45265</v>
      </c>
      <c r="BW720" s="26">
        <f t="shared" ca="1" si="104"/>
        <v>0.3204356772358733</v>
      </c>
      <c r="BX720" s="29">
        <v>0</v>
      </c>
    </row>
    <row r="721" spans="2:76" ht="12.75" x14ac:dyDescent="0.2">
      <c r="B721" s="22">
        <v>45266</v>
      </c>
      <c r="C721" s="26">
        <f t="shared" ca="1" si="119"/>
        <v>0.90214566964244691</v>
      </c>
      <c r="D721" s="29">
        <f t="shared" ca="1" si="118"/>
        <v>101</v>
      </c>
      <c r="F721" s="22"/>
      <c r="G721" s="26">
        <f t="shared" ca="1" si="88"/>
        <v>0.80582973191912266</v>
      </c>
      <c r="H721" s="29">
        <f t="shared" ca="1" si="121"/>
        <v>228</v>
      </c>
      <c r="J721" s="22">
        <v>45266</v>
      </c>
      <c r="K721" s="26">
        <f t="shared" ca="1" si="89"/>
        <v>0.29202237311542412</v>
      </c>
      <c r="L721" s="29">
        <f t="shared" ca="1" si="122"/>
        <v>145</v>
      </c>
      <c r="N721" s="22">
        <v>45266</v>
      </c>
      <c r="O721" s="26">
        <f t="shared" ca="1" si="90"/>
        <v>0.51831316389702042</v>
      </c>
      <c r="P721" s="29">
        <f t="shared" ca="1" si="123"/>
        <v>231</v>
      </c>
      <c r="R721" s="22">
        <v>45266</v>
      </c>
      <c r="S721" s="26">
        <f t="shared" ca="1" si="91"/>
        <v>0.41276693984393664</v>
      </c>
      <c r="T721" s="29">
        <f t="shared" ca="1" si="124"/>
        <v>137</v>
      </c>
      <c r="V721" s="22">
        <v>45266</v>
      </c>
      <c r="W721" s="26">
        <f t="shared" ca="1" si="92"/>
        <v>0.56436004896826786</v>
      </c>
      <c r="X721" s="29">
        <f t="shared" ca="1" si="125"/>
        <v>228</v>
      </c>
      <c r="Z721" s="22">
        <v>45266</v>
      </c>
      <c r="AA721" s="26">
        <f t="shared" ca="1" si="93"/>
        <v>0.7496832859638688</v>
      </c>
      <c r="AB721" s="29">
        <f t="shared" ca="1" si="126"/>
        <v>283</v>
      </c>
      <c r="AC721"/>
      <c r="AD721" s="25"/>
      <c r="AF721" s="22">
        <v>45266</v>
      </c>
      <c r="AG721" s="26">
        <f t="shared" ca="1" si="94"/>
        <v>3.5005515095376305E-2</v>
      </c>
      <c r="AH721" s="29">
        <f t="shared" ca="1" si="127"/>
        <v>170</v>
      </c>
      <c r="AJ721" s="22">
        <v>45266</v>
      </c>
      <c r="AK721" s="26">
        <f t="shared" ca="1" si="95"/>
        <v>0.98030627218812705</v>
      </c>
      <c r="AL721" s="29">
        <f t="shared" ca="1" si="128"/>
        <v>265</v>
      </c>
      <c r="AN721" s="22">
        <v>45266</v>
      </c>
      <c r="AO721" s="26">
        <f t="shared" ca="1" si="96"/>
        <v>0.25626885594737281</v>
      </c>
      <c r="AP721" s="29">
        <f t="shared" ca="1" si="129"/>
        <v>192</v>
      </c>
      <c r="AR721" s="22">
        <v>45266</v>
      </c>
      <c r="AS721" s="26">
        <f t="shared" ca="1" si="97"/>
        <v>0.79557458050037511</v>
      </c>
      <c r="AT721" s="29">
        <f t="shared" ca="1" si="130"/>
        <v>242</v>
      </c>
      <c r="AV721" s="22">
        <v>45266</v>
      </c>
      <c r="AW721" s="26">
        <f t="shared" ca="1" si="98"/>
        <v>0.61218795549611071</v>
      </c>
      <c r="AX721" s="29">
        <f t="shared" ca="1" si="131"/>
        <v>222</v>
      </c>
      <c r="AZ721" s="22">
        <v>45266</v>
      </c>
      <c r="BA721" s="26">
        <f t="shared" ca="1" si="99"/>
        <v>0.48173733617674186</v>
      </c>
      <c r="BB721" s="29">
        <f t="shared" ca="1" si="132"/>
        <v>231</v>
      </c>
      <c r="BC721"/>
      <c r="BD721" s="25"/>
      <c r="BF721" s="22">
        <v>45266</v>
      </c>
      <c r="BG721" s="26">
        <f t="shared" ca="1" si="100"/>
        <v>0.75407468017558432</v>
      </c>
      <c r="BH721" s="29">
        <f t="shared" ca="1" si="133"/>
        <v>238</v>
      </c>
      <c r="BJ721" s="22">
        <v>45266</v>
      </c>
      <c r="BK721" s="26">
        <f t="shared" ca="1" si="101"/>
        <v>0.54155199884844407</v>
      </c>
      <c r="BL721" s="29">
        <v>0</v>
      </c>
      <c r="BN721" s="22">
        <v>45266</v>
      </c>
      <c r="BO721" s="26">
        <f t="shared" ca="1" si="102"/>
        <v>2.820265377551745E-2</v>
      </c>
      <c r="BP721" s="29">
        <v>0</v>
      </c>
      <c r="BR721" s="22">
        <v>45266</v>
      </c>
      <c r="BS721" s="26">
        <f t="shared" ca="1" si="103"/>
        <v>0.45134868369747494</v>
      </c>
      <c r="BT721" s="29">
        <v>0</v>
      </c>
      <c r="BV721" s="22">
        <v>45266</v>
      </c>
      <c r="BW721" s="26">
        <f t="shared" ca="1" si="104"/>
        <v>0.82963638990886845</v>
      </c>
      <c r="BX721" s="29">
        <v>0</v>
      </c>
    </row>
    <row r="722" spans="2:76" ht="12.75" x14ac:dyDescent="0.2">
      <c r="B722" s="22">
        <v>45267</v>
      </c>
      <c r="C722" s="26">
        <f t="shared" ca="1" si="119"/>
        <v>0.42950348126646387</v>
      </c>
      <c r="D722" s="29">
        <f t="shared" ref="D722:D782" ca="1" si="134">ROUNDUP(_xlfn.NORM.INV(C722,C$10,C$12),0)</f>
        <v>72</v>
      </c>
      <c r="F722" s="22"/>
      <c r="G722" s="26">
        <f t="shared" ca="1" si="88"/>
        <v>0.81623726900962246</v>
      </c>
      <c r="H722" s="29">
        <f t="shared" ca="1" si="121"/>
        <v>229</v>
      </c>
      <c r="J722" s="22">
        <v>45267</v>
      </c>
      <c r="K722" s="26">
        <f t="shared" ca="1" si="89"/>
        <v>0.10318319871094139</v>
      </c>
      <c r="L722" s="29">
        <f t="shared" ca="1" si="122"/>
        <v>138</v>
      </c>
      <c r="N722" s="22">
        <v>45267</v>
      </c>
      <c r="O722" s="26">
        <f t="shared" ca="1" si="90"/>
        <v>0.1697441625243955</v>
      </c>
      <c r="P722" s="29">
        <f t="shared" ca="1" si="123"/>
        <v>215</v>
      </c>
      <c r="R722" s="22">
        <v>45267</v>
      </c>
      <c r="S722" s="26">
        <f t="shared" ca="1" si="91"/>
        <v>0.18147311508467179</v>
      </c>
      <c r="T722" s="29">
        <f t="shared" ca="1" si="124"/>
        <v>131</v>
      </c>
      <c r="V722" s="22">
        <v>45267</v>
      </c>
      <c r="W722" s="26">
        <f t="shared" ca="1" si="92"/>
        <v>0.15953540057391258</v>
      </c>
      <c r="X722" s="29">
        <f t="shared" ca="1" si="125"/>
        <v>211</v>
      </c>
      <c r="Z722" s="22">
        <v>45267</v>
      </c>
      <c r="AA722" s="26">
        <f t="shared" ca="1" si="93"/>
        <v>0.63484577588835767</v>
      </c>
      <c r="AB722" s="29">
        <f t="shared" ca="1" si="126"/>
        <v>277</v>
      </c>
      <c r="AC722"/>
      <c r="AD722" s="25"/>
      <c r="AF722" s="22">
        <v>45267</v>
      </c>
      <c r="AG722" s="26">
        <f t="shared" ca="1" si="94"/>
        <v>0.83293346595833018</v>
      </c>
      <c r="AH722" s="29">
        <f t="shared" ca="1" si="127"/>
        <v>412</v>
      </c>
      <c r="AJ722" s="22">
        <v>45267</v>
      </c>
      <c r="AK722" s="26">
        <f t="shared" ca="1" si="95"/>
        <v>2.3324646825379491E-2</v>
      </c>
      <c r="AL722" s="29">
        <f t="shared" ca="1" si="128"/>
        <v>80</v>
      </c>
      <c r="AN722" s="22">
        <v>45267</v>
      </c>
      <c r="AO722" s="26">
        <f t="shared" ca="1" si="96"/>
        <v>0.4257050391333933</v>
      </c>
      <c r="AP722" s="29">
        <f t="shared" ca="1" si="129"/>
        <v>221</v>
      </c>
      <c r="AR722" s="22">
        <v>45267</v>
      </c>
      <c r="AS722" s="26">
        <f t="shared" ca="1" si="97"/>
        <v>0.10671324913371771</v>
      </c>
      <c r="AT722" s="29">
        <f t="shared" ca="1" si="130"/>
        <v>133</v>
      </c>
      <c r="AV722" s="22">
        <v>45267</v>
      </c>
      <c r="AW722" s="26">
        <f t="shared" ca="1" si="98"/>
        <v>0.91165254939221452</v>
      </c>
      <c r="AX722" s="29">
        <f t="shared" ca="1" si="131"/>
        <v>280</v>
      </c>
      <c r="AZ722" s="22">
        <v>45267</v>
      </c>
      <c r="BA722" s="26">
        <f t="shared" ca="1" si="99"/>
        <v>9.1696809504929533E-2</v>
      </c>
      <c r="BB722" s="29">
        <f t="shared" ca="1" si="132"/>
        <v>151</v>
      </c>
      <c r="BC722"/>
      <c r="BD722" s="25"/>
      <c r="BF722" s="22">
        <v>45267</v>
      </c>
      <c r="BG722" s="26">
        <f t="shared" ca="1" si="100"/>
        <v>8.2703607794534006E-2</v>
      </c>
      <c r="BH722" s="29">
        <f t="shared" ca="1" si="133"/>
        <v>127</v>
      </c>
      <c r="BJ722" s="22">
        <v>45267</v>
      </c>
      <c r="BK722" s="26">
        <f t="shared" ca="1" si="101"/>
        <v>0.82242228302394582</v>
      </c>
      <c r="BL722" s="29">
        <v>0</v>
      </c>
      <c r="BN722" s="22">
        <v>45267</v>
      </c>
      <c r="BO722" s="26">
        <f t="shared" ca="1" si="102"/>
        <v>0.58157641897884349</v>
      </c>
      <c r="BP722" s="29">
        <v>0</v>
      </c>
      <c r="BR722" s="22">
        <v>45267</v>
      </c>
      <c r="BS722" s="26">
        <f t="shared" ca="1" si="103"/>
        <v>0.5410829679810959</v>
      </c>
      <c r="BT722" s="29">
        <v>0</v>
      </c>
      <c r="BV722" s="22">
        <v>45267</v>
      </c>
      <c r="BW722" s="26">
        <f t="shared" ca="1" si="104"/>
        <v>0.52539159268547675</v>
      </c>
      <c r="BX722" s="29">
        <v>0</v>
      </c>
    </row>
    <row r="723" spans="2:76" ht="12.75" x14ac:dyDescent="0.2">
      <c r="B723" s="22">
        <v>45268</v>
      </c>
      <c r="C723" s="26">
        <f t="shared" ca="1" si="119"/>
        <v>7.490267869592071E-2</v>
      </c>
      <c r="D723" s="29">
        <f t="shared" ca="1" si="134"/>
        <v>47</v>
      </c>
      <c r="F723" s="22"/>
      <c r="G723" s="26">
        <f t="shared" ca="1" si="88"/>
        <v>0.32292719830621031</v>
      </c>
      <c r="H723" s="29">
        <f t="shared" ca="1" si="121"/>
        <v>209</v>
      </c>
      <c r="J723" s="22">
        <v>45268</v>
      </c>
      <c r="K723" s="26">
        <f t="shared" ca="1" si="89"/>
        <v>0.17418517335253247</v>
      </c>
      <c r="L723" s="29">
        <f t="shared" ca="1" si="122"/>
        <v>141</v>
      </c>
      <c r="N723" s="22">
        <v>45268</v>
      </c>
      <c r="O723" s="26">
        <f t="shared" ca="1" si="90"/>
        <v>6.6332948694709182E-2</v>
      </c>
      <c r="P723" s="29">
        <f t="shared" ca="1" si="123"/>
        <v>207</v>
      </c>
      <c r="R723" s="22">
        <v>45268</v>
      </c>
      <c r="S723" s="26">
        <f t="shared" ca="1" si="91"/>
        <v>0.27927163620703233</v>
      </c>
      <c r="T723" s="29">
        <f t="shared" ca="1" si="124"/>
        <v>134</v>
      </c>
      <c r="V723" s="22">
        <v>45268</v>
      </c>
      <c r="W723" s="26">
        <f t="shared" ca="1" si="92"/>
        <v>0.44133288249727343</v>
      </c>
      <c r="X723" s="29">
        <f t="shared" ca="1" si="125"/>
        <v>223</v>
      </c>
      <c r="Z723" s="22">
        <v>45268</v>
      </c>
      <c r="AA723" s="26">
        <f t="shared" ca="1" si="93"/>
        <v>0.17643947390876247</v>
      </c>
      <c r="AB723" s="29">
        <f t="shared" ca="1" si="126"/>
        <v>254</v>
      </c>
      <c r="AC723"/>
      <c r="AD723" s="25"/>
      <c r="AF723" s="22">
        <v>45268</v>
      </c>
      <c r="AG723" s="26">
        <f t="shared" ca="1" si="94"/>
        <v>0.9564304796900075</v>
      </c>
      <c r="AH723" s="29">
        <f t="shared" ca="1" si="127"/>
        <v>477</v>
      </c>
      <c r="AJ723" s="22">
        <v>45268</v>
      </c>
      <c r="AK723" s="26">
        <f t="shared" ca="1" si="95"/>
        <v>0.16288463520663188</v>
      </c>
      <c r="AL723" s="29">
        <f t="shared" ca="1" si="128"/>
        <v>126</v>
      </c>
      <c r="AN723" s="22">
        <v>45268</v>
      </c>
      <c r="AO723" s="26">
        <f t="shared" ca="1" si="96"/>
        <v>0.48142941853559595</v>
      </c>
      <c r="AP723" s="29">
        <f t="shared" ca="1" si="129"/>
        <v>230</v>
      </c>
      <c r="AR723" s="22">
        <v>45268</v>
      </c>
      <c r="AS723" s="26">
        <f t="shared" ca="1" si="97"/>
        <v>0.18341326431062877</v>
      </c>
      <c r="AT723" s="29">
        <f t="shared" ca="1" si="130"/>
        <v>151</v>
      </c>
      <c r="AV723" s="22">
        <v>45268</v>
      </c>
      <c r="AW723" s="26">
        <f t="shared" ca="1" si="98"/>
        <v>0.85766753909200777</v>
      </c>
      <c r="AX723" s="29">
        <f t="shared" ca="1" si="131"/>
        <v>265</v>
      </c>
      <c r="AZ723" s="22">
        <v>45268</v>
      </c>
      <c r="BA723" s="26">
        <f t="shared" ca="1" si="99"/>
        <v>8.2682191451546982E-2</v>
      </c>
      <c r="BB723" s="29">
        <f t="shared" ca="1" si="132"/>
        <v>148</v>
      </c>
      <c r="BC723"/>
      <c r="BD723" s="25"/>
      <c r="BF723" s="22">
        <v>45268</v>
      </c>
      <c r="BG723" s="26">
        <f t="shared" ca="1" si="100"/>
        <v>0.50038108019029648</v>
      </c>
      <c r="BH723" s="29">
        <f t="shared" ca="1" si="133"/>
        <v>201</v>
      </c>
      <c r="BJ723" s="22">
        <v>45268</v>
      </c>
      <c r="BK723" s="26">
        <f t="shared" ca="1" si="101"/>
        <v>0.23869370120164934</v>
      </c>
      <c r="BL723" s="29">
        <v>0</v>
      </c>
      <c r="BN723" s="22">
        <v>45268</v>
      </c>
      <c r="BO723" s="26">
        <f t="shared" ca="1" si="102"/>
        <v>0.96946116602149057</v>
      </c>
      <c r="BP723" s="29">
        <v>0</v>
      </c>
      <c r="BR723" s="22">
        <v>45268</v>
      </c>
      <c r="BS723" s="26">
        <f t="shared" ca="1" si="103"/>
        <v>0.64761757071808901</v>
      </c>
      <c r="BT723" s="29">
        <v>0</v>
      </c>
      <c r="BV723" s="22">
        <v>45268</v>
      </c>
      <c r="BW723" s="26">
        <f t="shared" ca="1" si="104"/>
        <v>0.85044954977141396</v>
      </c>
      <c r="BX723" s="29">
        <v>0</v>
      </c>
    </row>
    <row r="724" spans="2:76" ht="12.75" x14ac:dyDescent="0.2">
      <c r="B724" s="22">
        <v>45269</v>
      </c>
      <c r="C724" s="26">
        <f t="shared" ref="C724:C860" ca="1" si="135">RAND()</f>
        <v>0.80088945544981327</v>
      </c>
      <c r="D724" s="29">
        <f t="shared" ca="1" si="134"/>
        <v>92</v>
      </c>
      <c r="F724" s="22"/>
      <c r="G724" s="26">
        <f t="shared" ca="1" si="88"/>
        <v>0.28781471462595076</v>
      </c>
      <c r="H724" s="29">
        <f t="shared" ca="1" si="121"/>
        <v>208</v>
      </c>
      <c r="J724" s="22">
        <v>45269</v>
      </c>
      <c r="K724" s="26">
        <f t="shared" ca="1" si="89"/>
        <v>0.74744944579119821</v>
      </c>
      <c r="L724" s="29">
        <f t="shared" ca="1" si="122"/>
        <v>157</v>
      </c>
      <c r="N724" s="22">
        <v>45269</v>
      </c>
      <c r="O724" s="26">
        <f t="shared" ca="1" si="90"/>
        <v>0.77639468257673294</v>
      </c>
      <c r="P724" s="29">
        <f t="shared" ca="1" si="123"/>
        <v>241</v>
      </c>
      <c r="R724" s="22">
        <v>45269</v>
      </c>
      <c r="S724" s="26">
        <f t="shared" ca="1" si="91"/>
        <v>0.10157772438839063</v>
      </c>
      <c r="T724" s="29">
        <f t="shared" ca="1" si="124"/>
        <v>127</v>
      </c>
      <c r="V724" s="22">
        <v>45269</v>
      </c>
      <c r="W724" s="26">
        <f t="shared" ca="1" si="92"/>
        <v>0.36138187951676626</v>
      </c>
      <c r="X724" s="29">
        <f t="shared" ca="1" si="125"/>
        <v>220</v>
      </c>
      <c r="Z724" s="22">
        <v>45269</v>
      </c>
      <c r="AA724" s="26">
        <f t="shared" ca="1" si="93"/>
        <v>0.39401566746094274</v>
      </c>
      <c r="AB724" s="29">
        <f t="shared" ca="1" si="126"/>
        <v>266</v>
      </c>
      <c r="AC724"/>
      <c r="AD724" s="25"/>
      <c r="AF724" s="22">
        <v>45269</v>
      </c>
      <c r="AG724" s="26">
        <f t="shared" ca="1" si="94"/>
        <v>3.1967843940227669E-2</v>
      </c>
      <c r="AH724" s="29">
        <f t="shared" ca="1" si="127"/>
        <v>166</v>
      </c>
      <c r="AJ724" s="22">
        <v>45269</v>
      </c>
      <c r="AK724" s="26">
        <f t="shared" ca="1" si="95"/>
        <v>0.57748975322097174</v>
      </c>
      <c r="AL724" s="29">
        <f t="shared" ca="1" si="128"/>
        <v>180</v>
      </c>
      <c r="AN724" s="22">
        <v>45269</v>
      </c>
      <c r="AO724" s="26">
        <f t="shared" ca="1" si="96"/>
        <v>0.85158156961283149</v>
      </c>
      <c r="AP724" s="29">
        <f t="shared" ca="1" si="129"/>
        <v>297</v>
      </c>
      <c r="AR724" s="22">
        <v>45269</v>
      </c>
      <c r="AS724" s="26">
        <f t="shared" ca="1" si="97"/>
        <v>0.27932349283101288</v>
      </c>
      <c r="AT724" s="29">
        <f t="shared" ca="1" si="130"/>
        <v>168</v>
      </c>
      <c r="AV724" s="22">
        <v>45269</v>
      </c>
      <c r="AW724" s="26">
        <f t="shared" ca="1" si="98"/>
        <v>0.10322136130854487</v>
      </c>
      <c r="AX724" s="29">
        <f t="shared" ca="1" si="131"/>
        <v>137</v>
      </c>
      <c r="AZ724" s="22">
        <v>45269</v>
      </c>
      <c r="BA724" s="26">
        <f t="shared" ca="1" si="99"/>
        <v>0.96435148150980199</v>
      </c>
      <c r="BB724" s="29">
        <f t="shared" ca="1" si="132"/>
        <v>346</v>
      </c>
      <c r="BC724"/>
      <c r="BD724" s="25"/>
      <c r="BF724" s="22">
        <v>45269</v>
      </c>
      <c r="BG724" s="26">
        <f t="shared" ca="1" si="100"/>
        <v>0.65231862347616243</v>
      </c>
      <c r="BH724" s="29">
        <f t="shared" ca="1" si="133"/>
        <v>222</v>
      </c>
      <c r="BJ724" s="22">
        <v>45269</v>
      </c>
      <c r="BK724" s="26">
        <f t="shared" ca="1" si="101"/>
        <v>0.6885594613617777</v>
      </c>
      <c r="BL724" s="29">
        <v>0</v>
      </c>
      <c r="BN724" s="22">
        <v>45269</v>
      </c>
      <c r="BO724" s="26">
        <f t="shared" ca="1" si="102"/>
        <v>0.55045705315794302</v>
      </c>
      <c r="BP724" s="29">
        <v>0</v>
      </c>
      <c r="BR724" s="22">
        <v>45269</v>
      </c>
      <c r="BS724" s="26">
        <f t="shared" ca="1" si="103"/>
        <v>0.292801973358923</v>
      </c>
      <c r="BT724" s="29">
        <v>0</v>
      </c>
      <c r="BV724" s="22">
        <v>45269</v>
      </c>
      <c r="BW724" s="26">
        <f t="shared" ca="1" si="104"/>
        <v>0.15797365600034108</v>
      </c>
      <c r="BX724" s="29">
        <v>0</v>
      </c>
    </row>
    <row r="725" spans="2:76" ht="12.75" x14ac:dyDescent="0.2">
      <c r="B725" s="22">
        <v>45270</v>
      </c>
      <c r="C725" s="26">
        <f t="shared" ca="1" si="135"/>
        <v>0.35059496140707347</v>
      </c>
      <c r="D725" s="29">
        <f t="shared" ca="1" si="134"/>
        <v>68</v>
      </c>
      <c r="F725" s="22"/>
      <c r="G725" s="26">
        <f t="shared" ca="1" si="88"/>
        <v>0.2003208075092805</v>
      </c>
      <c r="H725" s="29">
        <f t="shared" ca="1" si="121"/>
        <v>204</v>
      </c>
      <c r="J725" s="22">
        <v>45270</v>
      </c>
      <c r="K725" s="26">
        <f t="shared" ca="1" si="89"/>
        <v>0.34806958431433033</v>
      </c>
      <c r="L725" s="29">
        <f t="shared" ca="1" si="122"/>
        <v>147</v>
      </c>
      <c r="N725" s="22">
        <v>45270</v>
      </c>
      <c r="O725" s="26">
        <f t="shared" ca="1" si="90"/>
        <v>0.3361593238167383</v>
      </c>
      <c r="P725" s="29">
        <f t="shared" ca="1" si="123"/>
        <v>223</v>
      </c>
      <c r="R725" s="22">
        <v>45270</v>
      </c>
      <c r="S725" s="26">
        <f t="shared" ca="1" si="91"/>
        <v>0.25897013486743936</v>
      </c>
      <c r="T725" s="29">
        <f t="shared" ca="1" si="124"/>
        <v>133</v>
      </c>
      <c r="V725" s="22">
        <v>45270</v>
      </c>
      <c r="W725" s="26">
        <f t="shared" ca="1" si="92"/>
        <v>0.8271671049830005</v>
      </c>
      <c r="X725" s="29">
        <f t="shared" ca="1" si="125"/>
        <v>240</v>
      </c>
      <c r="Z725" s="22">
        <v>45270</v>
      </c>
      <c r="AA725" s="26">
        <f t="shared" ca="1" si="93"/>
        <v>0.49697039563987999</v>
      </c>
      <c r="AB725" s="29">
        <f t="shared" ca="1" si="126"/>
        <v>270</v>
      </c>
      <c r="AC725"/>
      <c r="AD725" s="25"/>
      <c r="AF725" s="22">
        <v>45270</v>
      </c>
      <c r="AG725" s="26">
        <f t="shared" ca="1" si="94"/>
        <v>0.59084949494220285</v>
      </c>
      <c r="AH725" s="29">
        <f t="shared" ca="1" si="127"/>
        <v>348</v>
      </c>
      <c r="AJ725" s="22">
        <v>45270</v>
      </c>
      <c r="AK725" s="26">
        <f t="shared" ca="1" si="95"/>
        <v>0.22893921181027566</v>
      </c>
      <c r="AL725" s="29">
        <f t="shared" ca="1" si="128"/>
        <v>137</v>
      </c>
      <c r="AN725" s="22">
        <v>45270</v>
      </c>
      <c r="AO725" s="26">
        <f t="shared" ca="1" si="96"/>
        <v>0.53358451514665994</v>
      </c>
      <c r="AP725" s="29">
        <f t="shared" ca="1" si="129"/>
        <v>238</v>
      </c>
      <c r="AR725" s="22">
        <v>45270</v>
      </c>
      <c r="AS725" s="26">
        <f t="shared" ca="1" si="97"/>
        <v>5.73703596389743E-2</v>
      </c>
      <c r="AT725" s="29">
        <f t="shared" ca="1" si="130"/>
        <v>115</v>
      </c>
      <c r="AV725" s="22">
        <v>45270</v>
      </c>
      <c r="AW725" s="26">
        <f t="shared" ca="1" si="98"/>
        <v>0.37650028639785671</v>
      </c>
      <c r="AX725" s="29">
        <f t="shared" ca="1" si="131"/>
        <v>189</v>
      </c>
      <c r="AZ725" s="22">
        <v>45270</v>
      </c>
      <c r="BA725" s="26">
        <f t="shared" ca="1" si="99"/>
        <v>0.25365661141915552</v>
      </c>
      <c r="BB725" s="29">
        <f t="shared" ca="1" si="132"/>
        <v>193</v>
      </c>
      <c r="BC725"/>
      <c r="BD725" s="25"/>
      <c r="BF725" s="22">
        <v>45270</v>
      </c>
      <c r="BG725" s="26">
        <f t="shared" ca="1" si="100"/>
        <v>0.64381628832434101</v>
      </c>
      <c r="BH725" s="29">
        <f t="shared" ca="1" si="133"/>
        <v>221</v>
      </c>
      <c r="BJ725" s="22">
        <v>45270</v>
      </c>
      <c r="BK725" s="26">
        <f t="shared" ca="1" si="101"/>
        <v>0.27772892722579878</v>
      </c>
      <c r="BL725" s="29">
        <v>0</v>
      </c>
      <c r="BN725" s="22">
        <v>45270</v>
      </c>
      <c r="BO725" s="26">
        <f t="shared" ca="1" si="102"/>
        <v>0.28045679574258464</v>
      </c>
      <c r="BP725" s="29">
        <v>0</v>
      </c>
      <c r="BR725" s="22">
        <v>45270</v>
      </c>
      <c r="BS725" s="26">
        <f t="shared" ca="1" si="103"/>
        <v>2.3131500318647191E-2</v>
      </c>
      <c r="BT725" s="29">
        <v>0</v>
      </c>
      <c r="BV725" s="22">
        <v>45270</v>
      </c>
      <c r="BW725" s="26">
        <f t="shared" ca="1" si="104"/>
        <v>0.37058373997894489</v>
      </c>
      <c r="BX725" s="29">
        <v>0</v>
      </c>
    </row>
    <row r="726" spans="2:76" ht="12.75" x14ac:dyDescent="0.2">
      <c r="B726" s="22">
        <v>45271</v>
      </c>
      <c r="C726" s="26">
        <f t="shared" ca="1" si="135"/>
        <v>0.35639125738420885</v>
      </c>
      <c r="D726" s="29">
        <f t="shared" ca="1" si="134"/>
        <v>68</v>
      </c>
      <c r="F726" s="22"/>
      <c r="G726" s="26">
        <f t="shared" ca="1" si="88"/>
        <v>0.56066896386854292</v>
      </c>
      <c r="H726" s="29">
        <f t="shared" ca="1" si="121"/>
        <v>218</v>
      </c>
      <c r="J726" s="22">
        <v>45271</v>
      </c>
      <c r="K726" s="26">
        <f t="shared" ca="1" si="89"/>
        <v>0.38549537957881397</v>
      </c>
      <c r="L726" s="29">
        <f t="shared" ca="1" si="122"/>
        <v>148</v>
      </c>
      <c r="N726" s="22">
        <v>45271</v>
      </c>
      <c r="O726" s="26">
        <f t="shared" ca="1" si="90"/>
        <v>0.3657463665011782</v>
      </c>
      <c r="P726" s="29">
        <f t="shared" ca="1" si="123"/>
        <v>225</v>
      </c>
      <c r="R726" s="22">
        <v>45271</v>
      </c>
      <c r="S726" s="26">
        <f t="shared" ca="1" si="91"/>
        <v>0.41293493554512384</v>
      </c>
      <c r="T726" s="29">
        <f t="shared" ca="1" si="124"/>
        <v>137</v>
      </c>
      <c r="V726" s="22">
        <v>45271</v>
      </c>
      <c r="W726" s="26">
        <f t="shared" ca="1" si="92"/>
        <v>0.3904944088398955</v>
      </c>
      <c r="X726" s="29">
        <f t="shared" ca="1" si="125"/>
        <v>221</v>
      </c>
      <c r="Z726" s="22">
        <v>45271</v>
      </c>
      <c r="AA726" s="26">
        <f t="shared" ca="1" si="93"/>
        <v>0.42304946850764014</v>
      </c>
      <c r="AB726" s="29">
        <f t="shared" ca="1" si="126"/>
        <v>267</v>
      </c>
      <c r="AC726"/>
      <c r="AD726" s="25"/>
      <c r="AF726" s="22">
        <v>45271</v>
      </c>
      <c r="AG726" s="26">
        <f t="shared" ca="1" si="94"/>
        <v>0.42482400207629278</v>
      </c>
      <c r="AH726" s="29">
        <f t="shared" ca="1" si="127"/>
        <v>311</v>
      </c>
      <c r="AJ726" s="22">
        <v>45271</v>
      </c>
      <c r="AK726" s="26">
        <f t="shared" ca="1" si="95"/>
        <v>0.62822909340110111</v>
      </c>
      <c r="AL726" s="29">
        <f t="shared" ca="1" si="128"/>
        <v>186</v>
      </c>
      <c r="AN726" s="22">
        <v>45271</v>
      </c>
      <c r="AO726" s="26">
        <f t="shared" ca="1" si="96"/>
        <v>0.26045934934137038</v>
      </c>
      <c r="AP726" s="29">
        <f t="shared" ca="1" si="129"/>
        <v>193</v>
      </c>
      <c r="AR726" s="22">
        <v>45271</v>
      </c>
      <c r="AS726" s="26">
        <f t="shared" ca="1" si="97"/>
        <v>0.14110134846730804</v>
      </c>
      <c r="AT726" s="29">
        <f t="shared" ca="1" si="130"/>
        <v>142</v>
      </c>
      <c r="AV726" s="22">
        <v>45271</v>
      </c>
      <c r="AW726" s="26">
        <f t="shared" ca="1" si="98"/>
        <v>0.31635292405867266</v>
      </c>
      <c r="AX726" s="29">
        <f t="shared" ca="1" si="131"/>
        <v>180</v>
      </c>
      <c r="AZ726" s="22">
        <v>45271</v>
      </c>
      <c r="BA726" s="26">
        <f t="shared" ca="1" si="99"/>
        <v>8.80674465697594E-2</v>
      </c>
      <c r="BB726" s="29">
        <f t="shared" ca="1" si="132"/>
        <v>150</v>
      </c>
      <c r="BC726"/>
      <c r="BD726" s="25"/>
      <c r="BF726" s="22">
        <v>45271</v>
      </c>
      <c r="BG726" s="26">
        <f t="shared" ca="1" si="100"/>
        <v>0.99799344868043061</v>
      </c>
      <c r="BH726" s="29">
        <f t="shared" ca="1" si="133"/>
        <v>355</v>
      </c>
      <c r="BJ726" s="22">
        <v>45271</v>
      </c>
      <c r="BK726" s="26">
        <f t="shared" ca="1" si="101"/>
        <v>0.2683993163751186</v>
      </c>
      <c r="BL726" s="29">
        <v>0</v>
      </c>
      <c r="BN726" s="22">
        <v>45271</v>
      </c>
      <c r="BO726" s="26">
        <f t="shared" ca="1" si="102"/>
        <v>0.52238803533013989</v>
      </c>
      <c r="BP726" s="29">
        <v>0</v>
      </c>
      <c r="BR726" s="22">
        <v>45271</v>
      </c>
      <c r="BS726" s="26">
        <f t="shared" ca="1" si="103"/>
        <v>0.70171917146299456</v>
      </c>
      <c r="BT726" s="29">
        <v>0</v>
      </c>
      <c r="BV726" s="22">
        <v>45271</v>
      </c>
      <c r="BW726" s="26">
        <f t="shared" ca="1" si="104"/>
        <v>0.15496972581411317</v>
      </c>
      <c r="BX726" s="29">
        <v>0</v>
      </c>
    </row>
    <row r="727" spans="2:76" ht="12.75" x14ac:dyDescent="0.2">
      <c r="B727" s="22">
        <v>45272</v>
      </c>
      <c r="C727" s="26">
        <f t="shared" ca="1" si="135"/>
        <v>0.1857201318924373</v>
      </c>
      <c r="D727" s="29">
        <f t="shared" ca="1" si="134"/>
        <v>58</v>
      </c>
      <c r="F727" s="22"/>
      <c r="G727" s="26">
        <f t="shared" ca="1" si="88"/>
        <v>0.37075677240545013</v>
      </c>
      <c r="H727" s="29">
        <f t="shared" ca="1" si="121"/>
        <v>211</v>
      </c>
      <c r="J727" s="22">
        <v>45272</v>
      </c>
      <c r="K727" s="26">
        <f t="shared" ca="1" si="89"/>
        <v>6.0681993355307107E-3</v>
      </c>
      <c r="L727" s="29">
        <f t="shared" ca="1" si="122"/>
        <v>125</v>
      </c>
      <c r="N727" s="22">
        <v>45272</v>
      </c>
      <c r="O727" s="26">
        <f t="shared" ca="1" si="90"/>
        <v>0.17718605962385447</v>
      </c>
      <c r="P727" s="29">
        <f t="shared" ca="1" si="123"/>
        <v>216</v>
      </c>
      <c r="R727" s="22">
        <v>45272</v>
      </c>
      <c r="S727" s="26">
        <f t="shared" ca="1" si="91"/>
        <v>0.64456482409585936</v>
      </c>
      <c r="T727" s="29">
        <f t="shared" ca="1" si="124"/>
        <v>143</v>
      </c>
      <c r="V727" s="22">
        <v>45272</v>
      </c>
      <c r="W727" s="26">
        <f t="shared" ca="1" si="92"/>
        <v>0.87219389659675306</v>
      </c>
      <c r="X727" s="29">
        <f t="shared" ca="1" si="125"/>
        <v>243</v>
      </c>
      <c r="Z727" s="22">
        <v>45272</v>
      </c>
      <c r="AA727" s="26">
        <f t="shared" ca="1" si="93"/>
        <v>0.5937158477223774</v>
      </c>
      <c r="AB727" s="29">
        <f t="shared" ca="1" si="126"/>
        <v>275</v>
      </c>
      <c r="AC727"/>
      <c r="AD727" s="25"/>
      <c r="AF727" s="22">
        <v>45272</v>
      </c>
      <c r="AG727" s="26">
        <f t="shared" ca="1" si="94"/>
        <v>0.9569288134535292</v>
      </c>
      <c r="AH727" s="29">
        <f t="shared" ca="1" si="127"/>
        <v>477</v>
      </c>
      <c r="AJ727" s="22">
        <v>45272</v>
      </c>
      <c r="AK727" s="26">
        <f t="shared" ca="1" si="95"/>
        <v>0.59194616497311026</v>
      </c>
      <c r="AL727" s="29">
        <f t="shared" ca="1" si="128"/>
        <v>181</v>
      </c>
      <c r="AN727" s="22">
        <v>45272</v>
      </c>
      <c r="AO727" s="26">
        <f t="shared" ca="1" si="96"/>
        <v>0.75537646750131837</v>
      </c>
      <c r="AP727" s="29">
        <f t="shared" ca="1" si="129"/>
        <v>275</v>
      </c>
      <c r="AR727" s="22">
        <v>45272</v>
      </c>
      <c r="AS727" s="26">
        <f t="shared" ca="1" si="97"/>
        <v>0.14795792527542417</v>
      </c>
      <c r="AT727" s="29">
        <f t="shared" ca="1" si="130"/>
        <v>143</v>
      </c>
      <c r="AV727" s="22">
        <v>45272</v>
      </c>
      <c r="AW727" s="26">
        <f t="shared" ca="1" si="98"/>
        <v>0.37629010846256661</v>
      </c>
      <c r="AX727" s="29">
        <f t="shared" ca="1" si="131"/>
        <v>189</v>
      </c>
      <c r="AZ727" s="22">
        <v>45272</v>
      </c>
      <c r="BA727" s="26">
        <f t="shared" ca="1" si="99"/>
        <v>0.59556174445236365</v>
      </c>
      <c r="BB727" s="29">
        <f t="shared" ca="1" si="132"/>
        <v>249</v>
      </c>
      <c r="BC727"/>
      <c r="BD727" s="25"/>
      <c r="BF727" s="22">
        <v>45272</v>
      </c>
      <c r="BG727" s="26">
        <f t="shared" ca="1" si="100"/>
        <v>0.5412637577330599</v>
      </c>
      <c r="BH727" s="29">
        <f t="shared" ca="1" si="133"/>
        <v>207</v>
      </c>
      <c r="BJ727" s="22">
        <v>45272</v>
      </c>
      <c r="BK727" s="26">
        <f t="shared" ca="1" si="101"/>
        <v>0.32473765103358354</v>
      </c>
      <c r="BL727" s="29">
        <v>0</v>
      </c>
      <c r="BN727" s="22">
        <v>45272</v>
      </c>
      <c r="BO727" s="26">
        <f t="shared" ca="1" si="102"/>
        <v>0.42605824331196807</v>
      </c>
      <c r="BP727" s="29">
        <v>0</v>
      </c>
      <c r="BR727" s="22">
        <v>45272</v>
      </c>
      <c r="BS727" s="26">
        <f t="shared" ca="1" si="103"/>
        <v>8.6957190858797051E-2</v>
      </c>
      <c r="BT727" s="29">
        <v>0</v>
      </c>
      <c r="BV727" s="22">
        <v>45272</v>
      </c>
      <c r="BW727" s="26">
        <f t="shared" ca="1" si="104"/>
        <v>0.46749948006034348</v>
      </c>
      <c r="BX727" s="29">
        <v>0</v>
      </c>
    </row>
    <row r="728" spans="2:76" ht="12.75" x14ac:dyDescent="0.2">
      <c r="B728" s="22">
        <v>45273</v>
      </c>
      <c r="C728" s="26">
        <f t="shared" ca="1" si="135"/>
        <v>0.67628605368686157</v>
      </c>
      <c r="D728" s="29">
        <f t="shared" ca="1" si="134"/>
        <v>85</v>
      </c>
      <c r="F728" s="22"/>
      <c r="G728" s="26">
        <f t="shared" ca="1" si="88"/>
        <v>0.73697980375528782</v>
      </c>
      <c r="H728" s="29">
        <f t="shared" ca="1" si="121"/>
        <v>225</v>
      </c>
      <c r="J728" s="22">
        <v>45273</v>
      </c>
      <c r="K728" s="26">
        <f t="shared" ca="1" si="89"/>
        <v>0.96534194705124965</v>
      </c>
      <c r="L728" s="29">
        <f t="shared" ca="1" si="122"/>
        <v>169</v>
      </c>
      <c r="N728" s="22">
        <v>45273</v>
      </c>
      <c r="O728" s="26">
        <f t="shared" ca="1" si="90"/>
        <v>0.14077608837278077</v>
      </c>
      <c r="P728" s="29">
        <f t="shared" ca="1" si="123"/>
        <v>213</v>
      </c>
      <c r="R728" s="22">
        <v>45273</v>
      </c>
      <c r="S728" s="26">
        <f t="shared" ca="1" si="91"/>
        <v>0.15169337241344394</v>
      </c>
      <c r="T728" s="29">
        <f t="shared" ca="1" si="124"/>
        <v>130</v>
      </c>
      <c r="V728" s="22">
        <v>45273</v>
      </c>
      <c r="W728" s="26">
        <f t="shared" ca="1" si="92"/>
        <v>0.72264136076460994</v>
      </c>
      <c r="X728" s="29">
        <f t="shared" ca="1" si="125"/>
        <v>234</v>
      </c>
      <c r="Z728" s="22">
        <v>45273</v>
      </c>
      <c r="AA728" s="26">
        <f t="shared" ca="1" si="93"/>
        <v>0.708251242309891</v>
      </c>
      <c r="AB728" s="29">
        <f t="shared" ca="1" si="126"/>
        <v>280</v>
      </c>
      <c r="AC728"/>
      <c r="AD728" s="25"/>
      <c r="AF728" s="22">
        <v>45273</v>
      </c>
      <c r="AG728" s="26">
        <f t="shared" ca="1" si="94"/>
        <v>0.37140427521640018</v>
      </c>
      <c r="AH728" s="29">
        <f t="shared" ca="1" si="127"/>
        <v>299</v>
      </c>
      <c r="AJ728" s="22">
        <v>45273</v>
      </c>
      <c r="AK728" s="26">
        <f t="shared" ca="1" si="95"/>
        <v>0.72611281782072146</v>
      </c>
      <c r="AL728" s="29">
        <f t="shared" ca="1" si="128"/>
        <v>198</v>
      </c>
      <c r="AN728" s="22">
        <v>45273</v>
      </c>
      <c r="AO728" s="26">
        <f t="shared" ca="1" si="96"/>
        <v>0.15917718665134695</v>
      </c>
      <c r="AP728" s="29">
        <f t="shared" ca="1" si="129"/>
        <v>171</v>
      </c>
      <c r="AR728" s="22">
        <v>45273</v>
      </c>
      <c r="AS728" s="26">
        <f t="shared" ca="1" si="97"/>
        <v>0.4697425034255488</v>
      </c>
      <c r="AT728" s="29">
        <f t="shared" ca="1" si="130"/>
        <v>194</v>
      </c>
      <c r="AV728" s="22">
        <v>45273</v>
      </c>
      <c r="AW728" s="26">
        <f t="shared" ca="1" si="98"/>
        <v>0.62666026482276493</v>
      </c>
      <c r="AX728" s="29">
        <f t="shared" ca="1" si="131"/>
        <v>224</v>
      </c>
      <c r="AZ728" s="22">
        <v>45273</v>
      </c>
      <c r="BA728" s="26">
        <f t="shared" ca="1" si="99"/>
        <v>0.3680041759185626</v>
      </c>
      <c r="BB728" s="29">
        <f t="shared" ca="1" si="132"/>
        <v>213</v>
      </c>
      <c r="BC728"/>
      <c r="BD728" s="25"/>
      <c r="BF728" s="22">
        <v>45273</v>
      </c>
      <c r="BG728" s="26">
        <f t="shared" ca="1" si="100"/>
        <v>0.80974245659934907</v>
      </c>
      <c r="BH728" s="29">
        <f t="shared" ca="1" si="133"/>
        <v>248</v>
      </c>
      <c r="BJ728" s="22">
        <v>45273</v>
      </c>
      <c r="BK728" s="26">
        <f t="shared" ca="1" si="101"/>
        <v>0.82948782657010911</v>
      </c>
      <c r="BL728" s="29">
        <v>0</v>
      </c>
      <c r="BN728" s="22">
        <v>45273</v>
      </c>
      <c r="BO728" s="26">
        <f t="shared" ca="1" si="102"/>
        <v>0.13751622019844678</v>
      </c>
      <c r="BP728" s="29">
        <v>0</v>
      </c>
      <c r="BR728" s="22">
        <v>45273</v>
      </c>
      <c r="BS728" s="26">
        <f t="shared" ca="1" si="103"/>
        <v>0.32816965089438788</v>
      </c>
      <c r="BT728" s="29">
        <v>0</v>
      </c>
      <c r="BV728" s="22">
        <v>45273</v>
      </c>
      <c r="BW728" s="26">
        <f t="shared" ca="1" si="104"/>
        <v>0.35490863697227104</v>
      </c>
      <c r="BX728" s="29">
        <v>0</v>
      </c>
    </row>
    <row r="729" spans="2:76" ht="12.75" x14ac:dyDescent="0.2">
      <c r="B729" s="22">
        <v>45274</v>
      </c>
      <c r="C729" s="26">
        <f t="shared" ca="1" si="135"/>
        <v>0.61678849696194993</v>
      </c>
      <c r="D729" s="29">
        <f t="shared" ca="1" si="134"/>
        <v>81</v>
      </c>
      <c r="F729" s="22"/>
      <c r="G729" s="26">
        <f t="shared" ca="1" si="88"/>
        <v>0.78386752657971448</v>
      </c>
      <c r="H729" s="29">
        <f t="shared" ca="1" si="121"/>
        <v>227</v>
      </c>
      <c r="J729" s="22">
        <v>45274</v>
      </c>
      <c r="K729" s="26">
        <f t="shared" ca="1" si="89"/>
        <v>0.24165783276989083</v>
      </c>
      <c r="L729" s="29">
        <f t="shared" ca="1" si="122"/>
        <v>143</v>
      </c>
      <c r="N729" s="22">
        <v>45274</v>
      </c>
      <c r="O729" s="26">
        <f t="shared" ca="1" si="90"/>
        <v>0.9449253074676347</v>
      </c>
      <c r="P729" s="29">
        <f t="shared" ca="1" si="123"/>
        <v>254</v>
      </c>
      <c r="R729" s="22">
        <v>45274</v>
      </c>
      <c r="S729" s="26">
        <f t="shared" ca="1" si="91"/>
        <v>0.18923456212594836</v>
      </c>
      <c r="T729" s="29">
        <f t="shared" ca="1" si="124"/>
        <v>131</v>
      </c>
      <c r="V729" s="22">
        <v>45274</v>
      </c>
      <c r="W729" s="26">
        <f t="shared" ca="1" si="92"/>
        <v>3.1464762623829468E-2</v>
      </c>
      <c r="X729" s="29">
        <f t="shared" ca="1" si="125"/>
        <v>198</v>
      </c>
      <c r="Z729" s="22">
        <v>45274</v>
      </c>
      <c r="AA729" s="26">
        <f t="shared" ca="1" si="93"/>
        <v>1.3168962737976964E-2</v>
      </c>
      <c r="AB729" s="29">
        <f t="shared" ca="1" si="126"/>
        <v>231</v>
      </c>
      <c r="AC729"/>
      <c r="AD729" s="25"/>
      <c r="AF729" s="22">
        <v>45274</v>
      </c>
      <c r="AG729" s="26">
        <f t="shared" ca="1" si="94"/>
        <v>0.79148257015093315</v>
      </c>
      <c r="AH729" s="29">
        <f t="shared" ca="1" si="127"/>
        <v>398</v>
      </c>
      <c r="AJ729" s="22">
        <v>45274</v>
      </c>
      <c r="AK729" s="26">
        <f t="shared" ca="1" si="95"/>
        <v>1.1796923417695115E-3</v>
      </c>
      <c r="AL729" s="29">
        <f t="shared" ca="1" si="128"/>
        <v>33</v>
      </c>
      <c r="AN729" s="22">
        <v>45274</v>
      </c>
      <c r="AO729" s="26">
        <f t="shared" ca="1" si="96"/>
        <v>0.64384990641772188</v>
      </c>
      <c r="AP729" s="29">
        <f t="shared" ca="1" si="129"/>
        <v>255</v>
      </c>
      <c r="AR729" s="22">
        <v>45274</v>
      </c>
      <c r="AS729" s="26">
        <f t="shared" ca="1" si="97"/>
        <v>0.27235003306803396</v>
      </c>
      <c r="AT729" s="29">
        <f t="shared" ca="1" si="130"/>
        <v>167</v>
      </c>
      <c r="AV729" s="22">
        <v>45274</v>
      </c>
      <c r="AW729" s="26">
        <f t="shared" ca="1" si="98"/>
        <v>0.79206359640592638</v>
      </c>
      <c r="AX729" s="29">
        <f t="shared" ca="1" si="131"/>
        <v>251</v>
      </c>
      <c r="AZ729" s="22">
        <v>45274</v>
      </c>
      <c r="BA729" s="26">
        <f t="shared" ca="1" si="99"/>
        <v>0.24198846950061426</v>
      </c>
      <c r="BB729" s="29">
        <f t="shared" ca="1" si="132"/>
        <v>190</v>
      </c>
      <c r="BC729"/>
      <c r="BD729" s="25"/>
      <c r="BF729" s="22">
        <v>45274</v>
      </c>
      <c r="BG729" s="26">
        <f t="shared" ca="1" si="100"/>
        <v>0.26675345637765757</v>
      </c>
      <c r="BH729" s="29">
        <f t="shared" ca="1" si="133"/>
        <v>168</v>
      </c>
      <c r="BJ729" s="22">
        <v>45274</v>
      </c>
      <c r="BK729" s="26">
        <f t="shared" ca="1" si="101"/>
        <v>0.93811171111958991</v>
      </c>
      <c r="BL729" s="29">
        <v>0</v>
      </c>
      <c r="BN729" s="22">
        <v>45274</v>
      </c>
      <c r="BO729" s="26">
        <f t="shared" ca="1" si="102"/>
        <v>0.80471895345971911</v>
      </c>
      <c r="BP729" s="29">
        <v>0</v>
      </c>
      <c r="BR729" s="22">
        <v>45274</v>
      </c>
      <c r="BS729" s="26">
        <f t="shared" ca="1" si="103"/>
        <v>0.77323812972750194</v>
      </c>
      <c r="BT729" s="29">
        <v>0</v>
      </c>
      <c r="BV729" s="22">
        <v>45274</v>
      </c>
      <c r="BW729" s="26">
        <f t="shared" ca="1" si="104"/>
        <v>0.72662755452269123</v>
      </c>
      <c r="BX729" s="29">
        <v>0</v>
      </c>
    </row>
    <row r="730" spans="2:76" ht="12.75" x14ac:dyDescent="0.2">
      <c r="B730" s="22">
        <v>45275</v>
      </c>
      <c r="C730" s="26">
        <f t="shared" ca="1" si="135"/>
        <v>0.93384443895893909</v>
      </c>
      <c r="D730" s="29">
        <f t="shared" ca="1" si="134"/>
        <v>106</v>
      </c>
      <c r="F730" s="22"/>
      <c r="G730" s="26">
        <f t="shared" ca="1" si="88"/>
        <v>6.4509634806010574E-2</v>
      </c>
      <c r="H730" s="29">
        <f t="shared" ca="1" si="121"/>
        <v>194</v>
      </c>
      <c r="J730" s="22">
        <v>45275</v>
      </c>
      <c r="K730" s="26">
        <f t="shared" ca="1" si="89"/>
        <v>0.51681328160498863</v>
      </c>
      <c r="L730" s="29">
        <f t="shared" ca="1" si="122"/>
        <v>151</v>
      </c>
      <c r="N730" s="22">
        <v>45275</v>
      </c>
      <c r="O730" s="26">
        <f t="shared" ca="1" si="90"/>
        <v>0.4861160490787767</v>
      </c>
      <c r="P730" s="29">
        <f t="shared" ca="1" si="123"/>
        <v>229</v>
      </c>
      <c r="R730" s="22">
        <v>45275</v>
      </c>
      <c r="S730" s="26">
        <f t="shared" ca="1" si="91"/>
        <v>5.0863025807254103E-2</v>
      </c>
      <c r="T730" s="29">
        <f t="shared" ca="1" si="124"/>
        <v>124</v>
      </c>
      <c r="V730" s="22">
        <v>45275</v>
      </c>
      <c r="W730" s="26">
        <f t="shared" ca="1" si="92"/>
        <v>0.68777478762371747</v>
      </c>
      <c r="X730" s="29">
        <f t="shared" ca="1" si="125"/>
        <v>233</v>
      </c>
      <c r="Z730" s="22">
        <v>45275</v>
      </c>
      <c r="AA730" s="26">
        <f t="shared" ca="1" si="93"/>
        <v>0.1016915913938683</v>
      </c>
      <c r="AB730" s="29">
        <f t="shared" ca="1" si="126"/>
        <v>248</v>
      </c>
      <c r="AC730"/>
      <c r="AD730" s="25"/>
      <c r="AF730" s="22">
        <v>45275</v>
      </c>
      <c r="AG730" s="26">
        <f t="shared" ca="1" si="94"/>
        <v>0.56067574847593793</v>
      </c>
      <c r="AH730" s="29">
        <f t="shared" ca="1" si="127"/>
        <v>341</v>
      </c>
      <c r="AJ730" s="22">
        <v>45275</v>
      </c>
      <c r="AK730" s="26">
        <f t="shared" ca="1" si="95"/>
        <v>2.6465903695601312E-2</v>
      </c>
      <c r="AL730" s="29">
        <f t="shared" ca="1" si="128"/>
        <v>83</v>
      </c>
      <c r="AN730" s="22">
        <v>45275</v>
      </c>
      <c r="AO730" s="26">
        <f t="shared" ca="1" si="96"/>
        <v>0.19941138083800658</v>
      </c>
      <c r="AP730" s="29">
        <f t="shared" ca="1" si="129"/>
        <v>180</v>
      </c>
      <c r="AR730" s="22">
        <v>45275</v>
      </c>
      <c r="AS730" s="26">
        <f t="shared" ca="1" si="97"/>
        <v>0.87510783197479702</v>
      </c>
      <c r="AT730" s="29">
        <f t="shared" ca="1" si="130"/>
        <v>259</v>
      </c>
      <c r="AV730" s="22">
        <v>45275</v>
      </c>
      <c r="AW730" s="26">
        <f t="shared" ca="1" si="98"/>
        <v>7.829449490873186E-2</v>
      </c>
      <c r="AX730" s="29">
        <f t="shared" ca="1" si="131"/>
        <v>128</v>
      </c>
      <c r="AZ730" s="22">
        <v>45275</v>
      </c>
      <c r="BA730" s="26">
        <f t="shared" ca="1" si="99"/>
        <v>0.29164326915236616</v>
      </c>
      <c r="BB730" s="29">
        <f t="shared" ca="1" si="132"/>
        <v>200</v>
      </c>
      <c r="BC730"/>
      <c r="BD730" s="25"/>
      <c r="BF730" s="22">
        <v>45275</v>
      </c>
      <c r="BG730" s="26">
        <f t="shared" ca="1" si="100"/>
        <v>0.99446675780974059</v>
      </c>
      <c r="BH730" s="29">
        <f t="shared" ca="1" si="133"/>
        <v>337</v>
      </c>
      <c r="BJ730" s="22">
        <v>45275</v>
      </c>
      <c r="BK730" s="26">
        <f t="shared" ca="1" si="101"/>
        <v>3.6005506435753953E-2</v>
      </c>
      <c r="BL730" s="29">
        <v>0</v>
      </c>
      <c r="BN730" s="22">
        <v>45275</v>
      </c>
      <c r="BO730" s="26">
        <f t="shared" ca="1" si="102"/>
        <v>0.27923267874705715</v>
      </c>
      <c r="BP730" s="29">
        <v>0</v>
      </c>
      <c r="BR730" s="22">
        <v>45275</v>
      </c>
      <c r="BS730" s="26">
        <f t="shared" ca="1" si="103"/>
        <v>0.62115053719047086</v>
      </c>
      <c r="BT730" s="29">
        <v>0</v>
      </c>
      <c r="BV730" s="22">
        <v>45275</v>
      </c>
      <c r="BW730" s="26">
        <f t="shared" ca="1" si="104"/>
        <v>0.90938398387280017</v>
      </c>
      <c r="BX730" s="29">
        <v>0</v>
      </c>
    </row>
    <row r="731" spans="2:76" ht="12.75" x14ac:dyDescent="0.2">
      <c r="B731" s="22">
        <v>45276</v>
      </c>
      <c r="C731" s="26">
        <f t="shared" ca="1" si="135"/>
        <v>8.6777439873251261E-2</v>
      </c>
      <c r="D731" s="29">
        <f t="shared" ca="1" si="134"/>
        <v>48</v>
      </c>
      <c r="F731" s="22"/>
      <c r="G731" s="26">
        <f t="shared" ca="1" si="88"/>
        <v>2.4600412040436503E-2</v>
      </c>
      <c r="H731" s="29">
        <f t="shared" ca="1" si="121"/>
        <v>188</v>
      </c>
      <c r="J731" s="22">
        <v>45276</v>
      </c>
      <c r="K731" s="26">
        <f t="shared" ca="1" si="89"/>
        <v>0.21142772747653216</v>
      </c>
      <c r="L731" s="29">
        <f t="shared" ca="1" si="122"/>
        <v>142</v>
      </c>
      <c r="N731" s="22">
        <v>45276</v>
      </c>
      <c r="O731" s="26">
        <f t="shared" ca="1" si="90"/>
        <v>0.84240293364417651</v>
      </c>
      <c r="P731" s="29">
        <f t="shared" ca="1" si="123"/>
        <v>245</v>
      </c>
      <c r="R731" s="22">
        <v>45276</v>
      </c>
      <c r="S731" s="26">
        <f t="shared" ca="1" si="91"/>
        <v>5.167096903082069E-2</v>
      </c>
      <c r="T731" s="29">
        <f t="shared" ca="1" si="124"/>
        <v>124</v>
      </c>
      <c r="V731" s="22">
        <v>45276</v>
      </c>
      <c r="W731" s="26">
        <f t="shared" ca="1" si="92"/>
        <v>0.22403297444781756</v>
      </c>
      <c r="X731" s="29">
        <f t="shared" ca="1" si="125"/>
        <v>214</v>
      </c>
      <c r="Z731" s="22">
        <v>45276</v>
      </c>
      <c r="AA731" s="26">
        <f t="shared" ca="1" si="93"/>
        <v>0.72350289377667576</v>
      </c>
      <c r="AB731" s="29">
        <f t="shared" ca="1" si="126"/>
        <v>281</v>
      </c>
      <c r="AC731"/>
      <c r="AD731" s="25"/>
      <c r="AF731" s="22">
        <v>45276</v>
      </c>
      <c r="AG731" s="26">
        <f t="shared" ca="1" si="94"/>
        <v>0.35921640880012107</v>
      </c>
      <c r="AH731" s="29">
        <f t="shared" ca="1" si="127"/>
        <v>296</v>
      </c>
      <c r="AJ731" s="22">
        <v>45276</v>
      </c>
      <c r="AK731" s="26">
        <f t="shared" ca="1" si="95"/>
        <v>0.83441883589315757</v>
      </c>
      <c r="AL731" s="29">
        <f t="shared" ca="1" si="128"/>
        <v>215</v>
      </c>
      <c r="AN731" s="22">
        <v>45276</v>
      </c>
      <c r="AO731" s="26">
        <f t="shared" ca="1" si="96"/>
        <v>0.43249911293224519</v>
      </c>
      <c r="AP731" s="29">
        <f t="shared" ca="1" si="129"/>
        <v>222</v>
      </c>
      <c r="AR731" s="22">
        <v>45276</v>
      </c>
      <c r="AS731" s="26">
        <f t="shared" ca="1" si="97"/>
        <v>0.88667713435837137</v>
      </c>
      <c r="AT731" s="29">
        <f t="shared" ca="1" si="130"/>
        <v>262</v>
      </c>
      <c r="AV731" s="22">
        <v>45276</v>
      </c>
      <c r="AW731" s="26">
        <f t="shared" ca="1" si="98"/>
        <v>0.94845615689402196</v>
      </c>
      <c r="AX731" s="29">
        <f t="shared" ca="1" si="131"/>
        <v>295</v>
      </c>
      <c r="AZ731" s="22">
        <v>45276</v>
      </c>
      <c r="BA731" s="26">
        <f t="shared" ca="1" si="99"/>
        <v>0.77384547444598384</v>
      </c>
      <c r="BB731" s="29">
        <f t="shared" ca="1" si="132"/>
        <v>281</v>
      </c>
      <c r="BC731"/>
      <c r="BD731" s="25"/>
      <c r="BF731" s="22">
        <v>45276</v>
      </c>
      <c r="BG731" s="26">
        <f t="shared" ca="1" si="100"/>
        <v>0.80860253370379964</v>
      </c>
      <c r="BH731" s="29">
        <f t="shared" ca="1" si="133"/>
        <v>248</v>
      </c>
      <c r="BJ731" s="22">
        <v>45276</v>
      </c>
      <c r="BK731" s="26">
        <f t="shared" ca="1" si="101"/>
        <v>5.3268071900566372E-2</v>
      </c>
      <c r="BL731" s="29">
        <v>0</v>
      </c>
      <c r="BN731" s="22">
        <v>45276</v>
      </c>
      <c r="BO731" s="26">
        <f t="shared" ca="1" si="102"/>
        <v>7.9231335551004811E-2</v>
      </c>
      <c r="BP731" s="29">
        <v>0</v>
      </c>
      <c r="BR731" s="22">
        <v>45276</v>
      </c>
      <c r="BS731" s="26">
        <f t="shared" ca="1" si="103"/>
        <v>0.58621881738330195</v>
      </c>
      <c r="BT731" s="29">
        <v>0</v>
      </c>
      <c r="BV731" s="22">
        <v>45276</v>
      </c>
      <c r="BW731" s="26">
        <f t="shared" ca="1" si="104"/>
        <v>7.8114724782561318E-2</v>
      </c>
      <c r="BX731" s="29">
        <v>0</v>
      </c>
    </row>
    <row r="732" spans="2:76" ht="12.75" x14ac:dyDescent="0.2">
      <c r="B732" s="22">
        <v>45277</v>
      </c>
      <c r="C732" s="26">
        <f t="shared" ca="1" si="135"/>
        <v>0.8480989228062189</v>
      </c>
      <c r="D732" s="29">
        <f t="shared" ca="1" si="134"/>
        <v>96</v>
      </c>
      <c r="F732" s="22"/>
      <c r="G732" s="26">
        <f t="shared" ca="1" si="88"/>
        <v>0.53891656756373796</v>
      </c>
      <c r="H732" s="29">
        <f t="shared" ca="1" si="121"/>
        <v>217</v>
      </c>
      <c r="J732" s="22">
        <v>45277</v>
      </c>
      <c r="K732" s="26">
        <f t="shared" ca="1" si="89"/>
        <v>0.2868198749688704</v>
      </c>
      <c r="L732" s="29">
        <f t="shared" ca="1" si="122"/>
        <v>145</v>
      </c>
      <c r="N732" s="22">
        <v>45277</v>
      </c>
      <c r="O732" s="26">
        <f t="shared" ca="1" si="90"/>
        <v>0.46218952476315978</v>
      </c>
      <c r="P732" s="29">
        <f t="shared" ca="1" si="123"/>
        <v>228</v>
      </c>
      <c r="R732" s="22">
        <v>45277</v>
      </c>
      <c r="S732" s="26">
        <f t="shared" ca="1" si="91"/>
        <v>3.097842090363323E-2</v>
      </c>
      <c r="T732" s="29">
        <f t="shared" ca="1" si="124"/>
        <v>122</v>
      </c>
      <c r="V732" s="22">
        <v>45277</v>
      </c>
      <c r="W732" s="26">
        <f t="shared" ca="1" si="92"/>
        <v>0.70151874900953259</v>
      </c>
      <c r="X732" s="29">
        <f t="shared" ca="1" si="125"/>
        <v>233</v>
      </c>
      <c r="Z732" s="22">
        <v>45277</v>
      </c>
      <c r="AA732" s="26">
        <f t="shared" ca="1" si="93"/>
        <v>4.718877044948E-3</v>
      </c>
      <c r="AB732" s="29">
        <f t="shared" ca="1" si="126"/>
        <v>224</v>
      </c>
      <c r="AC732"/>
      <c r="AD732" s="25"/>
      <c r="AF732" s="22">
        <v>45277</v>
      </c>
      <c r="AG732" s="26">
        <f t="shared" ca="1" si="94"/>
        <v>0.40650889689421654</v>
      </c>
      <c r="AH732" s="29">
        <f t="shared" ca="1" si="127"/>
        <v>307</v>
      </c>
      <c r="AJ732" s="22">
        <v>45277</v>
      </c>
      <c r="AK732" s="26">
        <f t="shared" ca="1" si="95"/>
        <v>2.4554652448270375E-2</v>
      </c>
      <c r="AL732" s="29">
        <f t="shared" ca="1" si="128"/>
        <v>81</v>
      </c>
      <c r="AN732" s="22">
        <v>45277</v>
      </c>
      <c r="AO732" s="26">
        <f t="shared" ca="1" si="96"/>
        <v>0.74988728585355602</v>
      </c>
      <c r="AP732" s="29">
        <f t="shared" ca="1" si="129"/>
        <v>274</v>
      </c>
      <c r="AR732" s="22">
        <v>45277</v>
      </c>
      <c r="AS732" s="26">
        <f t="shared" ca="1" si="97"/>
        <v>0.38545569091735998</v>
      </c>
      <c r="AT732" s="29">
        <f t="shared" ca="1" si="130"/>
        <v>183</v>
      </c>
      <c r="AV732" s="22">
        <v>45277</v>
      </c>
      <c r="AW732" s="26">
        <f t="shared" ca="1" si="98"/>
        <v>0.5238395150871975</v>
      </c>
      <c r="AX732" s="29">
        <f t="shared" ca="1" si="131"/>
        <v>209</v>
      </c>
      <c r="AZ732" s="22">
        <v>45277</v>
      </c>
      <c r="BA732" s="26">
        <f t="shared" ca="1" si="99"/>
        <v>0.1929005568559089</v>
      </c>
      <c r="BB732" s="29">
        <f t="shared" ca="1" si="132"/>
        <v>180</v>
      </c>
      <c r="BC732"/>
      <c r="BD732" s="25"/>
      <c r="BF732" s="22">
        <v>45277</v>
      </c>
      <c r="BG732" s="26">
        <f t="shared" ca="1" si="100"/>
        <v>7.9424259999228197E-2</v>
      </c>
      <c r="BH732" s="29">
        <f t="shared" ca="1" si="133"/>
        <v>126</v>
      </c>
      <c r="BJ732" s="22">
        <v>45277</v>
      </c>
      <c r="BK732" s="26">
        <f t="shared" ca="1" si="101"/>
        <v>0.92554737933468911</v>
      </c>
      <c r="BL732" s="29">
        <v>0</v>
      </c>
      <c r="BN732" s="22">
        <v>45277</v>
      </c>
      <c r="BO732" s="26">
        <f t="shared" ca="1" si="102"/>
        <v>0.93013535750045639</v>
      </c>
      <c r="BP732" s="29">
        <v>0</v>
      </c>
      <c r="BR732" s="22">
        <v>45277</v>
      </c>
      <c r="BS732" s="26">
        <f t="shared" ca="1" si="103"/>
        <v>0.65292546256428419</v>
      </c>
      <c r="BT732" s="29">
        <v>0</v>
      </c>
      <c r="BV732" s="22">
        <v>45277</v>
      </c>
      <c r="BW732" s="26">
        <f t="shared" ca="1" si="104"/>
        <v>0.10794773390959778</v>
      </c>
      <c r="BX732" s="29">
        <v>0</v>
      </c>
    </row>
    <row r="733" spans="2:76" ht="12.75" x14ac:dyDescent="0.2">
      <c r="B733" s="22">
        <v>45278</v>
      </c>
      <c r="C733" s="26">
        <f t="shared" ca="1" si="135"/>
        <v>0.58211309852990034</v>
      </c>
      <c r="D733" s="29">
        <f t="shared" ca="1" si="134"/>
        <v>80</v>
      </c>
      <c r="F733" s="22"/>
      <c r="G733" s="26">
        <f t="shared" ca="1" si="88"/>
        <v>0.9294529619891414</v>
      </c>
      <c r="H733" s="29">
        <f t="shared" ca="1" si="121"/>
        <v>237</v>
      </c>
      <c r="J733" s="22">
        <v>45278</v>
      </c>
      <c r="K733" s="26">
        <f t="shared" ca="1" si="89"/>
        <v>2.364783861698172E-2</v>
      </c>
      <c r="L733" s="29">
        <f t="shared" ca="1" si="122"/>
        <v>131</v>
      </c>
      <c r="N733" s="22">
        <v>45278</v>
      </c>
      <c r="O733" s="26">
        <f t="shared" ca="1" si="90"/>
        <v>0.7497378162033066</v>
      </c>
      <c r="P733" s="29">
        <f t="shared" ca="1" si="123"/>
        <v>240</v>
      </c>
      <c r="R733" s="22">
        <v>45278</v>
      </c>
      <c r="S733" s="26">
        <f t="shared" ca="1" si="91"/>
        <v>0.11020630414709198</v>
      </c>
      <c r="T733" s="29">
        <f t="shared" ca="1" si="124"/>
        <v>128</v>
      </c>
      <c r="V733" s="22">
        <v>45278</v>
      </c>
      <c r="W733" s="26">
        <f t="shared" ca="1" si="92"/>
        <v>0.7791202719803938</v>
      </c>
      <c r="X733" s="29">
        <f t="shared" ca="1" si="125"/>
        <v>237</v>
      </c>
      <c r="Z733" s="22">
        <v>45278</v>
      </c>
      <c r="AA733" s="26">
        <f t="shared" ca="1" si="93"/>
        <v>0.56780553619888996</v>
      </c>
      <c r="AB733" s="29">
        <f t="shared" ca="1" si="126"/>
        <v>274</v>
      </c>
      <c r="AC733"/>
      <c r="AD733" s="25"/>
      <c r="AF733" s="22">
        <v>45278</v>
      </c>
      <c r="AG733" s="26">
        <f t="shared" ca="1" si="94"/>
        <v>0.54035991006084327</v>
      </c>
      <c r="AH733" s="29">
        <f t="shared" ca="1" si="127"/>
        <v>336</v>
      </c>
      <c r="AJ733" s="22">
        <v>45278</v>
      </c>
      <c r="AK733" s="26">
        <f t="shared" ca="1" si="95"/>
        <v>0.73756394772445211</v>
      </c>
      <c r="AL733" s="29">
        <f t="shared" ca="1" si="128"/>
        <v>200</v>
      </c>
      <c r="AN733" s="22">
        <v>45278</v>
      </c>
      <c r="AO733" s="26">
        <f t="shared" ca="1" si="96"/>
        <v>0.76185391301265337</v>
      </c>
      <c r="AP733" s="29">
        <f t="shared" ca="1" si="129"/>
        <v>277</v>
      </c>
      <c r="AR733" s="22">
        <v>45278</v>
      </c>
      <c r="AS733" s="26">
        <f t="shared" ca="1" si="97"/>
        <v>0.31363462982469104</v>
      </c>
      <c r="AT733" s="29">
        <f t="shared" ca="1" si="130"/>
        <v>173</v>
      </c>
      <c r="AV733" s="22">
        <v>45278</v>
      </c>
      <c r="AW733" s="26">
        <f t="shared" ca="1" si="98"/>
        <v>0.15394290143024192</v>
      </c>
      <c r="AX733" s="29">
        <f t="shared" ca="1" si="131"/>
        <v>150</v>
      </c>
      <c r="AZ733" s="22">
        <v>45278</v>
      </c>
      <c r="BA733" s="26">
        <f t="shared" ca="1" si="99"/>
        <v>0.69233784957208577</v>
      </c>
      <c r="BB733" s="29">
        <f t="shared" ca="1" si="132"/>
        <v>265</v>
      </c>
      <c r="BC733"/>
      <c r="BD733" s="25"/>
      <c r="BF733" s="22">
        <v>45278</v>
      </c>
      <c r="BG733" s="26">
        <f t="shared" ca="1" si="100"/>
        <v>0.10112751656949448</v>
      </c>
      <c r="BH733" s="29">
        <f t="shared" ca="1" si="133"/>
        <v>133</v>
      </c>
      <c r="BJ733" s="22">
        <v>45278</v>
      </c>
      <c r="BK733" s="26">
        <f t="shared" ca="1" si="101"/>
        <v>0.18102540686298008</v>
      </c>
      <c r="BL733" s="29">
        <v>0</v>
      </c>
      <c r="BN733" s="22">
        <v>45278</v>
      </c>
      <c r="BO733" s="26">
        <f t="shared" ca="1" si="102"/>
        <v>0.89329278827404868</v>
      </c>
      <c r="BP733" s="29">
        <v>0</v>
      </c>
      <c r="BR733" s="22">
        <v>45278</v>
      </c>
      <c r="BS733" s="26">
        <f t="shared" ca="1" si="103"/>
        <v>0.31814683335676053</v>
      </c>
      <c r="BT733" s="29">
        <v>0</v>
      </c>
      <c r="BV733" s="22">
        <v>45278</v>
      </c>
      <c r="BW733" s="26">
        <f t="shared" ca="1" si="104"/>
        <v>0.56315576446197768</v>
      </c>
      <c r="BX733" s="29">
        <v>0</v>
      </c>
    </row>
    <row r="734" spans="2:76" ht="12.75" x14ac:dyDescent="0.2">
      <c r="B734" s="22">
        <v>45279</v>
      </c>
      <c r="C734" s="26">
        <f t="shared" ca="1" si="135"/>
        <v>0.97231560168817899</v>
      </c>
      <c r="D734" s="29">
        <v>0</v>
      </c>
      <c r="F734" s="22"/>
      <c r="G734" s="26">
        <f t="shared" ca="1" si="88"/>
        <v>0.47343812201638291</v>
      </c>
      <c r="H734" s="29">
        <v>0</v>
      </c>
      <c r="J734" s="22">
        <v>45279</v>
      </c>
      <c r="K734" s="26">
        <f t="shared" ca="1" si="89"/>
        <v>0.20889764368671893</v>
      </c>
      <c r="L734" s="29">
        <v>0</v>
      </c>
      <c r="N734" s="22">
        <v>45279</v>
      </c>
      <c r="O734" s="26">
        <f t="shared" ca="1" si="90"/>
        <v>0.42673161378411473</v>
      </c>
      <c r="P734" s="29">
        <v>0</v>
      </c>
      <c r="R734" s="22">
        <v>45279</v>
      </c>
      <c r="S734" s="26">
        <f t="shared" ca="1" si="91"/>
        <v>0.80222791854263187</v>
      </c>
      <c r="T734" s="29">
        <v>0</v>
      </c>
      <c r="V734" s="22">
        <v>45279</v>
      </c>
      <c r="W734" s="26">
        <f t="shared" ca="1" si="92"/>
        <v>0.49796951385026289</v>
      </c>
      <c r="X734" s="29">
        <v>0</v>
      </c>
      <c r="Z734" s="22">
        <v>45279</v>
      </c>
      <c r="AA734" s="26">
        <f t="shared" ca="1" si="93"/>
        <v>0.38475597561420749</v>
      </c>
      <c r="AB734" s="29">
        <v>0</v>
      </c>
      <c r="AC734"/>
      <c r="AD734" s="25"/>
      <c r="AF734" s="22">
        <v>45279</v>
      </c>
      <c r="AG734" s="26">
        <f t="shared" ca="1" si="94"/>
        <v>0.34638100144183381</v>
      </c>
      <c r="AH734" s="29">
        <v>0</v>
      </c>
      <c r="AJ734" s="22">
        <v>45279</v>
      </c>
      <c r="AK734" s="26">
        <f t="shared" ca="1" si="95"/>
        <v>0.48009242498781124</v>
      </c>
      <c r="AL734" s="29">
        <v>0</v>
      </c>
      <c r="AN734" s="22">
        <v>45279</v>
      </c>
      <c r="AO734" s="26">
        <f t="shared" ca="1" si="96"/>
        <v>0.16477335855105468</v>
      </c>
      <c r="AP734" s="29">
        <v>0</v>
      </c>
      <c r="AR734" s="22">
        <v>45279</v>
      </c>
      <c r="AS734" s="26">
        <f t="shared" ca="1" si="97"/>
        <v>0.19894130513669483</v>
      </c>
      <c r="AT734" s="29">
        <v>0</v>
      </c>
      <c r="AV734" s="22">
        <v>45279</v>
      </c>
      <c r="AW734" s="26">
        <f t="shared" ca="1" si="98"/>
        <v>0.33152900221886872</v>
      </c>
      <c r="AX734" s="29">
        <v>0</v>
      </c>
      <c r="AZ734" s="22">
        <v>45279</v>
      </c>
      <c r="BA734" s="26">
        <f t="shared" ca="1" si="99"/>
        <v>0.16649670278862494</v>
      </c>
      <c r="BB734" s="29">
        <v>0</v>
      </c>
      <c r="BC734"/>
      <c r="BD734" s="25"/>
      <c r="BF734" s="22">
        <v>45279</v>
      </c>
      <c r="BG734" s="26">
        <f t="shared" ca="1" si="100"/>
        <v>0.54787839307958908</v>
      </c>
      <c r="BH734" s="29">
        <v>0</v>
      </c>
      <c r="BJ734" s="22">
        <v>45279</v>
      </c>
      <c r="BK734" s="26">
        <f t="shared" ca="1" si="101"/>
        <v>0.23099369841449546</v>
      </c>
      <c r="BL734" s="29">
        <v>0</v>
      </c>
      <c r="BN734" s="22">
        <v>45279</v>
      </c>
      <c r="BO734" s="26">
        <f t="shared" ca="1" si="102"/>
        <v>0.58760159381784827</v>
      </c>
      <c r="BP734" s="29">
        <v>0</v>
      </c>
      <c r="BR734" s="22">
        <v>45279</v>
      </c>
      <c r="BS734" s="26">
        <f t="shared" ca="1" si="103"/>
        <v>0.36370201602778551</v>
      </c>
      <c r="BT734" s="29">
        <v>0</v>
      </c>
      <c r="BV734" s="22">
        <v>45279</v>
      </c>
      <c r="BW734" s="26">
        <f t="shared" ca="1" si="104"/>
        <v>0.90471497145293567</v>
      </c>
      <c r="BX734" s="29">
        <v>0</v>
      </c>
    </row>
    <row r="735" spans="2:76" ht="12.75" x14ac:dyDescent="0.2">
      <c r="B735" s="22">
        <v>45280</v>
      </c>
      <c r="C735" s="26">
        <f t="shared" ca="1" si="135"/>
        <v>0.7821951788413426</v>
      </c>
      <c r="D735" s="29">
        <v>0</v>
      </c>
      <c r="F735" s="22"/>
      <c r="G735" s="26">
        <f t="shared" ca="1" si="88"/>
        <v>0.71624227878235214</v>
      </c>
      <c r="H735" s="29">
        <v>0</v>
      </c>
      <c r="J735" s="22">
        <v>45280</v>
      </c>
      <c r="K735" s="26">
        <f t="shared" ca="1" si="89"/>
        <v>0.40097578345431195</v>
      </c>
      <c r="L735" s="29">
        <v>0</v>
      </c>
      <c r="N735" s="22">
        <v>45280</v>
      </c>
      <c r="O735" s="26">
        <f t="shared" ca="1" si="90"/>
        <v>0.64531553515202456</v>
      </c>
      <c r="P735" s="29">
        <v>0</v>
      </c>
      <c r="R735" s="22">
        <v>45280</v>
      </c>
      <c r="S735" s="26">
        <f t="shared" ca="1" si="91"/>
        <v>0.78753313104338807</v>
      </c>
      <c r="T735" s="29">
        <v>0</v>
      </c>
      <c r="V735" s="22">
        <v>45280</v>
      </c>
      <c r="W735" s="26">
        <f t="shared" ca="1" si="92"/>
        <v>7.4001303149809905E-2</v>
      </c>
      <c r="X735" s="29">
        <v>0</v>
      </c>
      <c r="Z735" s="22">
        <v>45280</v>
      </c>
      <c r="AA735" s="26">
        <f t="shared" ca="1" si="93"/>
        <v>0.26186256244309813</v>
      </c>
      <c r="AB735" s="29">
        <v>0</v>
      </c>
      <c r="AC735"/>
      <c r="AD735" s="25"/>
      <c r="AF735" s="22">
        <v>45280</v>
      </c>
      <c r="AG735" s="26">
        <f t="shared" ca="1" si="94"/>
        <v>0.32462527412369968</v>
      </c>
      <c r="AH735" s="29">
        <v>0</v>
      </c>
      <c r="AJ735" s="22">
        <v>45280</v>
      </c>
      <c r="AK735" s="26">
        <f t="shared" ca="1" si="95"/>
        <v>4.5184095500497845E-3</v>
      </c>
      <c r="AL735" s="29">
        <v>0</v>
      </c>
      <c r="AN735" s="22">
        <v>45280</v>
      </c>
      <c r="AO735" s="26">
        <f t="shared" ca="1" si="96"/>
        <v>0.37956758569323368</v>
      </c>
      <c r="AP735" s="29">
        <v>0</v>
      </c>
      <c r="AR735" s="22">
        <v>45280</v>
      </c>
      <c r="AS735" s="26">
        <f t="shared" ca="1" si="97"/>
        <v>0.78084032486610522</v>
      </c>
      <c r="AT735" s="29">
        <v>0</v>
      </c>
      <c r="AV735" s="22">
        <v>45280</v>
      </c>
      <c r="AW735" s="26">
        <f t="shared" ca="1" si="98"/>
        <v>0.6189498780259689</v>
      </c>
      <c r="AX735" s="29">
        <v>0</v>
      </c>
      <c r="AZ735" s="22">
        <v>45280</v>
      </c>
      <c r="BA735" s="26">
        <f t="shared" ca="1" si="99"/>
        <v>0.99793694127005905</v>
      </c>
      <c r="BB735" s="29">
        <v>0</v>
      </c>
      <c r="BC735"/>
      <c r="BD735" s="25"/>
      <c r="BF735" s="22">
        <v>45280</v>
      </c>
      <c r="BG735" s="26">
        <f t="shared" ca="1" si="100"/>
        <v>0.2722785891818541</v>
      </c>
      <c r="BH735" s="29">
        <v>0</v>
      </c>
      <c r="BJ735" s="22">
        <v>45280</v>
      </c>
      <c r="BK735" s="26">
        <f t="shared" ca="1" si="101"/>
        <v>0.47572419669451438</v>
      </c>
      <c r="BL735" s="29">
        <v>0</v>
      </c>
      <c r="BN735" s="22">
        <v>45280</v>
      </c>
      <c r="BO735" s="26">
        <f t="shared" ca="1" si="102"/>
        <v>0.65209213622861151</v>
      </c>
      <c r="BP735" s="29">
        <v>0</v>
      </c>
      <c r="BR735" s="22">
        <v>45280</v>
      </c>
      <c r="BS735" s="26">
        <f t="shared" ca="1" si="103"/>
        <v>8.5318735967417569E-2</v>
      </c>
      <c r="BT735" s="29">
        <v>0</v>
      </c>
      <c r="BV735" s="22">
        <v>45280</v>
      </c>
      <c r="BW735" s="26">
        <f t="shared" ca="1" si="104"/>
        <v>0.87274312034666623</v>
      </c>
      <c r="BX735" s="29">
        <v>0</v>
      </c>
    </row>
    <row r="736" spans="2:76" ht="12.75" x14ac:dyDescent="0.2">
      <c r="B736" s="22">
        <v>45281</v>
      </c>
      <c r="C736" s="26">
        <f t="shared" ca="1" si="135"/>
        <v>0.89570177953639385</v>
      </c>
      <c r="D736" s="29">
        <v>0</v>
      </c>
      <c r="F736" s="22"/>
      <c r="G736" s="26">
        <f t="shared" ca="1" si="88"/>
        <v>0.53835296196377402</v>
      </c>
      <c r="H736" s="29">
        <v>0</v>
      </c>
      <c r="J736" s="22">
        <v>45281</v>
      </c>
      <c r="K736" s="26">
        <f t="shared" ca="1" si="89"/>
        <v>0.8548385401946037</v>
      </c>
      <c r="L736" s="29">
        <v>0</v>
      </c>
      <c r="N736" s="22">
        <v>45281</v>
      </c>
      <c r="O736" s="26">
        <f t="shared" ca="1" si="90"/>
        <v>0.89841496089704342</v>
      </c>
      <c r="P736" s="29">
        <v>0</v>
      </c>
      <c r="R736" s="22">
        <v>45281</v>
      </c>
      <c r="S736" s="26">
        <f t="shared" ca="1" si="91"/>
        <v>5.5279002719132997E-4</v>
      </c>
      <c r="T736" s="29">
        <v>0</v>
      </c>
      <c r="V736" s="22">
        <v>45281</v>
      </c>
      <c r="W736" s="26">
        <f t="shared" ca="1" si="92"/>
        <v>0.84233682093327178</v>
      </c>
      <c r="X736" s="29">
        <v>0</v>
      </c>
      <c r="Z736" s="22">
        <v>45281</v>
      </c>
      <c r="AA736" s="26">
        <f t="shared" ca="1" si="93"/>
        <v>0.94024148416689057</v>
      </c>
      <c r="AB736" s="29">
        <v>0</v>
      </c>
      <c r="AC736"/>
      <c r="AD736" s="25"/>
      <c r="AF736" s="22">
        <v>45281</v>
      </c>
      <c r="AG736" s="26">
        <f t="shared" ca="1" si="94"/>
        <v>0.40412156491221374</v>
      </c>
      <c r="AH736" s="29">
        <v>0</v>
      </c>
      <c r="AJ736" s="22">
        <v>45281</v>
      </c>
      <c r="AK736" s="26">
        <f t="shared" ca="1" si="95"/>
        <v>0.73434363669989267</v>
      </c>
      <c r="AL736" s="29">
        <v>0</v>
      </c>
      <c r="AN736" s="22">
        <v>45281</v>
      </c>
      <c r="AO736" s="26">
        <f t="shared" ca="1" si="96"/>
        <v>0.57381840568877951</v>
      </c>
      <c r="AP736" s="29">
        <v>0</v>
      </c>
      <c r="AR736" s="22">
        <v>45281</v>
      </c>
      <c r="AS736" s="26">
        <f t="shared" ca="1" si="97"/>
        <v>0.77621502110882756</v>
      </c>
      <c r="AT736" s="29">
        <v>0</v>
      </c>
      <c r="AV736" s="22">
        <v>45281</v>
      </c>
      <c r="AW736" s="26">
        <f t="shared" ca="1" si="98"/>
        <v>0.24733685100529179</v>
      </c>
      <c r="AX736" s="29">
        <v>0</v>
      </c>
      <c r="AZ736" s="22">
        <v>45281</v>
      </c>
      <c r="BA736" s="26">
        <f t="shared" ca="1" si="99"/>
        <v>0.44708965517272425</v>
      </c>
      <c r="BB736" s="29">
        <v>0</v>
      </c>
      <c r="BC736"/>
      <c r="BD736" s="25"/>
      <c r="BF736" s="22">
        <v>45281</v>
      </c>
      <c r="BG736" s="26">
        <f t="shared" ca="1" si="100"/>
        <v>0.82993431659023298</v>
      </c>
      <c r="BH736" s="29">
        <v>0</v>
      </c>
      <c r="BJ736" s="22">
        <v>45281</v>
      </c>
      <c r="BK736" s="26">
        <f t="shared" ca="1" si="101"/>
        <v>0.57267260576927881</v>
      </c>
      <c r="BL736" s="29">
        <v>0</v>
      </c>
      <c r="BN736" s="22">
        <v>45281</v>
      </c>
      <c r="BO736" s="26">
        <f t="shared" ca="1" si="102"/>
        <v>0.38236447056940359</v>
      </c>
      <c r="BP736" s="29">
        <v>0</v>
      </c>
      <c r="BR736" s="22">
        <v>45281</v>
      </c>
      <c r="BS736" s="26">
        <f t="shared" ca="1" si="103"/>
        <v>0.72140191741974335</v>
      </c>
      <c r="BT736" s="29">
        <v>0</v>
      </c>
      <c r="BV736" s="22">
        <v>45281</v>
      </c>
      <c r="BW736" s="26">
        <f t="shared" ca="1" si="104"/>
        <v>0.87336135598398545</v>
      </c>
      <c r="BX736" s="29">
        <v>0</v>
      </c>
    </row>
    <row r="737" spans="2:77" ht="12.75" x14ac:dyDescent="0.2">
      <c r="B737" s="22">
        <v>45282</v>
      </c>
      <c r="C737" s="26">
        <f t="shared" ca="1" si="135"/>
        <v>0.77809174334865505</v>
      </c>
      <c r="D737" s="29">
        <v>0</v>
      </c>
      <c r="F737" s="22"/>
      <c r="G737" s="26">
        <f t="shared" ca="1" si="88"/>
        <v>0.80562554668698627</v>
      </c>
      <c r="H737" s="29">
        <v>0</v>
      </c>
      <c r="J737" s="22">
        <v>45282</v>
      </c>
      <c r="K737" s="26">
        <f t="shared" ca="1" si="89"/>
        <v>0.7942719640888104</v>
      </c>
      <c r="L737" s="29">
        <v>0</v>
      </c>
      <c r="N737" s="22">
        <v>45282</v>
      </c>
      <c r="O737" s="26">
        <f t="shared" ca="1" si="90"/>
        <v>0.93020651954774658</v>
      </c>
      <c r="P737" s="29">
        <v>0</v>
      </c>
      <c r="R737" s="22">
        <v>45282</v>
      </c>
      <c r="S737" s="26">
        <f t="shared" ca="1" si="91"/>
        <v>0.97887102835559381</v>
      </c>
      <c r="T737" s="29">
        <v>0</v>
      </c>
      <c r="V737" s="22">
        <v>45282</v>
      </c>
      <c r="W737" s="26">
        <f t="shared" ca="1" si="92"/>
        <v>0.52843925298621586</v>
      </c>
      <c r="X737" s="29">
        <v>0</v>
      </c>
      <c r="Z737" s="22">
        <v>45282</v>
      </c>
      <c r="AA737" s="26">
        <f t="shared" ca="1" si="93"/>
        <v>0.81760530495495654</v>
      </c>
      <c r="AB737" s="29">
        <v>0</v>
      </c>
      <c r="AC737"/>
      <c r="AD737" s="25"/>
      <c r="AF737" s="22">
        <v>45282</v>
      </c>
      <c r="AG737" s="26">
        <f t="shared" ca="1" si="94"/>
        <v>0.86325646626933816</v>
      </c>
      <c r="AH737" s="29">
        <v>0</v>
      </c>
      <c r="AJ737" s="22">
        <v>45282</v>
      </c>
      <c r="AK737" s="26">
        <f t="shared" ca="1" si="95"/>
        <v>0.336800913953754</v>
      </c>
      <c r="AL737" s="29">
        <v>0</v>
      </c>
      <c r="AN737" s="22">
        <v>45282</v>
      </c>
      <c r="AO737" s="26">
        <f t="shared" ca="1" si="96"/>
        <v>0.90345951717993167</v>
      </c>
      <c r="AP737" s="29">
        <v>0</v>
      </c>
      <c r="AR737" s="22">
        <v>45282</v>
      </c>
      <c r="AS737" s="26">
        <f t="shared" ca="1" si="97"/>
        <v>0.40871011204765972</v>
      </c>
      <c r="AT737" s="29">
        <v>0</v>
      </c>
      <c r="AV737" s="22">
        <v>45282</v>
      </c>
      <c r="AW737" s="26">
        <f t="shared" ca="1" si="98"/>
        <v>0.64671181904145147</v>
      </c>
      <c r="AX737" s="29">
        <v>0</v>
      </c>
      <c r="AZ737" s="22">
        <v>45282</v>
      </c>
      <c r="BA737" s="26">
        <f t="shared" ca="1" si="99"/>
        <v>0.53208876069893951</v>
      </c>
      <c r="BB737" s="29">
        <v>0</v>
      </c>
      <c r="BC737"/>
      <c r="BD737" s="25"/>
      <c r="BF737" s="22">
        <v>45282</v>
      </c>
      <c r="BG737" s="26">
        <f t="shared" ca="1" si="100"/>
        <v>0.58831807020967575</v>
      </c>
      <c r="BH737" s="29">
        <v>0</v>
      </c>
      <c r="BJ737" s="22">
        <v>45282</v>
      </c>
      <c r="BK737" s="26">
        <f t="shared" ca="1" si="101"/>
        <v>0.81688081977777705</v>
      </c>
      <c r="BL737" s="29">
        <v>0</v>
      </c>
      <c r="BN737" s="22">
        <v>45282</v>
      </c>
      <c r="BO737" s="26">
        <f t="shared" ca="1" si="102"/>
        <v>0.8037223120467335</v>
      </c>
      <c r="BP737" s="29">
        <v>0</v>
      </c>
      <c r="BR737" s="22">
        <v>45282</v>
      </c>
      <c r="BS737" s="26">
        <f t="shared" ca="1" si="103"/>
        <v>0.21322998862666998</v>
      </c>
      <c r="BT737" s="29">
        <v>0</v>
      </c>
      <c r="BV737" s="22">
        <v>45282</v>
      </c>
      <c r="BW737" s="26">
        <f t="shared" ca="1" si="104"/>
        <v>0.4929029429136117</v>
      </c>
      <c r="BX737" s="29">
        <v>0</v>
      </c>
    </row>
    <row r="738" spans="2:77" ht="12.75" x14ac:dyDescent="0.2">
      <c r="B738" s="22">
        <v>45283</v>
      </c>
      <c r="C738" s="26">
        <f t="shared" ca="1" si="135"/>
        <v>0.36232850493512947</v>
      </c>
      <c r="D738" s="29">
        <v>0</v>
      </c>
      <c r="F738" s="22"/>
      <c r="G738" s="26">
        <f t="shared" ref="G738:G874" ca="1" si="136">RAND()</f>
        <v>9.8783345310474835E-2</v>
      </c>
      <c r="H738" s="29">
        <v>0</v>
      </c>
      <c r="J738" s="22">
        <v>45283</v>
      </c>
      <c r="K738" s="26">
        <f t="shared" ref="K738:K874" ca="1" si="137">RAND()</f>
        <v>0.54427747298423923</v>
      </c>
      <c r="L738" s="29">
        <v>0</v>
      </c>
      <c r="N738" s="22">
        <v>45283</v>
      </c>
      <c r="O738" s="26">
        <f t="shared" ref="O738:O874" ca="1" si="138">RAND()</f>
        <v>0.5645879233285771</v>
      </c>
      <c r="P738" s="29">
        <v>0</v>
      </c>
      <c r="R738" s="22">
        <v>45283</v>
      </c>
      <c r="S738" s="26">
        <f t="shared" ref="S738:S874" ca="1" si="139">RAND()</f>
        <v>0.16078857994544415</v>
      </c>
      <c r="T738" s="29">
        <v>0</v>
      </c>
      <c r="V738" s="22">
        <v>45283</v>
      </c>
      <c r="W738" s="26">
        <f t="shared" ref="W738:W874" ca="1" si="140">RAND()</f>
        <v>0.62505554354354498</v>
      </c>
      <c r="X738" s="29">
        <v>0</v>
      </c>
      <c r="Z738" s="22">
        <v>45283</v>
      </c>
      <c r="AA738" s="26">
        <f t="shared" ref="AA738:AA874" ca="1" si="141">RAND()</f>
        <v>0.67735733581200575</v>
      </c>
      <c r="AB738" s="29">
        <v>0</v>
      </c>
      <c r="AC738"/>
      <c r="AD738" s="25"/>
      <c r="AF738" s="22">
        <v>45283</v>
      </c>
      <c r="AG738" s="26">
        <f t="shared" ref="AG738:AG874" ca="1" si="142">RAND()</f>
        <v>0.99883790164707753</v>
      </c>
      <c r="AH738" s="29">
        <v>0</v>
      </c>
      <c r="AJ738" s="22">
        <v>45283</v>
      </c>
      <c r="AK738" s="26">
        <f t="shared" ref="AK738:AK874" ca="1" si="143">RAND()</f>
        <v>0.69991732085272729</v>
      </c>
      <c r="AL738" s="29">
        <v>0</v>
      </c>
      <c r="AN738" s="22">
        <v>45283</v>
      </c>
      <c r="AO738" s="26">
        <f t="shared" ref="AO738:AO874" ca="1" si="144">RAND()</f>
        <v>0.69592191741455223</v>
      </c>
      <c r="AP738" s="29">
        <v>0</v>
      </c>
      <c r="AR738" s="22">
        <v>45283</v>
      </c>
      <c r="AS738" s="26">
        <f t="shared" ref="AS738:AS874" ca="1" si="145">RAND()</f>
        <v>4.0717129845706967E-2</v>
      </c>
      <c r="AT738" s="29">
        <v>0</v>
      </c>
      <c r="AV738" s="22">
        <v>45283</v>
      </c>
      <c r="AW738" s="26">
        <f t="shared" ref="AW738:AW874" ca="1" si="146">RAND()</f>
        <v>2.0251839136619321E-2</v>
      </c>
      <c r="AX738" s="29">
        <v>0</v>
      </c>
      <c r="AZ738" s="22">
        <v>45283</v>
      </c>
      <c r="BA738" s="26">
        <f t="shared" ref="BA738:BA874" ca="1" si="147">RAND()</f>
        <v>0.34755351009966517</v>
      </c>
      <c r="BB738" s="29">
        <v>0</v>
      </c>
      <c r="BC738"/>
      <c r="BD738" s="25"/>
      <c r="BF738" s="22">
        <v>45283</v>
      </c>
      <c r="BG738" s="26">
        <f t="shared" ref="BG738:BG874" ca="1" si="148">RAND()</f>
        <v>0.21655255798225759</v>
      </c>
      <c r="BH738" s="29">
        <v>0</v>
      </c>
      <c r="BJ738" s="22">
        <v>45283</v>
      </c>
      <c r="BK738" s="26">
        <f t="shared" ref="BK738:BK874" ca="1" si="149">RAND()</f>
        <v>0.82431791022710987</v>
      </c>
      <c r="BL738" s="29">
        <v>0</v>
      </c>
      <c r="BN738" s="22">
        <v>45283</v>
      </c>
      <c r="BO738" s="26">
        <f t="shared" ref="BO738:BO874" ca="1" si="150">RAND()</f>
        <v>0.67663014449300407</v>
      </c>
      <c r="BP738" s="29">
        <v>0</v>
      </c>
      <c r="BR738" s="22">
        <v>45283</v>
      </c>
      <c r="BS738" s="26">
        <f t="shared" ref="BS738:BS874" ca="1" si="151">RAND()</f>
        <v>0.80314973382800026</v>
      </c>
      <c r="BT738" s="29">
        <v>0</v>
      </c>
      <c r="BV738" s="22">
        <v>45283</v>
      </c>
      <c r="BW738" s="26">
        <f t="shared" ref="BW738:BW874" ca="1" si="152">RAND()</f>
        <v>0.14830066037143219</v>
      </c>
      <c r="BX738" s="29">
        <v>0</v>
      </c>
    </row>
    <row r="739" spans="2:77" ht="12.75" x14ac:dyDescent="0.2">
      <c r="B739" s="22">
        <v>45284</v>
      </c>
      <c r="C739" s="26">
        <f t="shared" ca="1" si="135"/>
        <v>0.13835146761915229</v>
      </c>
      <c r="D739" s="29">
        <v>0</v>
      </c>
      <c r="F739" s="22"/>
      <c r="G739" s="26">
        <f t="shared" ca="1" si="136"/>
        <v>0.71312608442067171</v>
      </c>
      <c r="H739" s="29">
        <v>0</v>
      </c>
      <c r="J739" s="22">
        <v>45284</v>
      </c>
      <c r="K739" s="26">
        <f t="shared" ca="1" si="137"/>
        <v>0.46457392485921967</v>
      </c>
      <c r="L739" s="29">
        <v>0</v>
      </c>
      <c r="N739" s="22">
        <v>45284</v>
      </c>
      <c r="O739" s="26">
        <f t="shared" ca="1" si="138"/>
        <v>0.54512399568895409</v>
      </c>
      <c r="P739" s="29">
        <v>0</v>
      </c>
      <c r="R739" s="22">
        <v>45284</v>
      </c>
      <c r="S739" s="26">
        <f t="shared" ca="1" si="139"/>
        <v>0.9658172627193915</v>
      </c>
      <c r="T739" s="29">
        <v>0</v>
      </c>
      <c r="V739" s="22">
        <v>45284</v>
      </c>
      <c r="W739" s="26">
        <f t="shared" ca="1" si="140"/>
        <v>0.49783290591341911</v>
      </c>
      <c r="X739" s="29">
        <v>0</v>
      </c>
      <c r="Z739" s="22">
        <v>45284</v>
      </c>
      <c r="AA739" s="26">
        <f t="shared" ca="1" si="141"/>
        <v>0.11383466966832878</v>
      </c>
      <c r="AB739" s="29">
        <v>0</v>
      </c>
      <c r="AC739"/>
      <c r="AD739" s="25"/>
      <c r="AF739" s="22">
        <v>45284</v>
      </c>
      <c r="AG739" s="26">
        <f t="shared" ca="1" si="142"/>
        <v>5.0990567014623456E-2</v>
      </c>
      <c r="AH739" s="29">
        <v>0</v>
      </c>
      <c r="AJ739" s="22">
        <v>45284</v>
      </c>
      <c r="AK739" s="26">
        <f t="shared" ca="1" si="143"/>
        <v>0.72741756483160314</v>
      </c>
      <c r="AL739" s="29">
        <v>0</v>
      </c>
      <c r="AN739" s="22">
        <v>45284</v>
      </c>
      <c r="AO739" s="26">
        <f t="shared" ca="1" si="144"/>
        <v>0.35784489091831861</v>
      </c>
      <c r="AP739" s="29">
        <v>0</v>
      </c>
      <c r="AR739" s="22">
        <v>45284</v>
      </c>
      <c r="AS739" s="26">
        <f t="shared" ca="1" si="145"/>
        <v>0.875072012679037</v>
      </c>
      <c r="AT739" s="29">
        <v>0</v>
      </c>
      <c r="AV739" s="22">
        <v>45284</v>
      </c>
      <c r="AW739" s="26">
        <f t="shared" ca="1" si="146"/>
        <v>0.6137552886520985</v>
      </c>
      <c r="AX739" s="29">
        <v>0</v>
      </c>
      <c r="AZ739" s="22">
        <v>45284</v>
      </c>
      <c r="BA739" s="26">
        <f t="shared" ca="1" si="147"/>
        <v>0.90577877547287478</v>
      </c>
      <c r="BB739" s="29">
        <v>0</v>
      </c>
      <c r="BC739"/>
      <c r="BD739" s="25"/>
      <c r="BF739" s="22">
        <v>45284</v>
      </c>
      <c r="BG739" s="26">
        <f t="shared" ca="1" si="148"/>
        <v>0.44362199357834753</v>
      </c>
      <c r="BH739" s="29">
        <v>0</v>
      </c>
      <c r="BJ739" s="22">
        <v>45284</v>
      </c>
      <c r="BK739" s="26">
        <f t="shared" ca="1" si="149"/>
        <v>8.1281107746210557E-3</v>
      </c>
      <c r="BL739" s="29">
        <v>0</v>
      </c>
      <c r="BN739" s="22">
        <v>45284</v>
      </c>
      <c r="BO739" s="26">
        <f t="shared" ca="1" si="150"/>
        <v>0.17193252476097642</v>
      </c>
      <c r="BP739" s="29">
        <v>0</v>
      </c>
      <c r="BR739" s="22">
        <v>45284</v>
      </c>
      <c r="BS739" s="26">
        <f t="shared" ca="1" si="151"/>
        <v>0.12777862052357003</v>
      </c>
      <c r="BT739" s="29">
        <v>0</v>
      </c>
      <c r="BV739" s="22">
        <v>45284</v>
      </c>
      <c r="BW739" s="26">
        <f t="shared" ca="1" si="152"/>
        <v>0.82529284058191155</v>
      </c>
      <c r="BX739" s="29">
        <v>0</v>
      </c>
    </row>
    <row r="740" spans="2:77" ht="12.75" x14ac:dyDescent="0.2">
      <c r="B740" s="22">
        <v>45285</v>
      </c>
      <c r="C740" s="26">
        <f t="shared" ca="1" si="135"/>
        <v>6.3500324868671632E-3</v>
      </c>
      <c r="D740" s="29">
        <v>0</v>
      </c>
      <c r="F740" s="22"/>
      <c r="G740" s="26">
        <f t="shared" ca="1" si="136"/>
        <v>1.5636265205648092E-2</v>
      </c>
      <c r="H740" s="29">
        <v>0</v>
      </c>
      <c r="J740" s="22">
        <v>45285</v>
      </c>
      <c r="K740" s="26">
        <f t="shared" ca="1" si="137"/>
        <v>0.88060098212407001</v>
      </c>
      <c r="L740" s="29">
        <v>0</v>
      </c>
      <c r="N740" s="22">
        <v>45285</v>
      </c>
      <c r="O740" s="26">
        <f t="shared" ca="1" si="138"/>
        <v>0.8337682995129877</v>
      </c>
      <c r="P740" s="29">
        <v>0</v>
      </c>
      <c r="R740" s="22">
        <v>45285</v>
      </c>
      <c r="S740" s="26">
        <f t="shared" ca="1" si="139"/>
        <v>0.72581218003664583</v>
      </c>
      <c r="T740" s="29">
        <v>0</v>
      </c>
      <c r="V740" s="22">
        <v>45285</v>
      </c>
      <c r="W740" s="26">
        <f t="shared" ca="1" si="140"/>
        <v>0.29971298232046029</v>
      </c>
      <c r="X740" s="29">
        <v>0</v>
      </c>
      <c r="Z740" s="22">
        <v>45285</v>
      </c>
      <c r="AA740" s="26">
        <f t="shared" ca="1" si="141"/>
        <v>0.74407410874870106</v>
      </c>
      <c r="AB740" s="29">
        <v>0</v>
      </c>
      <c r="AC740"/>
      <c r="AD740" s="25"/>
      <c r="AF740" s="22">
        <v>45285</v>
      </c>
      <c r="AG740" s="26">
        <f t="shared" ca="1" si="142"/>
        <v>0.83619697244836688</v>
      </c>
      <c r="AH740" s="29">
        <v>0</v>
      </c>
      <c r="AJ740" s="22">
        <v>45285</v>
      </c>
      <c r="AK740" s="26">
        <f t="shared" ca="1" si="143"/>
        <v>0.26648274012146567</v>
      </c>
      <c r="AL740" s="29">
        <v>0</v>
      </c>
      <c r="AN740" s="22">
        <v>45285</v>
      </c>
      <c r="AO740" s="26">
        <f t="shared" ca="1" si="144"/>
        <v>0.14714497641077773</v>
      </c>
      <c r="AP740" s="29">
        <v>0</v>
      </c>
      <c r="AR740" s="22">
        <v>45285</v>
      </c>
      <c r="AS740" s="26">
        <f t="shared" ca="1" si="145"/>
        <v>0.47069802214409884</v>
      </c>
      <c r="AT740" s="29">
        <v>0</v>
      </c>
      <c r="AV740" s="22">
        <v>45285</v>
      </c>
      <c r="AW740" s="26">
        <f t="shared" ca="1" si="146"/>
        <v>0.39280106077602905</v>
      </c>
      <c r="AX740" s="29">
        <v>0</v>
      </c>
      <c r="AZ740" s="22">
        <v>45285</v>
      </c>
      <c r="BA740" s="26">
        <f t="shared" ca="1" si="147"/>
        <v>0.40120477927725962</v>
      </c>
      <c r="BB740" s="29">
        <v>0</v>
      </c>
      <c r="BC740"/>
      <c r="BD740" s="25"/>
      <c r="BF740" s="22">
        <v>45285</v>
      </c>
      <c r="BG740" s="26">
        <f t="shared" ca="1" si="148"/>
        <v>0.3737065800598951</v>
      </c>
      <c r="BH740" s="29">
        <v>0</v>
      </c>
      <c r="BJ740" s="22">
        <v>45285</v>
      </c>
      <c r="BK740" s="26">
        <f t="shared" ca="1" si="149"/>
        <v>0.51392849569784549</v>
      </c>
      <c r="BL740" s="29">
        <v>0</v>
      </c>
      <c r="BN740" s="22">
        <v>45285</v>
      </c>
      <c r="BO740" s="26">
        <f t="shared" ca="1" si="150"/>
        <v>0.73769484241982564</v>
      </c>
      <c r="BP740" s="29">
        <v>0</v>
      </c>
      <c r="BR740" s="22">
        <v>45285</v>
      </c>
      <c r="BS740" s="26">
        <f t="shared" ca="1" si="151"/>
        <v>0.18795157176065558</v>
      </c>
      <c r="BT740" s="29">
        <v>0</v>
      </c>
      <c r="BV740" s="22">
        <v>45285</v>
      </c>
      <c r="BW740" s="26">
        <f t="shared" ca="1" si="152"/>
        <v>0.67351315663871247</v>
      </c>
      <c r="BX740" s="29">
        <v>0</v>
      </c>
    </row>
    <row r="741" spans="2:77" ht="12.75" x14ac:dyDescent="0.2">
      <c r="B741" s="22">
        <v>45286</v>
      </c>
      <c r="C741" s="26">
        <f t="shared" ca="1" si="135"/>
        <v>0.51601022144526321</v>
      </c>
      <c r="D741" s="29">
        <v>0</v>
      </c>
      <c r="F741" s="22"/>
      <c r="G741" s="26">
        <f t="shared" ca="1" si="136"/>
        <v>0.36254305449649515</v>
      </c>
      <c r="H741" s="29">
        <v>0</v>
      </c>
      <c r="J741" s="22">
        <v>45286</v>
      </c>
      <c r="K741" s="26">
        <f t="shared" ca="1" si="137"/>
        <v>0.4018601385940922</v>
      </c>
      <c r="L741" s="29">
        <v>0</v>
      </c>
      <c r="N741" s="22">
        <v>45286</v>
      </c>
      <c r="O741" s="26">
        <f t="shared" ca="1" si="138"/>
        <v>0.8222401607494304</v>
      </c>
      <c r="P741" s="29">
        <v>0</v>
      </c>
      <c r="R741" s="22">
        <v>45286</v>
      </c>
      <c r="S741" s="26">
        <f t="shared" ca="1" si="139"/>
        <v>0.69884356340209053</v>
      </c>
      <c r="T741" s="29">
        <v>0</v>
      </c>
      <c r="V741" s="22">
        <v>45286</v>
      </c>
      <c r="W741" s="26">
        <f t="shared" ca="1" si="140"/>
        <v>0.14921340863165333</v>
      </c>
      <c r="X741" s="29">
        <v>0</v>
      </c>
      <c r="Z741" s="22">
        <v>45286</v>
      </c>
      <c r="AA741" s="26">
        <f t="shared" ca="1" si="141"/>
        <v>0.67232932727977579</v>
      </c>
      <c r="AB741" s="29">
        <v>0</v>
      </c>
      <c r="AC741"/>
      <c r="AD741" s="25"/>
      <c r="AF741" s="22">
        <v>45286</v>
      </c>
      <c r="AG741" s="26">
        <f t="shared" ca="1" si="142"/>
        <v>0.61873040627569686</v>
      </c>
      <c r="AH741" s="29">
        <v>0</v>
      </c>
      <c r="AJ741" s="22">
        <v>45286</v>
      </c>
      <c r="AK741" s="26">
        <f t="shared" ca="1" si="143"/>
        <v>0.84518218643146747</v>
      </c>
      <c r="AL741" s="29">
        <v>0</v>
      </c>
      <c r="AN741" s="22">
        <v>45286</v>
      </c>
      <c r="AO741" s="26">
        <f t="shared" ca="1" si="144"/>
        <v>6.5389555604475014E-2</v>
      </c>
      <c r="AP741" s="29">
        <v>0</v>
      </c>
      <c r="AR741" s="22">
        <v>45286</v>
      </c>
      <c r="AS741" s="26">
        <f t="shared" ca="1" si="145"/>
        <v>9.3268505006559699E-2</v>
      </c>
      <c r="AT741" s="29">
        <v>0</v>
      </c>
      <c r="AV741" s="22">
        <v>45286</v>
      </c>
      <c r="AW741" s="26">
        <f t="shared" ca="1" si="146"/>
        <v>0.3028430253748664</v>
      </c>
      <c r="AX741" s="29">
        <v>0</v>
      </c>
      <c r="AZ741" s="22">
        <v>45286</v>
      </c>
      <c r="BA741" s="26">
        <f t="shared" ca="1" si="147"/>
        <v>0.45990770066195552</v>
      </c>
      <c r="BB741" s="29">
        <v>0</v>
      </c>
      <c r="BC741"/>
      <c r="BD741" s="25"/>
      <c r="BF741" s="22">
        <v>45286</v>
      </c>
      <c r="BG741" s="26">
        <f t="shared" ca="1" si="148"/>
        <v>0.81336406194831257</v>
      </c>
      <c r="BH741" s="29">
        <v>0</v>
      </c>
      <c r="BJ741" s="22">
        <v>45286</v>
      </c>
      <c r="BK741" s="26">
        <f t="shared" ca="1" si="149"/>
        <v>0.48677580236074014</v>
      </c>
      <c r="BL741" s="29">
        <v>0</v>
      </c>
      <c r="BN741" s="22">
        <v>45286</v>
      </c>
      <c r="BO741" s="26">
        <f t="shared" ca="1" si="150"/>
        <v>0.99523462904457949</v>
      </c>
      <c r="BP741" s="29">
        <v>0</v>
      </c>
      <c r="BR741" s="22">
        <v>45286</v>
      </c>
      <c r="BS741" s="26">
        <f t="shared" ca="1" si="151"/>
        <v>0.18842907348873572</v>
      </c>
      <c r="BT741" s="29">
        <v>0</v>
      </c>
      <c r="BV741" s="22">
        <v>45286</v>
      </c>
      <c r="BW741" s="26">
        <f t="shared" ca="1" si="152"/>
        <v>5.5825095300154226E-2</v>
      </c>
      <c r="BX741" s="29">
        <v>0</v>
      </c>
    </row>
    <row r="742" spans="2:77" ht="12.75" x14ac:dyDescent="0.2">
      <c r="B742" s="22">
        <v>45287</v>
      </c>
      <c r="C742" s="26">
        <f t="shared" ca="1" si="135"/>
        <v>0.62013156900915234</v>
      </c>
      <c r="D742" s="29">
        <v>0</v>
      </c>
      <c r="F742" s="22"/>
      <c r="G742" s="26">
        <f t="shared" ca="1" si="136"/>
        <v>0.91523196469626256</v>
      </c>
      <c r="H742" s="29">
        <v>0</v>
      </c>
      <c r="J742" s="22">
        <v>45287</v>
      </c>
      <c r="K742" s="26">
        <f t="shared" ca="1" si="137"/>
        <v>0.39881293672160467</v>
      </c>
      <c r="L742" s="29">
        <v>0</v>
      </c>
      <c r="N742" s="22">
        <v>45287</v>
      </c>
      <c r="O742" s="26">
        <f t="shared" ca="1" si="138"/>
        <v>0.75999586244472273</v>
      </c>
      <c r="P742" s="29">
        <v>0</v>
      </c>
      <c r="R742" s="22">
        <v>45287</v>
      </c>
      <c r="S742" s="26">
        <f t="shared" ca="1" si="139"/>
        <v>0.82237135130548</v>
      </c>
      <c r="T742" s="29">
        <v>0</v>
      </c>
      <c r="V742" s="22">
        <v>45287</v>
      </c>
      <c r="W742" s="26">
        <f t="shared" ca="1" si="140"/>
        <v>0.98545070015352509</v>
      </c>
      <c r="X742" s="29">
        <v>0</v>
      </c>
      <c r="Z742" s="22">
        <v>45287</v>
      </c>
      <c r="AA742" s="26">
        <f t="shared" ca="1" si="141"/>
        <v>0.26932452985102717</v>
      </c>
      <c r="AB742" s="29">
        <v>0</v>
      </c>
      <c r="AC742"/>
      <c r="AD742" s="25"/>
      <c r="AF742" s="22">
        <v>45287</v>
      </c>
      <c r="AG742" s="26">
        <f t="shared" ca="1" si="142"/>
        <v>0.96614681686774406</v>
      </c>
      <c r="AH742" s="29">
        <v>0</v>
      </c>
      <c r="AJ742" s="22">
        <v>45287</v>
      </c>
      <c r="AK742" s="26">
        <f t="shared" ca="1" si="143"/>
        <v>0.40092467061777481</v>
      </c>
      <c r="AL742" s="29">
        <v>0</v>
      </c>
      <c r="AN742" s="22">
        <v>45287</v>
      </c>
      <c r="AO742" s="26">
        <f t="shared" ca="1" si="144"/>
        <v>0.77525329714325519</v>
      </c>
      <c r="AP742" s="29">
        <v>0</v>
      </c>
      <c r="AR742" s="22">
        <v>45287</v>
      </c>
      <c r="AS742" s="26">
        <f t="shared" ca="1" si="145"/>
        <v>0.93182991658453374</v>
      </c>
      <c r="AT742" s="29">
        <v>0</v>
      </c>
      <c r="AV742" s="22">
        <v>45287</v>
      </c>
      <c r="AW742" s="26">
        <f t="shared" ca="1" si="146"/>
        <v>0.56611788044726985</v>
      </c>
      <c r="AX742" s="29">
        <v>0</v>
      </c>
      <c r="AZ742" s="22">
        <v>45287</v>
      </c>
      <c r="BA742" s="26">
        <f t="shared" ca="1" si="147"/>
        <v>0.50844724220425097</v>
      </c>
      <c r="BB742" s="29">
        <v>0</v>
      </c>
      <c r="BC742"/>
      <c r="BD742" s="25"/>
      <c r="BF742" s="22">
        <v>45287</v>
      </c>
      <c r="BG742" s="26">
        <f t="shared" ca="1" si="148"/>
        <v>0.73155290563336151</v>
      </c>
      <c r="BH742" s="29">
        <v>0</v>
      </c>
      <c r="BJ742" s="22">
        <v>45287</v>
      </c>
      <c r="BK742" s="26">
        <f t="shared" ca="1" si="149"/>
        <v>0.6214681805080593</v>
      </c>
      <c r="BL742" s="29">
        <v>0</v>
      </c>
      <c r="BN742" s="22">
        <v>45287</v>
      </c>
      <c r="BO742" s="26">
        <f t="shared" ca="1" si="150"/>
        <v>0.65980277859002578</v>
      </c>
      <c r="BP742" s="29">
        <v>0</v>
      </c>
      <c r="BR742" s="22">
        <v>45287</v>
      </c>
      <c r="BS742" s="26">
        <f t="shared" ca="1" si="151"/>
        <v>4.8442903509426705E-2</v>
      </c>
      <c r="BT742" s="29">
        <v>0</v>
      </c>
      <c r="BV742" s="22">
        <v>45287</v>
      </c>
      <c r="BW742" s="26">
        <f t="shared" ca="1" si="152"/>
        <v>0.57796086643759181</v>
      </c>
      <c r="BX742" s="29">
        <v>0</v>
      </c>
    </row>
    <row r="743" spans="2:77" ht="12.75" x14ac:dyDescent="0.2">
      <c r="B743" s="22">
        <v>45288</v>
      </c>
      <c r="C743" s="26">
        <f t="shared" ca="1" si="135"/>
        <v>0.26271981251554788</v>
      </c>
      <c r="D743" s="29">
        <v>0</v>
      </c>
      <c r="F743" s="22"/>
      <c r="G743" s="26">
        <f t="shared" ca="1" si="136"/>
        <v>0.99291222588109274</v>
      </c>
      <c r="H743" s="29">
        <v>0</v>
      </c>
      <c r="J743" s="22">
        <v>45288</v>
      </c>
      <c r="K743" s="26">
        <f t="shared" ca="1" si="137"/>
        <v>0.36949417900272707</v>
      </c>
      <c r="L743" s="29">
        <v>0</v>
      </c>
      <c r="N743" s="22">
        <v>45288</v>
      </c>
      <c r="O743" s="26">
        <f t="shared" ca="1" si="138"/>
        <v>0.5889325960421371</v>
      </c>
      <c r="P743" s="29">
        <v>0</v>
      </c>
      <c r="R743" s="22">
        <v>45288</v>
      </c>
      <c r="S743" s="26">
        <f t="shared" ca="1" si="139"/>
        <v>4.1820859085082041E-2</v>
      </c>
      <c r="T743" s="29">
        <v>0</v>
      </c>
      <c r="V743" s="22">
        <v>45288</v>
      </c>
      <c r="W743" s="26">
        <f t="shared" ca="1" si="140"/>
        <v>0.4699234086393369</v>
      </c>
      <c r="X743" s="29">
        <v>0</v>
      </c>
      <c r="Z743" s="22">
        <v>45288</v>
      </c>
      <c r="AA743" s="26">
        <f t="shared" ca="1" si="141"/>
        <v>0.85065592953381652</v>
      </c>
      <c r="AB743" s="29">
        <v>0</v>
      </c>
      <c r="AC743"/>
      <c r="AD743" s="25"/>
      <c r="AF743" s="22">
        <v>45288</v>
      </c>
      <c r="AG743" s="26">
        <f t="shared" ca="1" si="142"/>
        <v>0.18578790959364677</v>
      </c>
      <c r="AH743" s="29">
        <v>0</v>
      </c>
      <c r="AJ743" s="22">
        <v>45288</v>
      </c>
      <c r="AK743" s="26">
        <f t="shared" ca="1" si="143"/>
        <v>0.37660065064273118</v>
      </c>
      <c r="AL743" s="29">
        <v>0</v>
      </c>
      <c r="AN743" s="22">
        <v>45288</v>
      </c>
      <c r="AO743" s="26">
        <f t="shared" ca="1" si="144"/>
        <v>0.42425404857984261</v>
      </c>
      <c r="AP743" s="29">
        <v>0</v>
      </c>
      <c r="AR743" s="22">
        <v>45288</v>
      </c>
      <c r="AS743" s="26">
        <f t="shared" ca="1" si="145"/>
        <v>0.12955940111376496</v>
      </c>
      <c r="AT743" s="29">
        <v>0</v>
      </c>
      <c r="AV743" s="22">
        <v>45288</v>
      </c>
      <c r="AW743" s="26">
        <f t="shared" ca="1" si="146"/>
        <v>0.60506235915643558</v>
      </c>
      <c r="AX743" s="29">
        <v>0</v>
      </c>
      <c r="AZ743" s="22">
        <v>45288</v>
      </c>
      <c r="BA743" s="26">
        <f t="shared" ca="1" si="147"/>
        <v>0.80548809451275483</v>
      </c>
      <c r="BB743" s="29">
        <v>0</v>
      </c>
      <c r="BC743"/>
      <c r="BD743" s="25"/>
      <c r="BF743" s="22">
        <v>45288</v>
      </c>
      <c r="BG743" s="26">
        <f t="shared" ca="1" si="148"/>
        <v>0.65564610944061041</v>
      </c>
      <c r="BH743" s="29">
        <v>0</v>
      </c>
      <c r="BJ743" s="22">
        <v>45288</v>
      </c>
      <c r="BK743" s="26">
        <f t="shared" ca="1" si="149"/>
        <v>0.40594843818163973</v>
      </c>
      <c r="BL743" s="29">
        <v>0</v>
      </c>
      <c r="BN743" s="22">
        <v>45288</v>
      </c>
      <c r="BO743" s="26">
        <f t="shared" ca="1" si="150"/>
        <v>2.5605749150367174E-2</v>
      </c>
      <c r="BP743" s="29">
        <v>0</v>
      </c>
      <c r="BR743" s="22">
        <v>45288</v>
      </c>
      <c r="BS743" s="26">
        <f t="shared" ca="1" si="151"/>
        <v>0.23055730008347564</v>
      </c>
      <c r="BT743" s="29">
        <v>0</v>
      </c>
      <c r="BV743" s="22">
        <v>45288</v>
      </c>
      <c r="BW743" s="26">
        <f t="shared" ca="1" si="152"/>
        <v>0.52721978529670543</v>
      </c>
      <c r="BX743" s="29">
        <v>0</v>
      </c>
    </row>
    <row r="744" spans="2:77" ht="12.75" x14ac:dyDescent="0.2">
      <c r="B744" s="22">
        <v>45289</v>
      </c>
      <c r="C744" s="26">
        <f t="shared" ca="1" si="135"/>
        <v>0.25649850427035981</v>
      </c>
      <c r="D744" s="29">
        <v>0</v>
      </c>
      <c r="F744" s="22"/>
      <c r="G744" s="26">
        <f t="shared" ca="1" si="136"/>
        <v>0.64774170929521147</v>
      </c>
      <c r="H744" s="29">
        <v>0</v>
      </c>
      <c r="J744" s="22">
        <v>45289</v>
      </c>
      <c r="K744" s="26">
        <f t="shared" ca="1" si="137"/>
        <v>0.69764264158737888</v>
      </c>
      <c r="L744" s="29">
        <v>0</v>
      </c>
      <c r="N744" s="22">
        <v>45289</v>
      </c>
      <c r="O744" s="26">
        <f t="shared" ca="1" si="138"/>
        <v>0.49866814704148721</v>
      </c>
      <c r="P744" s="29">
        <v>0</v>
      </c>
      <c r="R744" s="22">
        <v>45289</v>
      </c>
      <c r="S744" s="26">
        <f t="shared" ca="1" si="139"/>
        <v>0.97105339213172881</v>
      </c>
      <c r="T744" s="29">
        <v>0</v>
      </c>
      <c r="V744" s="22">
        <v>45289</v>
      </c>
      <c r="W744" s="26">
        <f t="shared" ca="1" si="140"/>
        <v>0.80221765854940608</v>
      </c>
      <c r="X744" s="29">
        <v>0</v>
      </c>
      <c r="Z744" s="22">
        <v>45289</v>
      </c>
      <c r="AA744" s="26">
        <f t="shared" ca="1" si="141"/>
        <v>6.2444868241360751E-2</v>
      </c>
      <c r="AB744" s="29">
        <v>0</v>
      </c>
      <c r="AC744"/>
      <c r="AD744" s="25"/>
      <c r="AF744" s="22">
        <v>45289</v>
      </c>
      <c r="AG744" s="26">
        <f t="shared" ca="1" si="142"/>
        <v>0.98715433653857454</v>
      </c>
      <c r="AH744" s="29">
        <v>0</v>
      </c>
      <c r="AJ744" s="22">
        <v>45289</v>
      </c>
      <c r="AK744" s="26">
        <f t="shared" ca="1" si="143"/>
        <v>0.48479327736207045</v>
      </c>
      <c r="AL744" s="29">
        <v>0</v>
      </c>
      <c r="AN744" s="22">
        <v>45289</v>
      </c>
      <c r="AO744" s="26">
        <f t="shared" ca="1" si="144"/>
        <v>0.11794931464944847</v>
      </c>
      <c r="AP744" s="29">
        <v>0</v>
      </c>
      <c r="AR744" s="22">
        <v>45289</v>
      </c>
      <c r="AS744" s="26">
        <f t="shared" ca="1" si="145"/>
        <v>0.62104468477249075</v>
      </c>
      <c r="AT744" s="29">
        <v>0</v>
      </c>
      <c r="AV744" s="22">
        <v>45289</v>
      </c>
      <c r="AW744" s="26">
        <f t="shared" ca="1" si="146"/>
        <v>0.56267160712935305</v>
      </c>
      <c r="AX744" s="29">
        <v>0</v>
      </c>
      <c r="AZ744" s="22">
        <v>45289</v>
      </c>
      <c r="BA744" s="26">
        <f t="shared" ca="1" si="147"/>
        <v>0.83443515529694134</v>
      </c>
      <c r="BB744" s="29">
        <v>0</v>
      </c>
      <c r="BC744"/>
      <c r="BD744" s="25"/>
      <c r="BF744" s="22">
        <v>45289</v>
      </c>
      <c r="BG744" s="26">
        <f t="shared" ca="1" si="148"/>
        <v>0.35496747220634284</v>
      </c>
      <c r="BH744" s="29">
        <v>0</v>
      </c>
      <c r="BJ744" s="22">
        <v>45289</v>
      </c>
      <c r="BK744" s="26">
        <f t="shared" ca="1" si="149"/>
        <v>0.70135828297032543</v>
      </c>
      <c r="BL744" s="29">
        <v>0</v>
      </c>
      <c r="BN744" s="22">
        <v>45289</v>
      </c>
      <c r="BO744" s="26">
        <f t="shared" ca="1" si="150"/>
        <v>0.99837947554648743</v>
      </c>
      <c r="BP744" s="29">
        <v>0</v>
      </c>
      <c r="BR744" s="22">
        <v>45289</v>
      </c>
      <c r="BS744" s="26">
        <f t="shared" ca="1" si="151"/>
        <v>0.57575207864953282</v>
      </c>
      <c r="BT744" s="29">
        <v>0</v>
      </c>
      <c r="BV744" s="22">
        <v>45289</v>
      </c>
      <c r="BW744" s="26">
        <f t="shared" ca="1" si="152"/>
        <v>0.37266473898721186</v>
      </c>
      <c r="BX744" s="29">
        <v>0</v>
      </c>
    </row>
    <row r="745" spans="2:77" ht="12.75" x14ac:dyDescent="0.2">
      <c r="B745" s="22">
        <v>45290</v>
      </c>
      <c r="C745" s="26">
        <f t="shared" ca="1" si="135"/>
        <v>0.67903994696054248</v>
      </c>
      <c r="D745" s="29">
        <v>0</v>
      </c>
      <c r="F745" s="22"/>
      <c r="G745" s="26">
        <f t="shared" ca="1" si="136"/>
        <v>0.67844349136985094</v>
      </c>
      <c r="H745" s="29">
        <v>0</v>
      </c>
      <c r="J745" s="22">
        <v>45290</v>
      </c>
      <c r="K745" s="26">
        <f t="shared" ca="1" si="137"/>
        <v>0.34186639618330961</v>
      </c>
      <c r="L745" s="29">
        <v>0</v>
      </c>
      <c r="N745" s="22">
        <v>45290</v>
      </c>
      <c r="O745" s="26">
        <f t="shared" ca="1" si="138"/>
        <v>0.10173741318128726</v>
      </c>
      <c r="P745" s="29">
        <v>0</v>
      </c>
      <c r="R745" s="22">
        <v>45290</v>
      </c>
      <c r="S745" s="26">
        <f t="shared" ca="1" si="139"/>
        <v>0.17241954176919438</v>
      </c>
      <c r="T745" s="29">
        <v>0</v>
      </c>
      <c r="V745" s="22">
        <v>45290</v>
      </c>
      <c r="W745" s="26">
        <f t="shared" ca="1" si="140"/>
        <v>0.37757095666162321</v>
      </c>
      <c r="X745" s="29">
        <v>0</v>
      </c>
      <c r="Z745" s="22">
        <v>45290</v>
      </c>
      <c r="AA745" s="26">
        <f t="shared" ca="1" si="141"/>
        <v>0.5801506485297071</v>
      </c>
      <c r="AB745" s="29">
        <v>0</v>
      </c>
      <c r="AC745"/>
      <c r="AD745" s="25"/>
      <c r="AF745" s="22">
        <v>45290</v>
      </c>
      <c r="AG745" s="26">
        <f t="shared" ca="1" si="142"/>
        <v>0.61735975643888008</v>
      </c>
      <c r="AH745" s="29">
        <v>0</v>
      </c>
      <c r="AJ745" s="22">
        <v>45290</v>
      </c>
      <c r="AK745" s="26">
        <f t="shared" ca="1" si="143"/>
        <v>0.55525763361674518</v>
      </c>
      <c r="AL745" s="29">
        <v>0</v>
      </c>
      <c r="AN745" s="22">
        <v>45290</v>
      </c>
      <c r="AO745" s="26">
        <f t="shared" ca="1" si="144"/>
        <v>0.42917545228732679</v>
      </c>
      <c r="AP745" s="29">
        <v>0</v>
      </c>
      <c r="AR745" s="22">
        <v>45290</v>
      </c>
      <c r="AS745" s="26">
        <f t="shared" ca="1" si="145"/>
        <v>0.77871164193733577</v>
      </c>
      <c r="AT745" s="29">
        <v>0</v>
      </c>
      <c r="AV745" s="22">
        <v>45290</v>
      </c>
      <c r="AW745" s="26">
        <f t="shared" ca="1" si="146"/>
        <v>1.7571160300827837E-2</v>
      </c>
      <c r="AX745" s="29">
        <v>0</v>
      </c>
      <c r="AZ745" s="22">
        <v>45290</v>
      </c>
      <c r="BA745" s="26">
        <f t="shared" ca="1" si="147"/>
        <v>0.10664588360184535</v>
      </c>
      <c r="BB745" s="29">
        <v>0</v>
      </c>
      <c r="BC745"/>
      <c r="BD745" s="25"/>
      <c r="BF745" s="22">
        <v>45290</v>
      </c>
      <c r="BG745" s="26">
        <f t="shared" ca="1" si="148"/>
        <v>0.75945943440240626</v>
      </c>
      <c r="BH745" s="29">
        <v>0</v>
      </c>
      <c r="BJ745" s="22">
        <v>45290</v>
      </c>
      <c r="BK745" s="26">
        <f t="shared" ca="1" si="149"/>
        <v>0.15139705023679295</v>
      </c>
      <c r="BL745" s="29">
        <v>0</v>
      </c>
      <c r="BN745" s="22">
        <v>45290</v>
      </c>
      <c r="BO745" s="26">
        <f t="shared" ca="1" si="150"/>
        <v>0.51492939630533852</v>
      </c>
      <c r="BP745" s="29">
        <v>0</v>
      </c>
      <c r="BR745" s="22">
        <v>45290</v>
      </c>
      <c r="BS745" s="26">
        <f t="shared" ca="1" si="151"/>
        <v>9.6366138757812525E-2</v>
      </c>
      <c r="BT745" s="29">
        <v>0</v>
      </c>
      <c r="BV745" s="22">
        <v>45290</v>
      </c>
      <c r="BW745" s="26">
        <f t="shared" ca="1" si="152"/>
        <v>3.2244894040263095E-3</v>
      </c>
      <c r="BX745" s="29">
        <v>0</v>
      </c>
    </row>
    <row r="746" spans="2:77" ht="12.75" x14ac:dyDescent="0.2">
      <c r="B746" s="22">
        <v>45291</v>
      </c>
      <c r="C746" s="26">
        <f t="shared" ca="1" si="135"/>
        <v>0.25661439171318323</v>
      </c>
      <c r="D746" s="29">
        <v>0</v>
      </c>
      <c r="E746">
        <v>1376</v>
      </c>
      <c r="F746" s="22"/>
      <c r="G746" s="26">
        <f t="shared" ca="1" si="136"/>
        <v>0.80554418090562052</v>
      </c>
      <c r="H746" s="29">
        <v>0</v>
      </c>
      <c r="J746" s="22">
        <v>45291</v>
      </c>
      <c r="K746" s="26">
        <f t="shared" ca="1" si="137"/>
        <v>0.4154883897987246</v>
      </c>
      <c r="L746" s="29">
        <v>0</v>
      </c>
      <c r="M746">
        <v>2733</v>
      </c>
      <c r="N746" s="22">
        <v>45291</v>
      </c>
      <c r="O746" s="26">
        <f t="shared" ca="1" si="138"/>
        <v>0.79608547996570034</v>
      </c>
      <c r="P746" s="29">
        <v>0</v>
      </c>
      <c r="Q746">
        <v>4078</v>
      </c>
      <c r="R746" s="22">
        <v>45291</v>
      </c>
      <c r="S746" s="26">
        <f t="shared" ca="1" si="139"/>
        <v>0.64327506933764578</v>
      </c>
      <c r="T746" s="29">
        <v>0</v>
      </c>
      <c r="U746">
        <v>2460</v>
      </c>
      <c r="V746" s="22">
        <v>45291</v>
      </c>
      <c r="W746" s="26">
        <f t="shared" ca="1" si="140"/>
        <v>0.67202366844416317</v>
      </c>
      <c r="X746" s="29">
        <v>0</v>
      </c>
      <c r="Y746">
        <v>4083</v>
      </c>
      <c r="Z746" s="22">
        <v>45291</v>
      </c>
      <c r="AA746" s="26">
        <f t="shared" ca="1" si="141"/>
        <v>0.68507556632971367</v>
      </c>
      <c r="AB746" s="29">
        <v>0</v>
      </c>
      <c r="AC746">
        <v>4953</v>
      </c>
      <c r="AD746" s="25"/>
      <c r="AF746" s="22">
        <v>45291</v>
      </c>
      <c r="AG746" s="26">
        <f t="shared" ca="1" si="142"/>
        <v>6.6117601660308889E-2</v>
      </c>
      <c r="AH746" s="29">
        <v>0</v>
      </c>
      <c r="AI746">
        <v>6025</v>
      </c>
      <c r="AJ746" s="22">
        <v>45291</v>
      </c>
      <c r="AK746" s="26">
        <f t="shared" ca="1" si="143"/>
        <v>0.90303309114167063</v>
      </c>
      <c r="AL746" s="29">
        <v>0</v>
      </c>
      <c r="AM746">
        <v>3043</v>
      </c>
      <c r="AN746" s="22">
        <v>45291</v>
      </c>
      <c r="AO746" s="26">
        <f t="shared" ca="1" si="144"/>
        <v>0.96398975517020324</v>
      </c>
      <c r="AP746" s="29">
        <v>0</v>
      </c>
      <c r="AQ746">
        <v>2797</v>
      </c>
      <c r="AR746" s="22">
        <v>45291</v>
      </c>
      <c r="AS746" s="26">
        <f t="shared" ca="1" si="145"/>
        <v>0.42082944365005248</v>
      </c>
      <c r="AT746" s="29">
        <v>0</v>
      </c>
      <c r="AU746">
        <v>4159</v>
      </c>
      <c r="AV746" s="22">
        <v>45291</v>
      </c>
      <c r="AW746" s="26">
        <f t="shared" ca="1" si="146"/>
        <v>6.7893261494883506E-3</v>
      </c>
      <c r="AX746" s="29">
        <v>0</v>
      </c>
      <c r="AY746">
        <v>3422</v>
      </c>
      <c r="AZ746" s="22">
        <v>45291</v>
      </c>
      <c r="BA746" s="26">
        <f t="shared" ca="1" si="147"/>
        <v>0.76409014654190366</v>
      </c>
      <c r="BB746" s="29">
        <v>0</v>
      </c>
      <c r="BC746">
        <v>3509</v>
      </c>
      <c r="BD746" s="25"/>
      <c r="BF746" s="22">
        <v>45291</v>
      </c>
      <c r="BG746" s="26">
        <f t="shared" ca="1" si="148"/>
        <v>0.9589895443137737</v>
      </c>
      <c r="BH746" s="29">
        <v>0</v>
      </c>
      <c r="BI746">
        <v>2893</v>
      </c>
      <c r="BJ746" s="22">
        <v>45291</v>
      </c>
      <c r="BK746" s="26">
        <f t="shared" ca="1" si="149"/>
        <v>0.3074983419354741</v>
      </c>
      <c r="BL746" s="29">
        <v>0</v>
      </c>
      <c r="BM746">
        <v>0</v>
      </c>
      <c r="BN746" s="22">
        <v>45291</v>
      </c>
      <c r="BO746" s="26">
        <f t="shared" ca="1" si="150"/>
        <v>0.36903913245741438</v>
      </c>
      <c r="BP746" s="29">
        <v>0</v>
      </c>
      <c r="BQ746">
        <v>0</v>
      </c>
      <c r="BR746" s="22">
        <v>45291</v>
      </c>
      <c r="BS746" s="26">
        <f t="shared" ca="1" si="151"/>
        <v>0.17070056367887865</v>
      </c>
      <c r="BT746" s="29">
        <v>0</v>
      </c>
      <c r="BU746">
        <v>0</v>
      </c>
      <c r="BV746" s="22">
        <v>45291</v>
      </c>
      <c r="BW746" s="26">
        <f t="shared" ca="1" si="152"/>
        <v>0.80064571303174537</v>
      </c>
      <c r="BX746" s="29">
        <v>0</v>
      </c>
      <c r="BY746">
        <v>0</v>
      </c>
    </row>
    <row r="747" spans="2:77" ht="12.75" x14ac:dyDescent="0.2">
      <c r="B747" s="22">
        <v>45292</v>
      </c>
      <c r="C747" s="26">
        <f t="shared" ca="1" si="135"/>
        <v>0.31864150819762305</v>
      </c>
      <c r="D747" s="29">
        <v>0</v>
      </c>
      <c r="F747" s="22"/>
      <c r="G747" s="26">
        <f t="shared" ca="1" si="136"/>
        <v>0.51359389249271337</v>
      </c>
      <c r="H747" s="29">
        <v>0</v>
      </c>
      <c r="J747" s="22">
        <v>45292</v>
      </c>
      <c r="K747" s="26">
        <f t="shared" ca="1" si="137"/>
        <v>0.86573801943284634</v>
      </c>
      <c r="L747" s="29">
        <v>0</v>
      </c>
      <c r="N747" s="22">
        <v>45292</v>
      </c>
      <c r="O747" s="26">
        <f t="shared" ca="1" si="138"/>
        <v>0.11911070640907351</v>
      </c>
      <c r="P747" s="29">
        <v>0</v>
      </c>
      <c r="R747" s="22">
        <v>45292</v>
      </c>
      <c r="S747" s="26">
        <f t="shared" ca="1" si="139"/>
        <v>0.75885806916150866</v>
      </c>
      <c r="T747" s="29">
        <v>0</v>
      </c>
      <c r="V747" s="22">
        <v>45292</v>
      </c>
      <c r="W747" s="26">
        <f t="shared" ca="1" si="140"/>
        <v>0.47931404140802314</v>
      </c>
      <c r="X747" s="29">
        <v>0</v>
      </c>
      <c r="Z747" s="22">
        <v>45292</v>
      </c>
      <c r="AA747" s="26">
        <f t="shared" ca="1" si="141"/>
        <v>0.14488104787494671</v>
      </c>
      <c r="AB747" s="29">
        <v>0</v>
      </c>
      <c r="AC747"/>
      <c r="AD747" s="25"/>
      <c r="AF747" s="22">
        <v>45292</v>
      </c>
      <c r="AG747" s="26">
        <f t="shared" ca="1" si="142"/>
        <v>0.10867694952040763</v>
      </c>
      <c r="AH747" s="29">
        <v>0</v>
      </c>
      <c r="AJ747" s="22">
        <v>45292</v>
      </c>
      <c r="AK747" s="26">
        <f t="shared" ca="1" si="143"/>
        <v>0.93958384286945207</v>
      </c>
      <c r="AL747" s="29">
        <v>0</v>
      </c>
      <c r="AN747" s="22">
        <v>45292</v>
      </c>
      <c r="AO747" s="26">
        <f t="shared" ca="1" si="144"/>
        <v>1.5626524966509958E-2</v>
      </c>
      <c r="AP747" s="29">
        <v>0</v>
      </c>
      <c r="AR747" s="22">
        <v>45292</v>
      </c>
      <c r="AS747" s="26">
        <f t="shared" ca="1" si="145"/>
        <v>0.9099238204707637</v>
      </c>
      <c r="AT747" s="29">
        <v>0</v>
      </c>
      <c r="AV747" s="22">
        <v>45292</v>
      </c>
      <c r="AW747" s="26">
        <f t="shared" ca="1" si="146"/>
        <v>0.51551580202692204</v>
      </c>
      <c r="AX747" s="29">
        <v>0</v>
      </c>
      <c r="AZ747" s="22">
        <v>45292</v>
      </c>
      <c r="BA747" s="26">
        <f t="shared" ca="1" si="147"/>
        <v>0.55410237578410915</v>
      </c>
      <c r="BB747" s="29">
        <v>0</v>
      </c>
      <c r="BC747"/>
      <c r="BD747" s="25"/>
      <c r="BF747" s="22">
        <v>45292</v>
      </c>
      <c r="BG747" s="26">
        <f t="shared" ca="1" si="148"/>
        <v>0.26542866804344201</v>
      </c>
      <c r="BH747" s="29">
        <v>0</v>
      </c>
      <c r="BJ747" s="22">
        <v>45292</v>
      </c>
      <c r="BK747" s="26">
        <f t="shared" ca="1" si="149"/>
        <v>0.11832843179644603</v>
      </c>
      <c r="BL747" s="29">
        <v>0</v>
      </c>
      <c r="BN747" s="22">
        <v>45292</v>
      </c>
      <c r="BO747" s="26">
        <f t="shared" ca="1" si="150"/>
        <v>0.22226532180164027</v>
      </c>
      <c r="BP747" s="29">
        <v>0</v>
      </c>
      <c r="BR747" s="22">
        <v>45292</v>
      </c>
      <c r="BS747" s="26">
        <f t="shared" ca="1" si="151"/>
        <v>0.15153812902754926</v>
      </c>
      <c r="BT747" s="29">
        <v>0</v>
      </c>
      <c r="BV747" s="22">
        <v>45292</v>
      </c>
      <c r="BW747" s="26">
        <f t="shared" ca="1" si="152"/>
        <v>0.58185355253671656</v>
      </c>
      <c r="BX747" s="29">
        <v>0</v>
      </c>
    </row>
    <row r="748" spans="2:77" ht="12.75" x14ac:dyDescent="0.2">
      <c r="B748" s="22">
        <v>45293</v>
      </c>
      <c r="C748" s="26">
        <f t="shared" ca="1" si="135"/>
        <v>0.93103894777661445</v>
      </c>
      <c r="D748" s="29">
        <v>0</v>
      </c>
      <c r="F748" s="22"/>
      <c r="G748" s="26">
        <f t="shared" ca="1" si="136"/>
        <v>0.25671336649824272</v>
      </c>
      <c r="H748" s="29">
        <v>0</v>
      </c>
      <c r="J748" s="22">
        <v>45293</v>
      </c>
      <c r="K748" s="26">
        <f t="shared" ca="1" si="137"/>
        <v>0.60401562880895998</v>
      </c>
      <c r="L748" s="29">
        <v>0</v>
      </c>
      <c r="N748" s="22">
        <v>45293</v>
      </c>
      <c r="O748" s="26">
        <f t="shared" ca="1" si="138"/>
        <v>0.43010467369024985</v>
      </c>
      <c r="P748" s="29">
        <v>0</v>
      </c>
      <c r="R748" s="22">
        <v>45293</v>
      </c>
      <c r="S748" s="26">
        <f t="shared" ca="1" si="139"/>
        <v>0.33862629314810111</v>
      </c>
      <c r="T748" s="29">
        <v>0</v>
      </c>
      <c r="V748" s="22">
        <v>45293</v>
      </c>
      <c r="W748" s="26">
        <f t="shared" ca="1" si="140"/>
        <v>0.49259281851230574</v>
      </c>
      <c r="X748" s="29">
        <v>0</v>
      </c>
      <c r="Z748" s="22">
        <v>45293</v>
      </c>
      <c r="AA748" s="26">
        <f t="shared" ca="1" si="141"/>
        <v>0.77306418457849313</v>
      </c>
      <c r="AB748" s="29">
        <v>0</v>
      </c>
      <c r="AC748"/>
      <c r="AD748" s="25"/>
      <c r="AF748" s="22">
        <v>45293</v>
      </c>
      <c r="AG748" s="26">
        <f t="shared" ca="1" si="142"/>
        <v>0.92976677934813168</v>
      </c>
      <c r="AH748" s="29">
        <v>0</v>
      </c>
      <c r="AJ748" s="22">
        <v>45293</v>
      </c>
      <c r="AK748" s="26">
        <f t="shared" ca="1" si="143"/>
        <v>0.46075279624823429</v>
      </c>
      <c r="AL748" s="29">
        <v>0</v>
      </c>
      <c r="AN748" s="22">
        <v>45293</v>
      </c>
      <c r="AO748" s="26">
        <f t="shared" ca="1" si="144"/>
        <v>0.44785747691123334</v>
      </c>
      <c r="AP748" s="29">
        <v>0</v>
      </c>
      <c r="AR748" s="22">
        <v>45293</v>
      </c>
      <c r="AS748" s="26">
        <f t="shared" ca="1" si="145"/>
        <v>0.9822847003055758</v>
      </c>
      <c r="AT748" s="29">
        <v>0</v>
      </c>
      <c r="AV748" s="22">
        <v>45293</v>
      </c>
      <c r="AW748" s="26">
        <f t="shared" ca="1" si="146"/>
        <v>0.15710257172753261</v>
      </c>
      <c r="AX748" s="29">
        <v>0</v>
      </c>
      <c r="AZ748" s="22">
        <v>45293</v>
      </c>
      <c r="BA748" s="26">
        <f t="shared" ca="1" si="147"/>
        <v>0.25355384692046923</v>
      </c>
      <c r="BB748" s="29">
        <v>0</v>
      </c>
      <c r="BC748"/>
      <c r="BD748" s="25"/>
      <c r="BF748" s="22">
        <v>45293</v>
      </c>
      <c r="BG748" s="26">
        <f t="shared" ca="1" si="148"/>
        <v>0.44213294200802611</v>
      </c>
      <c r="BH748" s="29">
        <v>0</v>
      </c>
      <c r="BJ748" s="22">
        <v>45293</v>
      </c>
      <c r="BK748" s="26">
        <f t="shared" ca="1" si="149"/>
        <v>0.5113012101106249</v>
      </c>
      <c r="BL748" s="29">
        <v>0</v>
      </c>
      <c r="BN748" s="22">
        <v>45293</v>
      </c>
      <c r="BO748" s="26">
        <f t="shared" ca="1" si="150"/>
        <v>0.21404726160777476</v>
      </c>
      <c r="BP748" s="29">
        <v>0</v>
      </c>
      <c r="BR748" s="22">
        <v>45293</v>
      </c>
      <c r="BS748" s="26">
        <f t="shared" ca="1" si="151"/>
        <v>0.98753083912874184</v>
      </c>
      <c r="BT748" s="29">
        <v>0</v>
      </c>
      <c r="BV748" s="22">
        <v>45293</v>
      </c>
      <c r="BW748" s="26">
        <f t="shared" ca="1" si="152"/>
        <v>0.55112913017142373</v>
      </c>
      <c r="BX748" s="29">
        <v>0</v>
      </c>
    </row>
    <row r="749" spans="2:77" ht="12.75" x14ac:dyDescent="0.2">
      <c r="B749" s="22">
        <v>45294</v>
      </c>
      <c r="C749" s="26">
        <f t="shared" ca="1" si="135"/>
        <v>0.94281066616743914</v>
      </c>
      <c r="D749" s="29">
        <v>0</v>
      </c>
      <c r="F749" s="22"/>
      <c r="G749" s="26">
        <f t="shared" ca="1" si="136"/>
        <v>0.11492842171337703</v>
      </c>
      <c r="H749" s="29">
        <v>0</v>
      </c>
      <c r="J749" s="22">
        <v>45294</v>
      </c>
      <c r="K749" s="26">
        <f t="shared" ca="1" si="137"/>
        <v>0.75805236051278757</v>
      </c>
      <c r="L749" s="29">
        <v>0</v>
      </c>
      <c r="N749" s="22">
        <v>45294</v>
      </c>
      <c r="O749" s="26">
        <f t="shared" ca="1" si="138"/>
        <v>0.13020828339036683</v>
      </c>
      <c r="P749" s="29">
        <v>0</v>
      </c>
      <c r="R749" s="22">
        <v>45294</v>
      </c>
      <c r="S749" s="26">
        <f t="shared" ca="1" si="139"/>
        <v>0.28449020466530794</v>
      </c>
      <c r="T749" s="29">
        <v>0</v>
      </c>
      <c r="V749" s="22">
        <v>45294</v>
      </c>
      <c r="W749" s="26">
        <f t="shared" ca="1" si="140"/>
        <v>0.49781730685631942</v>
      </c>
      <c r="X749" s="29">
        <v>0</v>
      </c>
      <c r="Z749" s="22">
        <v>45294</v>
      </c>
      <c r="AA749" s="26">
        <f t="shared" ca="1" si="141"/>
        <v>0.22989301855169098</v>
      </c>
      <c r="AB749" s="29">
        <v>0</v>
      </c>
      <c r="AC749"/>
      <c r="AD749" s="25"/>
      <c r="AF749" s="22">
        <v>45294</v>
      </c>
      <c r="AG749" s="26">
        <f t="shared" ca="1" si="142"/>
        <v>0.59747899511010549</v>
      </c>
      <c r="AH749" s="29">
        <v>0</v>
      </c>
      <c r="AJ749" s="22">
        <v>45294</v>
      </c>
      <c r="AK749" s="26">
        <f t="shared" ca="1" si="143"/>
        <v>0.40116749700930376</v>
      </c>
      <c r="AL749" s="29">
        <v>0</v>
      </c>
      <c r="AN749" s="22">
        <v>45294</v>
      </c>
      <c r="AO749" s="26">
        <f t="shared" ca="1" si="144"/>
        <v>0.95789260947760468</v>
      </c>
      <c r="AP749" s="29">
        <v>0</v>
      </c>
      <c r="AR749" s="22">
        <v>45294</v>
      </c>
      <c r="AS749" s="26">
        <f t="shared" ca="1" si="145"/>
        <v>0.27522553916478698</v>
      </c>
      <c r="AT749" s="29">
        <v>0</v>
      </c>
      <c r="AV749" s="22">
        <v>45294</v>
      </c>
      <c r="AW749" s="26">
        <f t="shared" ca="1" si="146"/>
        <v>0.29209135442854373</v>
      </c>
      <c r="AX749" s="29">
        <v>0</v>
      </c>
      <c r="AZ749" s="22">
        <v>45294</v>
      </c>
      <c r="BA749" s="26">
        <f t="shared" ca="1" si="147"/>
        <v>0.70927983701423136</v>
      </c>
      <c r="BB749" s="29">
        <v>0</v>
      </c>
      <c r="BC749"/>
      <c r="BD749" s="25"/>
      <c r="BF749" s="22">
        <v>45294</v>
      </c>
      <c r="BG749" s="26">
        <f t="shared" ca="1" si="148"/>
        <v>0.56334377924142243</v>
      </c>
      <c r="BH749" s="29">
        <v>0</v>
      </c>
      <c r="BJ749" s="22">
        <v>45294</v>
      </c>
      <c r="BK749" s="26">
        <f t="shared" ca="1" si="149"/>
        <v>0.47154453289790643</v>
      </c>
      <c r="BL749" s="29">
        <v>0</v>
      </c>
      <c r="BN749" s="22">
        <v>45294</v>
      </c>
      <c r="BO749" s="26">
        <f t="shared" ca="1" si="150"/>
        <v>0.37600810403271823</v>
      </c>
      <c r="BP749" s="29">
        <v>0</v>
      </c>
      <c r="BR749" s="22">
        <v>45294</v>
      </c>
      <c r="BS749" s="26">
        <f t="shared" ca="1" si="151"/>
        <v>0.95510774358956596</v>
      </c>
      <c r="BT749" s="29">
        <v>0</v>
      </c>
      <c r="BV749" s="22">
        <v>45294</v>
      </c>
      <c r="BW749" s="26">
        <f t="shared" ca="1" si="152"/>
        <v>0.47874876039986014</v>
      </c>
      <c r="BX749" s="29">
        <v>0</v>
      </c>
    </row>
    <row r="750" spans="2:77" ht="12.75" x14ac:dyDescent="0.2">
      <c r="B750" s="22">
        <v>45295</v>
      </c>
      <c r="C750" s="26">
        <f t="shared" ca="1" si="135"/>
        <v>0.77103051223701247</v>
      </c>
      <c r="D750" s="29">
        <f t="shared" ca="1" si="134"/>
        <v>90</v>
      </c>
      <c r="F750" s="22"/>
      <c r="G750" s="26">
        <f t="shared" ca="1" si="136"/>
        <v>1.4844862018382532E-2</v>
      </c>
      <c r="H750" s="29">
        <f t="shared" ca="1" si="121"/>
        <v>185</v>
      </c>
      <c r="J750" s="22">
        <v>45295</v>
      </c>
      <c r="K750" s="26">
        <f t="shared" ca="1" si="137"/>
        <v>0.42950640161037579</v>
      </c>
      <c r="L750" s="29">
        <f t="shared" ca="1" si="122"/>
        <v>149</v>
      </c>
      <c r="N750" s="22">
        <v>45295</v>
      </c>
      <c r="O750" s="26">
        <f t="shared" ca="1" si="138"/>
        <v>0.70021896123442673</v>
      </c>
      <c r="P750" s="29">
        <f t="shared" ca="1" si="123"/>
        <v>238</v>
      </c>
      <c r="R750" s="22">
        <v>45295</v>
      </c>
      <c r="S750" s="26">
        <f t="shared" ca="1" si="139"/>
        <v>0.43452606637712488</v>
      </c>
      <c r="T750" s="29">
        <f t="shared" ca="1" si="124"/>
        <v>138</v>
      </c>
      <c r="V750" s="22">
        <v>45295</v>
      </c>
      <c r="W750" s="26">
        <f t="shared" ca="1" si="140"/>
        <v>0.26045651093926214</v>
      </c>
      <c r="X750" s="29">
        <f t="shared" ca="1" si="125"/>
        <v>216</v>
      </c>
      <c r="Z750" s="22">
        <v>45295</v>
      </c>
      <c r="AA750" s="26">
        <f t="shared" ca="1" si="141"/>
        <v>0.63575081764068919</v>
      </c>
      <c r="AB750" s="29">
        <f t="shared" ca="1" si="126"/>
        <v>277</v>
      </c>
      <c r="AC750"/>
      <c r="AD750" s="25"/>
      <c r="AF750" s="22">
        <v>45295</v>
      </c>
      <c r="AG750" s="26">
        <f t="shared" ca="1" si="142"/>
        <v>0.7426793931624216</v>
      </c>
      <c r="AH750" s="29">
        <f t="shared" ca="1" si="127"/>
        <v>384</v>
      </c>
      <c r="AJ750" s="22">
        <v>45295</v>
      </c>
      <c r="AK750" s="26">
        <f t="shared" ca="1" si="143"/>
        <v>0.11566500760723286</v>
      </c>
      <c r="AL750" s="29">
        <f t="shared" ca="1" si="128"/>
        <v>117</v>
      </c>
      <c r="AN750" s="22">
        <v>45295</v>
      </c>
      <c r="AO750" s="26">
        <f t="shared" ca="1" si="144"/>
        <v>0.29586496877595136</v>
      </c>
      <c r="AP750" s="29">
        <f t="shared" ca="1" si="129"/>
        <v>199</v>
      </c>
      <c r="AR750" s="22">
        <v>45295</v>
      </c>
      <c r="AS750" s="26">
        <f t="shared" ca="1" si="145"/>
        <v>0.54494173342174235</v>
      </c>
      <c r="AT750" s="29">
        <f t="shared" ca="1" si="130"/>
        <v>204</v>
      </c>
      <c r="AV750" s="22">
        <v>45295</v>
      </c>
      <c r="AW750" s="26">
        <f t="shared" ca="1" si="146"/>
        <v>0.31802224684593094</v>
      </c>
      <c r="AX750" s="29">
        <f t="shared" ca="1" si="131"/>
        <v>180</v>
      </c>
      <c r="AZ750" s="22">
        <v>45295</v>
      </c>
      <c r="BA750" s="26">
        <f t="shared" ca="1" si="147"/>
        <v>0.86727108768314887</v>
      </c>
      <c r="BB750" s="29">
        <f t="shared" ca="1" si="132"/>
        <v>303</v>
      </c>
      <c r="BC750"/>
      <c r="BD750" s="25"/>
      <c r="BF750" s="22">
        <v>45295</v>
      </c>
      <c r="BG750" s="26">
        <f t="shared" ca="1" si="148"/>
        <v>5.826827792756728E-2</v>
      </c>
      <c r="BH750" s="29">
        <f t="shared" ca="1" si="133"/>
        <v>117</v>
      </c>
      <c r="BJ750" s="22">
        <v>45295</v>
      </c>
      <c r="BK750" s="26">
        <f t="shared" ca="1" si="149"/>
        <v>0.56763163514425763</v>
      </c>
      <c r="BL750" s="29">
        <f t="shared" ref="BL750:BL752" ca="1" si="153">ROUNDUP(_xlfn.NORM.INV(BK750,BK$10,BK$12),0)</f>
        <v>177</v>
      </c>
      <c r="BN750" s="22">
        <v>45295</v>
      </c>
      <c r="BO750" s="26">
        <f t="shared" ca="1" si="150"/>
        <v>0.3242040956920893</v>
      </c>
      <c r="BP750" s="29">
        <v>0</v>
      </c>
      <c r="BR750" s="22">
        <v>45295</v>
      </c>
      <c r="BS750" s="26">
        <f t="shared" ca="1" si="151"/>
        <v>0.65868315844159098</v>
      </c>
      <c r="BT750" s="29">
        <v>0</v>
      </c>
      <c r="BV750" s="22">
        <v>45295</v>
      </c>
      <c r="BW750" s="26">
        <f t="shared" ca="1" si="152"/>
        <v>0.99326738741916354</v>
      </c>
      <c r="BX750" s="29">
        <v>0</v>
      </c>
    </row>
    <row r="751" spans="2:77" ht="12.75" x14ac:dyDescent="0.2">
      <c r="B751" s="22">
        <v>45296</v>
      </c>
      <c r="C751" s="26">
        <f t="shared" ca="1" si="135"/>
        <v>0.45419942758620124</v>
      </c>
      <c r="D751" s="29">
        <f t="shared" ca="1" si="134"/>
        <v>73</v>
      </c>
      <c r="F751" s="22"/>
      <c r="G751" s="26">
        <f t="shared" ca="1" si="136"/>
        <v>0.8138843844425504</v>
      </c>
      <c r="H751" s="29">
        <f t="shared" ca="1" si="121"/>
        <v>229</v>
      </c>
      <c r="J751" s="22">
        <v>45296</v>
      </c>
      <c r="K751" s="26">
        <f t="shared" ca="1" si="137"/>
        <v>0.89614082127070227</v>
      </c>
      <c r="L751" s="29">
        <f t="shared" ca="1" si="122"/>
        <v>163</v>
      </c>
      <c r="N751" s="22">
        <v>45296</v>
      </c>
      <c r="O751" s="26">
        <f t="shared" ca="1" si="138"/>
        <v>0.83753469795397695</v>
      </c>
      <c r="P751" s="29">
        <f t="shared" ca="1" si="123"/>
        <v>245</v>
      </c>
      <c r="R751" s="22">
        <v>45296</v>
      </c>
      <c r="S751" s="26">
        <f t="shared" ca="1" si="139"/>
        <v>0.67597523477896004</v>
      </c>
      <c r="T751" s="29">
        <f t="shared" ca="1" si="124"/>
        <v>143</v>
      </c>
      <c r="V751" s="22">
        <v>45296</v>
      </c>
      <c r="W751" s="26">
        <f t="shared" ca="1" si="140"/>
        <v>0.56749432212250128</v>
      </c>
      <c r="X751" s="29">
        <f t="shared" ca="1" si="125"/>
        <v>228</v>
      </c>
      <c r="Z751" s="22">
        <v>45296</v>
      </c>
      <c r="AA751" s="26">
        <f t="shared" ca="1" si="141"/>
        <v>0.33860246080043555</v>
      </c>
      <c r="AB751" s="29">
        <f t="shared" ca="1" si="126"/>
        <v>263</v>
      </c>
      <c r="AC751"/>
      <c r="AD751" s="25"/>
      <c r="AF751" s="22">
        <v>45296</v>
      </c>
      <c r="AG751" s="26">
        <f t="shared" ca="1" si="142"/>
        <v>0.869121448703287</v>
      </c>
      <c r="AH751" s="29">
        <f t="shared" ca="1" si="127"/>
        <v>425</v>
      </c>
      <c r="AJ751" s="22">
        <v>45296</v>
      </c>
      <c r="AK751" s="26">
        <f t="shared" ca="1" si="143"/>
        <v>0.2672448866180116</v>
      </c>
      <c r="AL751" s="29">
        <f t="shared" ca="1" si="128"/>
        <v>143</v>
      </c>
      <c r="AN751" s="22">
        <v>45296</v>
      </c>
      <c r="AO751" s="26">
        <f t="shared" ca="1" si="144"/>
        <v>0.99876424699324373</v>
      </c>
      <c r="AP751" s="29">
        <f t="shared" ca="1" si="129"/>
        <v>420</v>
      </c>
      <c r="AR751" s="22">
        <v>45296</v>
      </c>
      <c r="AS751" s="26">
        <f t="shared" ca="1" si="145"/>
        <v>0.6015457724630251</v>
      </c>
      <c r="AT751" s="29">
        <f t="shared" ca="1" si="130"/>
        <v>212</v>
      </c>
      <c r="AV751" s="22">
        <v>45296</v>
      </c>
      <c r="AW751" s="26">
        <f t="shared" ca="1" si="146"/>
        <v>6.4639035948190426E-2</v>
      </c>
      <c r="AX751" s="29">
        <f t="shared" ca="1" si="131"/>
        <v>123</v>
      </c>
      <c r="AZ751" s="22">
        <v>45296</v>
      </c>
      <c r="BA751" s="26">
        <f t="shared" ca="1" si="147"/>
        <v>0.45546390816260329</v>
      </c>
      <c r="BB751" s="29">
        <f t="shared" ca="1" si="132"/>
        <v>227</v>
      </c>
      <c r="BC751"/>
      <c r="BD751" s="25"/>
      <c r="BF751" s="22">
        <v>45296</v>
      </c>
      <c r="BG751" s="26">
        <f t="shared" ca="1" si="148"/>
        <v>0.10535179980389653</v>
      </c>
      <c r="BH751" s="29">
        <f t="shared" ca="1" si="133"/>
        <v>134</v>
      </c>
      <c r="BJ751" s="22">
        <v>45296</v>
      </c>
      <c r="BK751" s="26">
        <f t="shared" ca="1" si="149"/>
        <v>0.21528331835461079</v>
      </c>
      <c r="BL751" s="29">
        <f t="shared" ca="1" si="153"/>
        <v>134</v>
      </c>
      <c r="BN751" s="22">
        <v>45296</v>
      </c>
      <c r="BO751" s="26">
        <f t="shared" ca="1" si="150"/>
        <v>0.84364151051384484</v>
      </c>
      <c r="BP751" s="29">
        <v>0</v>
      </c>
      <c r="BR751" s="22">
        <v>45296</v>
      </c>
      <c r="BS751" s="26">
        <f t="shared" ca="1" si="151"/>
        <v>0.33174251840855373</v>
      </c>
      <c r="BT751" s="29">
        <v>0</v>
      </c>
      <c r="BV751" s="22">
        <v>45296</v>
      </c>
      <c r="BW751" s="26">
        <f t="shared" ca="1" si="152"/>
        <v>0.67574461789805229</v>
      </c>
      <c r="BX751" s="29">
        <v>0</v>
      </c>
    </row>
    <row r="752" spans="2:77" ht="12.75" x14ac:dyDescent="0.2">
      <c r="B752" s="22">
        <v>45297</v>
      </c>
      <c r="C752" s="26">
        <f t="shared" ca="1" si="135"/>
        <v>4.0736970089015667E-2</v>
      </c>
      <c r="D752" s="29">
        <f t="shared" ca="1" si="134"/>
        <v>41</v>
      </c>
      <c r="F752" s="22"/>
      <c r="G752" s="26">
        <f t="shared" ca="1" si="136"/>
        <v>0.7946667892154885</v>
      </c>
      <c r="H752" s="29">
        <f t="shared" ca="1" si="121"/>
        <v>228</v>
      </c>
      <c r="J752" s="22">
        <v>45297</v>
      </c>
      <c r="K752" s="26">
        <f t="shared" ca="1" si="137"/>
        <v>0.24546106803670698</v>
      </c>
      <c r="L752" s="29">
        <f t="shared" ca="1" si="122"/>
        <v>144</v>
      </c>
      <c r="N752" s="22">
        <v>45297</v>
      </c>
      <c r="O752" s="26">
        <f t="shared" ca="1" si="138"/>
        <v>7.9731252149104814E-2</v>
      </c>
      <c r="P752" s="29">
        <f t="shared" ca="1" si="123"/>
        <v>208</v>
      </c>
      <c r="R752" s="22">
        <v>45297</v>
      </c>
      <c r="S752" s="26">
        <f t="shared" ca="1" si="139"/>
        <v>0.28182777581446528</v>
      </c>
      <c r="T752" s="29">
        <f t="shared" ca="1" si="124"/>
        <v>134</v>
      </c>
      <c r="V752" s="22">
        <v>45297</v>
      </c>
      <c r="W752" s="26">
        <f t="shared" ca="1" si="140"/>
        <v>0.86000719132600389</v>
      </c>
      <c r="X752" s="29">
        <f t="shared" ca="1" si="125"/>
        <v>242</v>
      </c>
      <c r="Z752" s="22">
        <v>45297</v>
      </c>
      <c r="AA752" s="26">
        <f t="shared" ca="1" si="141"/>
        <v>2.747323892361242E-2</v>
      </c>
      <c r="AB752" s="29">
        <f t="shared" ca="1" si="126"/>
        <v>236</v>
      </c>
      <c r="AC752"/>
      <c r="AD752" s="25"/>
      <c r="AF752" s="22">
        <v>45297</v>
      </c>
      <c r="AG752" s="26">
        <f t="shared" ca="1" si="142"/>
        <v>0.43069058772270286</v>
      </c>
      <c r="AH752" s="29">
        <f t="shared" ca="1" si="127"/>
        <v>312</v>
      </c>
      <c r="AJ752" s="22">
        <v>45297</v>
      </c>
      <c r="AK752" s="26">
        <f t="shared" ca="1" si="143"/>
        <v>0.1009451355220522</v>
      </c>
      <c r="AL752" s="29">
        <f t="shared" ca="1" si="128"/>
        <v>113</v>
      </c>
      <c r="AN752" s="22">
        <v>45297</v>
      </c>
      <c r="AO752" s="26">
        <f t="shared" ca="1" si="144"/>
        <v>0.78040163646119487</v>
      </c>
      <c r="AP752" s="29">
        <f t="shared" ca="1" si="129"/>
        <v>280</v>
      </c>
      <c r="AR752" s="22">
        <v>45297</v>
      </c>
      <c r="AS752" s="26">
        <f t="shared" ca="1" si="145"/>
        <v>0.44752013277820557</v>
      </c>
      <c r="AT752" s="29">
        <f t="shared" ca="1" si="130"/>
        <v>192</v>
      </c>
      <c r="AV752" s="22">
        <v>45297</v>
      </c>
      <c r="AW752" s="26">
        <f t="shared" ca="1" si="146"/>
        <v>0.48587104352553967</v>
      </c>
      <c r="AX752" s="29">
        <f t="shared" ca="1" si="131"/>
        <v>204</v>
      </c>
      <c r="AZ752" s="22">
        <v>45297</v>
      </c>
      <c r="BA752" s="26">
        <f t="shared" ca="1" si="147"/>
        <v>0.28295323358711733</v>
      </c>
      <c r="BB752" s="29">
        <f t="shared" ca="1" si="132"/>
        <v>198</v>
      </c>
      <c r="BC752"/>
      <c r="BD752" s="25"/>
      <c r="BF752" s="22">
        <v>45297</v>
      </c>
      <c r="BG752" s="26">
        <f t="shared" ca="1" si="148"/>
        <v>0.19584444229199582</v>
      </c>
      <c r="BH752" s="29">
        <f t="shared" ca="1" si="133"/>
        <v>155</v>
      </c>
      <c r="BJ752" s="22">
        <v>45297</v>
      </c>
      <c r="BK752" s="26">
        <f t="shared" ca="1" si="149"/>
        <v>0.8691400555415445</v>
      </c>
      <c r="BL752" s="29">
        <f t="shared" ca="1" si="153"/>
        <v>220</v>
      </c>
      <c r="BN752" s="22">
        <v>45297</v>
      </c>
      <c r="BO752" s="26">
        <f t="shared" ca="1" si="150"/>
        <v>0.39348082284223862</v>
      </c>
      <c r="BP752" s="29">
        <v>0</v>
      </c>
      <c r="BR752" s="22">
        <v>45297</v>
      </c>
      <c r="BS752" s="26">
        <f t="shared" ca="1" si="151"/>
        <v>0.83405389793216489</v>
      </c>
      <c r="BT752" s="29">
        <v>0</v>
      </c>
      <c r="BV752" s="22">
        <v>45297</v>
      </c>
      <c r="BW752" s="26">
        <f t="shared" ca="1" si="152"/>
        <v>0.25951352396537175</v>
      </c>
      <c r="BX752" s="29">
        <v>0</v>
      </c>
    </row>
    <row r="753" spans="2:76" ht="12.75" x14ac:dyDescent="0.2">
      <c r="B753" s="22">
        <v>45298</v>
      </c>
      <c r="C753" s="26">
        <f t="shared" ca="1" si="135"/>
        <v>0.16903477716547144</v>
      </c>
      <c r="D753" s="29">
        <f t="shared" ca="1" si="134"/>
        <v>56</v>
      </c>
      <c r="F753" s="22"/>
      <c r="G753" s="26">
        <f t="shared" ca="1" si="136"/>
        <v>0.54901973023209205</v>
      </c>
      <c r="H753" s="29">
        <f t="shared" ref="H753:H782" ca="1" si="154">ROUNDUP(_xlfn.NORM.INV(G753,G$10,G$12),0)</f>
        <v>218</v>
      </c>
      <c r="J753" s="22">
        <v>45298</v>
      </c>
      <c r="K753" s="26">
        <f t="shared" ca="1" si="137"/>
        <v>0.71300758174998857</v>
      </c>
      <c r="L753" s="29">
        <f t="shared" ref="L753:L782" ca="1" si="155">ROUNDUP(_xlfn.NORM.INV(K753,K$10,K$12),0)</f>
        <v>156</v>
      </c>
      <c r="N753" s="22">
        <v>45298</v>
      </c>
      <c r="O753" s="26">
        <f t="shared" ca="1" si="138"/>
        <v>0.93943831068004791</v>
      </c>
      <c r="P753" s="29">
        <f t="shared" ref="P753:P782" ca="1" si="156">ROUNDUP(_xlfn.NORM.INV(O753,O$10,O$12),0)</f>
        <v>254</v>
      </c>
      <c r="R753" s="22">
        <v>45298</v>
      </c>
      <c r="S753" s="26">
        <f t="shared" ca="1" si="139"/>
        <v>0.44094676147415468</v>
      </c>
      <c r="T753" s="29">
        <f t="shared" ref="T753:T782" ca="1" si="157">ROUNDUP(_xlfn.NORM.INV(S753,S$10,S$12),0)</f>
        <v>138</v>
      </c>
      <c r="V753" s="22">
        <v>45298</v>
      </c>
      <c r="W753" s="26">
        <f t="shared" ca="1" si="140"/>
        <v>0.13868762945107382</v>
      </c>
      <c r="X753" s="29">
        <f t="shared" ref="X753:X782" ca="1" si="158">ROUNDUP(_xlfn.NORM.INV(W753,W$10,W$12),0)</f>
        <v>209</v>
      </c>
      <c r="Z753" s="22">
        <v>45298</v>
      </c>
      <c r="AA753" s="26">
        <f t="shared" ca="1" si="141"/>
        <v>0.26968421079554827</v>
      </c>
      <c r="AB753" s="29">
        <f t="shared" ref="AB753:AB782" ca="1" si="159">ROUNDUP(_xlfn.NORM.INV(AA753,AA$10,AA$12),0)</f>
        <v>259</v>
      </c>
      <c r="AC753"/>
      <c r="AD753" s="25"/>
      <c r="AF753" s="22">
        <v>45298</v>
      </c>
      <c r="AG753" s="26">
        <f t="shared" ca="1" si="142"/>
        <v>0.21526222397601069</v>
      </c>
      <c r="AH753" s="29">
        <f t="shared" ref="AH753:AH782" ca="1" si="160">ROUNDUP(_xlfn.NORM.INV(AG753,AG$10,AG$12),0)</f>
        <v>259</v>
      </c>
      <c r="AJ753" s="22">
        <v>45298</v>
      </c>
      <c r="AK753" s="26">
        <f t="shared" ca="1" si="143"/>
        <v>0.72664215622987094</v>
      </c>
      <c r="AL753" s="29">
        <f t="shared" ref="AL753:AL782" ca="1" si="161">ROUNDUP(_xlfn.NORM.INV(AK753,AK$10,AK$12),0)</f>
        <v>198</v>
      </c>
      <c r="AN753" s="22">
        <v>45298</v>
      </c>
      <c r="AO753" s="26">
        <f t="shared" ca="1" si="144"/>
        <v>0.99043546013907247</v>
      </c>
      <c r="AP753" s="29">
        <f t="shared" ref="AP753:AP782" ca="1" si="162">ROUNDUP(_xlfn.NORM.INV(AO753,AO$10,AO$12),0)</f>
        <v>378</v>
      </c>
      <c r="AR753" s="22">
        <v>45298</v>
      </c>
      <c r="AS753" s="26">
        <f t="shared" ca="1" si="145"/>
        <v>0.36152962445495429</v>
      </c>
      <c r="AT753" s="29">
        <f t="shared" ref="AT753:AT782" ca="1" si="163">ROUNDUP(_xlfn.NORM.INV(AS753,AS$10,AS$12),0)</f>
        <v>180</v>
      </c>
      <c r="AV753" s="22">
        <v>45298</v>
      </c>
      <c r="AW753" s="26">
        <f t="shared" ca="1" si="146"/>
        <v>0.49069688320066007</v>
      </c>
      <c r="AX753" s="29">
        <f t="shared" ref="AX753:AX782" ca="1" si="164">ROUNDUP(_xlfn.NORM.INV(AW753,AW$10,AW$12),0)</f>
        <v>205</v>
      </c>
      <c r="AZ753" s="22">
        <v>45298</v>
      </c>
      <c r="BA753" s="26">
        <f t="shared" ca="1" si="147"/>
        <v>0.56555271832139509</v>
      </c>
      <c r="BB753" s="29">
        <f t="shared" ref="BB753:BB782" ca="1" si="165">ROUNDUP(_xlfn.NORM.INV(BA753,BA$10,BA$12),0)</f>
        <v>244</v>
      </c>
      <c r="BC753"/>
      <c r="BD753" s="25"/>
      <c r="BF753" s="22">
        <v>45298</v>
      </c>
      <c r="BG753" s="26">
        <f t="shared" ca="1" si="148"/>
        <v>0.45701865732640545</v>
      </c>
      <c r="BH753" s="29">
        <f t="shared" ref="BH753:BH782" ca="1" si="166">ROUNDUP(_xlfn.NORM.INV(BG753,BG$10,BG$12),0)</f>
        <v>195</v>
      </c>
      <c r="BJ753" s="22">
        <v>45298</v>
      </c>
      <c r="BK753" s="26">
        <f t="shared" ca="1" si="149"/>
        <v>0.53483198175636826</v>
      </c>
      <c r="BL753" s="29">
        <f t="shared" ref="BL753:BL782" ca="1" si="167">ROUNDUP(_xlfn.NORM.INV(BK753,BK$10,BK$12),0)</f>
        <v>173</v>
      </c>
      <c r="BN753" s="22">
        <v>45298</v>
      </c>
      <c r="BO753" s="26">
        <f t="shared" ca="1" si="150"/>
        <v>0.50483322306833567</v>
      </c>
      <c r="BP753" s="29">
        <v>0</v>
      </c>
      <c r="BR753" s="22">
        <v>45298</v>
      </c>
      <c r="BS753" s="26">
        <f t="shared" ca="1" si="151"/>
        <v>8.4687722756721984E-2</v>
      </c>
      <c r="BT753" s="29">
        <v>0</v>
      </c>
      <c r="BV753" s="22">
        <v>45298</v>
      </c>
      <c r="BW753" s="26">
        <f t="shared" ca="1" si="152"/>
        <v>0.29779058241107204</v>
      </c>
      <c r="BX753" s="29">
        <v>0</v>
      </c>
    </row>
    <row r="754" spans="2:76" ht="12.75" x14ac:dyDescent="0.2">
      <c r="B754" s="22">
        <v>45299</v>
      </c>
      <c r="C754" s="26">
        <f t="shared" ca="1" si="135"/>
        <v>0.95772280716899116</v>
      </c>
      <c r="D754" s="29">
        <f t="shared" ca="1" si="134"/>
        <v>110</v>
      </c>
      <c r="F754" s="22"/>
      <c r="G754" s="26">
        <f t="shared" ca="1" si="136"/>
        <v>0.61705669424174237</v>
      </c>
      <c r="H754" s="29">
        <f t="shared" ca="1" si="154"/>
        <v>220</v>
      </c>
      <c r="J754" s="22">
        <v>45299</v>
      </c>
      <c r="K754" s="26">
        <f t="shared" ca="1" si="137"/>
        <v>0.33383796029424373</v>
      </c>
      <c r="L754" s="29">
        <f t="shared" ca="1" si="155"/>
        <v>146</v>
      </c>
      <c r="N754" s="22">
        <v>45299</v>
      </c>
      <c r="O754" s="26">
        <f t="shared" ca="1" si="138"/>
        <v>0.53119626883732352</v>
      </c>
      <c r="P754" s="29">
        <f t="shared" ca="1" si="156"/>
        <v>231</v>
      </c>
      <c r="R754" s="22">
        <v>45299</v>
      </c>
      <c r="S754" s="26">
        <f t="shared" ca="1" si="139"/>
        <v>0.7189465284745824</v>
      </c>
      <c r="T754" s="29">
        <f t="shared" ca="1" si="157"/>
        <v>145</v>
      </c>
      <c r="V754" s="22">
        <v>45299</v>
      </c>
      <c r="W754" s="26">
        <f t="shared" ca="1" si="140"/>
        <v>0.16496577759498143</v>
      </c>
      <c r="X754" s="29">
        <f t="shared" ca="1" si="158"/>
        <v>211</v>
      </c>
      <c r="Z754" s="22">
        <v>45299</v>
      </c>
      <c r="AA754" s="26">
        <f t="shared" ca="1" si="141"/>
        <v>7.5543065376502239E-2</v>
      </c>
      <c r="AB754" s="29">
        <f t="shared" ca="1" si="159"/>
        <v>245</v>
      </c>
      <c r="AC754"/>
      <c r="AD754" s="25"/>
      <c r="AF754" s="22">
        <v>45299</v>
      </c>
      <c r="AG754" s="26">
        <f t="shared" ca="1" si="142"/>
        <v>0.68966042445130371</v>
      </c>
      <c r="AH754" s="29">
        <f t="shared" ca="1" si="160"/>
        <v>371</v>
      </c>
      <c r="AJ754" s="22">
        <v>45299</v>
      </c>
      <c r="AK754" s="26">
        <f t="shared" ca="1" si="143"/>
        <v>0.28711320601979018</v>
      </c>
      <c r="AL754" s="29">
        <f t="shared" ca="1" si="161"/>
        <v>145</v>
      </c>
      <c r="AN754" s="22">
        <v>45299</v>
      </c>
      <c r="AO754" s="26">
        <f t="shared" ca="1" si="144"/>
        <v>0.24974999937194842</v>
      </c>
      <c r="AP754" s="29">
        <f t="shared" ca="1" si="162"/>
        <v>191</v>
      </c>
      <c r="AR754" s="22">
        <v>45299</v>
      </c>
      <c r="AS754" s="26">
        <f t="shared" ca="1" si="145"/>
        <v>0.22869402093458391</v>
      </c>
      <c r="AT754" s="29">
        <f t="shared" ca="1" si="163"/>
        <v>159</v>
      </c>
      <c r="AV754" s="22">
        <v>45299</v>
      </c>
      <c r="AW754" s="26">
        <f t="shared" ca="1" si="146"/>
        <v>0.76618791205878023</v>
      </c>
      <c r="AX754" s="29">
        <f t="shared" ca="1" si="164"/>
        <v>246</v>
      </c>
      <c r="AZ754" s="22">
        <v>45299</v>
      </c>
      <c r="BA754" s="26">
        <f t="shared" ca="1" si="147"/>
        <v>0.60078807414661783</v>
      </c>
      <c r="BB754" s="29">
        <f t="shared" ca="1" si="165"/>
        <v>250</v>
      </c>
      <c r="BC754"/>
      <c r="BD754" s="25"/>
      <c r="BF754" s="22">
        <v>45299</v>
      </c>
      <c r="BG754" s="26">
        <f t="shared" ca="1" si="148"/>
        <v>0.53578175338279166</v>
      </c>
      <c r="BH754" s="29">
        <f t="shared" ca="1" si="166"/>
        <v>206</v>
      </c>
      <c r="BJ754" s="22">
        <v>45299</v>
      </c>
      <c r="BK754" s="26">
        <f t="shared" ca="1" si="149"/>
        <v>0.91608905488005909</v>
      </c>
      <c r="BL754" s="29">
        <f t="shared" ca="1" si="167"/>
        <v>231</v>
      </c>
      <c r="BN754" s="22">
        <v>45299</v>
      </c>
      <c r="BO754" s="26">
        <f t="shared" ca="1" si="150"/>
        <v>0.57613388313259151</v>
      </c>
      <c r="BP754" s="29">
        <v>0</v>
      </c>
      <c r="BR754" s="22">
        <v>45299</v>
      </c>
      <c r="BS754" s="26">
        <f t="shared" ca="1" si="151"/>
        <v>0.28559479418758427</v>
      </c>
      <c r="BT754" s="29">
        <v>0</v>
      </c>
      <c r="BV754" s="22">
        <v>45299</v>
      </c>
      <c r="BW754" s="26">
        <f t="shared" ca="1" si="152"/>
        <v>0.84128258016145963</v>
      </c>
      <c r="BX754" s="29">
        <v>0</v>
      </c>
    </row>
    <row r="755" spans="2:76" ht="12.75" x14ac:dyDescent="0.2">
      <c r="B755" s="22">
        <v>45300</v>
      </c>
      <c r="C755" s="26">
        <f t="shared" ca="1" si="135"/>
        <v>9.0202049110422067E-2</v>
      </c>
      <c r="D755" s="29">
        <f t="shared" ca="1" si="134"/>
        <v>49</v>
      </c>
      <c r="F755" s="22"/>
      <c r="G755" s="26">
        <f t="shared" ca="1" si="136"/>
        <v>0.63258173146875274</v>
      </c>
      <c r="H755" s="29">
        <f t="shared" ca="1" si="154"/>
        <v>221</v>
      </c>
      <c r="J755" s="22">
        <v>45300</v>
      </c>
      <c r="K755" s="26">
        <f t="shared" ca="1" si="137"/>
        <v>0.79385988338865854</v>
      </c>
      <c r="L755" s="29">
        <f t="shared" ca="1" si="155"/>
        <v>159</v>
      </c>
      <c r="N755" s="22">
        <v>45300</v>
      </c>
      <c r="O755" s="26">
        <f t="shared" ca="1" si="138"/>
        <v>0.50614661492411162</v>
      </c>
      <c r="P755" s="29">
        <f t="shared" ca="1" si="156"/>
        <v>230</v>
      </c>
      <c r="R755" s="22">
        <v>45300</v>
      </c>
      <c r="S755" s="26">
        <f t="shared" ca="1" si="139"/>
        <v>0.87343644983717761</v>
      </c>
      <c r="T755" s="29">
        <f t="shared" ca="1" si="157"/>
        <v>150</v>
      </c>
      <c r="V755" s="22">
        <v>45300</v>
      </c>
      <c r="W755" s="26">
        <f t="shared" ca="1" si="140"/>
        <v>0.1041990449758291</v>
      </c>
      <c r="X755" s="29">
        <f t="shared" ca="1" si="158"/>
        <v>207</v>
      </c>
      <c r="Z755" s="22">
        <v>45300</v>
      </c>
      <c r="AA755" s="26">
        <f t="shared" ca="1" si="141"/>
        <v>0.77711757626545297</v>
      </c>
      <c r="AB755" s="29">
        <f t="shared" ca="1" si="159"/>
        <v>284</v>
      </c>
      <c r="AC755"/>
      <c r="AD755" s="25"/>
      <c r="AF755" s="22">
        <v>45300</v>
      </c>
      <c r="AG755" s="26">
        <f t="shared" ca="1" si="142"/>
        <v>0.87774495572695332</v>
      </c>
      <c r="AH755" s="29">
        <f t="shared" ca="1" si="160"/>
        <v>429</v>
      </c>
      <c r="AJ755" s="22">
        <v>45300</v>
      </c>
      <c r="AK755" s="26">
        <f t="shared" ca="1" si="143"/>
        <v>0.80457197214250653</v>
      </c>
      <c r="AL755" s="29">
        <f t="shared" ca="1" si="161"/>
        <v>210</v>
      </c>
      <c r="AN755" s="22">
        <v>45300</v>
      </c>
      <c r="AO755" s="26">
        <f t="shared" ca="1" si="144"/>
        <v>0.70667352383227033</v>
      </c>
      <c r="AP755" s="29">
        <f t="shared" ca="1" si="162"/>
        <v>266</v>
      </c>
      <c r="AR755" s="22">
        <v>45300</v>
      </c>
      <c r="AS755" s="26">
        <f t="shared" ca="1" si="145"/>
        <v>0.84555444279613912</v>
      </c>
      <c r="AT755" s="29">
        <f t="shared" ca="1" si="163"/>
        <v>252</v>
      </c>
      <c r="AV755" s="22">
        <v>45300</v>
      </c>
      <c r="AW755" s="26">
        <f t="shared" ca="1" si="146"/>
        <v>0.75077160829837308</v>
      </c>
      <c r="AX755" s="29">
        <f t="shared" ca="1" si="164"/>
        <v>243</v>
      </c>
      <c r="AZ755" s="22">
        <v>45300</v>
      </c>
      <c r="BA755" s="26">
        <f t="shared" ca="1" si="147"/>
        <v>1.670881269348734E-2</v>
      </c>
      <c r="BB755" s="29">
        <f t="shared" ca="1" si="165"/>
        <v>102</v>
      </c>
      <c r="BC755"/>
      <c r="BD755" s="25"/>
      <c r="BF755" s="22">
        <v>45300</v>
      </c>
      <c r="BG755" s="26">
        <f t="shared" ca="1" si="148"/>
        <v>0.29049521119354438</v>
      </c>
      <c r="BH755" s="29">
        <f t="shared" ca="1" si="166"/>
        <v>172</v>
      </c>
      <c r="BJ755" s="22">
        <v>45300</v>
      </c>
      <c r="BK755" s="26">
        <f t="shared" ca="1" si="149"/>
        <v>0.60176203093854785</v>
      </c>
      <c r="BL755" s="29">
        <f t="shared" ca="1" si="167"/>
        <v>181</v>
      </c>
      <c r="BN755" s="22">
        <v>45300</v>
      </c>
      <c r="BO755" s="26">
        <f t="shared" ca="1" si="150"/>
        <v>0.55793351525513668</v>
      </c>
      <c r="BP755" s="29">
        <v>0</v>
      </c>
      <c r="BR755" s="22">
        <v>45300</v>
      </c>
      <c r="BS755" s="26">
        <f t="shared" ca="1" si="151"/>
        <v>0.73887601925443114</v>
      </c>
      <c r="BT755" s="29">
        <v>0</v>
      </c>
      <c r="BV755" s="22">
        <v>45300</v>
      </c>
      <c r="BW755" s="26">
        <f t="shared" ca="1" si="152"/>
        <v>0.91295409714606335</v>
      </c>
      <c r="BX755" s="29">
        <v>0</v>
      </c>
    </row>
    <row r="756" spans="2:76" ht="12.75" x14ac:dyDescent="0.2">
      <c r="B756" s="22">
        <v>45301</v>
      </c>
      <c r="C756" s="26">
        <f t="shared" ca="1" si="135"/>
        <v>0.80228442590664395</v>
      </c>
      <c r="D756" s="29">
        <f t="shared" ca="1" si="134"/>
        <v>92</v>
      </c>
      <c r="F756" s="22"/>
      <c r="G756" s="26">
        <f t="shared" ca="1" si="136"/>
        <v>0.68407574436359098</v>
      </c>
      <c r="H756" s="29">
        <f t="shared" ca="1" si="154"/>
        <v>223</v>
      </c>
      <c r="J756" s="22">
        <v>45301</v>
      </c>
      <c r="K756" s="26">
        <f t="shared" ca="1" si="137"/>
        <v>0.89108691905069826</v>
      </c>
      <c r="L756" s="29">
        <f t="shared" ca="1" si="155"/>
        <v>163</v>
      </c>
      <c r="N756" s="22">
        <v>45301</v>
      </c>
      <c r="O756" s="26">
        <f t="shared" ca="1" si="138"/>
        <v>0.10106274565326989</v>
      </c>
      <c r="P756" s="29">
        <f t="shared" ca="1" si="156"/>
        <v>210</v>
      </c>
      <c r="R756" s="22">
        <v>45301</v>
      </c>
      <c r="S756" s="26">
        <f t="shared" ca="1" si="139"/>
        <v>0.14687160412016076</v>
      </c>
      <c r="T756" s="29">
        <f t="shared" ca="1" si="157"/>
        <v>130</v>
      </c>
      <c r="V756" s="22">
        <v>45301</v>
      </c>
      <c r="W756" s="26">
        <f t="shared" ca="1" si="140"/>
        <v>0.62532884700792923</v>
      </c>
      <c r="X756" s="29">
        <f t="shared" ca="1" si="158"/>
        <v>230</v>
      </c>
      <c r="Z756" s="22">
        <v>45301</v>
      </c>
      <c r="AA756" s="26">
        <f t="shared" ca="1" si="141"/>
        <v>0.10501931367595352</v>
      </c>
      <c r="AB756" s="29">
        <f t="shared" ca="1" si="159"/>
        <v>248</v>
      </c>
      <c r="AC756"/>
      <c r="AD756" s="25"/>
      <c r="AF756" s="22">
        <v>45301</v>
      </c>
      <c r="AG756" s="26">
        <f t="shared" ca="1" si="142"/>
        <v>0.69108504992456443</v>
      </c>
      <c r="AH756" s="29">
        <f t="shared" ca="1" si="160"/>
        <v>371</v>
      </c>
      <c r="AJ756" s="22">
        <v>45301</v>
      </c>
      <c r="AK756" s="26">
        <f t="shared" ca="1" si="143"/>
        <v>0.80093287215882814</v>
      </c>
      <c r="AL756" s="29">
        <f t="shared" ca="1" si="161"/>
        <v>209</v>
      </c>
      <c r="AN756" s="22">
        <v>45301</v>
      </c>
      <c r="AO756" s="26">
        <f t="shared" ca="1" si="144"/>
        <v>0.80228007670244683</v>
      </c>
      <c r="AP756" s="29">
        <f t="shared" ca="1" si="162"/>
        <v>285</v>
      </c>
      <c r="AR756" s="22">
        <v>45301</v>
      </c>
      <c r="AS756" s="26">
        <f t="shared" ca="1" si="145"/>
        <v>0.67393108812301838</v>
      </c>
      <c r="AT756" s="29">
        <f t="shared" ca="1" si="163"/>
        <v>222</v>
      </c>
      <c r="AV756" s="22">
        <v>45301</v>
      </c>
      <c r="AW756" s="26">
        <f t="shared" ca="1" si="146"/>
        <v>0.44043898663741765</v>
      </c>
      <c r="AX756" s="29">
        <f t="shared" ca="1" si="164"/>
        <v>198</v>
      </c>
      <c r="AZ756" s="22">
        <v>45301</v>
      </c>
      <c r="BA756" s="26">
        <f t="shared" ca="1" si="147"/>
        <v>0.95978410975282091</v>
      </c>
      <c r="BB756" s="29">
        <f t="shared" ca="1" si="165"/>
        <v>343</v>
      </c>
      <c r="BC756"/>
      <c r="BD756" s="25"/>
      <c r="BF756" s="22">
        <v>45301</v>
      </c>
      <c r="BG756" s="26">
        <f t="shared" ca="1" si="148"/>
        <v>5.0782217197165913E-2</v>
      </c>
      <c r="BH756" s="29">
        <f t="shared" ca="1" si="166"/>
        <v>113</v>
      </c>
      <c r="BJ756" s="22">
        <v>45301</v>
      </c>
      <c r="BK756" s="26">
        <f t="shared" ca="1" si="149"/>
        <v>0.93391753872331962</v>
      </c>
      <c r="BL756" s="29">
        <f t="shared" ca="1" si="167"/>
        <v>237</v>
      </c>
      <c r="BN756" s="22">
        <v>45301</v>
      </c>
      <c r="BO756" s="26">
        <f t="shared" ca="1" si="150"/>
        <v>3.0998284520956099E-2</v>
      </c>
      <c r="BP756" s="29">
        <v>0</v>
      </c>
      <c r="BR756" s="22">
        <v>45301</v>
      </c>
      <c r="BS756" s="26">
        <f t="shared" ca="1" si="151"/>
        <v>0.64124297466916946</v>
      </c>
      <c r="BT756" s="29">
        <v>0</v>
      </c>
      <c r="BV756" s="22">
        <v>45301</v>
      </c>
      <c r="BW756" s="26">
        <f t="shared" ca="1" si="152"/>
        <v>0.22056039664392624</v>
      </c>
      <c r="BX756" s="29">
        <v>0</v>
      </c>
    </row>
    <row r="757" spans="2:76" ht="12.75" x14ac:dyDescent="0.2">
      <c r="B757" s="22">
        <v>45302</v>
      </c>
      <c r="C757" s="26">
        <f t="shared" ca="1" si="135"/>
        <v>0.18030697470120127</v>
      </c>
      <c r="D757" s="29">
        <f t="shared" ca="1" si="134"/>
        <v>57</v>
      </c>
      <c r="F757" s="22"/>
      <c r="G757" s="26">
        <f t="shared" ca="1" si="136"/>
        <v>4.4880515873839899E-2</v>
      </c>
      <c r="H757" s="29">
        <f t="shared" ca="1" si="154"/>
        <v>192</v>
      </c>
      <c r="J757" s="22">
        <v>45302</v>
      </c>
      <c r="K757" s="26">
        <f t="shared" ca="1" si="137"/>
        <v>2.5954969877240996E-2</v>
      </c>
      <c r="L757" s="29">
        <f t="shared" ca="1" si="155"/>
        <v>131</v>
      </c>
      <c r="N757" s="22">
        <v>45302</v>
      </c>
      <c r="O757" s="26">
        <f t="shared" ca="1" si="138"/>
        <v>0.18759707029106154</v>
      </c>
      <c r="P757" s="29">
        <f t="shared" ca="1" si="156"/>
        <v>216</v>
      </c>
      <c r="R757" s="22">
        <v>45302</v>
      </c>
      <c r="S757" s="26">
        <f t="shared" ca="1" si="139"/>
        <v>0.77540378622642914</v>
      </c>
      <c r="T757" s="29">
        <f t="shared" ca="1" si="157"/>
        <v>146</v>
      </c>
      <c r="V757" s="22">
        <v>45302</v>
      </c>
      <c r="W757" s="26">
        <f t="shared" ca="1" si="140"/>
        <v>0.76256521944822497</v>
      </c>
      <c r="X757" s="29">
        <f t="shared" ca="1" si="158"/>
        <v>236</v>
      </c>
      <c r="Z757" s="22">
        <v>45302</v>
      </c>
      <c r="AA757" s="26">
        <f t="shared" ca="1" si="141"/>
        <v>0.35020190883667279</v>
      </c>
      <c r="AB757" s="29">
        <f t="shared" ca="1" si="159"/>
        <v>264</v>
      </c>
      <c r="AC757"/>
      <c r="AD757" s="25"/>
      <c r="AF757" s="22">
        <v>45302</v>
      </c>
      <c r="AG757" s="26">
        <f t="shared" ca="1" si="142"/>
        <v>0.28499028221467393</v>
      </c>
      <c r="AH757" s="29">
        <f t="shared" ca="1" si="160"/>
        <v>278</v>
      </c>
      <c r="AJ757" s="22">
        <v>45302</v>
      </c>
      <c r="AK757" s="26">
        <f t="shared" ca="1" si="143"/>
        <v>0.92034394415631415</v>
      </c>
      <c r="AL757" s="29">
        <f t="shared" ca="1" si="161"/>
        <v>235</v>
      </c>
      <c r="AN757" s="22">
        <v>45302</v>
      </c>
      <c r="AO757" s="26">
        <f t="shared" ca="1" si="144"/>
        <v>0.67877566127498368</v>
      </c>
      <c r="AP757" s="29">
        <f t="shared" ca="1" si="162"/>
        <v>261</v>
      </c>
      <c r="AR757" s="22">
        <v>45302</v>
      </c>
      <c r="AS757" s="26">
        <f t="shared" ca="1" si="145"/>
        <v>2.6205090423128574E-2</v>
      </c>
      <c r="AT757" s="29">
        <f t="shared" ca="1" si="163"/>
        <v>96</v>
      </c>
      <c r="AV757" s="22">
        <v>45302</v>
      </c>
      <c r="AW757" s="26">
        <f t="shared" ca="1" si="146"/>
        <v>2.0217764194104149E-2</v>
      </c>
      <c r="AX757" s="29">
        <f t="shared" ca="1" si="164"/>
        <v>94</v>
      </c>
      <c r="AZ757" s="22">
        <v>45302</v>
      </c>
      <c r="BA757" s="26">
        <f t="shared" ca="1" si="147"/>
        <v>0.44624062490438476</v>
      </c>
      <c r="BB757" s="29">
        <f t="shared" ca="1" si="165"/>
        <v>226</v>
      </c>
      <c r="BC757"/>
      <c r="BD757" s="25"/>
      <c r="BF757" s="22">
        <v>45302</v>
      </c>
      <c r="BG757" s="26">
        <f t="shared" ca="1" si="148"/>
        <v>0.19093122314916466</v>
      </c>
      <c r="BH757" s="29">
        <f t="shared" ca="1" si="166"/>
        <v>154</v>
      </c>
      <c r="BJ757" s="22">
        <v>45302</v>
      </c>
      <c r="BK757" s="26">
        <f t="shared" ca="1" si="149"/>
        <v>0.52364504616758778</v>
      </c>
      <c r="BL757" s="29">
        <f t="shared" ca="1" si="167"/>
        <v>172</v>
      </c>
      <c r="BN757" s="22">
        <v>45302</v>
      </c>
      <c r="BO757" s="26">
        <f t="shared" ca="1" si="150"/>
        <v>0.96808175820478282</v>
      </c>
      <c r="BP757" s="29">
        <v>0</v>
      </c>
      <c r="BR757" s="22">
        <v>45302</v>
      </c>
      <c r="BS757" s="26">
        <f t="shared" ca="1" si="151"/>
        <v>2.9523021845193842E-2</v>
      </c>
      <c r="BT757" s="29">
        <v>0</v>
      </c>
      <c r="BV757" s="22">
        <v>45302</v>
      </c>
      <c r="BW757" s="26">
        <f t="shared" ca="1" si="152"/>
        <v>0.39320952198708925</v>
      </c>
      <c r="BX757" s="29">
        <v>0</v>
      </c>
    </row>
    <row r="758" spans="2:76" ht="12.75" x14ac:dyDescent="0.2">
      <c r="B758" s="22">
        <v>45303</v>
      </c>
      <c r="C758" s="26">
        <f t="shared" ca="1" si="135"/>
        <v>0.99424985755910689</v>
      </c>
      <c r="D758" s="29">
        <f t="shared" ca="1" si="134"/>
        <v>126</v>
      </c>
      <c r="F758" s="22"/>
      <c r="G758" s="26">
        <f t="shared" ca="1" si="136"/>
        <v>0.85862790393158661</v>
      </c>
      <c r="H758" s="29">
        <f t="shared" ca="1" si="154"/>
        <v>231</v>
      </c>
      <c r="J758" s="22">
        <v>45303</v>
      </c>
      <c r="K758" s="26">
        <f t="shared" ca="1" si="137"/>
        <v>0.84500845055866414</v>
      </c>
      <c r="L758" s="29">
        <f t="shared" ca="1" si="155"/>
        <v>161</v>
      </c>
      <c r="N758" s="22">
        <v>45303</v>
      </c>
      <c r="O758" s="26">
        <f t="shared" ca="1" si="138"/>
        <v>0.44132398184264898</v>
      </c>
      <c r="P758" s="29">
        <f t="shared" ca="1" si="156"/>
        <v>228</v>
      </c>
      <c r="R758" s="22">
        <v>45303</v>
      </c>
      <c r="S758" s="26">
        <f t="shared" ca="1" si="139"/>
        <v>0.46275192628867368</v>
      </c>
      <c r="T758" s="29">
        <f t="shared" ca="1" si="157"/>
        <v>138</v>
      </c>
      <c r="V758" s="22">
        <v>45303</v>
      </c>
      <c r="W758" s="26">
        <f t="shared" ca="1" si="140"/>
        <v>0.53938884255039987</v>
      </c>
      <c r="X758" s="29">
        <f t="shared" ca="1" si="158"/>
        <v>227</v>
      </c>
      <c r="Z758" s="22">
        <v>45303</v>
      </c>
      <c r="AA758" s="26">
        <f t="shared" ca="1" si="141"/>
        <v>0.99994016556461107</v>
      </c>
      <c r="AB758" s="29">
        <f t="shared" ca="1" si="159"/>
        <v>340</v>
      </c>
      <c r="AC758"/>
      <c r="AD758" s="25"/>
      <c r="AF758" s="22">
        <v>45303</v>
      </c>
      <c r="AG758" s="26">
        <f t="shared" ca="1" si="142"/>
        <v>0.33100924012322297</v>
      </c>
      <c r="AH758" s="29">
        <f t="shared" ca="1" si="160"/>
        <v>289</v>
      </c>
      <c r="AJ758" s="22">
        <v>45303</v>
      </c>
      <c r="AK758" s="26">
        <f t="shared" ca="1" si="143"/>
        <v>0.20064848404808977</v>
      </c>
      <c r="AL758" s="29">
        <f t="shared" ca="1" si="161"/>
        <v>133</v>
      </c>
      <c r="AN758" s="22">
        <v>45303</v>
      </c>
      <c r="AO758" s="26">
        <f t="shared" ca="1" si="144"/>
        <v>0.55398389799341552</v>
      </c>
      <c r="AP758" s="29">
        <f t="shared" ca="1" si="162"/>
        <v>241</v>
      </c>
      <c r="AR758" s="22">
        <v>45303</v>
      </c>
      <c r="AS758" s="26">
        <f t="shared" ca="1" si="145"/>
        <v>0.87797552709438487</v>
      </c>
      <c r="AT758" s="29">
        <f t="shared" ca="1" si="163"/>
        <v>260</v>
      </c>
      <c r="AV758" s="22">
        <v>45303</v>
      </c>
      <c r="AW758" s="26">
        <f t="shared" ca="1" si="146"/>
        <v>0.73778175033855264</v>
      </c>
      <c r="AX758" s="29">
        <f t="shared" ca="1" si="164"/>
        <v>241</v>
      </c>
      <c r="AZ758" s="22">
        <v>45303</v>
      </c>
      <c r="BA758" s="26">
        <f t="shared" ca="1" si="147"/>
        <v>0.62186721401266276</v>
      </c>
      <c r="BB758" s="29">
        <f t="shared" ca="1" si="165"/>
        <v>253</v>
      </c>
      <c r="BC758"/>
      <c r="BD758" s="25"/>
      <c r="BF758" s="22">
        <v>45303</v>
      </c>
      <c r="BG758" s="26">
        <f t="shared" ca="1" si="148"/>
        <v>0.95285529750242071</v>
      </c>
      <c r="BH758" s="29">
        <f t="shared" ca="1" si="166"/>
        <v>291</v>
      </c>
      <c r="BJ758" s="22">
        <v>45303</v>
      </c>
      <c r="BK758" s="26">
        <f t="shared" ca="1" si="149"/>
        <v>0.94067901469715065</v>
      </c>
      <c r="BL758" s="29">
        <f t="shared" ca="1" si="167"/>
        <v>239</v>
      </c>
      <c r="BN758" s="22">
        <v>45303</v>
      </c>
      <c r="BO758" s="26">
        <f t="shared" ca="1" si="150"/>
        <v>0.64689494509428669</v>
      </c>
      <c r="BP758" s="29">
        <v>0</v>
      </c>
      <c r="BR758" s="22">
        <v>45303</v>
      </c>
      <c r="BS758" s="26">
        <f t="shared" ca="1" si="151"/>
        <v>0.28290034161296262</v>
      </c>
      <c r="BT758" s="29">
        <v>0</v>
      </c>
      <c r="BV758" s="22">
        <v>45303</v>
      </c>
      <c r="BW758" s="26">
        <f t="shared" ca="1" si="152"/>
        <v>0.59692607097691819</v>
      </c>
      <c r="BX758" s="29">
        <v>0</v>
      </c>
    </row>
    <row r="759" spans="2:76" ht="12.75" x14ac:dyDescent="0.2">
      <c r="B759" s="22">
        <v>45304</v>
      </c>
      <c r="C759" s="26">
        <f t="shared" ca="1" si="135"/>
        <v>0.70689846559636216</v>
      </c>
      <c r="D759" s="29">
        <f t="shared" ca="1" si="134"/>
        <v>86</v>
      </c>
      <c r="F759" s="22"/>
      <c r="G759" s="26">
        <f t="shared" ca="1" si="136"/>
        <v>0.99946201489913766</v>
      </c>
      <c r="H759" s="29">
        <f t="shared" ca="1" si="154"/>
        <v>263</v>
      </c>
      <c r="J759" s="22">
        <v>45304</v>
      </c>
      <c r="K759" s="26">
        <f t="shared" ca="1" si="137"/>
        <v>0.83504072272959207</v>
      </c>
      <c r="L759" s="29">
        <f t="shared" ca="1" si="155"/>
        <v>160</v>
      </c>
      <c r="N759" s="22">
        <v>45304</v>
      </c>
      <c r="O759" s="26">
        <f t="shared" ca="1" si="138"/>
        <v>0.35685458249387192</v>
      </c>
      <c r="P759" s="29">
        <f t="shared" ca="1" si="156"/>
        <v>224</v>
      </c>
      <c r="R759" s="22">
        <v>45304</v>
      </c>
      <c r="S759" s="26">
        <f t="shared" ca="1" si="139"/>
        <v>8.9375329463805553E-2</v>
      </c>
      <c r="T759" s="29">
        <f t="shared" ca="1" si="157"/>
        <v>127</v>
      </c>
      <c r="V759" s="22">
        <v>45304</v>
      </c>
      <c r="W759" s="26">
        <f t="shared" ca="1" si="140"/>
        <v>0.51577597643083495</v>
      </c>
      <c r="X759" s="29">
        <f t="shared" ca="1" si="158"/>
        <v>226</v>
      </c>
      <c r="Z759" s="22">
        <v>45304</v>
      </c>
      <c r="AA759" s="26">
        <f t="shared" ca="1" si="141"/>
        <v>0.14414137378020386</v>
      </c>
      <c r="AB759" s="29">
        <f t="shared" ca="1" si="159"/>
        <v>251</v>
      </c>
      <c r="AC759"/>
      <c r="AD759" s="25"/>
      <c r="AF759" s="22">
        <v>45304</v>
      </c>
      <c r="AG759" s="26">
        <f t="shared" ca="1" si="142"/>
        <v>0.45428168558502724</v>
      </c>
      <c r="AH759" s="29">
        <f t="shared" ca="1" si="160"/>
        <v>317</v>
      </c>
      <c r="AJ759" s="22">
        <v>45304</v>
      </c>
      <c r="AK759" s="26">
        <f t="shared" ca="1" si="143"/>
        <v>0.84169022670569493</v>
      </c>
      <c r="AL759" s="29">
        <f t="shared" ca="1" si="161"/>
        <v>216</v>
      </c>
      <c r="AN759" s="22">
        <v>45304</v>
      </c>
      <c r="AO759" s="26">
        <f t="shared" ca="1" si="144"/>
        <v>0.729842618191896</v>
      </c>
      <c r="AP759" s="29">
        <f t="shared" ca="1" si="162"/>
        <v>270</v>
      </c>
      <c r="AR759" s="22">
        <v>45304</v>
      </c>
      <c r="AS759" s="26">
        <f t="shared" ca="1" si="145"/>
        <v>0.45285387811220057</v>
      </c>
      <c r="AT759" s="29">
        <f t="shared" ca="1" si="163"/>
        <v>192</v>
      </c>
      <c r="AV759" s="22">
        <v>45304</v>
      </c>
      <c r="AW759" s="26">
        <f t="shared" ca="1" si="146"/>
        <v>0.68776840452730093</v>
      </c>
      <c r="AX759" s="29">
        <f t="shared" ca="1" si="164"/>
        <v>233</v>
      </c>
      <c r="AZ759" s="22">
        <v>45304</v>
      </c>
      <c r="BA759" s="26">
        <f t="shared" ca="1" si="147"/>
        <v>0.72542481674484627</v>
      </c>
      <c r="BB759" s="29">
        <f t="shared" ca="1" si="165"/>
        <v>271</v>
      </c>
      <c r="BC759"/>
      <c r="BD759" s="25"/>
      <c r="BF759" s="22">
        <v>45304</v>
      </c>
      <c r="BG759" s="26">
        <f t="shared" ca="1" si="148"/>
        <v>0.35248361173465703</v>
      </c>
      <c r="BH759" s="29">
        <f t="shared" ca="1" si="166"/>
        <v>181</v>
      </c>
      <c r="BJ759" s="22">
        <v>45304</v>
      </c>
      <c r="BK759" s="26">
        <f t="shared" ca="1" si="149"/>
        <v>0.92452686416532337</v>
      </c>
      <c r="BL759" s="29">
        <f t="shared" ca="1" si="167"/>
        <v>234</v>
      </c>
      <c r="BN759" s="22">
        <v>45304</v>
      </c>
      <c r="BO759" s="26">
        <f t="shared" ca="1" si="150"/>
        <v>0.93760198497239111</v>
      </c>
      <c r="BP759" s="29">
        <v>0</v>
      </c>
      <c r="BR759" s="22">
        <v>45304</v>
      </c>
      <c r="BS759" s="26">
        <f t="shared" ca="1" si="151"/>
        <v>0.41182753852584708</v>
      </c>
      <c r="BT759" s="29">
        <v>0</v>
      </c>
      <c r="BV759" s="22">
        <v>45304</v>
      </c>
      <c r="BW759" s="26">
        <f t="shared" ca="1" si="152"/>
        <v>0.40687150579588349</v>
      </c>
      <c r="BX759" s="29">
        <v>0</v>
      </c>
    </row>
    <row r="760" spans="2:76" ht="12.75" x14ac:dyDescent="0.2">
      <c r="B760" s="22">
        <v>45305</v>
      </c>
      <c r="C760" s="26">
        <f t="shared" ca="1" si="135"/>
        <v>0.50054936688535157</v>
      </c>
      <c r="D760" s="29">
        <f t="shared" ca="1" si="134"/>
        <v>76</v>
      </c>
      <c r="F760" s="22"/>
      <c r="G760" s="26">
        <f t="shared" ca="1" si="136"/>
        <v>0.69497441930347326</v>
      </c>
      <c r="H760" s="29">
        <f t="shared" ca="1" si="154"/>
        <v>223</v>
      </c>
      <c r="J760" s="22">
        <v>45305</v>
      </c>
      <c r="K760" s="26">
        <f t="shared" ca="1" si="137"/>
        <v>0.5786765649576352</v>
      </c>
      <c r="L760" s="29">
        <f t="shared" ca="1" si="155"/>
        <v>152</v>
      </c>
      <c r="N760" s="22">
        <v>45305</v>
      </c>
      <c r="O760" s="26">
        <f t="shared" ca="1" si="138"/>
        <v>0.60026861128297504</v>
      </c>
      <c r="P760" s="29">
        <f t="shared" ca="1" si="156"/>
        <v>234</v>
      </c>
      <c r="R760" s="22">
        <v>45305</v>
      </c>
      <c r="S760" s="26">
        <f t="shared" ca="1" si="139"/>
        <v>0.39073202771003179</v>
      </c>
      <c r="T760" s="29">
        <f t="shared" ca="1" si="157"/>
        <v>137</v>
      </c>
      <c r="V760" s="22">
        <v>45305</v>
      </c>
      <c r="W760" s="26">
        <f t="shared" ca="1" si="140"/>
        <v>0.93438244735365106</v>
      </c>
      <c r="X760" s="29">
        <f t="shared" ca="1" si="158"/>
        <v>248</v>
      </c>
      <c r="Z760" s="22">
        <v>45305</v>
      </c>
      <c r="AA760" s="26">
        <f t="shared" ca="1" si="141"/>
        <v>0.65616205464360455</v>
      </c>
      <c r="AB760" s="29">
        <f t="shared" ca="1" si="159"/>
        <v>278</v>
      </c>
      <c r="AC760"/>
      <c r="AD760" s="25"/>
      <c r="AF760" s="22">
        <v>45305</v>
      </c>
      <c r="AG760" s="26">
        <f t="shared" ca="1" si="142"/>
        <v>0.80834108702906637</v>
      </c>
      <c r="AH760" s="29">
        <f t="shared" ca="1" si="160"/>
        <v>404</v>
      </c>
      <c r="AJ760" s="22">
        <v>45305</v>
      </c>
      <c r="AK760" s="26">
        <f t="shared" ca="1" si="143"/>
        <v>0.57470518460319842</v>
      </c>
      <c r="AL760" s="29">
        <f t="shared" ca="1" si="161"/>
        <v>179</v>
      </c>
      <c r="AN760" s="22">
        <v>45305</v>
      </c>
      <c r="AO760" s="26">
        <f t="shared" ca="1" si="144"/>
        <v>7.4564288284371116E-3</v>
      </c>
      <c r="AP760" s="29">
        <f t="shared" ca="1" si="162"/>
        <v>82</v>
      </c>
      <c r="AR760" s="22">
        <v>45305</v>
      </c>
      <c r="AS760" s="26">
        <f t="shared" ca="1" si="145"/>
        <v>0.18224975942697275</v>
      </c>
      <c r="AT760" s="29">
        <f t="shared" ca="1" si="163"/>
        <v>151</v>
      </c>
      <c r="AV760" s="22">
        <v>45305</v>
      </c>
      <c r="AW760" s="26">
        <f t="shared" ca="1" si="146"/>
        <v>0.59551819741343226</v>
      </c>
      <c r="AX760" s="29">
        <f t="shared" ca="1" si="164"/>
        <v>219</v>
      </c>
      <c r="AZ760" s="22">
        <v>45305</v>
      </c>
      <c r="BA760" s="26">
        <f t="shared" ca="1" si="147"/>
        <v>0.25452709713612576</v>
      </c>
      <c r="BB760" s="29">
        <f t="shared" ca="1" si="165"/>
        <v>193</v>
      </c>
      <c r="BC760"/>
      <c r="BD760" s="25"/>
      <c r="BF760" s="22">
        <v>45305</v>
      </c>
      <c r="BG760" s="26">
        <f t="shared" ca="1" si="148"/>
        <v>0.89286345585775695</v>
      </c>
      <c r="BH760" s="29">
        <f t="shared" ca="1" si="166"/>
        <v>267</v>
      </c>
      <c r="BJ760" s="22">
        <v>45305</v>
      </c>
      <c r="BK760" s="26">
        <f t="shared" ca="1" si="149"/>
        <v>0.73637662469078924</v>
      </c>
      <c r="BL760" s="29">
        <f t="shared" ca="1" si="167"/>
        <v>198</v>
      </c>
      <c r="BN760" s="22">
        <v>45305</v>
      </c>
      <c r="BO760" s="26">
        <f t="shared" ca="1" si="150"/>
        <v>0.5058110379419668</v>
      </c>
      <c r="BP760" s="29">
        <v>0</v>
      </c>
      <c r="BR760" s="22">
        <v>45305</v>
      </c>
      <c r="BS760" s="26">
        <f t="shared" ca="1" si="151"/>
        <v>0.97016765954831408</v>
      </c>
      <c r="BT760" s="29">
        <v>0</v>
      </c>
      <c r="BV760" s="22">
        <v>45305</v>
      </c>
      <c r="BW760" s="26">
        <f t="shared" ca="1" si="152"/>
        <v>0.49895835277220246</v>
      </c>
      <c r="BX760" s="29">
        <v>0</v>
      </c>
    </row>
    <row r="761" spans="2:76" ht="12.75" x14ac:dyDescent="0.2">
      <c r="B761" s="22">
        <v>45306</v>
      </c>
      <c r="C761" s="26">
        <f t="shared" ca="1" si="135"/>
        <v>0.54424482305420119</v>
      </c>
      <c r="D761" s="29">
        <f t="shared" ca="1" si="134"/>
        <v>78</v>
      </c>
      <c r="F761" s="22"/>
      <c r="G761" s="26">
        <f t="shared" ca="1" si="136"/>
        <v>0.81572847380749536</v>
      </c>
      <c r="H761" s="29">
        <f t="shared" ca="1" si="154"/>
        <v>229</v>
      </c>
      <c r="J761" s="22">
        <v>45306</v>
      </c>
      <c r="K761" s="26">
        <f t="shared" ca="1" si="137"/>
        <v>0.24615353609385238</v>
      </c>
      <c r="L761" s="29">
        <f t="shared" ca="1" si="155"/>
        <v>144</v>
      </c>
      <c r="N761" s="22">
        <v>45306</v>
      </c>
      <c r="O761" s="26">
        <f t="shared" ca="1" si="138"/>
        <v>0.78925825299265973</v>
      </c>
      <c r="P761" s="29">
        <f t="shared" ca="1" si="156"/>
        <v>242</v>
      </c>
      <c r="R761" s="22">
        <v>45306</v>
      </c>
      <c r="S761" s="26">
        <f t="shared" ca="1" si="139"/>
        <v>0.75283740765732665</v>
      </c>
      <c r="T761" s="29">
        <f t="shared" ca="1" si="157"/>
        <v>146</v>
      </c>
      <c r="V761" s="22">
        <v>45306</v>
      </c>
      <c r="W761" s="26">
        <f t="shared" ca="1" si="140"/>
        <v>0.1631540656548528</v>
      </c>
      <c r="X761" s="29">
        <f t="shared" ca="1" si="158"/>
        <v>211</v>
      </c>
      <c r="Z761" s="22">
        <v>45306</v>
      </c>
      <c r="AA761" s="26">
        <f t="shared" ca="1" si="141"/>
        <v>0.257803052258744</v>
      </c>
      <c r="AB761" s="29">
        <f t="shared" ca="1" si="159"/>
        <v>259</v>
      </c>
      <c r="AC761"/>
      <c r="AD761" s="25"/>
      <c r="AF761" s="22">
        <v>45306</v>
      </c>
      <c r="AG761" s="26">
        <f t="shared" ca="1" si="142"/>
        <v>0.9169650999559501</v>
      </c>
      <c r="AH761" s="29">
        <f t="shared" ca="1" si="160"/>
        <v>448</v>
      </c>
      <c r="AJ761" s="22">
        <v>45306</v>
      </c>
      <c r="AK761" s="26">
        <f t="shared" ca="1" si="143"/>
        <v>0.99357456273929246</v>
      </c>
      <c r="AL761" s="29">
        <f t="shared" ca="1" si="161"/>
        <v>284</v>
      </c>
      <c r="AN761" s="22">
        <v>45306</v>
      </c>
      <c r="AO761" s="26">
        <f t="shared" ca="1" si="144"/>
        <v>0.14385896652611152</v>
      </c>
      <c r="AP761" s="29">
        <f t="shared" ca="1" si="162"/>
        <v>167</v>
      </c>
      <c r="AR761" s="22">
        <v>45306</v>
      </c>
      <c r="AS761" s="26">
        <f t="shared" ca="1" si="145"/>
        <v>0.64119001587722868</v>
      </c>
      <c r="AT761" s="29">
        <f t="shared" ca="1" si="163"/>
        <v>218</v>
      </c>
      <c r="AV761" s="22">
        <v>45306</v>
      </c>
      <c r="AW761" s="26">
        <f t="shared" ca="1" si="146"/>
        <v>0.5356081315903628</v>
      </c>
      <c r="AX761" s="29">
        <f t="shared" ca="1" si="164"/>
        <v>211</v>
      </c>
      <c r="AZ761" s="22">
        <v>45306</v>
      </c>
      <c r="BA761" s="26">
        <f t="shared" ca="1" si="147"/>
        <v>0.4416685808979538</v>
      </c>
      <c r="BB761" s="29">
        <f t="shared" ca="1" si="165"/>
        <v>225</v>
      </c>
      <c r="BC761"/>
      <c r="BD761" s="25"/>
      <c r="BF761" s="22">
        <v>45306</v>
      </c>
      <c r="BG761" s="26">
        <f t="shared" ca="1" si="148"/>
        <v>0.24242503290897499</v>
      </c>
      <c r="BH761" s="29">
        <f t="shared" ca="1" si="166"/>
        <v>164</v>
      </c>
      <c r="BJ761" s="22">
        <v>45306</v>
      </c>
      <c r="BK761" s="26">
        <f t="shared" ca="1" si="149"/>
        <v>0.36676818577298786</v>
      </c>
      <c r="BL761" s="29">
        <f t="shared" ca="1" si="167"/>
        <v>154</v>
      </c>
      <c r="BN761" s="22">
        <v>45306</v>
      </c>
      <c r="BO761" s="26">
        <f t="shared" ca="1" si="150"/>
        <v>0.81133447782381307</v>
      </c>
      <c r="BP761" s="29">
        <v>0</v>
      </c>
      <c r="BR761" s="22">
        <v>45306</v>
      </c>
      <c r="BS761" s="26">
        <f t="shared" ca="1" si="151"/>
        <v>0.17571607745323059</v>
      </c>
      <c r="BT761" s="29">
        <v>0</v>
      </c>
      <c r="BV761" s="22">
        <v>45306</v>
      </c>
      <c r="BW761" s="26">
        <f t="shared" ca="1" si="152"/>
        <v>0.40957080281941205</v>
      </c>
      <c r="BX761" s="29">
        <v>0</v>
      </c>
    </row>
    <row r="762" spans="2:76" ht="12.75" x14ac:dyDescent="0.2">
      <c r="B762" s="22">
        <v>45307</v>
      </c>
      <c r="C762" s="26">
        <f t="shared" ca="1" si="135"/>
        <v>0.64749677482852164</v>
      </c>
      <c r="D762" s="29">
        <f t="shared" ca="1" si="134"/>
        <v>83</v>
      </c>
      <c r="F762" s="22"/>
      <c r="G762" s="26">
        <f t="shared" ca="1" si="136"/>
        <v>0.57424555850992454</v>
      </c>
      <c r="H762" s="29">
        <f t="shared" ca="1" si="154"/>
        <v>219</v>
      </c>
      <c r="J762" s="22">
        <v>45307</v>
      </c>
      <c r="K762" s="26">
        <f t="shared" ca="1" si="137"/>
        <v>0.28040151831607762</v>
      </c>
      <c r="L762" s="29">
        <f t="shared" ca="1" si="155"/>
        <v>145</v>
      </c>
      <c r="N762" s="22">
        <v>45307</v>
      </c>
      <c r="O762" s="26">
        <f t="shared" ca="1" si="138"/>
        <v>0.27100682663561537</v>
      </c>
      <c r="P762" s="29">
        <f t="shared" ca="1" si="156"/>
        <v>221</v>
      </c>
      <c r="R762" s="22">
        <v>45307</v>
      </c>
      <c r="S762" s="26">
        <f t="shared" ca="1" si="139"/>
        <v>0.89646467664803919</v>
      </c>
      <c r="T762" s="29">
        <f t="shared" ca="1" si="157"/>
        <v>151</v>
      </c>
      <c r="V762" s="22">
        <v>45307</v>
      </c>
      <c r="W762" s="26">
        <f t="shared" ca="1" si="140"/>
        <v>0.90045805840655768</v>
      </c>
      <c r="X762" s="29">
        <f t="shared" ca="1" si="158"/>
        <v>245</v>
      </c>
      <c r="Z762" s="22">
        <v>45307</v>
      </c>
      <c r="AA762" s="26">
        <f t="shared" ca="1" si="141"/>
        <v>0.82807778691858303</v>
      </c>
      <c r="AB762" s="29">
        <f t="shared" ca="1" si="159"/>
        <v>288</v>
      </c>
      <c r="AC762"/>
      <c r="AD762" s="25"/>
      <c r="AF762" s="22">
        <v>45307</v>
      </c>
      <c r="AG762" s="26">
        <f t="shared" ca="1" si="142"/>
        <v>0.36834505776355242</v>
      </c>
      <c r="AH762" s="29">
        <f t="shared" ca="1" si="160"/>
        <v>298</v>
      </c>
      <c r="AJ762" s="22">
        <v>45307</v>
      </c>
      <c r="AK762" s="26">
        <f t="shared" ca="1" si="143"/>
        <v>0.34668559370028862</v>
      </c>
      <c r="AL762" s="29">
        <f t="shared" ca="1" si="161"/>
        <v>153</v>
      </c>
      <c r="AN762" s="22">
        <v>45307</v>
      </c>
      <c r="AO762" s="26">
        <f t="shared" ca="1" si="144"/>
        <v>0.84357925339996775</v>
      </c>
      <c r="AP762" s="29">
        <f t="shared" ca="1" si="162"/>
        <v>295</v>
      </c>
      <c r="AR762" s="22">
        <v>45307</v>
      </c>
      <c r="AS762" s="26">
        <f t="shared" ca="1" si="145"/>
        <v>0.43033490297795696</v>
      </c>
      <c r="AT762" s="29">
        <f t="shared" ca="1" si="163"/>
        <v>189</v>
      </c>
      <c r="AV762" s="22">
        <v>45307</v>
      </c>
      <c r="AW762" s="26">
        <f t="shared" ca="1" si="146"/>
        <v>0.42036412787802246</v>
      </c>
      <c r="AX762" s="29">
        <f t="shared" ca="1" si="164"/>
        <v>195</v>
      </c>
      <c r="AZ762" s="22">
        <v>45307</v>
      </c>
      <c r="BA762" s="26">
        <f t="shared" ca="1" si="147"/>
        <v>5.8420747087157721E-2</v>
      </c>
      <c r="BB762" s="29">
        <f t="shared" ca="1" si="165"/>
        <v>136</v>
      </c>
      <c r="BC762"/>
      <c r="BD762" s="25"/>
      <c r="BF762" s="22">
        <v>45307</v>
      </c>
      <c r="BG762" s="26">
        <f t="shared" ca="1" si="148"/>
        <v>0.90713609315825217</v>
      </c>
      <c r="BH762" s="29">
        <f t="shared" ca="1" si="166"/>
        <v>272</v>
      </c>
      <c r="BJ762" s="22">
        <v>45307</v>
      </c>
      <c r="BK762" s="26">
        <f t="shared" ca="1" si="149"/>
        <v>0.67706487270527393</v>
      </c>
      <c r="BL762" s="29">
        <f t="shared" ca="1" si="167"/>
        <v>190</v>
      </c>
      <c r="BN762" s="22">
        <v>45307</v>
      </c>
      <c r="BO762" s="26">
        <f t="shared" ca="1" si="150"/>
        <v>0.73655554534612366</v>
      </c>
      <c r="BP762" s="29">
        <v>0</v>
      </c>
      <c r="BR762" s="22">
        <v>45307</v>
      </c>
      <c r="BS762" s="26">
        <f t="shared" ca="1" si="151"/>
        <v>0.21427566401403109</v>
      </c>
      <c r="BT762" s="29">
        <v>0</v>
      </c>
      <c r="BV762" s="22">
        <v>45307</v>
      </c>
      <c r="BW762" s="26">
        <f t="shared" ca="1" si="152"/>
        <v>0.16984581097104645</v>
      </c>
      <c r="BX762" s="29">
        <v>0</v>
      </c>
    </row>
    <row r="763" spans="2:76" ht="12.75" x14ac:dyDescent="0.2">
      <c r="B763" s="22">
        <v>45308</v>
      </c>
      <c r="C763" s="26">
        <f t="shared" ca="1" si="135"/>
        <v>9.1200917268025927E-2</v>
      </c>
      <c r="D763" s="29">
        <f t="shared" ca="1" si="134"/>
        <v>49</v>
      </c>
      <c r="F763" s="22"/>
      <c r="G763" s="26">
        <f t="shared" ca="1" si="136"/>
        <v>0.67711045733053399</v>
      </c>
      <c r="H763" s="29">
        <f t="shared" ca="1" si="154"/>
        <v>223</v>
      </c>
      <c r="J763" s="22">
        <v>45308</v>
      </c>
      <c r="K763" s="26">
        <f t="shared" ca="1" si="137"/>
        <v>0.57999509659659898</v>
      </c>
      <c r="L763" s="29">
        <f t="shared" ca="1" si="155"/>
        <v>153</v>
      </c>
      <c r="N763" s="22">
        <v>45308</v>
      </c>
      <c r="O763" s="26">
        <f t="shared" ca="1" si="138"/>
        <v>0.50225609480470013</v>
      </c>
      <c r="P763" s="29">
        <f t="shared" ca="1" si="156"/>
        <v>230</v>
      </c>
      <c r="R763" s="22">
        <v>45308</v>
      </c>
      <c r="S763" s="26">
        <f t="shared" ca="1" si="139"/>
        <v>0.21247504054276545</v>
      </c>
      <c r="T763" s="29">
        <f t="shared" ca="1" si="157"/>
        <v>132</v>
      </c>
      <c r="V763" s="22">
        <v>45308</v>
      </c>
      <c r="W763" s="26">
        <f t="shared" ca="1" si="140"/>
        <v>0.56449682440025484</v>
      </c>
      <c r="X763" s="29">
        <f t="shared" ca="1" si="158"/>
        <v>228</v>
      </c>
      <c r="Z763" s="22">
        <v>45308</v>
      </c>
      <c r="AA763" s="26">
        <f t="shared" ca="1" si="141"/>
        <v>0.29100023164681421</v>
      </c>
      <c r="AB763" s="29">
        <f t="shared" ca="1" si="159"/>
        <v>261</v>
      </c>
      <c r="AC763"/>
      <c r="AD763" s="25"/>
      <c r="AF763" s="22">
        <v>45308</v>
      </c>
      <c r="AG763" s="26">
        <f t="shared" ca="1" si="142"/>
        <v>0.7174118178453377</v>
      </c>
      <c r="AH763" s="29">
        <f t="shared" ca="1" si="160"/>
        <v>378</v>
      </c>
      <c r="AJ763" s="22">
        <v>45308</v>
      </c>
      <c r="AK763" s="26">
        <f t="shared" ca="1" si="143"/>
        <v>0.87948159149932215</v>
      </c>
      <c r="AL763" s="29">
        <f t="shared" ca="1" si="161"/>
        <v>224</v>
      </c>
      <c r="AN763" s="22">
        <v>45308</v>
      </c>
      <c r="AO763" s="26">
        <f t="shared" ca="1" si="144"/>
        <v>0.11003032428607662</v>
      </c>
      <c r="AP763" s="29">
        <f t="shared" ca="1" si="162"/>
        <v>157</v>
      </c>
      <c r="AR763" s="22">
        <v>45308</v>
      </c>
      <c r="AS763" s="26">
        <f t="shared" ca="1" si="145"/>
        <v>0.16214405610827742</v>
      </c>
      <c r="AT763" s="29">
        <f t="shared" ca="1" si="163"/>
        <v>146</v>
      </c>
      <c r="AV763" s="22">
        <v>45308</v>
      </c>
      <c r="AW763" s="26">
        <f t="shared" ca="1" si="146"/>
        <v>0.82708541254915868</v>
      </c>
      <c r="AX763" s="29">
        <f t="shared" ca="1" si="164"/>
        <v>258</v>
      </c>
      <c r="AZ763" s="22">
        <v>45308</v>
      </c>
      <c r="BA763" s="26">
        <f t="shared" ca="1" si="147"/>
        <v>0.91901441274125051</v>
      </c>
      <c r="BB763" s="29">
        <f t="shared" ca="1" si="165"/>
        <v>321</v>
      </c>
      <c r="BC763"/>
      <c r="BD763" s="25"/>
      <c r="BF763" s="22">
        <v>45308</v>
      </c>
      <c r="BG763" s="26">
        <f t="shared" ca="1" si="148"/>
        <v>0.91094204434926707</v>
      </c>
      <c r="BH763" s="29">
        <f t="shared" ca="1" si="166"/>
        <v>273</v>
      </c>
      <c r="BJ763" s="22">
        <v>45308</v>
      </c>
      <c r="BK763" s="26">
        <f t="shared" ca="1" si="149"/>
        <v>0.14650376166563739</v>
      </c>
      <c r="BL763" s="29">
        <f t="shared" ca="1" si="167"/>
        <v>122</v>
      </c>
      <c r="BN763" s="22">
        <v>45308</v>
      </c>
      <c r="BO763" s="26">
        <f t="shared" ca="1" si="150"/>
        <v>0.86752590218536807</v>
      </c>
      <c r="BP763" s="29">
        <v>0</v>
      </c>
      <c r="BR763" s="22">
        <v>45308</v>
      </c>
      <c r="BS763" s="26">
        <f t="shared" ca="1" si="151"/>
        <v>0.57237808948512714</v>
      </c>
      <c r="BT763" s="29">
        <v>0</v>
      </c>
      <c r="BV763" s="22">
        <v>45308</v>
      </c>
      <c r="BW763" s="26">
        <f t="shared" ca="1" si="152"/>
        <v>0.42695792415889389</v>
      </c>
      <c r="BX763" s="29">
        <v>0</v>
      </c>
    </row>
    <row r="764" spans="2:76" ht="12.75" x14ac:dyDescent="0.2">
      <c r="B764" s="22">
        <v>45309</v>
      </c>
      <c r="C764" s="26">
        <f t="shared" ca="1" si="135"/>
        <v>0.7960109299873952</v>
      </c>
      <c r="D764" s="29">
        <f t="shared" ca="1" si="134"/>
        <v>92</v>
      </c>
      <c r="F764" s="22"/>
      <c r="G764" s="26">
        <f t="shared" ca="1" si="136"/>
        <v>7.9364206936564985E-2</v>
      </c>
      <c r="H764" s="29">
        <f t="shared" ca="1" si="154"/>
        <v>196</v>
      </c>
      <c r="J764" s="22">
        <v>45309</v>
      </c>
      <c r="K764" s="26">
        <f t="shared" ca="1" si="137"/>
        <v>0.55214597687947897</v>
      </c>
      <c r="L764" s="29">
        <f t="shared" ca="1" si="155"/>
        <v>152</v>
      </c>
      <c r="N764" s="22">
        <v>45309</v>
      </c>
      <c r="O764" s="26">
        <f t="shared" ca="1" si="138"/>
        <v>0.70295841155283023</v>
      </c>
      <c r="P764" s="29">
        <f t="shared" ca="1" si="156"/>
        <v>238</v>
      </c>
      <c r="R764" s="22">
        <v>45309</v>
      </c>
      <c r="S764" s="26">
        <f t="shared" ca="1" si="139"/>
        <v>0.5418572467506706</v>
      </c>
      <c r="T764" s="29">
        <f t="shared" ca="1" si="157"/>
        <v>140</v>
      </c>
      <c r="V764" s="22">
        <v>45309</v>
      </c>
      <c r="W764" s="26">
        <f t="shared" ca="1" si="140"/>
        <v>0.29710186302150265</v>
      </c>
      <c r="X764" s="29">
        <f t="shared" ca="1" si="158"/>
        <v>218</v>
      </c>
      <c r="Z764" s="22">
        <v>45309</v>
      </c>
      <c r="AA764" s="26">
        <f t="shared" ca="1" si="141"/>
        <v>0.33762233106375317</v>
      </c>
      <c r="AB764" s="29">
        <f t="shared" ca="1" si="159"/>
        <v>263</v>
      </c>
      <c r="AC764"/>
      <c r="AD764" s="25"/>
      <c r="AF764" s="22">
        <v>45309</v>
      </c>
      <c r="AG764" s="26">
        <f t="shared" ca="1" si="142"/>
        <v>0.34104238017336308</v>
      </c>
      <c r="AH764" s="29">
        <f t="shared" ca="1" si="160"/>
        <v>292</v>
      </c>
      <c r="AJ764" s="22">
        <v>45309</v>
      </c>
      <c r="AK764" s="26">
        <f t="shared" ca="1" si="143"/>
        <v>0.98528548023613483</v>
      </c>
      <c r="AL764" s="29">
        <f t="shared" ca="1" si="161"/>
        <v>270</v>
      </c>
      <c r="AN764" s="22">
        <v>45309</v>
      </c>
      <c r="AO764" s="26">
        <f t="shared" ca="1" si="144"/>
        <v>0.50563743905875091</v>
      </c>
      <c r="AP764" s="29">
        <f t="shared" ca="1" si="162"/>
        <v>233</v>
      </c>
      <c r="AR764" s="22">
        <v>45309</v>
      </c>
      <c r="AS764" s="26">
        <f t="shared" ca="1" si="145"/>
        <v>0.91386405297869511</v>
      </c>
      <c r="AT764" s="29">
        <f t="shared" ca="1" si="163"/>
        <v>271</v>
      </c>
      <c r="AV764" s="22">
        <v>45309</v>
      </c>
      <c r="AW764" s="26">
        <f t="shared" ca="1" si="146"/>
        <v>0.31109960323648889</v>
      </c>
      <c r="AX764" s="29">
        <f t="shared" ca="1" si="164"/>
        <v>179</v>
      </c>
      <c r="AZ764" s="22">
        <v>45309</v>
      </c>
      <c r="BA764" s="26">
        <f t="shared" ca="1" si="147"/>
        <v>0.10023472665038846</v>
      </c>
      <c r="BB764" s="29">
        <f t="shared" ca="1" si="165"/>
        <v>154</v>
      </c>
      <c r="BC764"/>
      <c r="BD764" s="25"/>
      <c r="BF764" s="22">
        <v>45309</v>
      </c>
      <c r="BG764" s="26">
        <f t="shared" ca="1" si="148"/>
        <v>0.34568859347755332</v>
      </c>
      <c r="BH764" s="29">
        <f t="shared" ca="1" si="166"/>
        <v>180</v>
      </c>
      <c r="BJ764" s="22">
        <v>45309</v>
      </c>
      <c r="BK764" s="26">
        <f t="shared" ca="1" si="149"/>
        <v>0.97496401019537016</v>
      </c>
      <c r="BL764" s="29">
        <f t="shared" ca="1" si="167"/>
        <v>257</v>
      </c>
      <c r="BN764" s="22">
        <v>45309</v>
      </c>
      <c r="BO764" s="26">
        <f t="shared" ca="1" si="150"/>
        <v>0.81448277305883476</v>
      </c>
      <c r="BP764" s="29">
        <v>0</v>
      </c>
      <c r="BR764" s="22">
        <v>45309</v>
      </c>
      <c r="BS764" s="26">
        <f t="shared" ca="1" si="151"/>
        <v>0.52316993969073322</v>
      </c>
      <c r="BT764" s="29">
        <v>0</v>
      </c>
      <c r="BV764" s="22">
        <v>45309</v>
      </c>
      <c r="BW764" s="26">
        <f t="shared" ca="1" si="152"/>
        <v>0.37157765874200677</v>
      </c>
      <c r="BX764" s="29">
        <v>0</v>
      </c>
    </row>
    <row r="765" spans="2:76" ht="12.75" x14ac:dyDescent="0.2">
      <c r="B765" s="22">
        <v>45310</v>
      </c>
      <c r="C765" s="26">
        <f t="shared" ca="1" si="135"/>
        <v>0.17003705691269566</v>
      </c>
      <c r="D765" s="29">
        <f t="shared" ca="1" si="134"/>
        <v>56</v>
      </c>
      <c r="F765" s="22"/>
      <c r="G765" s="26">
        <f t="shared" ca="1" si="136"/>
        <v>0.172986451670462</v>
      </c>
      <c r="H765" s="29">
        <f t="shared" ca="1" si="154"/>
        <v>202</v>
      </c>
      <c r="J765" s="22">
        <v>45310</v>
      </c>
      <c r="K765" s="26">
        <f t="shared" ca="1" si="137"/>
        <v>0.64524785386078554</v>
      </c>
      <c r="L765" s="29">
        <f t="shared" ca="1" si="155"/>
        <v>154</v>
      </c>
      <c r="N765" s="22">
        <v>45310</v>
      </c>
      <c r="O765" s="26">
        <f t="shared" ca="1" si="138"/>
        <v>0.44376601652291681</v>
      </c>
      <c r="P765" s="29">
        <f t="shared" ca="1" si="156"/>
        <v>228</v>
      </c>
      <c r="R765" s="22">
        <v>45310</v>
      </c>
      <c r="S765" s="26">
        <f t="shared" ca="1" si="139"/>
        <v>0.18728432248575999</v>
      </c>
      <c r="T765" s="29">
        <f t="shared" ca="1" si="157"/>
        <v>131</v>
      </c>
      <c r="V765" s="22">
        <v>45310</v>
      </c>
      <c r="W765" s="26">
        <f t="shared" ca="1" si="140"/>
        <v>0.31637071349991652</v>
      </c>
      <c r="X765" s="29">
        <f t="shared" ca="1" si="158"/>
        <v>218</v>
      </c>
      <c r="Z765" s="22">
        <v>45310</v>
      </c>
      <c r="AA765" s="26">
        <f t="shared" ca="1" si="141"/>
        <v>0.19623400458239904</v>
      </c>
      <c r="AB765" s="29">
        <f t="shared" ca="1" si="159"/>
        <v>255</v>
      </c>
      <c r="AC765"/>
      <c r="AD765" s="25"/>
      <c r="AF765" s="22">
        <v>45310</v>
      </c>
      <c r="AG765" s="26">
        <f t="shared" ca="1" si="142"/>
        <v>0.27412662894490059</v>
      </c>
      <c r="AH765" s="29">
        <f t="shared" ca="1" si="160"/>
        <v>275</v>
      </c>
      <c r="AJ765" s="22">
        <v>45310</v>
      </c>
      <c r="AK765" s="26">
        <f t="shared" ca="1" si="143"/>
        <v>0.37180615958063956</v>
      </c>
      <c r="AL765" s="29">
        <f t="shared" ca="1" si="161"/>
        <v>156</v>
      </c>
      <c r="AN765" s="22">
        <v>45310</v>
      </c>
      <c r="AO765" s="26">
        <f t="shared" ca="1" si="144"/>
        <v>0.65114204383295538</v>
      </c>
      <c r="AP765" s="29">
        <f t="shared" ca="1" si="162"/>
        <v>257</v>
      </c>
      <c r="AR765" s="22">
        <v>45310</v>
      </c>
      <c r="AS765" s="26">
        <f t="shared" ca="1" si="145"/>
        <v>0.92057425959722428</v>
      </c>
      <c r="AT765" s="29">
        <f t="shared" ca="1" si="163"/>
        <v>273</v>
      </c>
      <c r="AV765" s="22">
        <v>45310</v>
      </c>
      <c r="AW765" s="26">
        <f t="shared" ca="1" si="146"/>
        <v>0.60368546029026371</v>
      </c>
      <c r="AX765" s="29">
        <f t="shared" ca="1" si="164"/>
        <v>220</v>
      </c>
      <c r="AZ765" s="22">
        <v>45310</v>
      </c>
      <c r="BA765" s="26">
        <f t="shared" ca="1" si="147"/>
        <v>0.44577299363858214</v>
      </c>
      <c r="BB765" s="29">
        <f t="shared" ca="1" si="165"/>
        <v>226</v>
      </c>
      <c r="BC765"/>
      <c r="BD765" s="25"/>
      <c r="BF765" s="22">
        <v>45310</v>
      </c>
      <c r="BG765" s="26">
        <f t="shared" ca="1" si="148"/>
        <v>0.78535557869451544</v>
      </c>
      <c r="BH765" s="29">
        <f t="shared" ca="1" si="166"/>
        <v>243</v>
      </c>
      <c r="BJ765" s="22">
        <v>45310</v>
      </c>
      <c r="BK765" s="26">
        <f t="shared" ca="1" si="149"/>
        <v>0.47205635503722321</v>
      </c>
      <c r="BL765" s="29">
        <f t="shared" ca="1" si="167"/>
        <v>166</v>
      </c>
      <c r="BN765" s="22">
        <v>45310</v>
      </c>
      <c r="BO765" s="26">
        <f t="shared" ca="1" si="150"/>
        <v>0.35608595409003951</v>
      </c>
      <c r="BP765" s="29">
        <v>0</v>
      </c>
      <c r="BR765" s="22">
        <v>45310</v>
      </c>
      <c r="BS765" s="26">
        <f t="shared" ca="1" si="151"/>
        <v>0.42185657987681513</v>
      </c>
      <c r="BT765" s="29">
        <v>0</v>
      </c>
      <c r="BV765" s="22">
        <v>45310</v>
      </c>
      <c r="BW765" s="26">
        <f t="shared" ca="1" si="152"/>
        <v>0.43058410183784046</v>
      </c>
      <c r="BX765" s="29">
        <v>0</v>
      </c>
    </row>
    <row r="766" spans="2:76" ht="12.75" x14ac:dyDescent="0.2">
      <c r="B766" s="22">
        <v>45311</v>
      </c>
      <c r="C766" s="26">
        <f t="shared" ca="1" si="135"/>
        <v>0.30092717761772503</v>
      </c>
      <c r="D766" s="29">
        <f t="shared" ca="1" si="134"/>
        <v>65</v>
      </c>
      <c r="F766" s="22"/>
      <c r="G766" s="26">
        <f t="shared" ca="1" si="136"/>
        <v>0.7270685610603409</v>
      </c>
      <c r="H766" s="29">
        <f t="shared" ca="1" si="154"/>
        <v>225</v>
      </c>
      <c r="J766" s="22">
        <v>45311</v>
      </c>
      <c r="K766" s="26">
        <f t="shared" ca="1" si="137"/>
        <v>0.37965765868858281</v>
      </c>
      <c r="L766" s="29">
        <f t="shared" ca="1" si="155"/>
        <v>147</v>
      </c>
      <c r="N766" s="22">
        <v>45311</v>
      </c>
      <c r="O766" s="26">
        <f t="shared" ca="1" si="138"/>
        <v>0.35631405739239974</v>
      </c>
      <c r="P766" s="29">
        <f t="shared" ca="1" si="156"/>
        <v>224</v>
      </c>
      <c r="R766" s="22">
        <v>45311</v>
      </c>
      <c r="S766" s="26">
        <f t="shared" ca="1" si="139"/>
        <v>0.87216781257501275</v>
      </c>
      <c r="T766" s="29">
        <f t="shared" ca="1" si="157"/>
        <v>150</v>
      </c>
      <c r="V766" s="22">
        <v>45311</v>
      </c>
      <c r="W766" s="26">
        <f t="shared" ca="1" si="140"/>
        <v>0.81159753047250682</v>
      </c>
      <c r="X766" s="29">
        <f t="shared" ca="1" si="158"/>
        <v>239</v>
      </c>
      <c r="Z766" s="22">
        <v>45311</v>
      </c>
      <c r="AA766" s="26">
        <f t="shared" ca="1" si="141"/>
        <v>0.20749905268873703</v>
      </c>
      <c r="AB766" s="29">
        <f t="shared" ca="1" si="159"/>
        <v>256</v>
      </c>
      <c r="AC766"/>
      <c r="AD766" s="25"/>
      <c r="AF766" s="22">
        <v>45311</v>
      </c>
      <c r="AG766" s="26">
        <f t="shared" ca="1" si="142"/>
        <v>0.15281642582750588</v>
      </c>
      <c r="AH766" s="29">
        <f t="shared" ca="1" si="160"/>
        <v>238</v>
      </c>
      <c r="AJ766" s="22">
        <v>45311</v>
      </c>
      <c r="AK766" s="26">
        <f t="shared" ca="1" si="143"/>
        <v>0.57165808617441505</v>
      </c>
      <c r="AL766" s="29">
        <f t="shared" ca="1" si="161"/>
        <v>179</v>
      </c>
      <c r="AN766" s="22">
        <v>45311</v>
      </c>
      <c r="AO766" s="26">
        <f t="shared" ca="1" si="144"/>
        <v>3.492517201487022E-3</v>
      </c>
      <c r="AP766" s="29">
        <f t="shared" ca="1" si="162"/>
        <v>66</v>
      </c>
      <c r="AR766" s="22">
        <v>45311</v>
      </c>
      <c r="AS766" s="26">
        <f t="shared" ca="1" si="145"/>
        <v>0.23330843521778588</v>
      </c>
      <c r="AT766" s="29">
        <f t="shared" ca="1" si="163"/>
        <v>160</v>
      </c>
      <c r="AV766" s="22">
        <v>45311</v>
      </c>
      <c r="AW766" s="26">
        <f t="shared" ca="1" si="146"/>
        <v>6.80658477179098E-2</v>
      </c>
      <c r="AX766" s="29">
        <f t="shared" ca="1" si="164"/>
        <v>124</v>
      </c>
      <c r="AZ766" s="22">
        <v>45311</v>
      </c>
      <c r="BA766" s="26">
        <f t="shared" ca="1" si="147"/>
        <v>0.8956538423368956</v>
      </c>
      <c r="BB766" s="29">
        <f t="shared" ca="1" si="165"/>
        <v>312</v>
      </c>
      <c r="BC766"/>
      <c r="BD766" s="25"/>
      <c r="BF766" s="22">
        <v>45311</v>
      </c>
      <c r="BG766" s="26">
        <f t="shared" ca="1" si="148"/>
        <v>0.39455260449033525</v>
      </c>
      <c r="BH766" s="29">
        <f t="shared" ca="1" si="166"/>
        <v>187</v>
      </c>
      <c r="BJ766" s="22">
        <v>45311</v>
      </c>
      <c r="BK766" s="26">
        <f t="shared" ca="1" si="149"/>
        <v>0.31824519852086497</v>
      </c>
      <c r="BL766" s="29">
        <f t="shared" ca="1" si="167"/>
        <v>148</v>
      </c>
      <c r="BN766" s="22">
        <v>45311</v>
      </c>
      <c r="BO766" s="26">
        <f t="shared" ca="1" si="150"/>
        <v>0.19191889013278907</v>
      </c>
      <c r="BP766" s="29">
        <v>0</v>
      </c>
      <c r="BR766" s="22">
        <v>45311</v>
      </c>
      <c r="BS766" s="26">
        <f t="shared" ca="1" si="151"/>
        <v>0.55016210152614864</v>
      </c>
      <c r="BT766" s="29">
        <v>0</v>
      </c>
      <c r="BV766" s="22">
        <v>45311</v>
      </c>
      <c r="BW766" s="26">
        <f t="shared" ca="1" si="152"/>
        <v>5.9427503942912741E-2</v>
      </c>
      <c r="BX766" s="29">
        <v>0</v>
      </c>
    </row>
    <row r="767" spans="2:76" ht="12.75" x14ac:dyDescent="0.2">
      <c r="B767" s="22">
        <v>45312</v>
      </c>
      <c r="C767" s="26">
        <f t="shared" ca="1" si="135"/>
        <v>0.32484083517130435</v>
      </c>
      <c r="D767" s="29">
        <f t="shared" ca="1" si="134"/>
        <v>66</v>
      </c>
      <c r="F767" s="22"/>
      <c r="G767" s="26">
        <f t="shared" ca="1" si="136"/>
        <v>0.89078998994838787</v>
      </c>
      <c r="H767" s="29">
        <f t="shared" ca="1" si="154"/>
        <v>234</v>
      </c>
      <c r="J767" s="22">
        <v>45312</v>
      </c>
      <c r="K767" s="26">
        <f t="shared" ca="1" si="137"/>
        <v>0.47656700588484835</v>
      </c>
      <c r="L767" s="29">
        <f t="shared" ca="1" si="155"/>
        <v>150</v>
      </c>
      <c r="N767" s="22">
        <v>45312</v>
      </c>
      <c r="O767" s="26">
        <f t="shared" ca="1" si="138"/>
        <v>0.51380328297211908</v>
      </c>
      <c r="P767" s="29">
        <f t="shared" ca="1" si="156"/>
        <v>230</v>
      </c>
      <c r="R767" s="22">
        <v>45312</v>
      </c>
      <c r="S767" s="26">
        <f t="shared" ca="1" si="139"/>
        <v>0.35630499940649496</v>
      </c>
      <c r="T767" s="29">
        <f t="shared" ca="1" si="157"/>
        <v>136</v>
      </c>
      <c r="V767" s="22">
        <v>45312</v>
      </c>
      <c r="W767" s="26">
        <f t="shared" ca="1" si="140"/>
        <v>0.14861222098772497</v>
      </c>
      <c r="X767" s="29">
        <f t="shared" ca="1" si="158"/>
        <v>210</v>
      </c>
      <c r="Z767" s="22">
        <v>45312</v>
      </c>
      <c r="AA767" s="26">
        <f t="shared" ca="1" si="141"/>
        <v>0.70181536198206795</v>
      </c>
      <c r="AB767" s="29">
        <f t="shared" ca="1" si="159"/>
        <v>280</v>
      </c>
      <c r="AC767"/>
      <c r="AD767" s="25"/>
      <c r="AF767" s="22">
        <v>45312</v>
      </c>
      <c r="AG767" s="26">
        <f t="shared" ca="1" si="142"/>
        <v>0.5993506754037099</v>
      </c>
      <c r="AH767" s="29">
        <f t="shared" ca="1" si="160"/>
        <v>349</v>
      </c>
      <c r="AJ767" s="22">
        <v>45312</v>
      </c>
      <c r="AK767" s="26">
        <f t="shared" ca="1" si="143"/>
        <v>0.41155632701642775</v>
      </c>
      <c r="AL767" s="29">
        <f t="shared" ca="1" si="161"/>
        <v>161</v>
      </c>
      <c r="AN767" s="22">
        <v>45312</v>
      </c>
      <c r="AO767" s="26">
        <f t="shared" ca="1" si="144"/>
        <v>0.69751920387925281</v>
      </c>
      <c r="AP767" s="29">
        <f t="shared" ca="1" si="162"/>
        <v>265</v>
      </c>
      <c r="AR767" s="22">
        <v>45312</v>
      </c>
      <c r="AS767" s="26">
        <f t="shared" ca="1" si="145"/>
        <v>0.83092638493467585</v>
      </c>
      <c r="AT767" s="29">
        <f t="shared" ca="1" si="163"/>
        <v>249</v>
      </c>
      <c r="AV767" s="22">
        <v>45312</v>
      </c>
      <c r="AW767" s="26">
        <f t="shared" ca="1" si="146"/>
        <v>5.4832700328223849E-2</v>
      </c>
      <c r="AX767" s="29">
        <f t="shared" ca="1" si="164"/>
        <v>118</v>
      </c>
      <c r="AZ767" s="22">
        <v>45312</v>
      </c>
      <c r="BA767" s="26">
        <f t="shared" ca="1" si="147"/>
        <v>0.41877990355732264</v>
      </c>
      <c r="BB767" s="29">
        <f t="shared" ca="1" si="165"/>
        <v>221</v>
      </c>
      <c r="BC767"/>
      <c r="BD767" s="25"/>
      <c r="BF767" s="22">
        <v>45312</v>
      </c>
      <c r="BG767" s="26">
        <f t="shared" ca="1" si="148"/>
        <v>0.49406218408072089</v>
      </c>
      <c r="BH767" s="29">
        <f t="shared" ca="1" si="166"/>
        <v>200</v>
      </c>
      <c r="BJ767" s="22">
        <v>45312</v>
      </c>
      <c r="BK767" s="26">
        <f t="shared" ca="1" si="149"/>
        <v>0.95648170776334263</v>
      </c>
      <c r="BL767" s="29">
        <f t="shared" ca="1" si="167"/>
        <v>246</v>
      </c>
      <c r="BN767" s="22">
        <v>45312</v>
      </c>
      <c r="BO767" s="26">
        <f t="shared" ca="1" si="150"/>
        <v>0.93218452067073665</v>
      </c>
      <c r="BP767" s="29">
        <v>0</v>
      </c>
      <c r="BR767" s="22">
        <v>45312</v>
      </c>
      <c r="BS767" s="26">
        <f t="shared" ca="1" si="151"/>
        <v>0.10258410560775133</v>
      </c>
      <c r="BT767" s="29">
        <v>0</v>
      </c>
      <c r="BV767" s="22">
        <v>45312</v>
      </c>
      <c r="BW767" s="26">
        <f t="shared" ca="1" si="152"/>
        <v>0.92142413914063548</v>
      </c>
      <c r="BX767" s="29">
        <v>0</v>
      </c>
    </row>
    <row r="768" spans="2:76" ht="12.75" x14ac:dyDescent="0.2">
      <c r="B768" s="22">
        <v>45313</v>
      </c>
      <c r="C768" s="26">
        <f t="shared" ca="1" si="135"/>
        <v>0.85834797652398431</v>
      </c>
      <c r="D768" s="29">
        <f t="shared" ca="1" si="134"/>
        <v>97</v>
      </c>
      <c r="F768" s="22"/>
      <c r="G768" s="26">
        <f t="shared" ca="1" si="136"/>
        <v>0.29363735493283716</v>
      </c>
      <c r="H768" s="29">
        <f t="shared" ca="1" si="154"/>
        <v>208</v>
      </c>
      <c r="J768" s="22">
        <v>45313</v>
      </c>
      <c r="K768" s="26">
        <f t="shared" ca="1" si="137"/>
        <v>6.1222411783534159E-2</v>
      </c>
      <c r="L768" s="29">
        <f t="shared" ca="1" si="155"/>
        <v>135</v>
      </c>
      <c r="N768" s="22">
        <v>45313</v>
      </c>
      <c r="O768" s="26">
        <f t="shared" ca="1" si="138"/>
        <v>0.30322831098486247</v>
      </c>
      <c r="P768" s="29">
        <f t="shared" ca="1" si="156"/>
        <v>222</v>
      </c>
      <c r="R768" s="22">
        <v>45313</v>
      </c>
      <c r="S768" s="26">
        <f t="shared" ca="1" si="139"/>
        <v>0.86058567114151852</v>
      </c>
      <c r="T768" s="29">
        <f t="shared" ca="1" si="157"/>
        <v>149</v>
      </c>
      <c r="V768" s="22">
        <v>45313</v>
      </c>
      <c r="W768" s="26">
        <f t="shared" ca="1" si="140"/>
        <v>0.66752961391993682</v>
      </c>
      <c r="X768" s="29">
        <f t="shared" ca="1" si="158"/>
        <v>232</v>
      </c>
      <c r="Z768" s="22">
        <v>45313</v>
      </c>
      <c r="AA768" s="26">
        <f t="shared" ca="1" si="141"/>
        <v>7.3159888040641108E-2</v>
      </c>
      <c r="AB768" s="29">
        <f t="shared" ca="1" si="159"/>
        <v>244</v>
      </c>
      <c r="AC768"/>
      <c r="AD768" s="25"/>
      <c r="AF768" s="22">
        <v>45313</v>
      </c>
      <c r="AG768" s="26">
        <f t="shared" ca="1" si="142"/>
        <v>0.95035172668583323</v>
      </c>
      <c r="AH768" s="29">
        <f t="shared" ca="1" si="160"/>
        <v>471</v>
      </c>
      <c r="AJ768" s="22">
        <v>45313</v>
      </c>
      <c r="AK768" s="26">
        <f t="shared" ca="1" si="143"/>
        <v>0.83226214059009951</v>
      </c>
      <c r="AL768" s="29">
        <f t="shared" ca="1" si="161"/>
        <v>215</v>
      </c>
      <c r="AN768" s="22">
        <v>45313</v>
      </c>
      <c r="AO768" s="26">
        <f t="shared" ca="1" si="144"/>
        <v>0.67164220408555442</v>
      </c>
      <c r="AP768" s="29">
        <f t="shared" ca="1" si="162"/>
        <v>260</v>
      </c>
      <c r="AR768" s="22">
        <v>45313</v>
      </c>
      <c r="AS768" s="26">
        <f t="shared" ca="1" si="145"/>
        <v>0.10395211727417264</v>
      </c>
      <c r="AT768" s="29">
        <f t="shared" ca="1" si="163"/>
        <v>132</v>
      </c>
      <c r="AV768" s="22">
        <v>45313</v>
      </c>
      <c r="AW768" s="26">
        <f t="shared" ca="1" si="146"/>
        <v>0.89119384414121827</v>
      </c>
      <c r="AX768" s="29">
        <f t="shared" ca="1" si="164"/>
        <v>274</v>
      </c>
      <c r="AZ768" s="22">
        <v>45313</v>
      </c>
      <c r="BA768" s="26">
        <f t="shared" ca="1" si="147"/>
        <v>0.80837304786441933</v>
      </c>
      <c r="BB768" s="29">
        <f t="shared" ca="1" si="165"/>
        <v>288</v>
      </c>
      <c r="BC768"/>
      <c r="BD768" s="25"/>
      <c r="BF768" s="22">
        <v>45313</v>
      </c>
      <c r="BG768" s="26">
        <f t="shared" ca="1" si="148"/>
        <v>0.23185590393685995</v>
      </c>
      <c r="BH768" s="29">
        <f t="shared" ca="1" si="166"/>
        <v>162</v>
      </c>
      <c r="BJ768" s="22">
        <v>45313</v>
      </c>
      <c r="BK768" s="26">
        <f t="shared" ca="1" si="149"/>
        <v>0.74760015221049392</v>
      </c>
      <c r="BL768" s="29">
        <f t="shared" ca="1" si="167"/>
        <v>199</v>
      </c>
      <c r="BN768" s="22">
        <v>45313</v>
      </c>
      <c r="BO768" s="26">
        <f t="shared" ca="1" si="150"/>
        <v>0.27218969285644135</v>
      </c>
      <c r="BP768" s="29">
        <v>0</v>
      </c>
      <c r="BR768" s="22">
        <v>45313</v>
      </c>
      <c r="BS768" s="26">
        <f t="shared" ca="1" si="151"/>
        <v>0.38015281530868406</v>
      </c>
      <c r="BT768" s="29">
        <v>0</v>
      </c>
      <c r="BV768" s="22">
        <v>45313</v>
      </c>
      <c r="BW768" s="26">
        <f t="shared" ca="1" si="152"/>
        <v>4.0525180285693296E-2</v>
      </c>
      <c r="BX768" s="29">
        <v>0</v>
      </c>
    </row>
    <row r="769" spans="2:77" ht="12.75" x14ac:dyDescent="0.2">
      <c r="B769" s="22">
        <v>45314</v>
      </c>
      <c r="C769" s="26">
        <f t="shared" ca="1" si="135"/>
        <v>0.25565707436464025</v>
      </c>
      <c r="D769" s="29">
        <f t="shared" ca="1" si="134"/>
        <v>62</v>
      </c>
      <c r="F769" s="22"/>
      <c r="G769" s="26">
        <f t="shared" ca="1" si="136"/>
        <v>0.60750463960495971</v>
      </c>
      <c r="H769" s="29">
        <f t="shared" ca="1" si="154"/>
        <v>220</v>
      </c>
      <c r="J769" s="22">
        <v>45314</v>
      </c>
      <c r="K769" s="26">
        <f t="shared" ca="1" si="137"/>
        <v>0.27593240084429027</v>
      </c>
      <c r="L769" s="29">
        <f t="shared" ca="1" si="155"/>
        <v>145</v>
      </c>
      <c r="N769" s="22">
        <v>45314</v>
      </c>
      <c r="O769" s="26">
        <f t="shared" ca="1" si="138"/>
        <v>0.99399250067018652</v>
      </c>
      <c r="P769" s="29">
        <f t="shared" ca="1" si="156"/>
        <v>268</v>
      </c>
      <c r="R769" s="22">
        <v>45314</v>
      </c>
      <c r="S769" s="26">
        <f t="shared" ca="1" si="139"/>
        <v>6.9480515311706625E-2</v>
      </c>
      <c r="T769" s="29">
        <f t="shared" ca="1" si="157"/>
        <v>126</v>
      </c>
      <c r="V769" s="22">
        <v>45314</v>
      </c>
      <c r="W769" s="26">
        <f t="shared" ca="1" si="140"/>
        <v>0.13602464357019861</v>
      </c>
      <c r="X769" s="29">
        <f t="shared" ca="1" si="158"/>
        <v>209</v>
      </c>
      <c r="Z769" s="22">
        <v>45314</v>
      </c>
      <c r="AA769" s="26">
        <f t="shared" ca="1" si="141"/>
        <v>5.2693958836973143E-2</v>
      </c>
      <c r="AB769" s="29">
        <f t="shared" ca="1" si="159"/>
        <v>241</v>
      </c>
      <c r="AC769"/>
      <c r="AD769" s="25"/>
      <c r="AF769" s="22">
        <v>45314</v>
      </c>
      <c r="AG769" s="26">
        <f t="shared" ca="1" si="142"/>
        <v>3.1946277774457355E-2</v>
      </c>
      <c r="AH769" s="29">
        <f t="shared" ca="1" si="160"/>
        <v>166</v>
      </c>
      <c r="AJ769" s="22">
        <v>45314</v>
      </c>
      <c r="AK769" s="26">
        <f t="shared" ca="1" si="143"/>
        <v>1.9026288808694392E-2</v>
      </c>
      <c r="AL769" s="29">
        <f t="shared" ca="1" si="161"/>
        <v>77</v>
      </c>
      <c r="AN769" s="22">
        <v>45314</v>
      </c>
      <c r="AO769" s="26">
        <f t="shared" ca="1" si="144"/>
        <v>0.38264562189317186</v>
      </c>
      <c r="AP769" s="29">
        <f t="shared" ca="1" si="162"/>
        <v>214</v>
      </c>
      <c r="AR769" s="22">
        <v>45314</v>
      </c>
      <c r="AS769" s="26">
        <f t="shared" ca="1" si="145"/>
        <v>0.1431427950774008</v>
      </c>
      <c r="AT769" s="29">
        <f t="shared" ca="1" si="163"/>
        <v>142</v>
      </c>
      <c r="AV769" s="22">
        <v>45314</v>
      </c>
      <c r="AW769" s="26">
        <f t="shared" ca="1" si="146"/>
        <v>1.3049155222745301E-2</v>
      </c>
      <c r="AX769" s="29">
        <f t="shared" ca="1" si="164"/>
        <v>84</v>
      </c>
      <c r="AZ769" s="22">
        <v>45314</v>
      </c>
      <c r="BA769" s="26">
        <f t="shared" ca="1" si="147"/>
        <v>0.77528221020443855</v>
      </c>
      <c r="BB769" s="29">
        <f t="shared" ca="1" si="165"/>
        <v>281</v>
      </c>
      <c r="BC769"/>
      <c r="BD769" s="25"/>
      <c r="BF769" s="22">
        <v>45314</v>
      </c>
      <c r="BG769" s="26">
        <f t="shared" ca="1" si="148"/>
        <v>0.54171360700963711</v>
      </c>
      <c r="BH769" s="29">
        <f t="shared" ca="1" si="166"/>
        <v>207</v>
      </c>
      <c r="BJ769" s="22">
        <v>45314</v>
      </c>
      <c r="BK769" s="26">
        <f t="shared" ca="1" si="149"/>
        <v>0.81640500144103589</v>
      </c>
      <c r="BL769" s="29">
        <f t="shared" ca="1" si="167"/>
        <v>210</v>
      </c>
      <c r="BN769" s="22">
        <v>45314</v>
      </c>
      <c r="BO769" s="26">
        <f t="shared" ca="1" si="150"/>
        <v>0.82978592233566228</v>
      </c>
      <c r="BP769" s="29">
        <v>0</v>
      </c>
      <c r="BR769" s="22">
        <v>45314</v>
      </c>
      <c r="BS769" s="26">
        <f t="shared" ca="1" si="151"/>
        <v>0.61258514785535545</v>
      </c>
      <c r="BT769" s="29">
        <v>0</v>
      </c>
      <c r="BV769" s="22">
        <v>45314</v>
      </c>
      <c r="BW769" s="26">
        <f t="shared" ca="1" si="152"/>
        <v>0.43053199267289988</v>
      </c>
      <c r="BX769" s="29">
        <v>0</v>
      </c>
    </row>
    <row r="770" spans="2:77" ht="12.75" x14ac:dyDescent="0.2">
      <c r="B770" s="22">
        <v>45315</v>
      </c>
      <c r="C770" s="26">
        <f t="shared" ca="1" si="135"/>
        <v>0.81970808845594401</v>
      </c>
      <c r="D770" s="29">
        <f t="shared" ca="1" si="134"/>
        <v>94</v>
      </c>
      <c r="F770" s="22"/>
      <c r="G770" s="26">
        <f t="shared" ca="1" si="136"/>
        <v>0.34270091807712122</v>
      </c>
      <c r="H770" s="29">
        <f t="shared" ca="1" si="154"/>
        <v>210</v>
      </c>
      <c r="J770" s="22">
        <v>45315</v>
      </c>
      <c r="K770" s="26">
        <f t="shared" ca="1" si="137"/>
        <v>0.40976033024042968</v>
      </c>
      <c r="L770" s="29">
        <f t="shared" ca="1" si="155"/>
        <v>148</v>
      </c>
      <c r="N770" s="22">
        <v>45315</v>
      </c>
      <c r="O770" s="26">
        <f t="shared" ca="1" si="138"/>
        <v>0.5478554018713766</v>
      </c>
      <c r="P770" s="29">
        <f t="shared" ca="1" si="156"/>
        <v>232</v>
      </c>
      <c r="R770" s="22">
        <v>45315</v>
      </c>
      <c r="S770" s="26">
        <f t="shared" ca="1" si="139"/>
        <v>9.2851403023173518E-2</v>
      </c>
      <c r="T770" s="29">
        <f t="shared" ca="1" si="157"/>
        <v>127</v>
      </c>
      <c r="V770" s="22">
        <v>45315</v>
      </c>
      <c r="W770" s="26">
        <f t="shared" ca="1" si="140"/>
        <v>8.5950486154576788E-3</v>
      </c>
      <c r="X770" s="29">
        <f t="shared" ca="1" si="158"/>
        <v>190</v>
      </c>
      <c r="Z770" s="22">
        <v>45315</v>
      </c>
      <c r="AA770" s="26">
        <f t="shared" ca="1" si="141"/>
        <v>0.23366077501745175</v>
      </c>
      <c r="AB770" s="29">
        <f t="shared" ca="1" si="159"/>
        <v>257</v>
      </c>
      <c r="AC770"/>
      <c r="AD770" s="25"/>
      <c r="AF770" s="22">
        <v>45315</v>
      </c>
      <c r="AG770" s="26">
        <f t="shared" ca="1" si="142"/>
        <v>0.94009226932947176</v>
      </c>
      <c r="AH770" s="29">
        <f t="shared" ca="1" si="160"/>
        <v>463</v>
      </c>
      <c r="AJ770" s="22">
        <v>45315</v>
      </c>
      <c r="AK770" s="26">
        <f t="shared" ca="1" si="143"/>
        <v>0.84436017242814232</v>
      </c>
      <c r="AL770" s="29">
        <f t="shared" ca="1" si="161"/>
        <v>217</v>
      </c>
      <c r="AN770" s="22">
        <v>45315</v>
      </c>
      <c r="AO770" s="26">
        <f t="shared" ca="1" si="144"/>
        <v>0.31098214337645369</v>
      </c>
      <c r="AP770" s="29">
        <f t="shared" ca="1" si="162"/>
        <v>202</v>
      </c>
      <c r="AR770" s="22">
        <v>45315</v>
      </c>
      <c r="AS770" s="26">
        <f t="shared" ca="1" si="145"/>
        <v>0.83623348376314421</v>
      </c>
      <c r="AT770" s="29">
        <f t="shared" ca="1" si="163"/>
        <v>250</v>
      </c>
      <c r="AV770" s="22">
        <v>45315</v>
      </c>
      <c r="AW770" s="26">
        <f t="shared" ca="1" si="146"/>
        <v>0.44306042927222755</v>
      </c>
      <c r="AX770" s="29">
        <f t="shared" ca="1" si="164"/>
        <v>198</v>
      </c>
      <c r="AZ770" s="22">
        <v>45315</v>
      </c>
      <c r="BA770" s="26">
        <f t="shared" ca="1" si="147"/>
        <v>0.10507904676222835</v>
      </c>
      <c r="BB770" s="29">
        <f t="shared" ca="1" si="165"/>
        <v>156</v>
      </c>
      <c r="BC770"/>
      <c r="BD770" s="25"/>
      <c r="BF770" s="22">
        <v>45315</v>
      </c>
      <c r="BG770" s="26">
        <f t="shared" ca="1" si="148"/>
        <v>0.33565687391445098</v>
      </c>
      <c r="BH770" s="29">
        <f t="shared" ca="1" si="166"/>
        <v>178</v>
      </c>
      <c r="BJ770" s="22">
        <v>45315</v>
      </c>
      <c r="BK770" s="26">
        <f t="shared" ca="1" si="149"/>
        <v>0.88236048163629599</v>
      </c>
      <c r="BL770" s="29">
        <f t="shared" ca="1" si="167"/>
        <v>222</v>
      </c>
      <c r="BN770" s="22">
        <v>45315</v>
      </c>
      <c r="BO770" s="26">
        <f t="shared" ca="1" si="150"/>
        <v>0.98492923026623069</v>
      </c>
      <c r="BP770" s="29">
        <v>0</v>
      </c>
      <c r="BR770" s="22">
        <v>45315</v>
      </c>
      <c r="BS770" s="26">
        <f t="shared" ca="1" si="151"/>
        <v>0.55763965775082436</v>
      </c>
      <c r="BT770" s="29">
        <v>0</v>
      </c>
      <c r="BV770" s="22">
        <v>45315</v>
      </c>
      <c r="BW770" s="26">
        <f t="shared" ca="1" si="152"/>
        <v>0.8404816484567097</v>
      </c>
      <c r="BX770" s="29">
        <v>0</v>
      </c>
    </row>
    <row r="771" spans="2:77" ht="12.75" x14ac:dyDescent="0.2">
      <c r="B771" s="22">
        <v>45316</v>
      </c>
      <c r="C771" s="26">
        <f t="shared" ca="1" si="135"/>
        <v>0.42621077854889156</v>
      </c>
      <c r="D771" s="29">
        <f t="shared" ca="1" si="134"/>
        <v>72</v>
      </c>
      <c r="F771" s="22"/>
      <c r="G771" s="26">
        <f t="shared" ca="1" si="136"/>
        <v>0.60885212988078452</v>
      </c>
      <c r="H771" s="29">
        <f t="shared" ca="1" si="154"/>
        <v>220</v>
      </c>
      <c r="J771" s="22">
        <v>45316</v>
      </c>
      <c r="K771" s="26">
        <f t="shared" ca="1" si="137"/>
        <v>0.93382829289589675</v>
      </c>
      <c r="L771" s="29">
        <f t="shared" ca="1" si="155"/>
        <v>166</v>
      </c>
      <c r="N771" s="22">
        <v>45316</v>
      </c>
      <c r="O771" s="26">
        <f t="shared" ca="1" si="138"/>
        <v>4.2686446902213682E-2</v>
      </c>
      <c r="P771" s="29">
        <f t="shared" ca="1" si="156"/>
        <v>204</v>
      </c>
      <c r="R771" s="22">
        <v>45316</v>
      </c>
      <c r="S771" s="26">
        <f t="shared" ca="1" si="139"/>
        <v>0.53564522213001775</v>
      </c>
      <c r="T771" s="29">
        <f t="shared" ca="1" si="157"/>
        <v>140</v>
      </c>
      <c r="V771" s="22">
        <v>45316</v>
      </c>
      <c r="W771" s="26">
        <f t="shared" ca="1" si="140"/>
        <v>0.17596741727629683</v>
      </c>
      <c r="X771" s="29">
        <f t="shared" ca="1" si="158"/>
        <v>212</v>
      </c>
      <c r="Z771" s="22">
        <v>45316</v>
      </c>
      <c r="AA771" s="26">
        <f t="shared" ca="1" si="141"/>
        <v>0.3913677747966835</v>
      </c>
      <c r="AB771" s="29">
        <f t="shared" ca="1" si="159"/>
        <v>266</v>
      </c>
      <c r="AC771"/>
      <c r="AD771" s="25"/>
      <c r="AF771" s="22">
        <v>45316</v>
      </c>
      <c r="AG771" s="26">
        <f t="shared" ca="1" si="142"/>
        <v>0.22032857231658809</v>
      </c>
      <c r="AH771" s="29">
        <f t="shared" ca="1" si="160"/>
        <v>260</v>
      </c>
      <c r="AJ771" s="22">
        <v>45316</v>
      </c>
      <c r="AK771" s="26">
        <f t="shared" ca="1" si="143"/>
        <v>0.16919813262793559</v>
      </c>
      <c r="AL771" s="29">
        <f t="shared" ca="1" si="161"/>
        <v>127</v>
      </c>
      <c r="AN771" s="22">
        <v>45316</v>
      </c>
      <c r="AO771" s="26">
        <f t="shared" ca="1" si="144"/>
        <v>0.40694173553500856</v>
      </c>
      <c r="AP771" s="29">
        <f t="shared" ca="1" si="162"/>
        <v>218</v>
      </c>
      <c r="AR771" s="22">
        <v>45316</v>
      </c>
      <c r="AS771" s="26">
        <f t="shared" ca="1" si="145"/>
        <v>0.30522309931460245</v>
      </c>
      <c r="AT771" s="29">
        <f t="shared" ca="1" si="163"/>
        <v>172</v>
      </c>
      <c r="AV771" s="22">
        <v>45316</v>
      </c>
      <c r="AW771" s="26">
        <f t="shared" ca="1" si="146"/>
        <v>1.3139063235463211E-2</v>
      </c>
      <c r="AX771" s="29">
        <f t="shared" ca="1" si="164"/>
        <v>84</v>
      </c>
      <c r="AZ771" s="22">
        <v>45316</v>
      </c>
      <c r="BA771" s="26">
        <f t="shared" ca="1" si="147"/>
        <v>0.25489431996877776</v>
      </c>
      <c r="BB771" s="29">
        <f t="shared" ca="1" si="165"/>
        <v>193</v>
      </c>
      <c r="BC771"/>
      <c r="BD771" s="25"/>
      <c r="BF771" s="22">
        <v>45316</v>
      </c>
      <c r="BG771" s="26">
        <f t="shared" ca="1" si="148"/>
        <v>0.89677646650853449</v>
      </c>
      <c r="BH771" s="29">
        <f t="shared" ca="1" si="166"/>
        <v>269</v>
      </c>
      <c r="BJ771" s="22">
        <v>45316</v>
      </c>
      <c r="BK771" s="26">
        <f t="shared" ca="1" si="149"/>
        <v>0.32099556206593527</v>
      </c>
      <c r="BL771" s="29">
        <f t="shared" ca="1" si="167"/>
        <v>148</v>
      </c>
      <c r="BN771" s="22">
        <v>45316</v>
      </c>
      <c r="BO771" s="26">
        <f t="shared" ca="1" si="150"/>
        <v>0.48424407236874911</v>
      </c>
      <c r="BP771" s="29">
        <v>0</v>
      </c>
      <c r="BR771" s="22">
        <v>45316</v>
      </c>
      <c r="BS771" s="26">
        <f t="shared" ca="1" si="151"/>
        <v>0.55619777641354085</v>
      </c>
      <c r="BT771" s="29">
        <v>0</v>
      </c>
      <c r="BV771" s="22">
        <v>45316</v>
      </c>
      <c r="BW771" s="26">
        <f t="shared" ca="1" si="152"/>
        <v>0.50780491731672539</v>
      </c>
      <c r="BX771" s="29">
        <v>0</v>
      </c>
    </row>
    <row r="772" spans="2:77" ht="12.75" x14ac:dyDescent="0.2">
      <c r="B772" s="22">
        <v>45317</v>
      </c>
      <c r="C772" s="26">
        <f t="shared" ca="1" si="135"/>
        <v>0.7459709812126174</v>
      </c>
      <c r="D772" s="29">
        <f t="shared" ca="1" si="134"/>
        <v>89</v>
      </c>
      <c r="F772" s="22"/>
      <c r="G772" s="26">
        <f t="shared" ca="1" si="136"/>
        <v>0.83792768671436135</v>
      </c>
      <c r="H772" s="29">
        <f t="shared" ca="1" si="154"/>
        <v>230</v>
      </c>
      <c r="J772" s="22">
        <v>45317</v>
      </c>
      <c r="K772" s="26">
        <f t="shared" ca="1" si="137"/>
        <v>0.59888332258883281</v>
      </c>
      <c r="L772" s="29">
        <f t="shared" ca="1" si="155"/>
        <v>153</v>
      </c>
      <c r="N772" s="22">
        <v>45317</v>
      </c>
      <c r="O772" s="26">
        <f t="shared" ca="1" si="138"/>
        <v>0.62368313287866783</v>
      </c>
      <c r="P772" s="29">
        <f t="shared" ca="1" si="156"/>
        <v>235</v>
      </c>
      <c r="R772" s="22">
        <v>45317</v>
      </c>
      <c r="S772" s="26">
        <f t="shared" ca="1" si="139"/>
        <v>0.78609786248809277</v>
      </c>
      <c r="T772" s="29">
        <f t="shared" ca="1" si="157"/>
        <v>147</v>
      </c>
      <c r="V772" s="22">
        <v>45317</v>
      </c>
      <c r="W772" s="26">
        <f t="shared" ca="1" si="140"/>
        <v>0.80284974330276004</v>
      </c>
      <c r="X772" s="29">
        <f t="shared" ca="1" si="158"/>
        <v>238</v>
      </c>
      <c r="Z772" s="22">
        <v>45317</v>
      </c>
      <c r="AA772" s="26">
        <f t="shared" ca="1" si="141"/>
        <v>0.56111764656497021</v>
      </c>
      <c r="AB772" s="29">
        <f t="shared" ca="1" si="159"/>
        <v>273</v>
      </c>
      <c r="AC772"/>
      <c r="AD772" s="25"/>
      <c r="AF772" s="22">
        <v>45317</v>
      </c>
      <c r="AG772" s="26">
        <f t="shared" ca="1" si="142"/>
        <v>0.67066212763059241</v>
      </c>
      <c r="AH772" s="29">
        <f t="shared" ca="1" si="160"/>
        <v>366</v>
      </c>
      <c r="AJ772" s="22">
        <v>45317</v>
      </c>
      <c r="AK772" s="26">
        <f t="shared" ca="1" si="143"/>
        <v>6.7672142283557668E-2</v>
      </c>
      <c r="AL772" s="29">
        <f t="shared" ca="1" si="161"/>
        <v>103</v>
      </c>
      <c r="AN772" s="22">
        <v>45317</v>
      </c>
      <c r="AO772" s="26">
        <f t="shared" ca="1" si="144"/>
        <v>0.68232383466722824</v>
      </c>
      <c r="AP772" s="29">
        <f t="shared" ca="1" si="162"/>
        <v>262</v>
      </c>
      <c r="AR772" s="22">
        <v>45317</v>
      </c>
      <c r="AS772" s="26">
        <f t="shared" ca="1" si="145"/>
        <v>0.25345445388420629</v>
      </c>
      <c r="AT772" s="29">
        <f t="shared" ca="1" si="163"/>
        <v>163</v>
      </c>
      <c r="AV772" s="22">
        <v>45317</v>
      </c>
      <c r="AW772" s="26">
        <f t="shared" ca="1" si="146"/>
        <v>0.76595507034947463</v>
      </c>
      <c r="AX772" s="29">
        <f t="shared" ca="1" si="164"/>
        <v>246</v>
      </c>
      <c r="AZ772" s="22">
        <v>45317</v>
      </c>
      <c r="BA772" s="26">
        <f t="shared" ca="1" si="147"/>
        <v>0.88538911399001508</v>
      </c>
      <c r="BB772" s="29">
        <f t="shared" ca="1" si="165"/>
        <v>309</v>
      </c>
      <c r="BC772"/>
      <c r="BD772" s="25"/>
      <c r="BF772" s="22">
        <v>45317</v>
      </c>
      <c r="BG772" s="26">
        <f t="shared" ca="1" si="148"/>
        <v>0.71462227826405011</v>
      </c>
      <c r="BH772" s="29">
        <f t="shared" ca="1" si="166"/>
        <v>231</v>
      </c>
      <c r="BJ772" s="22">
        <v>45317</v>
      </c>
      <c r="BK772" s="26">
        <f t="shared" ca="1" si="149"/>
        <v>0.45272710456050202</v>
      </c>
      <c r="BL772" s="29">
        <f t="shared" ca="1" si="167"/>
        <v>164</v>
      </c>
      <c r="BN772" s="22">
        <v>45317</v>
      </c>
      <c r="BO772" s="26">
        <f t="shared" ca="1" si="150"/>
        <v>0.99076863317605413</v>
      </c>
      <c r="BP772" s="29">
        <v>0</v>
      </c>
      <c r="BR772" s="22">
        <v>45317</v>
      </c>
      <c r="BS772" s="26">
        <f t="shared" ca="1" si="151"/>
        <v>0.76513061719476472</v>
      </c>
      <c r="BT772" s="29">
        <v>0</v>
      </c>
      <c r="BV772" s="22">
        <v>45317</v>
      </c>
      <c r="BW772" s="26">
        <f t="shared" ca="1" si="152"/>
        <v>0.46600863823326144</v>
      </c>
      <c r="BX772" s="29">
        <v>0</v>
      </c>
    </row>
    <row r="773" spans="2:77" ht="12.75" x14ac:dyDescent="0.2">
      <c r="B773" s="22">
        <v>45318</v>
      </c>
      <c r="C773" s="26">
        <f t="shared" ca="1" si="135"/>
        <v>0.66237439015462385</v>
      </c>
      <c r="D773" s="29">
        <f t="shared" ca="1" si="134"/>
        <v>84</v>
      </c>
      <c r="F773" s="22"/>
      <c r="G773" s="26">
        <f t="shared" ca="1" si="136"/>
        <v>0.61951590529883838</v>
      </c>
      <c r="H773" s="29">
        <f t="shared" ca="1" si="154"/>
        <v>220</v>
      </c>
      <c r="J773" s="22">
        <v>45318</v>
      </c>
      <c r="K773" s="26">
        <f t="shared" ca="1" si="137"/>
        <v>0.36867533674918773</v>
      </c>
      <c r="L773" s="29">
        <f t="shared" ca="1" si="155"/>
        <v>147</v>
      </c>
      <c r="N773" s="22">
        <v>45318</v>
      </c>
      <c r="O773" s="26">
        <f t="shared" ca="1" si="138"/>
        <v>0.45220261213524038</v>
      </c>
      <c r="P773" s="29">
        <f t="shared" ca="1" si="156"/>
        <v>228</v>
      </c>
      <c r="R773" s="22">
        <v>45318</v>
      </c>
      <c r="S773" s="26">
        <f t="shared" ca="1" si="139"/>
        <v>0.55538201811404453</v>
      </c>
      <c r="T773" s="29">
        <f t="shared" ca="1" si="157"/>
        <v>141</v>
      </c>
      <c r="V773" s="22">
        <v>45318</v>
      </c>
      <c r="W773" s="26">
        <f t="shared" ca="1" si="140"/>
        <v>6.4864031997159732E-2</v>
      </c>
      <c r="X773" s="29">
        <f t="shared" ca="1" si="158"/>
        <v>203</v>
      </c>
      <c r="Z773" s="22">
        <v>45318</v>
      </c>
      <c r="AA773" s="26">
        <f t="shared" ca="1" si="141"/>
        <v>0.4974151032653259</v>
      </c>
      <c r="AB773" s="29">
        <f t="shared" ca="1" si="159"/>
        <v>270</v>
      </c>
      <c r="AC773"/>
      <c r="AD773" s="25"/>
      <c r="AF773" s="22">
        <v>45318</v>
      </c>
      <c r="AG773" s="26">
        <f t="shared" ca="1" si="142"/>
        <v>0.58061581670909168</v>
      </c>
      <c r="AH773" s="29">
        <f t="shared" ca="1" si="160"/>
        <v>345</v>
      </c>
      <c r="AJ773" s="22">
        <v>45318</v>
      </c>
      <c r="AK773" s="26">
        <f t="shared" ca="1" si="143"/>
        <v>0.23917807744031216</v>
      </c>
      <c r="AL773" s="29">
        <f t="shared" ca="1" si="161"/>
        <v>139</v>
      </c>
      <c r="AN773" s="22">
        <v>45318</v>
      </c>
      <c r="AO773" s="26">
        <f t="shared" ca="1" si="144"/>
        <v>0.13474306531289371</v>
      </c>
      <c r="AP773" s="29">
        <f t="shared" ca="1" si="162"/>
        <v>164</v>
      </c>
      <c r="AR773" s="22">
        <v>45318</v>
      </c>
      <c r="AS773" s="26">
        <f t="shared" ca="1" si="145"/>
        <v>0.80703593462523981</v>
      </c>
      <c r="AT773" s="29">
        <f t="shared" ca="1" si="163"/>
        <v>244</v>
      </c>
      <c r="AV773" s="22">
        <v>45318</v>
      </c>
      <c r="AW773" s="26">
        <f t="shared" ca="1" si="146"/>
        <v>0.81429109549188228</v>
      </c>
      <c r="AX773" s="29">
        <f t="shared" ca="1" si="164"/>
        <v>255</v>
      </c>
      <c r="AZ773" s="22">
        <v>45318</v>
      </c>
      <c r="BA773" s="26">
        <f t="shared" ca="1" si="147"/>
        <v>0.93247138349385073</v>
      </c>
      <c r="BB773" s="29">
        <f t="shared" ca="1" si="165"/>
        <v>327</v>
      </c>
      <c r="BC773"/>
      <c r="BD773" s="25"/>
      <c r="BF773" s="22">
        <v>45318</v>
      </c>
      <c r="BG773" s="26">
        <f t="shared" ca="1" si="148"/>
        <v>0.98295688878736376</v>
      </c>
      <c r="BH773" s="29">
        <f t="shared" ca="1" si="166"/>
        <v>314</v>
      </c>
      <c r="BJ773" s="22">
        <v>45318</v>
      </c>
      <c r="BK773" s="26">
        <f t="shared" ca="1" si="149"/>
        <v>0.20129906199007652</v>
      </c>
      <c r="BL773" s="29">
        <f t="shared" ca="1" si="167"/>
        <v>131</v>
      </c>
      <c r="BN773" s="22">
        <v>45318</v>
      </c>
      <c r="BO773" s="26">
        <f t="shared" ca="1" si="150"/>
        <v>0.97659841092998378</v>
      </c>
      <c r="BP773" s="29">
        <v>0</v>
      </c>
      <c r="BR773" s="22">
        <v>45318</v>
      </c>
      <c r="BS773" s="26">
        <f t="shared" ca="1" si="151"/>
        <v>0.80954529308656731</v>
      </c>
      <c r="BT773" s="29">
        <v>0</v>
      </c>
      <c r="BV773" s="22">
        <v>45318</v>
      </c>
      <c r="BW773" s="26">
        <f t="shared" ca="1" si="152"/>
        <v>0.99674836304195491</v>
      </c>
      <c r="BX773" s="29">
        <v>0</v>
      </c>
    </row>
    <row r="774" spans="2:77" ht="12.75" x14ac:dyDescent="0.2">
      <c r="B774" s="22">
        <v>45319</v>
      </c>
      <c r="C774" s="26">
        <f t="shared" ca="1" si="135"/>
        <v>0.39255045098031716</v>
      </c>
      <c r="D774" s="29">
        <f t="shared" ca="1" si="134"/>
        <v>70</v>
      </c>
      <c r="F774" s="22"/>
      <c r="G774" s="26">
        <f t="shared" ca="1" si="136"/>
        <v>0.26899942726329595</v>
      </c>
      <c r="H774" s="29">
        <f t="shared" ca="1" si="154"/>
        <v>207</v>
      </c>
      <c r="J774" s="22">
        <v>45319</v>
      </c>
      <c r="K774" s="26">
        <f t="shared" ca="1" si="137"/>
        <v>0.47333977441608199</v>
      </c>
      <c r="L774" s="29">
        <f t="shared" ca="1" si="155"/>
        <v>150</v>
      </c>
      <c r="N774" s="22">
        <v>45319</v>
      </c>
      <c r="O774" s="26">
        <f t="shared" ca="1" si="138"/>
        <v>0.84888778122179787</v>
      </c>
      <c r="P774" s="29">
        <f t="shared" ca="1" si="156"/>
        <v>246</v>
      </c>
      <c r="R774" s="22">
        <v>45319</v>
      </c>
      <c r="S774" s="26">
        <f t="shared" ca="1" si="139"/>
        <v>0.6276851606127003</v>
      </c>
      <c r="T774" s="29">
        <f t="shared" ca="1" si="157"/>
        <v>142</v>
      </c>
      <c r="V774" s="22">
        <v>45319</v>
      </c>
      <c r="W774" s="26">
        <f t="shared" ca="1" si="140"/>
        <v>0.76311073407625685</v>
      </c>
      <c r="X774" s="29">
        <f t="shared" ca="1" si="158"/>
        <v>236</v>
      </c>
      <c r="Z774" s="22">
        <v>45319</v>
      </c>
      <c r="AA774" s="26">
        <f t="shared" ca="1" si="141"/>
        <v>0.50440892911857449</v>
      </c>
      <c r="AB774" s="29">
        <f t="shared" ca="1" si="159"/>
        <v>271</v>
      </c>
      <c r="AC774"/>
      <c r="AD774" s="25"/>
      <c r="AF774" s="22">
        <v>45319</v>
      </c>
      <c r="AG774" s="26">
        <f t="shared" ca="1" si="142"/>
        <v>0.41815282000285237</v>
      </c>
      <c r="AH774" s="29">
        <f t="shared" ca="1" si="160"/>
        <v>309</v>
      </c>
      <c r="AJ774" s="22">
        <v>45319</v>
      </c>
      <c r="AK774" s="26">
        <f t="shared" ca="1" si="143"/>
        <v>0.50948267450550311</v>
      </c>
      <c r="AL774" s="29">
        <f t="shared" ca="1" si="161"/>
        <v>172</v>
      </c>
      <c r="AN774" s="22">
        <v>45319</v>
      </c>
      <c r="AO774" s="26">
        <f t="shared" ca="1" si="144"/>
        <v>0.29454953739673584</v>
      </c>
      <c r="AP774" s="29">
        <f t="shared" ca="1" si="162"/>
        <v>199</v>
      </c>
      <c r="AR774" s="22">
        <v>45319</v>
      </c>
      <c r="AS774" s="26">
        <f t="shared" ca="1" si="145"/>
        <v>5.2408933472915975E-2</v>
      </c>
      <c r="AT774" s="29">
        <f t="shared" ca="1" si="163"/>
        <v>113</v>
      </c>
      <c r="AV774" s="22">
        <v>45319</v>
      </c>
      <c r="AW774" s="26">
        <f t="shared" ca="1" si="146"/>
        <v>6.3056416252455394E-2</v>
      </c>
      <c r="AX774" s="29">
        <f t="shared" ca="1" si="164"/>
        <v>122</v>
      </c>
      <c r="AZ774" s="22">
        <v>45319</v>
      </c>
      <c r="BA774" s="26">
        <f t="shared" ca="1" si="147"/>
        <v>0.51538702451411611</v>
      </c>
      <c r="BB774" s="29">
        <f t="shared" ca="1" si="165"/>
        <v>236</v>
      </c>
      <c r="BC774"/>
      <c r="BD774" s="25"/>
      <c r="BF774" s="22">
        <v>45319</v>
      </c>
      <c r="BG774" s="26">
        <f t="shared" ca="1" si="148"/>
        <v>0.95779904736709298</v>
      </c>
      <c r="BH774" s="29">
        <f t="shared" ca="1" si="166"/>
        <v>293</v>
      </c>
      <c r="BJ774" s="22">
        <v>45319</v>
      </c>
      <c r="BK774" s="26">
        <f t="shared" ca="1" si="149"/>
        <v>0.58082633131394401</v>
      </c>
      <c r="BL774" s="29">
        <f t="shared" ca="1" si="167"/>
        <v>178</v>
      </c>
      <c r="BN774" s="22">
        <v>45319</v>
      </c>
      <c r="BO774" s="26">
        <f t="shared" ca="1" si="150"/>
        <v>0.17912558647882615</v>
      </c>
      <c r="BP774" s="29">
        <v>0</v>
      </c>
      <c r="BR774" s="22">
        <v>45319</v>
      </c>
      <c r="BS774" s="26">
        <f t="shared" ca="1" si="151"/>
        <v>0.85910887322767771</v>
      </c>
      <c r="BT774" s="29">
        <v>0</v>
      </c>
      <c r="BV774" s="22">
        <v>45319</v>
      </c>
      <c r="BW774" s="26">
        <f t="shared" ca="1" si="152"/>
        <v>0.60584715188803173</v>
      </c>
      <c r="BX774" s="29">
        <v>0</v>
      </c>
    </row>
    <row r="775" spans="2:77" ht="12.75" x14ac:dyDescent="0.2">
      <c r="B775" s="22">
        <v>45320</v>
      </c>
      <c r="C775" s="26">
        <f t="shared" ca="1" si="135"/>
        <v>0.22735247791821933</v>
      </c>
      <c r="D775" s="29">
        <f t="shared" ca="1" si="134"/>
        <v>61</v>
      </c>
      <c r="F775" s="22"/>
      <c r="G775" s="26">
        <f t="shared" ca="1" si="136"/>
        <v>0.43808332779305781</v>
      </c>
      <c r="H775" s="29">
        <f t="shared" ca="1" si="154"/>
        <v>214</v>
      </c>
      <c r="J775" s="22">
        <v>45320</v>
      </c>
      <c r="K775" s="26">
        <f t="shared" ca="1" si="137"/>
        <v>0.442592773560471</v>
      </c>
      <c r="L775" s="29">
        <f t="shared" ca="1" si="155"/>
        <v>149</v>
      </c>
      <c r="N775" s="22">
        <v>45320</v>
      </c>
      <c r="O775" s="26">
        <f t="shared" ca="1" si="138"/>
        <v>0.51020518134023363</v>
      </c>
      <c r="P775" s="29">
        <f t="shared" ca="1" si="156"/>
        <v>230</v>
      </c>
      <c r="R775" s="22">
        <v>45320</v>
      </c>
      <c r="S775" s="26">
        <f t="shared" ca="1" si="139"/>
        <v>0.96735958576500136</v>
      </c>
      <c r="T775" s="29">
        <f t="shared" ca="1" si="157"/>
        <v>156</v>
      </c>
      <c r="V775" s="22">
        <v>45320</v>
      </c>
      <c r="W775" s="26">
        <f t="shared" ca="1" si="140"/>
        <v>0.77802689618061471</v>
      </c>
      <c r="X775" s="29">
        <f t="shared" ca="1" si="158"/>
        <v>237</v>
      </c>
      <c r="Z775" s="22">
        <v>45320</v>
      </c>
      <c r="AA775" s="26">
        <f t="shared" ca="1" si="141"/>
        <v>0.26809767677732244</v>
      </c>
      <c r="AB775" s="29">
        <f t="shared" ca="1" si="159"/>
        <v>259</v>
      </c>
      <c r="AC775"/>
      <c r="AD775" s="25"/>
      <c r="AF775" s="22">
        <v>45320</v>
      </c>
      <c r="AG775" s="26">
        <f t="shared" ca="1" si="142"/>
        <v>0.73634179258405563</v>
      </c>
      <c r="AH775" s="29">
        <f t="shared" ca="1" si="160"/>
        <v>383</v>
      </c>
      <c r="AJ775" s="22">
        <v>45320</v>
      </c>
      <c r="AK775" s="26">
        <f t="shared" ca="1" si="143"/>
        <v>0.53174115970505809</v>
      </c>
      <c r="AL775" s="29">
        <f t="shared" ca="1" si="161"/>
        <v>175</v>
      </c>
      <c r="AN775" s="22">
        <v>45320</v>
      </c>
      <c r="AO775" s="26">
        <f t="shared" ca="1" si="144"/>
        <v>0.11808983065887546</v>
      </c>
      <c r="AP775" s="29">
        <f t="shared" ca="1" si="162"/>
        <v>159</v>
      </c>
      <c r="AR775" s="22">
        <v>45320</v>
      </c>
      <c r="AS775" s="26">
        <f t="shared" ca="1" si="145"/>
        <v>0.4638877016730274</v>
      </c>
      <c r="AT775" s="29">
        <f t="shared" ca="1" si="163"/>
        <v>194</v>
      </c>
      <c r="AV775" s="22">
        <v>45320</v>
      </c>
      <c r="AW775" s="26">
        <f t="shared" ca="1" si="146"/>
        <v>0.16081784660766318</v>
      </c>
      <c r="AX775" s="29">
        <f t="shared" ca="1" si="164"/>
        <v>152</v>
      </c>
      <c r="AZ775" s="22">
        <v>45320</v>
      </c>
      <c r="BA775" s="26">
        <f t="shared" ca="1" si="147"/>
        <v>0.97592206550198535</v>
      </c>
      <c r="BB775" s="29">
        <f t="shared" ca="1" si="165"/>
        <v>357</v>
      </c>
      <c r="BC775"/>
      <c r="BD775" s="25"/>
      <c r="BF775" s="22">
        <v>45320</v>
      </c>
      <c r="BG775" s="26">
        <f t="shared" ca="1" si="148"/>
        <v>0.85179584029201261</v>
      </c>
      <c r="BH775" s="29">
        <f t="shared" ca="1" si="166"/>
        <v>257</v>
      </c>
      <c r="BJ775" s="22">
        <v>45320</v>
      </c>
      <c r="BK775" s="26">
        <f t="shared" ca="1" si="149"/>
        <v>8.2285444157258469E-3</v>
      </c>
      <c r="BL775" s="29">
        <f t="shared" ca="1" si="167"/>
        <v>61</v>
      </c>
      <c r="BN775" s="22">
        <v>45320</v>
      </c>
      <c r="BO775" s="26">
        <f t="shared" ca="1" si="150"/>
        <v>0.13630518428525329</v>
      </c>
      <c r="BP775" s="29">
        <v>0</v>
      </c>
      <c r="BR775" s="22">
        <v>45320</v>
      </c>
      <c r="BS775" s="26">
        <f t="shared" ca="1" si="151"/>
        <v>0.25531467791580653</v>
      </c>
      <c r="BT775" s="29">
        <v>0</v>
      </c>
      <c r="BV775" s="22">
        <v>45320</v>
      </c>
      <c r="BW775" s="26">
        <f t="shared" ca="1" si="152"/>
        <v>0.14553269494539489</v>
      </c>
      <c r="BX775" s="29">
        <v>0</v>
      </c>
    </row>
    <row r="776" spans="2:77" ht="12.75" x14ac:dyDescent="0.2">
      <c r="B776" s="22">
        <v>45321</v>
      </c>
      <c r="C776" s="26">
        <f t="shared" ca="1" si="135"/>
        <v>0.26521988233038007</v>
      </c>
      <c r="D776" s="29">
        <f t="shared" ca="1" si="134"/>
        <v>63</v>
      </c>
      <c r="F776" s="22"/>
      <c r="G776" s="26">
        <f t="shared" ca="1" si="136"/>
        <v>0.39559531406096571</v>
      </c>
      <c r="H776" s="29">
        <f t="shared" ca="1" si="154"/>
        <v>212</v>
      </c>
      <c r="J776" s="22">
        <v>45321</v>
      </c>
      <c r="K776" s="26">
        <f t="shared" ca="1" si="137"/>
        <v>0.61970727638366063</v>
      </c>
      <c r="L776" s="29">
        <f t="shared" ca="1" si="155"/>
        <v>154</v>
      </c>
      <c r="N776" s="22">
        <v>45321</v>
      </c>
      <c r="O776" s="26">
        <f t="shared" ca="1" si="138"/>
        <v>0.62174181453880972</v>
      </c>
      <c r="P776" s="29">
        <f t="shared" ca="1" si="156"/>
        <v>235</v>
      </c>
      <c r="R776" s="22">
        <v>45321</v>
      </c>
      <c r="S776" s="26">
        <f t="shared" ca="1" si="139"/>
        <v>0.74784680522842684</v>
      </c>
      <c r="T776" s="29">
        <f t="shared" ca="1" si="157"/>
        <v>145</v>
      </c>
      <c r="V776" s="22">
        <v>45321</v>
      </c>
      <c r="W776" s="26">
        <f t="shared" ca="1" si="140"/>
        <v>0.20887115588770755</v>
      </c>
      <c r="X776" s="29">
        <f t="shared" ca="1" si="158"/>
        <v>213</v>
      </c>
      <c r="Z776" s="22">
        <v>45321</v>
      </c>
      <c r="AA776" s="26">
        <f t="shared" ca="1" si="141"/>
        <v>6.6312157731204802E-2</v>
      </c>
      <c r="AB776" s="29">
        <f t="shared" ca="1" si="159"/>
        <v>243</v>
      </c>
      <c r="AC776"/>
      <c r="AD776" s="25"/>
      <c r="AF776" s="22">
        <v>45321</v>
      </c>
      <c r="AG776" s="26">
        <f t="shared" ca="1" si="142"/>
        <v>0.38281687272878795</v>
      </c>
      <c r="AH776" s="29">
        <f t="shared" ca="1" si="160"/>
        <v>302</v>
      </c>
      <c r="AJ776" s="22">
        <v>45321</v>
      </c>
      <c r="AK776" s="26">
        <f t="shared" ca="1" si="143"/>
        <v>0.34074382151919358</v>
      </c>
      <c r="AL776" s="29">
        <f t="shared" ca="1" si="161"/>
        <v>152</v>
      </c>
      <c r="AN776" s="22">
        <v>45321</v>
      </c>
      <c r="AO776" s="26">
        <f t="shared" ca="1" si="144"/>
        <v>0.81297397153056683</v>
      </c>
      <c r="AP776" s="29">
        <f t="shared" ca="1" si="162"/>
        <v>288</v>
      </c>
      <c r="AR776" s="22">
        <v>45321</v>
      </c>
      <c r="AS776" s="26">
        <f t="shared" ca="1" si="145"/>
        <v>0.62510305185674764</v>
      </c>
      <c r="AT776" s="29">
        <f t="shared" ca="1" si="163"/>
        <v>215</v>
      </c>
      <c r="AV776" s="22">
        <v>45321</v>
      </c>
      <c r="AW776" s="26">
        <f t="shared" ca="1" si="146"/>
        <v>0.88818684449904717</v>
      </c>
      <c r="AX776" s="29">
        <f t="shared" ca="1" si="164"/>
        <v>273</v>
      </c>
      <c r="AZ776" s="22">
        <v>45321</v>
      </c>
      <c r="BA776" s="26">
        <f t="shared" ca="1" si="147"/>
        <v>0.51002709833024695</v>
      </c>
      <c r="BB776" s="29">
        <f t="shared" ca="1" si="165"/>
        <v>236</v>
      </c>
      <c r="BC776"/>
      <c r="BD776" s="25"/>
      <c r="BF776" s="22">
        <v>45321</v>
      </c>
      <c r="BG776" s="26">
        <f t="shared" ca="1" si="148"/>
        <v>0.28918300490776117</v>
      </c>
      <c r="BH776" s="29">
        <f t="shared" ca="1" si="166"/>
        <v>171</v>
      </c>
      <c r="BJ776" s="22">
        <v>45321</v>
      </c>
      <c r="BK776" s="26">
        <f t="shared" ca="1" si="149"/>
        <v>5.0953388856128212E-2</v>
      </c>
      <c r="BL776" s="29">
        <f t="shared" ca="1" si="167"/>
        <v>96</v>
      </c>
      <c r="BN776" s="22">
        <v>45321</v>
      </c>
      <c r="BO776" s="26">
        <f t="shared" ca="1" si="150"/>
        <v>0.48804710347569857</v>
      </c>
      <c r="BP776" s="29">
        <v>0</v>
      </c>
      <c r="BR776" s="22">
        <v>45321</v>
      </c>
      <c r="BS776" s="26">
        <f t="shared" ca="1" si="151"/>
        <v>0.7760848976431477</v>
      </c>
      <c r="BT776" s="29">
        <v>0</v>
      </c>
      <c r="BV776" s="22">
        <v>45321</v>
      </c>
      <c r="BW776" s="26">
        <f t="shared" ca="1" si="152"/>
        <v>0.21818708546360255</v>
      </c>
      <c r="BX776" s="29">
        <v>0</v>
      </c>
    </row>
    <row r="777" spans="2:77" ht="12.75" x14ac:dyDescent="0.2">
      <c r="B777" s="22">
        <v>45322</v>
      </c>
      <c r="C777" s="26">
        <f t="shared" ca="1" si="135"/>
        <v>0.31002897701407117</v>
      </c>
      <c r="D777" s="29">
        <f t="shared" ca="1" si="134"/>
        <v>66</v>
      </c>
      <c r="E777">
        <v>2010</v>
      </c>
      <c r="F777" s="22"/>
      <c r="G777" s="26">
        <f t="shared" ca="1" si="136"/>
        <v>0.68470380285469923</v>
      </c>
      <c r="H777" s="29">
        <f t="shared" ca="1" si="154"/>
        <v>223</v>
      </c>
      <c r="I777">
        <v>3303</v>
      </c>
      <c r="J777" s="22">
        <v>45322</v>
      </c>
      <c r="K777" s="26">
        <f t="shared" ca="1" si="137"/>
        <v>0.97012210993298709</v>
      </c>
      <c r="L777" s="29">
        <f t="shared" ca="1" si="155"/>
        <v>169</v>
      </c>
      <c r="M777">
        <v>4194</v>
      </c>
      <c r="N777" s="22">
        <v>45322</v>
      </c>
      <c r="O777" s="26">
        <f t="shared" ca="1" si="138"/>
        <v>1.7705387083996604E-2</v>
      </c>
      <c r="P777" s="29">
        <f t="shared" ca="1" si="156"/>
        <v>198</v>
      </c>
      <c r="Q777">
        <v>6572</v>
      </c>
      <c r="R777" s="22">
        <v>45322</v>
      </c>
      <c r="S777" s="26">
        <f t="shared" ca="1" si="139"/>
        <v>0.44361775914408941</v>
      </c>
      <c r="T777" s="29">
        <f t="shared" ca="1" si="157"/>
        <v>138</v>
      </c>
      <c r="U777">
        <v>3829</v>
      </c>
      <c r="V777" s="22">
        <v>45322</v>
      </c>
      <c r="W777" s="26">
        <f t="shared" ca="1" si="140"/>
        <v>0.19428709534507693</v>
      </c>
      <c r="X777" s="29">
        <f t="shared" ca="1" si="158"/>
        <v>213</v>
      </c>
      <c r="Y777">
        <v>6183</v>
      </c>
      <c r="Z777" s="22">
        <v>45322</v>
      </c>
      <c r="AA777" s="26">
        <f t="shared" ca="1" si="141"/>
        <v>0.40214227126854052</v>
      </c>
      <c r="AB777" s="29">
        <f t="shared" ca="1" si="159"/>
        <v>266</v>
      </c>
      <c r="AC777">
        <v>7735</v>
      </c>
      <c r="AD777" s="25"/>
      <c r="AF777" s="22">
        <v>45322</v>
      </c>
      <c r="AG777" s="26">
        <f t="shared" ca="1" si="142"/>
        <v>0.17288664798879649</v>
      </c>
      <c r="AH777" s="29">
        <f t="shared" ca="1" si="160"/>
        <v>245</v>
      </c>
      <c r="AI777">
        <v>8981</v>
      </c>
      <c r="AJ777" s="22">
        <v>45322</v>
      </c>
      <c r="AK777" s="26">
        <f t="shared" ca="1" si="143"/>
        <v>0.78881942756154233</v>
      </c>
      <c r="AL777" s="29">
        <f t="shared" ca="1" si="161"/>
        <v>207</v>
      </c>
      <c r="AM777">
        <v>4882</v>
      </c>
      <c r="AN777" s="22">
        <v>45322</v>
      </c>
      <c r="AO777" s="26">
        <f t="shared" ca="1" si="144"/>
        <v>0.24777142687355358</v>
      </c>
      <c r="AP777" s="29">
        <f t="shared" ca="1" si="162"/>
        <v>190</v>
      </c>
      <c r="AQ777">
        <v>3968</v>
      </c>
      <c r="AR777" s="22">
        <v>45322</v>
      </c>
      <c r="AS777" s="26">
        <f t="shared" ca="1" si="145"/>
        <v>1.353554836380999E-2</v>
      </c>
      <c r="AT777" s="29">
        <f t="shared" ca="1" si="163"/>
        <v>82</v>
      </c>
      <c r="AU777">
        <v>5821</v>
      </c>
      <c r="AV777" s="22">
        <v>45322</v>
      </c>
      <c r="AW777" s="26">
        <f t="shared" ca="1" si="146"/>
        <v>0.66990479789772484</v>
      </c>
      <c r="AX777" s="29">
        <f t="shared" ca="1" si="164"/>
        <v>230</v>
      </c>
      <c r="AY777">
        <v>5437</v>
      </c>
      <c r="AZ777" s="22">
        <v>45322</v>
      </c>
      <c r="BA777" s="26">
        <f t="shared" ca="1" si="147"/>
        <v>0.82582023780572167</v>
      </c>
      <c r="BB777" s="29">
        <f t="shared" ca="1" si="165"/>
        <v>292</v>
      </c>
      <c r="BC777">
        <v>5365</v>
      </c>
      <c r="BD777" s="25"/>
      <c r="BF777" s="22">
        <v>45322</v>
      </c>
      <c r="BG777" s="26">
        <f t="shared" ca="1" si="148"/>
        <v>0.15489777399749671</v>
      </c>
      <c r="BH777" s="29">
        <f t="shared" ca="1" si="166"/>
        <v>147</v>
      </c>
      <c r="BI777">
        <v>4476</v>
      </c>
      <c r="BJ777" s="22">
        <v>45322</v>
      </c>
      <c r="BK777" s="26">
        <f t="shared" ca="1" si="149"/>
        <v>0.76082568468489509</v>
      </c>
      <c r="BL777" s="29">
        <f t="shared" ca="1" si="167"/>
        <v>201</v>
      </c>
      <c r="BM777">
        <v>4325</v>
      </c>
      <c r="BN777" s="22">
        <v>45322</v>
      </c>
      <c r="BO777" s="26">
        <f t="shared" ca="1" si="150"/>
        <v>2.5982373025731254E-2</v>
      </c>
      <c r="BP777" s="29">
        <v>0</v>
      </c>
      <c r="BQ777">
        <v>0</v>
      </c>
      <c r="BR777" s="22">
        <v>45322</v>
      </c>
      <c r="BS777" s="26">
        <f t="shared" ca="1" si="151"/>
        <v>0.46247775695282423</v>
      </c>
      <c r="BT777" s="29">
        <v>0</v>
      </c>
      <c r="BU777">
        <v>0</v>
      </c>
      <c r="BV777" s="22">
        <v>45322</v>
      </c>
      <c r="BW777" s="26">
        <f t="shared" ca="1" si="152"/>
        <v>0.65809773487929546</v>
      </c>
      <c r="BX777" s="29">
        <v>0</v>
      </c>
      <c r="BY777">
        <v>0</v>
      </c>
    </row>
    <row r="778" spans="2:77" ht="12.75" x14ac:dyDescent="0.2">
      <c r="B778" s="22">
        <v>45323</v>
      </c>
      <c r="C778" s="26">
        <f t="shared" ca="1" si="135"/>
        <v>0.71343944561916472</v>
      </c>
      <c r="D778" s="29">
        <f ca="1">ROUNDUP(_xlfn.NORM.INV(C777,C$10,C$12),0)</f>
        <v>66</v>
      </c>
      <c r="F778" s="22"/>
      <c r="G778" s="26">
        <f t="shared" ca="1" si="136"/>
        <v>0.26153668597300195</v>
      </c>
      <c r="H778" s="29">
        <f ca="1">ROUNDUP(_xlfn.NORM.INV(G777,G$10,G$12),0)</f>
        <v>223</v>
      </c>
      <c r="J778" s="22">
        <v>45323</v>
      </c>
      <c r="K778" s="26">
        <f t="shared" ca="1" si="137"/>
        <v>0.99570340839767513</v>
      </c>
      <c r="L778" s="29">
        <f ca="1">ROUNDUP(_xlfn.NORM.INV(K777,K$10,K$12),0)</f>
        <v>169</v>
      </c>
      <c r="N778" s="22">
        <v>45323</v>
      </c>
      <c r="O778" s="26">
        <f t="shared" ca="1" si="138"/>
        <v>0.62423436542534938</v>
      </c>
      <c r="P778" s="29">
        <f ca="1">ROUNDUP(_xlfn.NORM.INV(O777,O$10,O$12),0)</f>
        <v>198</v>
      </c>
      <c r="R778" s="22">
        <v>45323</v>
      </c>
      <c r="S778" s="26">
        <f t="shared" ca="1" si="139"/>
        <v>0.51860790539985646</v>
      </c>
      <c r="T778" s="29">
        <f ca="1">ROUNDUP(_xlfn.NORM.INV(S777,S$10,S$12),0)</f>
        <v>138</v>
      </c>
      <c r="V778" s="22">
        <v>45323</v>
      </c>
      <c r="W778" s="26">
        <f t="shared" ca="1" si="140"/>
        <v>0.76415787917179556</v>
      </c>
      <c r="X778" s="29">
        <f ca="1">ROUNDUP(_xlfn.NORM.INV(W777,W$10,W$12),0)</f>
        <v>213</v>
      </c>
      <c r="Z778" s="22">
        <v>45323</v>
      </c>
      <c r="AA778" s="26">
        <f t="shared" ca="1" si="141"/>
        <v>0.710662823312597</v>
      </c>
      <c r="AB778" s="29">
        <f ca="1">ROUNDUP(_xlfn.NORM.INV(AA777,AA$10,AA$12),0)</f>
        <v>266</v>
      </c>
      <c r="AC778"/>
      <c r="AD778" s="25"/>
      <c r="AF778" s="22">
        <v>45323</v>
      </c>
      <c r="AG778" s="26">
        <f t="shared" ca="1" si="142"/>
        <v>0.22341577642062993</v>
      </c>
      <c r="AH778" s="29">
        <f ca="1">ROUNDUP(_xlfn.NORM.INV(AG777,AG$10,AG$12),0)</f>
        <v>245</v>
      </c>
      <c r="AJ778" s="22">
        <v>45323</v>
      </c>
      <c r="AK778" s="26">
        <f t="shared" ca="1" si="143"/>
        <v>0.72441850888612203</v>
      </c>
      <c r="AL778" s="29">
        <f ca="1">ROUNDUP(_xlfn.NORM.INV(AK777,AK$10,AK$12),0)</f>
        <v>207</v>
      </c>
      <c r="AN778" s="22">
        <v>45323</v>
      </c>
      <c r="AO778" s="26">
        <f t="shared" ca="1" si="144"/>
        <v>0.30709732538388657</v>
      </c>
      <c r="AP778" s="29">
        <f ca="1">ROUNDUP(_xlfn.NORM.INV(AO777,AO$10,AO$12),0)</f>
        <v>190</v>
      </c>
      <c r="AR778" s="22">
        <v>45323</v>
      </c>
      <c r="AS778" s="26">
        <f t="shared" ca="1" si="145"/>
        <v>0.22940283744071566</v>
      </c>
      <c r="AT778" s="29">
        <f ca="1">ROUNDUP(_xlfn.NORM.INV(AS777,AS$10,AS$12),0)</f>
        <v>82</v>
      </c>
      <c r="AV778" s="22">
        <v>45323</v>
      </c>
      <c r="AW778" s="26">
        <f t="shared" ca="1" si="146"/>
        <v>0.67836682407335003</v>
      </c>
      <c r="AX778" s="29">
        <f ca="1">ROUNDUP(_xlfn.NORM.INV(AW777,AW$10,AW$12),0)</f>
        <v>230</v>
      </c>
      <c r="AZ778" s="22">
        <v>45323</v>
      </c>
      <c r="BA778" s="26">
        <f t="shared" ca="1" si="147"/>
        <v>0.29668095643896908</v>
      </c>
      <c r="BB778" s="29">
        <f ca="1">ROUNDUP(_xlfn.NORM.INV(BA777,BA$10,BA$12),0)</f>
        <v>292</v>
      </c>
      <c r="BC778"/>
      <c r="BD778" s="25"/>
      <c r="BF778" s="22">
        <v>45323</v>
      </c>
      <c r="BG778" s="26">
        <f t="shared" ca="1" si="148"/>
        <v>0.50478843692810593</v>
      </c>
      <c r="BH778" s="29">
        <f ca="1">ROUNDUP(_xlfn.NORM.INV(BG777,BG$10,BG$12),0)</f>
        <v>147</v>
      </c>
      <c r="BJ778" s="22">
        <v>45323</v>
      </c>
      <c r="BK778" s="26">
        <f t="shared" ca="1" si="149"/>
        <v>0.69729981785549666</v>
      </c>
      <c r="BL778" s="29">
        <f ca="1">ROUNDUP(_xlfn.NORM.INV(BK777,BK$10,BK$12),0)</f>
        <v>201</v>
      </c>
      <c r="BN778" s="22">
        <v>45323</v>
      </c>
      <c r="BO778" s="26">
        <f t="shared" ca="1" si="150"/>
        <v>0.31928137500691434</v>
      </c>
      <c r="BP778" s="29">
        <v>0</v>
      </c>
      <c r="BR778" s="22">
        <v>45323</v>
      </c>
      <c r="BS778" s="26">
        <f t="shared" ca="1" si="151"/>
        <v>0.47278865959514338</v>
      </c>
      <c r="BT778" s="29">
        <v>0</v>
      </c>
      <c r="BV778" s="22">
        <v>45323</v>
      </c>
      <c r="BW778" s="26">
        <f t="shared" ca="1" si="152"/>
        <v>0.14365286329026217</v>
      </c>
      <c r="BX778" s="29">
        <v>0</v>
      </c>
    </row>
    <row r="779" spans="2:77" ht="12.75" x14ac:dyDescent="0.2">
      <c r="B779" s="22">
        <v>45324</v>
      </c>
      <c r="C779" s="26">
        <f t="shared" ca="1" si="135"/>
        <v>0.41833904192631122</v>
      </c>
      <c r="D779" s="29">
        <f t="shared" ca="1" si="134"/>
        <v>71</v>
      </c>
      <c r="F779" s="22"/>
      <c r="G779" s="26">
        <f t="shared" ca="1" si="136"/>
        <v>0.34299351778219922</v>
      </c>
      <c r="H779" s="29">
        <f t="shared" ca="1" si="154"/>
        <v>210</v>
      </c>
      <c r="J779" s="22">
        <v>45324</v>
      </c>
      <c r="K779" s="26">
        <f t="shared" ca="1" si="137"/>
        <v>0.97268603951912636</v>
      </c>
      <c r="L779" s="29">
        <f t="shared" ca="1" si="155"/>
        <v>170</v>
      </c>
      <c r="N779" s="22">
        <v>45324</v>
      </c>
      <c r="O779" s="26">
        <f t="shared" ca="1" si="138"/>
        <v>0.34364734351119264</v>
      </c>
      <c r="P779" s="29">
        <f t="shared" ca="1" si="156"/>
        <v>224</v>
      </c>
      <c r="R779" s="22">
        <v>45324</v>
      </c>
      <c r="S779" s="26">
        <f t="shared" ca="1" si="139"/>
        <v>0.90740122654774413</v>
      </c>
      <c r="T779" s="29">
        <f t="shared" ca="1" si="157"/>
        <v>152</v>
      </c>
      <c r="V779" s="22">
        <v>45324</v>
      </c>
      <c r="W779" s="26">
        <f t="shared" ca="1" si="140"/>
        <v>0.82846826588558531</v>
      </c>
      <c r="X779" s="29">
        <f t="shared" ca="1" si="158"/>
        <v>240</v>
      </c>
      <c r="Z779" s="22">
        <v>45324</v>
      </c>
      <c r="AA779" s="26">
        <f t="shared" ca="1" si="141"/>
        <v>0.30372606404906932</v>
      </c>
      <c r="AB779" s="29">
        <f t="shared" ca="1" si="159"/>
        <v>261</v>
      </c>
      <c r="AC779"/>
      <c r="AD779" s="25"/>
      <c r="AF779" s="22">
        <v>45324</v>
      </c>
      <c r="AG779" s="26">
        <f t="shared" ca="1" si="142"/>
        <v>0.48756093256396194</v>
      </c>
      <c r="AH779" s="29">
        <f t="shared" ca="1" si="160"/>
        <v>325</v>
      </c>
      <c r="AJ779" s="22">
        <v>45324</v>
      </c>
      <c r="AK779" s="26">
        <f t="shared" ca="1" si="143"/>
        <v>0.36791236959895202</v>
      </c>
      <c r="AL779" s="29">
        <f t="shared" ca="1" si="161"/>
        <v>156</v>
      </c>
      <c r="AN779" s="22">
        <v>45324</v>
      </c>
      <c r="AO779" s="26">
        <f t="shared" ca="1" si="144"/>
        <v>0.38125411932552444</v>
      </c>
      <c r="AP779" s="29">
        <f t="shared" ca="1" si="162"/>
        <v>214</v>
      </c>
      <c r="AR779" s="22">
        <v>45324</v>
      </c>
      <c r="AS779" s="26">
        <f t="shared" ca="1" si="145"/>
        <v>0.90280158661526366</v>
      </c>
      <c r="AT779" s="29">
        <f t="shared" ca="1" si="163"/>
        <v>267</v>
      </c>
      <c r="AV779" s="22">
        <v>45324</v>
      </c>
      <c r="AW779" s="26">
        <f t="shared" ca="1" si="146"/>
        <v>0.2201983625061843</v>
      </c>
      <c r="AX779" s="29">
        <f t="shared" ca="1" si="164"/>
        <v>164</v>
      </c>
      <c r="AZ779" s="22">
        <v>45324</v>
      </c>
      <c r="BA779" s="26">
        <f t="shared" ca="1" si="147"/>
        <v>0.47191299519206842</v>
      </c>
      <c r="BB779" s="29">
        <f t="shared" ca="1" si="165"/>
        <v>230</v>
      </c>
      <c r="BC779"/>
      <c r="BD779" s="25"/>
      <c r="BF779" s="22">
        <v>45324</v>
      </c>
      <c r="BG779" s="26">
        <f t="shared" ca="1" si="148"/>
        <v>0.21125437940154546</v>
      </c>
      <c r="BH779" s="29">
        <f t="shared" ca="1" si="166"/>
        <v>158</v>
      </c>
      <c r="BJ779" s="22">
        <v>45324</v>
      </c>
      <c r="BK779" s="26">
        <f t="shared" ca="1" si="149"/>
        <v>0.65195239357102319</v>
      </c>
      <c r="BL779" s="29">
        <f t="shared" ca="1" si="167"/>
        <v>187</v>
      </c>
      <c r="BN779" s="22">
        <v>45324</v>
      </c>
      <c r="BO779" s="26">
        <f t="shared" ca="1" si="150"/>
        <v>0.33980877618848926</v>
      </c>
      <c r="BP779" s="29">
        <f t="shared" ref="BP779:BP782" ca="1" si="168">ROUNDUP(_xlfn.NORM.INV(BO779,BO$10,BO$12),0)</f>
        <v>192</v>
      </c>
      <c r="BR779" s="22">
        <v>45324</v>
      </c>
      <c r="BS779" s="26">
        <f t="shared" ca="1" si="151"/>
        <v>0.20207297874102659</v>
      </c>
      <c r="BT779" s="29">
        <v>0</v>
      </c>
      <c r="BV779" s="22">
        <v>45324</v>
      </c>
      <c r="BW779" s="26">
        <f t="shared" ca="1" si="152"/>
        <v>0.23265282222089145</v>
      </c>
      <c r="BX779" s="29">
        <v>0</v>
      </c>
    </row>
    <row r="780" spans="2:77" ht="12.75" x14ac:dyDescent="0.2">
      <c r="B780" s="22">
        <v>45325</v>
      </c>
      <c r="C780" s="26">
        <f t="shared" ca="1" si="135"/>
        <v>0.81689321520756852</v>
      </c>
      <c r="D780" s="29">
        <f t="shared" ca="1" si="134"/>
        <v>94</v>
      </c>
      <c r="F780" s="22"/>
      <c r="G780" s="26">
        <f t="shared" ca="1" si="136"/>
        <v>0.8560779200064299</v>
      </c>
      <c r="H780" s="29">
        <f t="shared" ca="1" si="154"/>
        <v>231</v>
      </c>
      <c r="J780" s="22">
        <v>45325</v>
      </c>
      <c r="K780" s="26">
        <f t="shared" ca="1" si="137"/>
        <v>0.18328232049915794</v>
      </c>
      <c r="L780" s="29">
        <f t="shared" ca="1" si="155"/>
        <v>141</v>
      </c>
      <c r="N780" s="22">
        <v>45325</v>
      </c>
      <c r="O780" s="26">
        <f t="shared" ca="1" si="138"/>
        <v>0.29567498634553935</v>
      </c>
      <c r="P780" s="29">
        <f t="shared" ca="1" si="156"/>
        <v>222</v>
      </c>
      <c r="R780" s="22">
        <v>45325</v>
      </c>
      <c r="S780" s="26">
        <f t="shared" ca="1" si="139"/>
        <v>0.83001364134171052</v>
      </c>
      <c r="T780" s="29">
        <f t="shared" ca="1" si="157"/>
        <v>148</v>
      </c>
      <c r="V780" s="22">
        <v>45325</v>
      </c>
      <c r="W780" s="26">
        <f t="shared" ca="1" si="140"/>
        <v>0.73205681125989364</v>
      </c>
      <c r="X780" s="29">
        <f t="shared" ca="1" si="158"/>
        <v>235</v>
      </c>
      <c r="Z780" s="22">
        <v>45325</v>
      </c>
      <c r="AA780" s="26">
        <f t="shared" ca="1" si="141"/>
        <v>0.87760696825310358</v>
      </c>
      <c r="AB780" s="29">
        <f t="shared" ca="1" si="159"/>
        <v>291</v>
      </c>
      <c r="AC780"/>
      <c r="AD780" s="25"/>
      <c r="AF780" s="22">
        <v>45325</v>
      </c>
      <c r="AG780" s="26">
        <f t="shared" ca="1" si="142"/>
        <v>0.95538681548473492</v>
      </c>
      <c r="AH780" s="29">
        <f t="shared" ca="1" si="160"/>
        <v>476</v>
      </c>
      <c r="AJ780" s="22">
        <v>45325</v>
      </c>
      <c r="AK780" s="26">
        <f t="shared" ca="1" si="143"/>
        <v>0.76375506790268899</v>
      </c>
      <c r="AL780" s="29">
        <f t="shared" ca="1" si="161"/>
        <v>204</v>
      </c>
      <c r="AN780" s="22">
        <v>45325</v>
      </c>
      <c r="AO780" s="26">
        <f t="shared" ca="1" si="144"/>
        <v>0.77967886363912275</v>
      </c>
      <c r="AP780" s="29">
        <f t="shared" ca="1" si="162"/>
        <v>280</v>
      </c>
      <c r="AR780" s="22">
        <v>45325</v>
      </c>
      <c r="AS780" s="26">
        <f t="shared" ca="1" si="145"/>
        <v>0.64417209599885084</v>
      </c>
      <c r="AT780" s="29">
        <f t="shared" ca="1" si="163"/>
        <v>218</v>
      </c>
      <c r="AV780" s="22">
        <v>45325</v>
      </c>
      <c r="AW780" s="26">
        <f t="shared" ca="1" si="146"/>
        <v>0.42545263538595302</v>
      </c>
      <c r="AX780" s="29">
        <f t="shared" ca="1" si="164"/>
        <v>196</v>
      </c>
      <c r="AZ780" s="22">
        <v>45325</v>
      </c>
      <c r="BA780" s="26">
        <f t="shared" ca="1" si="147"/>
        <v>0.21001533713096476</v>
      </c>
      <c r="BB780" s="29">
        <f t="shared" ca="1" si="165"/>
        <v>184</v>
      </c>
      <c r="BC780"/>
      <c r="BD780" s="25"/>
      <c r="BF780" s="22">
        <v>45325</v>
      </c>
      <c r="BG780" s="26">
        <f t="shared" ca="1" si="148"/>
        <v>0.75150391693408425</v>
      </c>
      <c r="BH780" s="29">
        <f t="shared" ca="1" si="166"/>
        <v>237</v>
      </c>
      <c r="BJ780" s="22">
        <v>45325</v>
      </c>
      <c r="BK780" s="26">
        <f t="shared" ca="1" si="149"/>
        <v>0.23429604801509663</v>
      </c>
      <c r="BL780" s="29">
        <f t="shared" ca="1" si="167"/>
        <v>137</v>
      </c>
      <c r="BN780" s="22">
        <v>45325</v>
      </c>
      <c r="BO780" s="26">
        <f t="shared" ca="1" si="150"/>
        <v>0.63151562631144598</v>
      </c>
      <c r="BP780" s="29">
        <f t="shared" ca="1" si="168"/>
        <v>236</v>
      </c>
      <c r="BR780" s="22">
        <v>45325</v>
      </c>
      <c r="BS780" s="26">
        <f t="shared" ca="1" si="151"/>
        <v>0.30354843354418926</v>
      </c>
      <c r="BT780" s="29">
        <v>0</v>
      </c>
      <c r="BV780" s="22">
        <v>45325</v>
      </c>
      <c r="BW780" s="26">
        <f t="shared" ca="1" si="152"/>
        <v>0.2674025071441386</v>
      </c>
      <c r="BX780" s="29">
        <v>0</v>
      </c>
    </row>
    <row r="781" spans="2:77" ht="12.75" x14ac:dyDescent="0.2">
      <c r="B781" s="22">
        <v>45326</v>
      </c>
      <c r="C781" s="26">
        <f t="shared" ca="1" si="135"/>
        <v>0.94068833562676502</v>
      </c>
      <c r="D781" s="29">
        <f t="shared" ca="1" si="134"/>
        <v>107</v>
      </c>
      <c r="F781" s="22"/>
      <c r="G781" s="26">
        <f t="shared" ca="1" si="136"/>
        <v>0.63978581511054222</v>
      </c>
      <c r="H781" s="29">
        <f t="shared" ca="1" si="154"/>
        <v>221</v>
      </c>
      <c r="J781" s="22">
        <v>45326</v>
      </c>
      <c r="K781" s="26">
        <f t="shared" ca="1" si="137"/>
        <v>4.6398686138767187E-2</v>
      </c>
      <c r="L781" s="29">
        <f t="shared" ca="1" si="155"/>
        <v>134</v>
      </c>
      <c r="N781" s="22">
        <v>45326</v>
      </c>
      <c r="O781" s="26">
        <f t="shared" ca="1" si="138"/>
        <v>0.76318391297677368</v>
      </c>
      <c r="P781" s="29">
        <f t="shared" ca="1" si="156"/>
        <v>241</v>
      </c>
      <c r="R781" s="22">
        <v>45326</v>
      </c>
      <c r="S781" s="26">
        <f t="shared" ca="1" si="139"/>
        <v>0.90626714889209758</v>
      </c>
      <c r="T781" s="29">
        <f t="shared" ca="1" si="157"/>
        <v>151</v>
      </c>
      <c r="V781" s="22">
        <v>45326</v>
      </c>
      <c r="W781" s="26">
        <f t="shared" ca="1" si="140"/>
        <v>0.45376207723913653</v>
      </c>
      <c r="X781" s="29">
        <f t="shared" ca="1" si="158"/>
        <v>224</v>
      </c>
      <c r="Z781" s="22">
        <v>45326</v>
      </c>
      <c r="AA781" s="26">
        <f t="shared" ca="1" si="141"/>
        <v>0.29761524217426394</v>
      </c>
      <c r="AB781" s="29">
        <f t="shared" ca="1" si="159"/>
        <v>261</v>
      </c>
      <c r="AC781"/>
      <c r="AD781" s="25"/>
      <c r="AF781" s="22">
        <v>45326</v>
      </c>
      <c r="AG781" s="26">
        <f t="shared" ca="1" si="142"/>
        <v>0.71942153614844773</v>
      </c>
      <c r="AH781" s="29">
        <f t="shared" ca="1" si="160"/>
        <v>378</v>
      </c>
      <c r="AJ781" s="22">
        <v>45326</v>
      </c>
      <c r="AK781" s="26">
        <f t="shared" ca="1" si="143"/>
        <v>0.29834931059534431</v>
      </c>
      <c r="AL781" s="29">
        <f t="shared" ca="1" si="161"/>
        <v>147</v>
      </c>
      <c r="AN781" s="22">
        <v>45326</v>
      </c>
      <c r="AO781" s="26">
        <f t="shared" ca="1" si="144"/>
        <v>0.59475593157407614</v>
      </c>
      <c r="AP781" s="29">
        <f t="shared" ca="1" si="162"/>
        <v>247</v>
      </c>
      <c r="AR781" s="22">
        <v>45326</v>
      </c>
      <c r="AS781" s="26">
        <f t="shared" ca="1" si="145"/>
        <v>0.60510926304853241</v>
      </c>
      <c r="AT781" s="29">
        <f t="shared" ca="1" si="163"/>
        <v>213</v>
      </c>
      <c r="AV781" s="22">
        <v>45326</v>
      </c>
      <c r="AW781" s="26">
        <f t="shared" ca="1" si="146"/>
        <v>0.74444583547087284</v>
      </c>
      <c r="AX781" s="29">
        <f t="shared" ca="1" si="164"/>
        <v>242</v>
      </c>
      <c r="AZ781" s="22">
        <v>45326</v>
      </c>
      <c r="BA781" s="26">
        <f t="shared" ca="1" si="147"/>
        <v>0.37153655125760521</v>
      </c>
      <c r="BB781" s="29">
        <f t="shared" ca="1" si="165"/>
        <v>214</v>
      </c>
      <c r="BC781"/>
      <c r="BD781" s="25"/>
      <c r="BF781" s="22">
        <v>45326</v>
      </c>
      <c r="BG781" s="26">
        <f t="shared" ca="1" si="148"/>
        <v>5.8006697974137933E-2</v>
      </c>
      <c r="BH781" s="29">
        <f t="shared" ca="1" si="166"/>
        <v>117</v>
      </c>
      <c r="BJ781" s="22">
        <v>45326</v>
      </c>
      <c r="BK781" s="26">
        <f t="shared" ca="1" si="149"/>
        <v>0.58870266789337222</v>
      </c>
      <c r="BL781" s="29">
        <f t="shared" ca="1" si="167"/>
        <v>179</v>
      </c>
      <c r="BN781" s="22">
        <v>45326</v>
      </c>
      <c r="BO781" s="26">
        <f t="shared" ca="1" si="150"/>
        <v>0.4050953206540796</v>
      </c>
      <c r="BP781" s="29">
        <f t="shared" ca="1" si="168"/>
        <v>202</v>
      </c>
      <c r="BR781" s="22">
        <v>45326</v>
      </c>
      <c r="BS781" s="26">
        <f t="shared" ca="1" si="151"/>
        <v>0.25728133950329146</v>
      </c>
      <c r="BT781" s="29">
        <v>0</v>
      </c>
      <c r="BV781" s="22">
        <v>45326</v>
      </c>
      <c r="BW781" s="26">
        <f t="shared" ca="1" si="152"/>
        <v>0.5597353507502254</v>
      </c>
      <c r="BX781" s="29">
        <v>0</v>
      </c>
    </row>
    <row r="782" spans="2:77" ht="12.75" x14ac:dyDescent="0.2">
      <c r="B782" s="22">
        <v>45327</v>
      </c>
      <c r="C782" s="26">
        <f t="shared" ca="1" si="135"/>
        <v>1.3948940842910096E-2</v>
      </c>
      <c r="D782" s="29">
        <f t="shared" ca="1" si="134"/>
        <v>32</v>
      </c>
      <c r="F782" s="22"/>
      <c r="G782" s="26">
        <f t="shared" ca="1" si="136"/>
        <v>0.65833496841410033</v>
      </c>
      <c r="H782" s="29">
        <f t="shared" ca="1" si="154"/>
        <v>222</v>
      </c>
      <c r="J782" s="22">
        <v>45327</v>
      </c>
      <c r="K782" s="26">
        <f t="shared" ca="1" si="137"/>
        <v>5.4899935363090124E-2</v>
      </c>
      <c r="L782" s="29">
        <f t="shared" ca="1" si="155"/>
        <v>135</v>
      </c>
      <c r="N782" s="22">
        <v>45327</v>
      </c>
      <c r="O782" s="26">
        <f t="shared" ca="1" si="138"/>
        <v>0.20348643207594852</v>
      </c>
      <c r="P782" s="29">
        <f t="shared" ca="1" si="156"/>
        <v>217</v>
      </c>
      <c r="R782" s="22">
        <v>45327</v>
      </c>
      <c r="S782" s="26">
        <f t="shared" ca="1" si="139"/>
        <v>0.62525855374789086</v>
      </c>
      <c r="T782" s="29">
        <f t="shared" ca="1" si="157"/>
        <v>142</v>
      </c>
      <c r="V782" s="22">
        <v>45327</v>
      </c>
      <c r="W782" s="26">
        <f t="shared" ca="1" si="140"/>
        <v>0.44088424196296283</v>
      </c>
      <c r="X782" s="29">
        <f t="shared" ca="1" si="158"/>
        <v>223</v>
      </c>
      <c r="Z782" s="22">
        <v>45327</v>
      </c>
      <c r="AA782" s="26">
        <f t="shared" ca="1" si="141"/>
        <v>0.12701792687180169</v>
      </c>
      <c r="AB782" s="29">
        <f t="shared" ca="1" si="159"/>
        <v>250</v>
      </c>
      <c r="AC782"/>
      <c r="AD782" s="25"/>
      <c r="AF782" s="22">
        <v>45327</v>
      </c>
      <c r="AG782" s="26">
        <f t="shared" ca="1" si="142"/>
        <v>0.71450188498728684</v>
      </c>
      <c r="AH782" s="29">
        <f t="shared" ca="1" si="160"/>
        <v>377</v>
      </c>
      <c r="AJ782" s="22">
        <v>45327</v>
      </c>
      <c r="AK782" s="26">
        <f t="shared" ca="1" si="143"/>
        <v>0.59894197716680375</v>
      </c>
      <c r="AL782" s="29">
        <f t="shared" ca="1" si="161"/>
        <v>182</v>
      </c>
      <c r="AN782" s="22">
        <v>45327</v>
      </c>
      <c r="AO782" s="26">
        <f t="shared" ca="1" si="144"/>
        <v>0.25602313791712095</v>
      </c>
      <c r="AP782" s="29">
        <f t="shared" ca="1" si="162"/>
        <v>192</v>
      </c>
      <c r="AR782" s="22">
        <v>45327</v>
      </c>
      <c r="AS782" s="26">
        <f t="shared" ca="1" si="145"/>
        <v>0.20575228765061448</v>
      </c>
      <c r="AT782" s="29">
        <f t="shared" ca="1" si="163"/>
        <v>155</v>
      </c>
      <c r="AV782" s="22">
        <v>45327</v>
      </c>
      <c r="AW782" s="26">
        <f t="shared" ca="1" si="146"/>
        <v>5.0755312514108586E-2</v>
      </c>
      <c r="AX782" s="29">
        <f t="shared" ca="1" si="164"/>
        <v>116</v>
      </c>
      <c r="AZ782" s="22">
        <v>45327</v>
      </c>
      <c r="BA782" s="26">
        <f t="shared" ca="1" si="147"/>
        <v>0.76239845860089961</v>
      </c>
      <c r="BB782" s="29">
        <f t="shared" ca="1" si="165"/>
        <v>279</v>
      </c>
      <c r="BC782"/>
      <c r="BD782" s="25"/>
      <c r="BF782" s="22">
        <v>45327</v>
      </c>
      <c r="BG782" s="26">
        <f t="shared" ca="1" si="148"/>
        <v>0.94329067459262417</v>
      </c>
      <c r="BH782" s="29">
        <f t="shared" ca="1" si="166"/>
        <v>286</v>
      </c>
      <c r="BJ782" s="22">
        <v>45327</v>
      </c>
      <c r="BK782" s="26">
        <f t="shared" ca="1" si="149"/>
        <v>0.15931380429536968</v>
      </c>
      <c r="BL782" s="29">
        <f t="shared" ca="1" si="167"/>
        <v>124</v>
      </c>
      <c r="BN782" s="22">
        <v>45327</v>
      </c>
      <c r="BO782" s="26">
        <f t="shared" ca="1" si="150"/>
        <v>0.56647282813857125</v>
      </c>
      <c r="BP782" s="29">
        <f t="shared" ca="1" si="168"/>
        <v>226</v>
      </c>
      <c r="BR782" s="22">
        <v>45327</v>
      </c>
      <c r="BS782" s="26">
        <f t="shared" ca="1" si="151"/>
        <v>0.11088957718794412</v>
      </c>
      <c r="BT782" s="29">
        <v>0</v>
      </c>
      <c r="BV782" s="22">
        <v>45327</v>
      </c>
      <c r="BW782" s="26">
        <f t="shared" ca="1" si="152"/>
        <v>0.36531684062246328</v>
      </c>
      <c r="BX782" s="29">
        <v>0</v>
      </c>
    </row>
    <row r="783" spans="2:77" ht="12.75" x14ac:dyDescent="0.2">
      <c r="B783" s="22">
        <v>45328</v>
      </c>
      <c r="C783" s="26">
        <f t="shared" ca="1" si="135"/>
        <v>0.69592763927425438</v>
      </c>
      <c r="D783" s="29">
        <v>0</v>
      </c>
      <c r="F783" s="22"/>
      <c r="G783" s="26">
        <f t="shared" ca="1" si="136"/>
        <v>0.45716596804955267</v>
      </c>
      <c r="H783" s="29">
        <v>0</v>
      </c>
      <c r="J783" s="22">
        <v>45328</v>
      </c>
      <c r="K783" s="26">
        <f t="shared" ca="1" si="137"/>
        <v>7.5884130188315968E-2</v>
      </c>
      <c r="L783" s="29">
        <v>0</v>
      </c>
      <c r="N783" s="22">
        <v>45328</v>
      </c>
      <c r="O783" s="26">
        <f t="shared" ca="1" si="138"/>
        <v>0.37750197108170969</v>
      </c>
      <c r="P783" s="29">
        <v>0</v>
      </c>
      <c r="R783" s="22">
        <v>45328</v>
      </c>
      <c r="S783" s="26">
        <f t="shared" ca="1" si="139"/>
        <v>0.76378524040571649</v>
      </c>
      <c r="T783" s="29">
        <v>0</v>
      </c>
      <c r="V783" s="22">
        <v>45328</v>
      </c>
      <c r="W783" s="26">
        <f t="shared" ca="1" si="140"/>
        <v>0.98470098012913654</v>
      </c>
      <c r="X783" s="29">
        <v>0</v>
      </c>
      <c r="Z783" s="22">
        <v>45328</v>
      </c>
      <c r="AA783" s="26">
        <f t="shared" ca="1" si="141"/>
        <v>0.33712100596291172</v>
      </c>
      <c r="AB783" s="29">
        <v>0</v>
      </c>
      <c r="AC783"/>
      <c r="AD783" s="25"/>
      <c r="AF783" s="22">
        <v>45328</v>
      </c>
      <c r="AG783" s="26">
        <f t="shared" ca="1" si="142"/>
        <v>0.25152972638466509</v>
      </c>
      <c r="AH783" s="29">
        <v>0</v>
      </c>
      <c r="AJ783" s="22">
        <v>45328</v>
      </c>
      <c r="AK783" s="26">
        <f t="shared" ca="1" si="143"/>
        <v>0.72377545827549994</v>
      </c>
      <c r="AL783" s="29">
        <v>0</v>
      </c>
      <c r="AN783" s="22">
        <v>45328</v>
      </c>
      <c r="AO783" s="26">
        <f t="shared" ca="1" si="144"/>
        <v>0.55766751243635959</v>
      </c>
      <c r="AP783" s="29">
        <v>0</v>
      </c>
      <c r="AR783" s="22">
        <v>45328</v>
      </c>
      <c r="AS783" s="26">
        <f t="shared" ca="1" si="145"/>
        <v>0.99939363737897524</v>
      </c>
      <c r="AT783" s="29">
        <v>0</v>
      </c>
      <c r="AV783" s="22">
        <v>45328</v>
      </c>
      <c r="AW783" s="26">
        <f t="shared" ca="1" si="146"/>
        <v>0.63737754563803584</v>
      </c>
      <c r="AX783" s="29">
        <v>0</v>
      </c>
      <c r="AZ783" s="22">
        <v>45328</v>
      </c>
      <c r="BA783" s="26">
        <f t="shared" ca="1" si="147"/>
        <v>0.63317720490008167</v>
      </c>
      <c r="BB783" s="29">
        <v>0</v>
      </c>
      <c r="BC783"/>
      <c r="BD783" s="25"/>
      <c r="BF783" s="22">
        <v>45328</v>
      </c>
      <c r="BG783" s="26">
        <f t="shared" ca="1" si="148"/>
        <v>0.15373128148622117</v>
      </c>
      <c r="BH783" s="29">
        <v>0</v>
      </c>
      <c r="BJ783" s="22">
        <v>45328</v>
      </c>
      <c r="BK783" s="26">
        <f t="shared" ca="1" si="149"/>
        <v>0.81767741337132549</v>
      </c>
      <c r="BL783" s="29">
        <v>0</v>
      </c>
      <c r="BN783" s="22">
        <v>45328</v>
      </c>
      <c r="BO783" s="26">
        <f t="shared" ca="1" si="150"/>
        <v>0.59357338872042897</v>
      </c>
      <c r="BP783" s="29">
        <v>0</v>
      </c>
      <c r="BR783" s="22">
        <v>45328</v>
      </c>
      <c r="BS783" s="26">
        <f t="shared" ca="1" si="151"/>
        <v>0.30915595839753685</v>
      </c>
      <c r="BT783" s="29">
        <v>0</v>
      </c>
      <c r="BV783" s="22">
        <v>45328</v>
      </c>
      <c r="BW783" s="26">
        <f t="shared" ca="1" si="152"/>
        <v>0.79162384502777405</v>
      </c>
      <c r="BX783" s="29">
        <v>0</v>
      </c>
    </row>
    <row r="784" spans="2:77" ht="12.75" x14ac:dyDescent="0.2">
      <c r="B784" s="22">
        <v>45329</v>
      </c>
      <c r="C784" s="26">
        <f t="shared" ca="1" si="135"/>
        <v>3.2680411801627618E-2</v>
      </c>
      <c r="D784" s="29">
        <v>0</v>
      </c>
      <c r="F784" s="22"/>
      <c r="G784" s="26">
        <f t="shared" ca="1" si="136"/>
        <v>8.0232067890090075E-2</v>
      </c>
      <c r="H784" s="29">
        <v>0</v>
      </c>
      <c r="J784" s="22">
        <v>45329</v>
      </c>
      <c r="K784" s="26">
        <f t="shared" ca="1" si="137"/>
        <v>0.33151480052399684</v>
      </c>
      <c r="L784" s="29">
        <v>0</v>
      </c>
      <c r="N784" s="22">
        <v>45329</v>
      </c>
      <c r="O784" s="26">
        <f t="shared" ca="1" si="138"/>
        <v>8.4085926770012032E-2</v>
      </c>
      <c r="P784" s="29">
        <v>0</v>
      </c>
      <c r="R784" s="22">
        <v>45329</v>
      </c>
      <c r="S784" s="26">
        <f t="shared" ca="1" si="139"/>
        <v>0.66498769830723947</v>
      </c>
      <c r="T784" s="29">
        <v>0</v>
      </c>
      <c r="V784" s="22">
        <v>45329</v>
      </c>
      <c r="W784" s="26">
        <f t="shared" ca="1" si="140"/>
        <v>0.31801711697645607</v>
      </c>
      <c r="X784" s="29">
        <v>0</v>
      </c>
      <c r="Z784" s="22">
        <v>45329</v>
      </c>
      <c r="AA784" s="26">
        <f t="shared" ca="1" si="141"/>
        <v>0.74768983628054164</v>
      </c>
      <c r="AB784" s="29">
        <v>0</v>
      </c>
      <c r="AC784"/>
      <c r="AD784" s="25"/>
      <c r="AF784" s="22">
        <v>45329</v>
      </c>
      <c r="AG784" s="26">
        <f t="shared" ca="1" si="142"/>
        <v>0.6258085343309151</v>
      </c>
      <c r="AH784" s="29">
        <v>0</v>
      </c>
      <c r="AJ784" s="22">
        <v>45329</v>
      </c>
      <c r="AK784" s="26">
        <f t="shared" ca="1" si="143"/>
        <v>0.84924031595621252</v>
      </c>
      <c r="AL784" s="29">
        <v>0</v>
      </c>
      <c r="AN784" s="22">
        <v>45329</v>
      </c>
      <c r="AO784" s="26">
        <f t="shared" ca="1" si="144"/>
        <v>0.90055219169259382</v>
      </c>
      <c r="AP784" s="29">
        <v>0</v>
      </c>
      <c r="AR784" s="22">
        <v>45329</v>
      </c>
      <c r="AS784" s="26">
        <f t="shared" ca="1" si="145"/>
        <v>0.65406436515897748</v>
      </c>
      <c r="AT784" s="29">
        <v>0</v>
      </c>
      <c r="AV784" s="22">
        <v>45329</v>
      </c>
      <c r="AW784" s="26">
        <f t="shared" ca="1" si="146"/>
        <v>0.69995287384712934</v>
      </c>
      <c r="AX784" s="29">
        <v>0</v>
      </c>
      <c r="AZ784" s="22">
        <v>45329</v>
      </c>
      <c r="BA784" s="26">
        <f t="shared" ca="1" si="147"/>
        <v>0.65113657860846441</v>
      </c>
      <c r="BB784" s="29">
        <v>0</v>
      </c>
      <c r="BC784"/>
      <c r="BD784" s="25"/>
      <c r="BF784" s="22">
        <v>45329</v>
      </c>
      <c r="BG784" s="26">
        <f t="shared" ca="1" si="148"/>
        <v>0.27054064694764091</v>
      </c>
      <c r="BH784" s="29">
        <v>0</v>
      </c>
      <c r="BJ784" s="22">
        <v>45329</v>
      </c>
      <c r="BK784" s="26">
        <f t="shared" ca="1" si="149"/>
        <v>0.26829627760476138</v>
      </c>
      <c r="BL784" s="29">
        <v>0</v>
      </c>
      <c r="BN784" s="22">
        <v>45329</v>
      </c>
      <c r="BO784" s="26">
        <f t="shared" ca="1" si="150"/>
        <v>6.1775048339450023E-2</v>
      </c>
      <c r="BP784" s="29">
        <v>0</v>
      </c>
      <c r="BR784" s="22">
        <v>45329</v>
      </c>
      <c r="BS784" s="26">
        <f t="shared" ca="1" si="151"/>
        <v>0.61182524978771535</v>
      </c>
      <c r="BT784" s="29">
        <v>0</v>
      </c>
      <c r="BV784" s="22">
        <v>45329</v>
      </c>
      <c r="BW784" s="26">
        <f t="shared" ca="1" si="152"/>
        <v>0.14333288543989342</v>
      </c>
      <c r="BX784" s="29">
        <v>0</v>
      </c>
    </row>
    <row r="785" spans="2:76" ht="12.75" x14ac:dyDescent="0.2">
      <c r="B785" s="22">
        <v>45330</v>
      </c>
      <c r="C785" s="26">
        <f t="shared" ca="1" si="135"/>
        <v>0.65701547423546791</v>
      </c>
      <c r="D785" s="29">
        <v>0</v>
      </c>
      <c r="F785" s="22"/>
      <c r="G785" s="26">
        <f t="shared" ca="1" si="136"/>
        <v>0.57759270391721507</v>
      </c>
      <c r="H785" s="29">
        <v>0</v>
      </c>
      <c r="J785" s="22">
        <v>45330</v>
      </c>
      <c r="K785" s="26">
        <f t="shared" ca="1" si="137"/>
        <v>0.77670794399375476</v>
      </c>
      <c r="L785" s="29">
        <v>0</v>
      </c>
      <c r="N785" s="22">
        <v>45330</v>
      </c>
      <c r="O785" s="26">
        <f t="shared" ca="1" si="138"/>
        <v>0.71203157938929973</v>
      </c>
      <c r="P785" s="29">
        <v>0</v>
      </c>
      <c r="R785" s="22">
        <v>45330</v>
      </c>
      <c r="S785" s="26">
        <f t="shared" ca="1" si="139"/>
        <v>0.96697491760129128</v>
      </c>
      <c r="T785" s="29">
        <v>0</v>
      </c>
      <c r="V785" s="22">
        <v>45330</v>
      </c>
      <c r="W785" s="26">
        <f t="shared" ca="1" si="140"/>
        <v>0.69158647374483084</v>
      </c>
      <c r="X785" s="29">
        <v>0</v>
      </c>
      <c r="Z785" s="22">
        <v>45330</v>
      </c>
      <c r="AA785" s="26">
        <f t="shared" ca="1" si="141"/>
        <v>0.70616816376283165</v>
      </c>
      <c r="AB785" s="29">
        <v>0</v>
      </c>
      <c r="AC785"/>
      <c r="AD785" s="25"/>
      <c r="AF785" s="22">
        <v>45330</v>
      </c>
      <c r="AG785" s="26">
        <f t="shared" ca="1" si="142"/>
        <v>0.82453788513628357</v>
      </c>
      <c r="AH785" s="29">
        <v>0</v>
      </c>
      <c r="AJ785" s="22">
        <v>45330</v>
      </c>
      <c r="AK785" s="26">
        <f t="shared" ca="1" si="143"/>
        <v>0.82923149649940886</v>
      </c>
      <c r="AL785" s="29">
        <v>0</v>
      </c>
      <c r="AN785" s="22">
        <v>45330</v>
      </c>
      <c r="AO785" s="26">
        <f t="shared" ca="1" si="144"/>
        <v>0.57901296405421288</v>
      </c>
      <c r="AP785" s="29">
        <v>0</v>
      </c>
      <c r="AR785" s="22">
        <v>45330</v>
      </c>
      <c r="AS785" s="26">
        <f t="shared" ca="1" si="145"/>
        <v>0.96554682499184297</v>
      </c>
      <c r="AT785" s="29">
        <v>0</v>
      </c>
      <c r="AV785" s="22">
        <v>45330</v>
      </c>
      <c r="AW785" s="26">
        <f t="shared" ca="1" si="146"/>
        <v>0.34541657460196218</v>
      </c>
      <c r="AX785" s="29">
        <v>0</v>
      </c>
      <c r="AZ785" s="22">
        <v>45330</v>
      </c>
      <c r="BA785" s="26">
        <f t="shared" ca="1" si="147"/>
        <v>0.14890397237197006</v>
      </c>
      <c r="BB785" s="29">
        <v>0</v>
      </c>
      <c r="BC785"/>
      <c r="BD785" s="25"/>
      <c r="BF785" s="22">
        <v>45330</v>
      </c>
      <c r="BG785" s="26">
        <f t="shared" ca="1" si="148"/>
        <v>0.36772151619927707</v>
      </c>
      <c r="BH785" s="29">
        <v>0</v>
      </c>
      <c r="BJ785" s="22">
        <v>45330</v>
      </c>
      <c r="BK785" s="26">
        <f t="shared" ca="1" si="149"/>
        <v>0.15298684159785458</v>
      </c>
      <c r="BL785" s="29">
        <v>0</v>
      </c>
      <c r="BN785" s="22">
        <v>45330</v>
      </c>
      <c r="BO785" s="26">
        <f t="shared" ca="1" si="150"/>
        <v>0.9163313972667132</v>
      </c>
      <c r="BP785" s="29">
        <v>0</v>
      </c>
      <c r="BR785" s="22">
        <v>45330</v>
      </c>
      <c r="BS785" s="26">
        <f t="shared" ca="1" si="151"/>
        <v>0.20443802895630292</v>
      </c>
      <c r="BT785" s="29">
        <v>0</v>
      </c>
      <c r="BV785" s="22">
        <v>45330</v>
      </c>
      <c r="BW785" s="26">
        <f t="shared" ca="1" si="152"/>
        <v>0.89730574321997836</v>
      </c>
      <c r="BX785" s="29">
        <v>0</v>
      </c>
    </row>
    <row r="786" spans="2:76" ht="12.75" x14ac:dyDescent="0.2">
      <c r="B786" s="22">
        <v>45331</v>
      </c>
      <c r="C786" s="26">
        <f t="shared" ca="1" si="135"/>
        <v>0.18839648304953571</v>
      </c>
      <c r="D786" s="29">
        <v>0</v>
      </c>
      <c r="F786" s="22"/>
      <c r="G786" s="26">
        <f t="shared" ca="1" si="136"/>
        <v>0.71634831629669915</v>
      </c>
      <c r="H786" s="29">
        <v>0</v>
      </c>
      <c r="J786" s="22">
        <v>45331</v>
      </c>
      <c r="K786" s="26">
        <f t="shared" ca="1" si="137"/>
        <v>0.94612773512951154</v>
      </c>
      <c r="L786" s="29">
        <v>0</v>
      </c>
      <c r="N786" s="22">
        <v>45331</v>
      </c>
      <c r="O786" s="26">
        <f t="shared" ca="1" si="138"/>
        <v>0.80389990052772931</v>
      </c>
      <c r="P786" s="29">
        <v>0</v>
      </c>
      <c r="R786" s="22">
        <v>45331</v>
      </c>
      <c r="S786" s="26">
        <f t="shared" ca="1" si="139"/>
        <v>0.67064869332083843</v>
      </c>
      <c r="T786" s="29">
        <v>0</v>
      </c>
      <c r="V786" s="22">
        <v>45331</v>
      </c>
      <c r="W786" s="26">
        <f t="shared" ca="1" si="140"/>
        <v>3.9262560375159183E-2</v>
      </c>
      <c r="X786" s="29">
        <v>0</v>
      </c>
      <c r="Z786" s="22">
        <v>45331</v>
      </c>
      <c r="AA786" s="26">
        <f t="shared" ca="1" si="141"/>
        <v>0.23431087559975339</v>
      </c>
      <c r="AB786" s="29">
        <v>0</v>
      </c>
      <c r="AC786"/>
      <c r="AD786" s="25"/>
      <c r="AF786" s="22">
        <v>45331</v>
      </c>
      <c r="AG786" s="26">
        <f t="shared" ca="1" si="142"/>
        <v>0.13672788287700732</v>
      </c>
      <c r="AH786" s="29">
        <v>0</v>
      </c>
      <c r="AJ786" s="22">
        <v>45331</v>
      </c>
      <c r="AK786" s="26">
        <f t="shared" ca="1" si="143"/>
        <v>0.32088329271099236</v>
      </c>
      <c r="AL786" s="29">
        <v>0</v>
      </c>
      <c r="AN786" s="22">
        <v>45331</v>
      </c>
      <c r="AO786" s="26">
        <f t="shared" ca="1" si="144"/>
        <v>9.1205431243405299E-2</v>
      </c>
      <c r="AP786" s="29">
        <v>0</v>
      </c>
      <c r="AR786" s="22">
        <v>45331</v>
      </c>
      <c r="AS786" s="26">
        <f t="shared" ca="1" si="145"/>
        <v>0.75776201512459185</v>
      </c>
      <c r="AT786" s="29">
        <v>0</v>
      </c>
      <c r="AV786" s="22">
        <v>45331</v>
      </c>
      <c r="AW786" s="26">
        <f t="shared" ca="1" si="146"/>
        <v>0.73754601606936654</v>
      </c>
      <c r="AX786" s="29">
        <v>0</v>
      </c>
      <c r="AZ786" s="22">
        <v>45331</v>
      </c>
      <c r="BA786" s="26">
        <f t="shared" ca="1" si="147"/>
        <v>0.40226636658021486</v>
      </c>
      <c r="BB786" s="29">
        <v>0</v>
      </c>
      <c r="BC786"/>
      <c r="BD786" s="25"/>
      <c r="BF786" s="22">
        <v>45331</v>
      </c>
      <c r="BG786" s="26">
        <f t="shared" ca="1" si="148"/>
        <v>0.88789115770900073</v>
      </c>
      <c r="BH786" s="29">
        <v>0</v>
      </c>
      <c r="BJ786" s="22">
        <v>45331</v>
      </c>
      <c r="BK786" s="26">
        <f t="shared" ca="1" si="149"/>
        <v>0.48565667633893861</v>
      </c>
      <c r="BL786" s="29">
        <v>0</v>
      </c>
      <c r="BN786" s="22">
        <v>45331</v>
      </c>
      <c r="BO786" s="26">
        <f t="shared" ca="1" si="150"/>
        <v>0.28426617717474822</v>
      </c>
      <c r="BP786" s="29">
        <v>0</v>
      </c>
      <c r="BR786" s="22">
        <v>45331</v>
      </c>
      <c r="BS786" s="26">
        <f t="shared" ca="1" si="151"/>
        <v>0.20486341953562037</v>
      </c>
      <c r="BT786" s="29">
        <v>0</v>
      </c>
      <c r="BV786" s="22">
        <v>45331</v>
      </c>
      <c r="BW786" s="26">
        <f t="shared" ca="1" si="152"/>
        <v>0.27965309403119254</v>
      </c>
      <c r="BX786" s="29">
        <v>0</v>
      </c>
    </row>
    <row r="787" spans="2:76" ht="12.75" x14ac:dyDescent="0.2">
      <c r="B787" s="22">
        <v>45332</v>
      </c>
      <c r="C787" s="26">
        <f t="shared" ca="1" si="135"/>
        <v>0.38270304513553022</v>
      </c>
      <c r="D787" s="29">
        <v>0</v>
      </c>
      <c r="F787" s="22"/>
      <c r="G787" s="26">
        <f t="shared" ca="1" si="136"/>
        <v>0.34571853995912627</v>
      </c>
      <c r="H787" s="29">
        <v>0</v>
      </c>
      <c r="J787" s="22">
        <v>45332</v>
      </c>
      <c r="K787" s="26">
        <f t="shared" ca="1" si="137"/>
        <v>0.24076329485069414</v>
      </c>
      <c r="L787" s="29">
        <v>0</v>
      </c>
      <c r="N787" s="22">
        <v>45332</v>
      </c>
      <c r="O787" s="26">
        <f t="shared" ca="1" si="138"/>
        <v>0.43567549709769671</v>
      </c>
      <c r="P787" s="29">
        <v>0</v>
      </c>
      <c r="R787" s="22">
        <v>45332</v>
      </c>
      <c r="S787" s="26">
        <f t="shared" ca="1" si="139"/>
        <v>5.3282958632814292E-2</v>
      </c>
      <c r="T787" s="29">
        <v>0</v>
      </c>
      <c r="V787" s="22">
        <v>45332</v>
      </c>
      <c r="W787" s="26">
        <f t="shared" ca="1" si="140"/>
        <v>3.5812248758693821E-2</v>
      </c>
      <c r="X787" s="29">
        <v>0</v>
      </c>
      <c r="Z787" s="22">
        <v>45332</v>
      </c>
      <c r="AA787" s="26">
        <f t="shared" ca="1" si="141"/>
        <v>0.87091551058863304</v>
      </c>
      <c r="AB787" s="29">
        <v>0</v>
      </c>
      <c r="AC787"/>
      <c r="AD787" s="25"/>
      <c r="AF787" s="22">
        <v>45332</v>
      </c>
      <c r="AG787" s="26">
        <f t="shared" ca="1" si="142"/>
        <v>0.90038006689975314</v>
      </c>
      <c r="AH787" s="29">
        <v>0</v>
      </c>
      <c r="AJ787" s="22">
        <v>45332</v>
      </c>
      <c r="AK787" s="26">
        <f t="shared" ca="1" si="143"/>
        <v>0.73241708697690178</v>
      </c>
      <c r="AL787" s="29">
        <v>0</v>
      </c>
      <c r="AN787" s="22">
        <v>45332</v>
      </c>
      <c r="AO787" s="26">
        <f t="shared" ca="1" si="144"/>
        <v>0.3086648106981289</v>
      </c>
      <c r="AP787" s="29">
        <v>0</v>
      </c>
      <c r="AR787" s="22">
        <v>45332</v>
      </c>
      <c r="AS787" s="26">
        <f t="shared" ca="1" si="145"/>
        <v>0.67631909610369934</v>
      </c>
      <c r="AT787" s="29">
        <v>0</v>
      </c>
      <c r="AV787" s="22">
        <v>45332</v>
      </c>
      <c r="AW787" s="26">
        <f t="shared" ca="1" si="146"/>
        <v>0.43142992883795717</v>
      </c>
      <c r="AX787" s="29">
        <v>0</v>
      </c>
      <c r="AZ787" s="22">
        <v>45332</v>
      </c>
      <c r="BA787" s="26">
        <f t="shared" ca="1" si="147"/>
        <v>0.18379673999662827</v>
      </c>
      <c r="BB787" s="29">
        <v>0</v>
      </c>
      <c r="BC787"/>
      <c r="BD787" s="25"/>
      <c r="BF787" s="22">
        <v>45332</v>
      </c>
      <c r="BG787" s="26">
        <f t="shared" ca="1" si="148"/>
        <v>0.52203158664715466</v>
      </c>
      <c r="BH787" s="29">
        <v>0</v>
      </c>
      <c r="BJ787" s="22">
        <v>45332</v>
      </c>
      <c r="BK787" s="26">
        <f t="shared" ca="1" si="149"/>
        <v>0.69091230027087081</v>
      </c>
      <c r="BL787" s="29">
        <v>0</v>
      </c>
      <c r="BN787" s="22">
        <v>45332</v>
      </c>
      <c r="BO787" s="26">
        <f t="shared" ca="1" si="150"/>
        <v>0.22324630858978201</v>
      </c>
      <c r="BP787" s="29">
        <v>0</v>
      </c>
      <c r="BR787" s="22">
        <v>45332</v>
      </c>
      <c r="BS787" s="26">
        <f t="shared" ca="1" si="151"/>
        <v>0.47262144189182931</v>
      </c>
      <c r="BT787" s="29">
        <v>0</v>
      </c>
      <c r="BV787" s="22">
        <v>45332</v>
      </c>
      <c r="BW787" s="26">
        <f t="shared" ca="1" si="152"/>
        <v>0.97025537918580806</v>
      </c>
      <c r="BX787" s="29">
        <v>0</v>
      </c>
    </row>
    <row r="788" spans="2:76" ht="12.75" x14ac:dyDescent="0.2">
      <c r="B788" s="22">
        <v>45333</v>
      </c>
      <c r="C788" s="26">
        <f t="shared" ca="1" si="135"/>
        <v>0.53725559383275612</v>
      </c>
      <c r="D788" s="29">
        <v>0</v>
      </c>
      <c r="F788" s="22"/>
      <c r="G788" s="26">
        <f t="shared" ca="1" si="136"/>
        <v>8.8903037116694783E-2</v>
      </c>
      <c r="H788" s="29">
        <v>0</v>
      </c>
      <c r="J788" s="22">
        <v>45333</v>
      </c>
      <c r="K788" s="26">
        <f t="shared" ca="1" si="137"/>
        <v>0.90716772754061537</v>
      </c>
      <c r="L788" s="29">
        <v>0</v>
      </c>
      <c r="N788" s="22">
        <v>45333</v>
      </c>
      <c r="O788" s="26">
        <f t="shared" ca="1" si="138"/>
        <v>0.14267625471392109</v>
      </c>
      <c r="P788" s="29">
        <v>0</v>
      </c>
      <c r="R788" s="22">
        <v>45333</v>
      </c>
      <c r="S788" s="26">
        <f t="shared" ca="1" si="139"/>
        <v>0.54005815596404116</v>
      </c>
      <c r="T788" s="29">
        <v>0</v>
      </c>
      <c r="V788" s="22">
        <v>45333</v>
      </c>
      <c r="W788" s="26">
        <f t="shared" ca="1" si="140"/>
        <v>0.74659389519727859</v>
      </c>
      <c r="X788" s="29">
        <v>0</v>
      </c>
      <c r="Z788" s="22">
        <v>45333</v>
      </c>
      <c r="AA788" s="26">
        <f t="shared" ca="1" si="141"/>
        <v>0.93021791777833274</v>
      </c>
      <c r="AB788" s="29">
        <v>0</v>
      </c>
      <c r="AC788"/>
      <c r="AD788" s="25"/>
      <c r="AF788" s="22">
        <v>45333</v>
      </c>
      <c r="AG788" s="26">
        <f t="shared" ca="1" si="142"/>
        <v>0.18450269025202892</v>
      </c>
      <c r="AH788" s="29">
        <v>0</v>
      </c>
      <c r="AJ788" s="22">
        <v>45333</v>
      </c>
      <c r="AK788" s="26">
        <f t="shared" ca="1" si="143"/>
        <v>0.20046082431487433</v>
      </c>
      <c r="AL788" s="29">
        <v>0</v>
      </c>
      <c r="AN788" s="22">
        <v>45333</v>
      </c>
      <c r="AO788" s="26">
        <f t="shared" ca="1" si="144"/>
        <v>0.91179346563393426</v>
      </c>
      <c r="AP788" s="29">
        <v>0</v>
      </c>
      <c r="AR788" s="22">
        <v>45333</v>
      </c>
      <c r="AS788" s="26">
        <f t="shared" ca="1" si="145"/>
        <v>0.22939527699997297</v>
      </c>
      <c r="AT788" s="29">
        <v>0</v>
      </c>
      <c r="AV788" s="22">
        <v>45333</v>
      </c>
      <c r="AW788" s="26">
        <f t="shared" ca="1" si="146"/>
        <v>9.5201059788251663E-2</v>
      </c>
      <c r="AX788" s="29">
        <v>0</v>
      </c>
      <c r="AZ788" s="22">
        <v>45333</v>
      </c>
      <c r="BA788" s="26">
        <f t="shared" ca="1" si="147"/>
        <v>0.86840773815719574</v>
      </c>
      <c r="BB788" s="29">
        <v>0</v>
      </c>
      <c r="BC788"/>
      <c r="BD788" s="25"/>
      <c r="BF788" s="22">
        <v>45333</v>
      </c>
      <c r="BG788" s="26">
        <f t="shared" ca="1" si="148"/>
        <v>0.41235101395745999</v>
      </c>
      <c r="BH788" s="29">
        <v>0</v>
      </c>
      <c r="BJ788" s="22">
        <v>45333</v>
      </c>
      <c r="BK788" s="26">
        <f t="shared" ca="1" si="149"/>
        <v>0.9220033170850146</v>
      </c>
      <c r="BL788" s="29">
        <v>0</v>
      </c>
      <c r="BN788" s="22">
        <v>45333</v>
      </c>
      <c r="BO788" s="26">
        <f t="shared" ca="1" si="150"/>
        <v>0.58389176862679926</v>
      </c>
      <c r="BP788" s="29">
        <v>0</v>
      </c>
      <c r="BR788" s="22">
        <v>45333</v>
      </c>
      <c r="BS788" s="26">
        <f t="shared" ca="1" si="151"/>
        <v>0.72225735757237808</v>
      </c>
      <c r="BT788" s="29">
        <v>0</v>
      </c>
      <c r="BV788" s="22">
        <v>45333</v>
      </c>
      <c r="BW788" s="26">
        <f t="shared" ca="1" si="152"/>
        <v>0.7977763726700654</v>
      </c>
      <c r="BX788" s="29">
        <v>0</v>
      </c>
    </row>
    <row r="789" spans="2:76" ht="12.75" x14ac:dyDescent="0.2">
      <c r="B789" s="22">
        <v>45334</v>
      </c>
      <c r="C789" s="26">
        <f t="shared" ca="1" si="135"/>
        <v>0.82802288242019029</v>
      </c>
      <c r="D789" s="29">
        <v>0</v>
      </c>
      <c r="F789" s="22"/>
      <c r="G789" s="26">
        <f t="shared" ca="1" si="136"/>
        <v>0.48207891276359416</v>
      </c>
      <c r="H789" s="29">
        <v>0</v>
      </c>
      <c r="J789" s="22">
        <v>45334</v>
      </c>
      <c r="K789" s="26">
        <f t="shared" ca="1" si="137"/>
        <v>0.6205219456273311</v>
      </c>
      <c r="L789" s="29">
        <v>0</v>
      </c>
      <c r="N789" s="22">
        <v>45334</v>
      </c>
      <c r="O789" s="26">
        <f t="shared" ca="1" si="138"/>
        <v>0.67453220097689326</v>
      </c>
      <c r="P789" s="29">
        <v>0</v>
      </c>
      <c r="R789" s="22">
        <v>45334</v>
      </c>
      <c r="S789" s="26">
        <f t="shared" ca="1" si="139"/>
        <v>0.26631703743848734</v>
      </c>
      <c r="T789" s="29">
        <v>0</v>
      </c>
      <c r="V789" s="22">
        <v>45334</v>
      </c>
      <c r="W789" s="26">
        <f t="shared" ca="1" si="140"/>
        <v>0.40558331370431655</v>
      </c>
      <c r="X789" s="29">
        <v>0</v>
      </c>
      <c r="Z789" s="22">
        <v>45334</v>
      </c>
      <c r="AA789" s="26">
        <f t="shared" ca="1" si="141"/>
        <v>0.38717077547335033</v>
      </c>
      <c r="AB789" s="29">
        <v>0</v>
      </c>
      <c r="AC789"/>
      <c r="AD789" s="25"/>
      <c r="AF789" s="22">
        <v>45334</v>
      </c>
      <c r="AG789" s="26">
        <f t="shared" ca="1" si="142"/>
        <v>0.83872491367758173</v>
      </c>
      <c r="AH789" s="29">
        <v>0</v>
      </c>
      <c r="AJ789" s="22">
        <v>45334</v>
      </c>
      <c r="AK789" s="26">
        <f t="shared" ca="1" si="143"/>
        <v>0.46620133687067666</v>
      </c>
      <c r="AL789" s="29">
        <v>0</v>
      </c>
      <c r="AN789" s="22">
        <v>45334</v>
      </c>
      <c r="AO789" s="26">
        <f t="shared" ca="1" si="144"/>
        <v>0.5534201468256823</v>
      </c>
      <c r="AP789" s="29">
        <v>0</v>
      </c>
      <c r="AR789" s="22">
        <v>45334</v>
      </c>
      <c r="AS789" s="26">
        <f t="shared" ca="1" si="145"/>
        <v>0.50167719071951578</v>
      </c>
      <c r="AT789" s="29">
        <v>0</v>
      </c>
      <c r="AV789" s="22">
        <v>45334</v>
      </c>
      <c r="AW789" s="26">
        <f t="shared" ca="1" si="146"/>
        <v>0.13804186223450399</v>
      </c>
      <c r="AX789" s="29">
        <v>0</v>
      </c>
      <c r="AZ789" s="22">
        <v>45334</v>
      </c>
      <c r="BA789" s="26">
        <f t="shared" ca="1" si="147"/>
        <v>0.9051898440824413</v>
      </c>
      <c r="BB789" s="29">
        <v>0</v>
      </c>
      <c r="BC789"/>
      <c r="BD789" s="25"/>
      <c r="BF789" s="22">
        <v>45334</v>
      </c>
      <c r="BG789" s="26">
        <f t="shared" ca="1" si="148"/>
        <v>7.2926291267756183E-2</v>
      </c>
      <c r="BH789" s="29">
        <v>0</v>
      </c>
      <c r="BJ789" s="22">
        <v>45334</v>
      </c>
      <c r="BK789" s="26">
        <f t="shared" ca="1" si="149"/>
        <v>0.3225187126244814</v>
      </c>
      <c r="BL789" s="29">
        <v>0</v>
      </c>
      <c r="BN789" s="22">
        <v>45334</v>
      </c>
      <c r="BO789" s="26">
        <f t="shared" ca="1" si="150"/>
        <v>0.9761392315990437</v>
      </c>
      <c r="BP789" s="29">
        <v>0</v>
      </c>
      <c r="BR789" s="22">
        <v>45334</v>
      </c>
      <c r="BS789" s="26">
        <f t="shared" ca="1" si="151"/>
        <v>0.58114905579992004</v>
      </c>
      <c r="BT789" s="29">
        <v>0</v>
      </c>
      <c r="BV789" s="22">
        <v>45334</v>
      </c>
      <c r="BW789" s="26">
        <f t="shared" ca="1" si="152"/>
        <v>0.99890610645738986</v>
      </c>
      <c r="BX789" s="29">
        <v>0</v>
      </c>
    </row>
    <row r="790" spans="2:76" ht="12.75" x14ac:dyDescent="0.2">
      <c r="B790" s="22">
        <v>45335</v>
      </c>
      <c r="C790" s="26">
        <f t="shared" ca="1" si="135"/>
        <v>0.69931685230796792</v>
      </c>
      <c r="D790" s="29">
        <v>0</v>
      </c>
      <c r="F790" s="22"/>
      <c r="G790" s="26">
        <f t="shared" ca="1" si="136"/>
        <v>0.13814297416483801</v>
      </c>
      <c r="H790" s="29">
        <v>0</v>
      </c>
      <c r="J790" s="22">
        <v>45335</v>
      </c>
      <c r="K790" s="26">
        <f t="shared" ca="1" si="137"/>
        <v>0.32501703453507669</v>
      </c>
      <c r="L790" s="29">
        <v>0</v>
      </c>
      <c r="N790" s="22">
        <v>45335</v>
      </c>
      <c r="O790" s="26">
        <f t="shared" ca="1" si="138"/>
        <v>0.21221230964538984</v>
      </c>
      <c r="P790" s="29">
        <v>0</v>
      </c>
      <c r="R790" s="22">
        <v>45335</v>
      </c>
      <c r="S790" s="26">
        <f t="shared" ca="1" si="139"/>
        <v>0.4006612960772522</v>
      </c>
      <c r="T790" s="29">
        <v>0</v>
      </c>
      <c r="V790" s="22">
        <v>45335</v>
      </c>
      <c r="W790" s="26">
        <f t="shared" ca="1" si="140"/>
        <v>0.22376439921663482</v>
      </c>
      <c r="X790" s="29">
        <v>0</v>
      </c>
      <c r="Z790" s="22">
        <v>45335</v>
      </c>
      <c r="AA790" s="26">
        <f t="shared" ca="1" si="141"/>
        <v>0.46718091600833922</v>
      </c>
      <c r="AB790" s="29">
        <v>0</v>
      </c>
      <c r="AC790"/>
      <c r="AD790" s="25"/>
      <c r="AF790" s="22">
        <v>45335</v>
      </c>
      <c r="AG790" s="26">
        <f t="shared" ca="1" si="142"/>
        <v>0.4575302439325194</v>
      </c>
      <c r="AH790" s="29">
        <v>0</v>
      </c>
      <c r="AJ790" s="22">
        <v>45335</v>
      </c>
      <c r="AK790" s="26">
        <f t="shared" ca="1" si="143"/>
        <v>0.14955194001449157</v>
      </c>
      <c r="AL790" s="29">
        <v>0</v>
      </c>
      <c r="AN790" s="22">
        <v>45335</v>
      </c>
      <c r="AO790" s="26">
        <f t="shared" ca="1" si="144"/>
        <v>0.33274254869122111</v>
      </c>
      <c r="AP790" s="29">
        <v>0</v>
      </c>
      <c r="AR790" s="22">
        <v>45335</v>
      </c>
      <c r="AS790" s="26">
        <f t="shared" ca="1" si="145"/>
        <v>0.773206436476923</v>
      </c>
      <c r="AT790" s="29">
        <v>0</v>
      </c>
      <c r="AV790" s="22">
        <v>45335</v>
      </c>
      <c r="AW790" s="26">
        <f t="shared" ca="1" si="146"/>
        <v>0.55574676791046596</v>
      </c>
      <c r="AX790" s="29">
        <v>0</v>
      </c>
      <c r="AZ790" s="22">
        <v>45335</v>
      </c>
      <c r="BA790" s="26">
        <f t="shared" ca="1" si="147"/>
        <v>0.79029741174551782</v>
      </c>
      <c r="BB790" s="29">
        <v>0</v>
      </c>
      <c r="BC790"/>
      <c r="BD790" s="25"/>
      <c r="BF790" s="22">
        <v>45335</v>
      </c>
      <c r="BG790" s="26">
        <f t="shared" ca="1" si="148"/>
        <v>0.20334882007800226</v>
      </c>
      <c r="BH790" s="29">
        <v>0</v>
      </c>
      <c r="BJ790" s="22">
        <v>45335</v>
      </c>
      <c r="BK790" s="26">
        <f t="shared" ca="1" si="149"/>
        <v>0.60506070522193145</v>
      </c>
      <c r="BL790" s="29">
        <v>0</v>
      </c>
      <c r="BN790" s="22">
        <v>45335</v>
      </c>
      <c r="BO790" s="26">
        <f t="shared" ca="1" si="150"/>
        <v>0.5415346276117794</v>
      </c>
      <c r="BP790" s="29">
        <v>0</v>
      </c>
      <c r="BR790" s="22">
        <v>45335</v>
      </c>
      <c r="BS790" s="26">
        <f t="shared" ca="1" si="151"/>
        <v>0.28675702849984919</v>
      </c>
      <c r="BT790" s="29">
        <v>0</v>
      </c>
      <c r="BV790" s="22">
        <v>45335</v>
      </c>
      <c r="BW790" s="26">
        <f t="shared" ca="1" si="152"/>
        <v>0.84457617387087003</v>
      </c>
      <c r="BX790" s="29">
        <v>0</v>
      </c>
    </row>
    <row r="791" spans="2:76" ht="12.75" x14ac:dyDescent="0.2">
      <c r="B791" s="22">
        <v>45336</v>
      </c>
      <c r="C791" s="26">
        <f t="shared" ca="1" si="135"/>
        <v>0.94342817764125075</v>
      </c>
      <c r="D791" s="29">
        <v>0</v>
      </c>
      <c r="F791" s="22"/>
      <c r="G791" s="26">
        <f t="shared" ca="1" si="136"/>
        <v>0.9060367902558859</v>
      </c>
      <c r="H791" s="29">
        <v>0</v>
      </c>
      <c r="J791" s="22">
        <v>45336</v>
      </c>
      <c r="K791" s="26">
        <f t="shared" ca="1" si="137"/>
        <v>0.17082863331997378</v>
      </c>
      <c r="L791" s="29">
        <v>0</v>
      </c>
      <c r="N791" s="22">
        <v>45336</v>
      </c>
      <c r="O791" s="26">
        <f t="shared" ca="1" si="138"/>
        <v>1.9513180385103746E-2</v>
      </c>
      <c r="P791" s="29">
        <v>0</v>
      </c>
      <c r="R791" s="22">
        <v>45336</v>
      </c>
      <c r="S791" s="26">
        <f t="shared" ca="1" si="139"/>
        <v>0.54139223088770572</v>
      </c>
      <c r="T791" s="29">
        <v>0</v>
      </c>
      <c r="V791" s="22">
        <v>45336</v>
      </c>
      <c r="W791" s="26">
        <f t="shared" ca="1" si="140"/>
        <v>0.64816497093244907</v>
      </c>
      <c r="X791" s="29">
        <v>0</v>
      </c>
      <c r="Z791" s="22">
        <v>45336</v>
      </c>
      <c r="AA791" s="26">
        <f t="shared" ca="1" si="141"/>
        <v>6.34782367869553E-2</v>
      </c>
      <c r="AB791" s="29">
        <v>0</v>
      </c>
      <c r="AC791"/>
      <c r="AD791" s="25"/>
      <c r="AF791" s="22">
        <v>45336</v>
      </c>
      <c r="AG791" s="26">
        <f t="shared" ca="1" si="142"/>
        <v>0.93403839853508441</v>
      </c>
      <c r="AH791" s="29">
        <v>0</v>
      </c>
      <c r="AJ791" s="22">
        <v>45336</v>
      </c>
      <c r="AK791" s="26">
        <f t="shared" ca="1" si="143"/>
        <v>0.29055963206759872</v>
      </c>
      <c r="AL791" s="29">
        <v>0</v>
      </c>
      <c r="AN791" s="22">
        <v>45336</v>
      </c>
      <c r="AO791" s="26">
        <f t="shared" ca="1" si="144"/>
        <v>0.10452069343895309</v>
      </c>
      <c r="AP791" s="29">
        <v>0</v>
      </c>
      <c r="AR791" s="22">
        <v>45336</v>
      </c>
      <c r="AS791" s="26">
        <f t="shared" ca="1" si="145"/>
        <v>0.16114337130477274</v>
      </c>
      <c r="AT791" s="29">
        <v>0</v>
      </c>
      <c r="AV791" s="22">
        <v>45336</v>
      </c>
      <c r="AW791" s="26">
        <f t="shared" ca="1" si="146"/>
        <v>0.48002405120371738</v>
      </c>
      <c r="AX791" s="29">
        <v>0</v>
      </c>
      <c r="AZ791" s="22">
        <v>45336</v>
      </c>
      <c r="BA791" s="26">
        <f t="shared" ca="1" si="147"/>
        <v>0.79402964108606711</v>
      </c>
      <c r="BB791" s="29">
        <v>0</v>
      </c>
      <c r="BC791"/>
      <c r="BD791" s="25"/>
      <c r="BF791" s="22">
        <v>45336</v>
      </c>
      <c r="BG791" s="26">
        <f t="shared" ca="1" si="148"/>
        <v>0.25400240735077906</v>
      </c>
      <c r="BH791" s="29">
        <v>0</v>
      </c>
      <c r="BJ791" s="22">
        <v>45336</v>
      </c>
      <c r="BK791" s="26">
        <f t="shared" ca="1" si="149"/>
        <v>5.7118388773347739E-2</v>
      </c>
      <c r="BL791" s="29">
        <v>0</v>
      </c>
      <c r="BN791" s="22">
        <v>45336</v>
      </c>
      <c r="BO791" s="26">
        <f t="shared" ca="1" si="150"/>
        <v>0.31058172296393516</v>
      </c>
      <c r="BP791" s="29">
        <v>0</v>
      </c>
      <c r="BR791" s="22">
        <v>45336</v>
      </c>
      <c r="BS791" s="26">
        <f t="shared" ca="1" si="151"/>
        <v>0.36712937057779627</v>
      </c>
      <c r="BT791" s="29">
        <v>0</v>
      </c>
      <c r="BV791" s="22">
        <v>45336</v>
      </c>
      <c r="BW791" s="26">
        <f t="shared" ca="1" si="152"/>
        <v>0.72548723896059963</v>
      </c>
      <c r="BX791" s="29">
        <v>0</v>
      </c>
    </row>
    <row r="792" spans="2:76" ht="12.75" x14ac:dyDescent="0.2">
      <c r="B792" s="22">
        <v>45337</v>
      </c>
      <c r="C792" s="26">
        <f t="shared" ca="1" si="135"/>
        <v>0.80910589006899047</v>
      </c>
      <c r="D792" s="29">
        <f t="shared" ref="D792:D845" ca="1" si="169">ROUNDUP(_xlfn.NORM.INV(C792,C$10,C$12),0)</f>
        <v>93</v>
      </c>
      <c r="F792" s="22"/>
      <c r="G792" s="26">
        <f t="shared" ca="1" si="136"/>
        <v>0.92415548476145248</v>
      </c>
      <c r="H792" s="29">
        <f t="shared" ref="H792:H845" ca="1" si="170">ROUNDUP(_xlfn.NORM.INV(G792,G$10,G$12),0)</f>
        <v>236</v>
      </c>
      <c r="J792" s="22">
        <v>45337</v>
      </c>
      <c r="K792" s="26">
        <f t="shared" ca="1" si="137"/>
        <v>0.5554988814887446</v>
      </c>
      <c r="L792" s="29">
        <f t="shared" ref="L792:L845" ca="1" si="171">ROUNDUP(_xlfn.NORM.INV(K792,K$10,K$12),0)</f>
        <v>152</v>
      </c>
      <c r="N792" s="22">
        <v>45337</v>
      </c>
      <c r="O792" s="26">
        <f t="shared" ca="1" si="138"/>
        <v>0.91272441091594481</v>
      </c>
      <c r="P792" s="29">
        <f t="shared" ref="P792:P845" ca="1" si="172">ROUNDUP(_xlfn.NORM.INV(O792,O$10,O$12),0)</f>
        <v>251</v>
      </c>
      <c r="R792" s="22">
        <v>45337</v>
      </c>
      <c r="S792" s="26">
        <f t="shared" ca="1" si="139"/>
        <v>0.74427010550112183</v>
      </c>
      <c r="T792" s="29">
        <f t="shared" ref="T792:T845" ca="1" si="173">ROUNDUP(_xlfn.NORM.INV(S792,S$10,S$12),0)</f>
        <v>145</v>
      </c>
      <c r="V792" s="22">
        <v>45337</v>
      </c>
      <c r="W792" s="26">
        <f t="shared" ca="1" si="140"/>
        <v>0.38287601508467828</v>
      </c>
      <c r="X792" s="29">
        <f t="shared" ref="X792:X845" ca="1" si="174">ROUNDUP(_xlfn.NORM.INV(W792,W$10,W$12),0)</f>
        <v>221</v>
      </c>
      <c r="Z792" s="22">
        <v>45337</v>
      </c>
      <c r="AA792" s="26">
        <f t="shared" ca="1" si="141"/>
        <v>0.70252937235066837</v>
      </c>
      <c r="AB792" s="29">
        <f t="shared" ref="AB792:AB845" ca="1" si="175">ROUNDUP(_xlfn.NORM.INV(AA792,AA$10,AA$12),0)</f>
        <v>280</v>
      </c>
      <c r="AC792"/>
      <c r="AD792" s="25"/>
      <c r="AF792" s="22">
        <v>45337</v>
      </c>
      <c r="AG792" s="26">
        <f t="shared" ca="1" si="142"/>
        <v>0.42763821090248444</v>
      </c>
      <c r="AH792" s="29">
        <f t="shared" ref="AH792:AH845" ca="1" si="176">ROUNDUP(_xlfn.NORM.INV(AG792,AG$10,AG$12),0)</f>
        <v>312</v>
      </c>
      <c r="AJ792" s="22">
        <v>45337</v>
      </c>
      <c r="AK792" s="26">
        <f t="shared" ca="1" si="143"/>
        <v>0.8769527827408895</v>
      </c>
      <c r="AL792" s="29">
        <f t="shared" ref="AL792:AL845" ca="1" si="177">ROUNDUP(_xlfn.NORM.INV(AK792,AK$10,AK$12),0)</f>
        <v>224</v>
      </c>
      <c r="AN792" s="22">
        <v>45337</v>
      </c>
      <c r="AO792" s="26">
        <f t="shared" ca="1" si="144"/>
        <v>0.22825739181183058</v>
      </c>
      <c r="AP792" s="29">
        <f t="shared" ref="AP792:AP845" ca="1" si="178">ROUNDUP(_xlfn.NORM.INV(AO792,AO$10,AO$12),0)</f>
        <v>186</v>
      </c>
      <c r="AR792" s="22">
        <v>45337</v>
      </c>
      <c r="AS792" s="26">
        <f t="shared" ca="1" si="145"/>
        <v>0.27728596700577668</v>
      </c>
      <c r="AT792" s="29">
        <f t="shared" ref="AT792:AT845" ca="1" si="179">ROUNDUP(_xlfn.NORM.INV(AS792,AS$10,AS$12),0)</f>
        <v>167</v>
      </c>
      <c r="AV792" s="22">
        <v>45337</v>
      </c>
      <c r="AW792" s="26">
        <f t="shared" ca="1" si="146"/>
        <v>0.29673567191659322</v>
      </c>
      <c r="AX792" s="29">
        <f t="shared" ref="AX792:AX845" ca="1" si="180">ROUNDUP(_xlfn.NORM.INV(AW792,AW$10,AW$12),0)</f>
        <v>177</v>
      </c>
      <c r="AZ792" s="22">
        <v>45337</v>
      </c>
      <c r="BA792" s="26">
        <f t="shared" ca="1" si="147"/>
        <v>4.6041282324311927E-2</v>
      </c>
      <c r="BB792" s="29">
        <f t="shared" ref="BB792:BB845" ca="1" si="181">ROUNDUP(_xlfn.NORM.INV(BA792,BA$10,BA$12),0)</f>
        <v>129</v>
      </c>
      <c r="BC792"/>
      <c r="BD792" s="25"/>
      <c r="BF792" s="22">
        <v>45337</v>
      </c>
      <c r="BG792" s="26">
        <f t="shared" ca="1" si="148"/>
        <v>1.4016250487569715E-2</v>
      </c>
      <c r="BH792" s="29">
        <f t="shared" ref="BH792:BH845" ca="1" si="182">ROUNDUP(_xlfn.NORM.INV(BG792,BG$10,BG$12),0)</f>
        <v>84</v>
      </c>
      <c r="BJ792" s="22">
        <v>45337</v>
      </c>
      <c r="BK792" s="26">
        <f t="shared" ca="1" si="149"/>
        <v>0.5646306013038388</v>
      </c>
      <c r="BL792" s="29">
        <f t="shared" ref="BL792:BL845" ca="1" si="183">ROUNDUP(_xlfn.NORM.INV(BK792,BK$10,BK$12),0)</f>
        <v>176</v>
      </c>
      <c r="BN792" s="22">
        <v>45337</v>
      </c>
      <c r="BO792" s="26">
        <f t="shared" ca="1" si="150"/>
        <v>0.89951212706341632</v>
      </c>
      <c r="BP792" s="29">
        <f t="shared" ref="BP792:BP845" ca="1" si="184">ROUNDUP(_xlfn.NORM.INV(BO792,BO$10,BO$12),0)</f>
        <v>290</v>
      </c>
      <c r="BR792" s="22">
        <v>45337</v>
      </c>
      <c r="BS792" s="26">
        <f t="shared" ca="1" si="151"/>
        <v>0.62212374890223709</v>
      </c>
      <c r="BT792" s="29">
        <v>0</v>
      </c>
      <c r="BV792" s="22">
        <v>45337</v>
      </c>
      <c r="BW792" s="26">
        <f t="shared" ca="1" si="152"/>
        <v>0.4364504085118861</v>
      </c>
      <c r="BX792" s="29">
        <v>0</v>
      </c>
    </row>
    <row r="793" spans="2:76" ht="12.75" x14ac:dyDescent="0.2">
      <c r="B793" s="22">
        <v>45338</v>
      </c>
      <c r="C793" s="26">
        <f t="shared" ca="1" si="135"/>
        <v>0.9175815382953395</v>
      </c>
      <c r="D793" s="29">
        <f t="shared" ca="1" si="169"/>
        <v>103</v>
      </c>
      <c r="F793" s="22"/>
      <c r="G793" s="26">
        <f t="shared" ca="1" si="136"/>
        <v>0.4127426403036929</v>
      </c>
      <c r="H793" s="29">
        <f t="shared" ca="1" si="170"/>
        <v>213</v>
      </c>
      <c r="J793" s="22">
        <v>45338</v>
      </c>
      <c r="K793" s="26">
        <f t="shared" ca="1" si="137"/>
        <v>0.18900730591774628</v>
      </c>
      <c r="L793" s="29">
        <f t="shared" ca="1" si="171"/>
        <v>142</v>
      </c>
      <c r="N793" s="22">
        <v>45338</v>
      </c>
      <c r="O793" s="26">
        <f t="shared" ca="1" si="138"/>
        <v>0.33780207592319778</v>
      </c>
      <c r="P793" s="29">
        <f t="shared" ca="1" si="172"/>
        <v>223</v>
      </c>
      <c r="R793" s="22">
        <v>45338</v>
      </c>
      <c r="S793" s="26">
        <f t="shared" ca="1" si="139"/>
        <v>0.44286218083032469</v>
      </c>
      <c r="T793" s="29">
        <f t="shared" ca="1" si="173"/>
        <v>138</v>
      </c>
      <c r="V793" s="22">
        <v>45338</v>
      </c>
      <c r="W793" s="26">
        <f t="shared" ca="1" si="140"/>
        <v>0.88365856643352902</v>
      </c>
      <c r="X793" s="29">
        <f t="shared" ca="1" si="174"/>
        <v>243</v>
      </c>
      <c r="Z793" s="22">
        <v>45338</v>
      </c>
      <c r="AA793" s="26">
        <f t="shared" ca="1" si="141"/>
        <v>0.91999888955581899</v>
      </c>
      <c r="AB793" s="29">
        <f t="shared" ca="1" si="175"/>
        <v>296</v>
      </c>
      <c r="AC793"/>
      <c r="AD793" s="25"/>
      <c r="AF793" s="22">
        <v>45338</v>
      </c>
      <c r="AG793" s="26">
        <f t="shared" ca="1" si="142"/>
        <v>0.17132584221104918</v>
      </c>
      <c r="AH793" s="29">
        <f t="shared" ca="1" si="176"/>
        <v>245</v>
      </c>
      <c r="AJ793" s="22">
        <v>45338</v>
      </c>
      <c r="AK793" s="26">
        <f t="shared" ca="1" si="143"/>
        <v>0.93950913546661652</v>
      </c>
      <c r="AL793" s="29">
        <f t="shared" ca="1" si="177"/>
        <v>241</v>
      </c>
      <c r="AN793" s="22">
        <v>45338</v>
      </c>
      <c r="AO793" s="26">
        <f t="shared" ca="1" si="144"/>
        <v>0.78346899697238126</v>
      </c>
      <c r="AP793" s="29">
        <f t="shared" ca="1" si="178"/>
        <v>281</v>
      </c>
      <c r="AR793" s="22">
        <v>45338</v>
      </c>
      <c r="AS793" s="26">
        <f t="shared" ca="1" si="145"/>
        <v>0.3124868209780326</v>
      </c>
      <c r="AT793" s="29">
        <f t="shared" ca="1" si="179"/>
        <v>173</v>
      </c>
      <c r="AV793" s="22">
        <v>45338</v>
      </c>
      <c r="AW793" s="26">
        <f t="shared" ca="1" si="146"/>
        <v>0.4801436160506406</v>
      </c>
      <c r="AX793" s="29">
        <f t="shared" ca="1" si="180"/>
        <v>203</v>
      </c>
      <c r="AZ793" s="22">
        <v>45338</v>
      </c>
      <c r="BA793" s="26">
        <f t="shared" ca="1" si="147"/>
        <v>0.12756528909315434</v>
      </c>
      <c r="BB793" s="29">
        <f t="shared" ca="1" si="181"/>
        <v>163</v>
      </c>
      <c r="BC793"/>
      <c r="BD793" s="25"/>
      <c r="BF793" s="22">
        <v>45338</v>
      </c>
      <c r="BG793" s="26">
        <f t="shared" ca="1" si="148"/>
        <v>0.40674831234576436</v>
      </c>
      <c r="BH793" s="29">
        <f t="shared" ca="1" si="182"/>
        <v>188</v>
      </c>
      <c r="BJ793" s="22">
        <v>45338</v>
      </c>
      <c r="BK793" s="26">
        <f t="shared" ca="1" si="149"/>
        <v>0.35709454193345358</v>
      </c>
      <c r="BL793" s="29">
        <f t="shared" ca="1" si="183"/>
        <v>153</v>
      </c>
      <c r="BN793" s="22">
        <v>45338</v>
      </c>
      <c r="BO793" s="26">
        <f t="shared" ca="1" si="150"/>
        <v>0.34050610703842998</v>
      </c>
      <c r="BP793" s="29">
        <f t="shared" ca="1" si="184"/>
        <v>193</v>
      </c>
      <c r="BR793" s="22">
        <v>45338</v>
      </c>
      <c r="BS793" s="26">
        <f t="shared" ca="1" si="151"/>
        <v>0.80240704156144027</v>
      </c>
      <c r="BT793" s="29">
        <v>0</v>
      </c>
      <c r="BV793" s="22">
        <v>45338</v>
      </c>
      <c r="BW793" s="26">
        <f t="shared" ca="1" si="152"/>
        <v>0.79281127591339229</v>
      </c>
      <c r="BX793" s="29">
        <v>0</v>
      </c>
    </row>
    <row r="794" spans="2:76" ht="12.75" x14ac:dyDescent="0.2">
      <c r="B794" s="22">
        <v>45339</v>
      </c>
      <c r="C794" s="26">
        <f t="shared" ca="1" si="135"/>
        <v>0.63503917992049141</v>
      </c>
      <c r="D794" s="29">
        <f t="shared" ca="1" si="169"/>
        <v>82</v>
      </c>
      <c r="F794" s="22"/>
      <c r="G794" s="26">
        <f t="shared" ca="1" si="136"/>
        <v>0.35029034574156404</v>
      </c>
      <c r="H794" s="29">
        <f t="shared" ca="1" si="170"/>
        <v>210</v>
      </c>
      <c r="J794" s="22">
        <v>45339</v>
      </c>
      <c r="K794" s="26">
        <f t="shared" ca="1" si="137"/>
        <v>0.21198924032752942</v>
      </c>
      <c r="L794" s="29">
        <f t="shared" ca="1" si="171"/>
        <v>143</v>
      </c>
      <c r="N794" s="22">
        <v>45339</v>
      </c>
      <c r="O794" s="26">
        <f t="shared" ca="1" si="138"/>
        <v>0.98397575444401475</v>
      </c>
      <c r="P794" s="29">
        <f t="shared" ca="1" si="172"/>
        <v>263</v>
      </c>
      <c r="R794" s="22">
        <v>45339</v>
      </c>
      <c r="S794" s="26">
        <f t="shared" ca="1" si="139"/>
        <v>0.20952569191424875</v>
      </c>
      <c r="T794" s="29">
        <f t="shared" ca="1" si="173"/>
        <v>132</v>
      </c>
      <c r="V794" s="22">
        <v>45339</v>
      </c>
      <c r="W794" s="26">
        <f t="shared" ca="1" si="140"/>
        <v>0.25939343847738972</v>
      </c>
      <c r="X794" s="29">
        <f t="shared" ca="1" si="174"/>
        <v>216</v>
      </c>
      <c r="Z794" s="22">
        <v>45339</v>
      </c>
      <c r="AA794" s="26">
        <f t="shared" ca="1" si="141"/>
        <v>5.9002023291373606E-2</v>
      </c>
      <c r="AB794" s="29">
        <f t="shared" ca="1" si="175"/>
        <v>242</v>
      </c>
      <c r="AC794"/>
      <c r="AD794" s="25"/>
      <c r="AF794" s="22">
        <v>45339</v>
      </c>
      <c r="AG794" s="26">
        <f t="shared" ca="1" si="142"/>
        <v>0.24731088862309314</v>
      </c>
      <c r="AH794" s="29">
        <f t="shared" ca="1" si="176"/>
        <v>268</v>
      </c>
      <c r="AJ794" s="22">
        <v>45339</v>
      </c>
      <c r="AK794" s="26">
        <f t="shared" ca="1" si="143"/>
        <v>0.2630238219707367</v>
      </c>
      <c r="AL794" s="29">
        <f t="shared" ca="1" si="177"/>
        <v>142</v>
      </c>
      <c r="AN794" s="22">
        <v>45339</v>
      </c>
      <c r="AO794" s="26">
        <f t="shared" ca="1" si="144"/>
        <v>0.66551226496311278</v>
      </c>
      <c r="AP794" s="29">
        <f t="shared" ca="1" si="178"/>
        <v>259</v>
      </c>
      <c r="AR794" s="22">
        <v>45339</v>
      </c>
      <c r="AS794" s="26">
        <f t="shared" ca="1" si="145"/>
        <v>3.2691326226005568E-2</v>
      </c>
      <c r="AT794" s="29">
        <f t="shared" ca="1" si="179"/>
        <v>101</v>
      </c>
      <c r="AV794" s="22">
        <v>45339</v>
      </c>
      <c r="AW794" s="26">
        <f t="shared" ca="1" si="146"/>
        <v>0.29927450490500973</v>
      </c>
      <c r="AX794" s="29">
        <f t="shared" ca="1" si="180"/>
        <v>177</v>
      </c>
      <c r="AZ794" s="22">
        <v>45339</v>
      </c>
      <c r="BA794" s="26">
        <f t="shared" ca="1" si="147"/>
        <v>0.40421848882573785</v>
      </c>
      <c r="BB794" s="29">
        <f t="shared" ca="1" si="181"/>
        <v>219</v>
      </c>
      <c r="BC794"/>
      <c r="BD794" s="25"/>
      <c r="BF794" s="22">
        <v>45339</v>
      </c>
      <c r="BG794" s="26">
        <f t="shared" ca="1" si="148"/>
        <v>0.44891490944815016</v>
      </c>
      <c r="BH794" s="29">
        <f t="shared" ca="1" si="182"/>
        <v>194</v>
      </c>
      <c r="BJ794" s="22">
        <v>45339</v>
      </c>
      <c r="BK794" s="26">
        <f t="shared" ca="1" si="149"/>
        <v>0.64352689254433126</v>
      </c>
      <c r="BL794" s="29">
        <f t="shared" ca="1" si="183"/>
        <v>186</v>
      </c>
      <c r="BN794" s="22">
        <v>45339</v>
      </c>
      <c r="BO794" s="26">
        <f t="shared" ca="1" si="150"/>
        <v>0.82416817295203693</v>
      </c>
      <c r="BP794" s="29">
        <f t="shared" ca="1" si="184"/>
        <v>270</v>
      </c>
      <c r="BR794" s="22">
        <v>45339</v>
      </c>
      <c r="BS794" s="26">
        <f t="shared" ca="1" si="151"/>
        <v>0.16948900103172559</v>
      </c>
      <c r="BT794" s="29">
        <v>0</v>
      </c>
      <c r="BV794" s="22">
        <v>45339</v>
      </c>
      <c r="BW794" s="26">
        <f t="shared" ca="1" si="152"/>
        <v>0.20967935476380084</v>
      </c>
      <c r="BX794" s="29">
        <v>0</v>
      </c>
    </row>
    <row r="795" spans="2:76" ht="12.75" x14ac:dyDescent="0.2">
      <c r="B795" s="22">
        <v>45340</v>
      </c>
      <c r="C795" s="26">
        <f t="shared" ca="1" si="135"/>
        <v>0.51947161659528673</v>
      </c>
      <c r="D795" s="29">
        <f t="shared" ca="1" si="169"/>
        <v>76</v>
      </c>
      <c r="F795" s="22"/>
      <c r="G795" s="26">
        <f t="shared" ca="1" si="136"/>
        <v>0.52151267024014847</v>
      </c>
      <c r="H795" s="29">
        <f t="shared" ca="1" si="170"/>
        <v>217</v>
      </c>
      <c r="J795" s="22">
        <v>45340</v>
      </c>
      <c r="K795" s="26">
        <f t="shared" ca="1" si="137"/>
        <v>0.29285020257709138</v>
      </c>
      <c r="L795" s="29">
        <f t="shared" ca="1" si="171"/>
        <v>145</v>
      </c>
      <c r="N795" s="22">
        <v>45340</v>
      </c>
      <c r="O795" s="26">
        <f t="shared" ca="1" si="138"/>
        <v>0.53572707355671123</v>
      </c>
      <c r="P795" s="29">
        <f t="shared" ca="1" si="172"/>
        <v>231</v>
      </c>
      <c r="R795" s="22">
        <v>45340</v>
      </c>
      <c r="S795" s="26">
        <f t="shared" ca="1" si="139"/>
        <v>0.95057754565619645</v>
      </c>
      <c r="T795" s="29">
        <f t="shared" ca="1" si="173"/>
        <v>155</v>
      </c>
      <c r="V795" s="22">
        <v>45340</v>
      </c>
      <c r="W795" s="26">
        <f t="shared" ca="1" si="140"/>
        <v>0.66798858271519701</v>
      </c>
      <c r="X795" s="29">
        <f t="shared" ca="1" si="174"/>
        <v>232</v>
      </c>
      <c r="Z795" s="22">
        <v>45340</v>
      </c>
      <c r="AA795" s="26">
        <f t="shared" ca="1" si="141"/>
        <v>0.51624583600016705</v>
      </c>
      <c r="AB795" s="29">
        <f t="shared" ca="1" si="175"/>
        <v>271</v>
      </c>
      <c r="AC795"/>
      <c r="AD795" s="25"/>
      <c r="AF795" s="22">
        <v>45340</v>
      </c>
      <c r="AG795" s="26">
        <f t="shared" ca="1" si="142"/>
        <v>0.25031226657026506</v>
      </c>
      <c r="AH795" s="29">
        <f t="shared" ca="1" si="176"/>
        <v>269</v>
      </c>
      <c r="AJ795" s="22">
        <v>45340</v>
      </c>
      <c r="AK795" s="26">
        <f t="shared" ca="1" si="143"/>
        <v>0.4614830274264522</v>
      </c>
      <c r="AL795" s="29">
        <f t="shared" ca="1" si="177"/>
        <v>167</v>
      </c>
      <c r="AN795" s="22">
        <v>45340</v>
      </c>
      <c r="AO795" s="26">
        <f t="shared" ca="1" si="144"/>
        <v>0.60841624805994943</v>
      </c>
      <c r="AP795" s="29">
        <f t="shared" ca="1" si="178"/>
        <v>250</v>
      </c>
      <c r="AR795" s="22">
        <v>45340</v>
      </c>
      <c r="AS795" s="26">
        <f t="shared" ca="1" si="145"/>
        <v>0.80140471431911753</v>
      </c>
      <c r="AT795" s="29">
        <f t="shared" ca="1" si="179"/>
        <v>243</v>
      </c>
      <c r="AV795" s="22">
        <v>45340</v>
      </c>
      <c r="AW795" s="26">
        <f t="shared" ca="1" si="146"/>
        <v>0.57244981925547211</v>
      </c>
      <c r="AX795" s="29">
        <f t="shared" ca="1" si="180"/>
        <v>216</v>
      </c>
      <c r="AZ795" s="22">
        <v>45340</v>
      </c>
      <c r="BA795" s="26">
        <f t="shared" ca="1" si="147"/>
        <v>0.40776628622460132</v>
      </c>
      <c r="BB795" s="29">
        <f t="shared" ca="1" si="181"/>
        <v>220</v>
      </c>
      <c r="BC795"/>
      <c r="BD795" s="25"/>
      <c r="BF795" s="22">
        <v>45340</v>
      </c>
      <c r="BG795" s="26">
        <f t="shared" ca="1" si="148"/>
        <v>0.69362989554238064</v>
      </c>
      <c r="BH795" s="29">
        <f t="shared" ca="1" si="182"/>
        <v>228</v>
      </c>
      <c r="BJ795" s="22">
        <v>45340</v>
      </c>
      <c r="BK795" s="26">
        <f t="shared" ca="1" si="149"/>
        <v>0.50330807201717798</v>
      </c>
      <c r="BL795" s="29">
        <f t="shared" ca="1" si="183"/>
        <v>169</v>
      </c>
      <c r="BN795" s="22">
        <v>45340</v>
      </c>
      <c r="BO795" s="26">
        <f t="shared" ca="1" si="150"/>
        <v>0.55472737971659858</v>
      </c>
      <c r="BP795" s="29">
        <f t="shared" ca="1" si="184"/>
        <v>224</v>
      </c>
      <c r="BR795" s="22">
        <v>45340</v>
      </c>
      <c r="BS795" s="26">
        <f t="shared" ca="1" si="151"/>
        <v>0.92291815118325016</v>
      </c>
      <c r="BT795" s="29">
        <v>0</v>
      </c>
      <c r="BV795" s="22">
        <v>45340</v>
      </c>
      <c r="BW795" s="26">
        <f t="shared" ca="1" si="152"/>
        <v>0.4523306663056279</v>
      </c>
      <c r="BX795" s="29">
        <v>0</v>
      </c>
    </row>
    <row r="796" spans="2:76" ht="12.75" x14ac:dyDescent="0.2">
      <c r="B796" s="22">
        <v>45341</v>
      </c>
      <c r="C796" s="26">
        <f t="shared" ca="1" si="135"/>
        <v>0.94569396267836214</v>
      </c>
      <c r="D796" s="29">
        <f t="shared" ca="1" si="169"/>
        <v>108</v>
      </c>
      <c r="F796" s="22"/>
      <c r="G796" s="26">
        <f t="shared" ca="1" si="136"/>
        <v>0.32862034127969353</v>
      </c>
      <c r="H796" s="29">
        <f t="shared" ca="1" si="170"/>
        <v>210</v>
      </c>
      <c r="J796" s="22">
        <v>45341</v>
      </c>
      <c r="K796" s="26">
        <f t="shared" ca="1" si="137"/>
        <v>0.95246067417329416</v>
      </c>
      <c r="L796" s="29">
        <f t="shared" ca="1" si="171"/>
        <v>167</v>
      </c>
      <c r="N796" s="22">
        <v>45341</v>
      </c>
      <c r="O796" s="26">
        <f t="shared" ca="1" si="138"/>
        <v>0.57560066153800349</v>
      </c>
      <c r="P796" s="29">
        <f t="shared" ca="1" si="172"/>
        <v>233</v>
      </c>
      <c r="R796" s="22">
        <v>45341</v>
      </c>
      <c r="S796" s="26">
        <f t="shared" ca="1" si="139"/>
        <v>0.54198884010682924</v>
      </c>
      <c r="T796" s="29">
        <f t="shared" ca="1" si="173"/>
        <v>140</v>
      </c>
      <c r="V796" s="22">
        <v>45341</v>
      </c>
      <c r="W796" s="26">
        <f t="shared" ca="1" si="140"/>
        <v>0.21977469273679617</v>
      </c>
      <c r="X796" s="29">
        <f t="shared" ca="1" si="174"/>
        <v>214</v>
      </c>
      <c r="Z796" s="22">
        <v>45341</v>
      </c>
      <c r="AA796" s="26">
        <f t="shared" ca="1" si="141"/>
        <v>0.76288805512395874</v>
      </c>
      <c r="AB796" s="29">
        <f t="shared" ca="1" si="175"/>
        <v>283</v>
      </c>
      <c r="AC796"/>
      <c r="AD796" s="25"/>
      <c r="AF796" s="22">
        <v>45341</v>
      </c>
      <c r="AG796" s="26">
        <f t="shared" ca="1" si="142"/>
        <v>0.16120019186817558</v>
      </c>
      <c r="AH796" s="29">
        <f t="shared" ca="1" si="176"/>
        <v>241</v>
      </c>
      <c r="AJ796" s="22">
        <v>45341</v>
      </c>
      <c r="AK796" s="26">
        <f t="shared" ca="1" si="143"/>
        <v>0.22249727342178438</v>
      </c>
      <c r="AL796" s="29">
        <f t="shared" ca="1" si="177"/>
        <v>136</v>
      </c>
      <c r="AN796" s="22">
        <v>45341</v>
      </c>
      <c r="AO796" s="26">
        <f t="shared" ca="1" si="144"/>
        <v>0.71042757179035254</v>
      </c>
      <c r="AP796" s="29">
        <f t="shared" ca="1" si="178"/>
        <v>267</v>
      </c>
      <c r="AR796" s="22">
        <v>45341</v>
      </c>
      <c r="AS796" s="26">
        <f t="shared" ca="1" si="145"/>
        <v>0.2590452840123233</v>
      </c>
      <c r="AT796" s="29">
        <f t="shared" ca="1" si="179"/>
        <v>164</v>
      </c>
      <c r="AV796" s="22">
        <v>45341</v>
      </c>
      <c r="AW796" s="26">
        <f t="shared" ca="1" si="146"/>
        <v>0.55244625724513508</v>
      </c>
      <c r="AX796" s="29">
        <f t="shared" ca="1" si="180"/>
        <v>213</v>
      </c>
      <c r="AZ796" s="22">
        <v>45341</v>
      </c>
      <c r="BA796" s="26">
        <f t="shared" ca="1" si="147"/>
        <v>0.37385733694443124</v>
      </c>
      <c r="BB796" s="29">
        <f t="shared" ca="1" si="181"/>
        <v>214</v>
      </c>
      <c r="BC796"/>
      <c r="BD796" s="25"/>
      <c r="BF796" s="22">
        <v>45341</v>
      </c>
      <c r="BG796" s="26">
        <f t="shared" ca="1" si="148"/>
        <v>0.8507334848469762</v>
      </c>
      <c r="BH796" s="29">
        <f t="shared" ca="1" si="182"/>
        <v>257</v>
      </c>
      <c r="BJ796" s="22">
        <v>45341</v>
      </c>
      <c r="BK796" s="26">
        <f t="shared" ca="1" si="149"/>
        <v>0.74148752083464409</v>
      </c>
      <c r="BL796" s="29">
        <f t="shared" ca="1" si="183"/>
        <v>198</v>
      </c>
      <c r="BN796" s="22">
        <v>45341</v>
      </c>
      <c r="BO796" s="26">
        <f t="shared" ca="1" si="150"/>
        <v>0.63477517659884475</v>
      </c>
      <c r="BP796" s="29">
        <f t="shared" ca="1" si="184"/>
        <v>236</v>
      </c>
      <c r="BR796" s="22">
        <v>45341</v>
      </c>
      <c r="BS796" s="26">
        <f t="shared" ca="1" si="151"/>
        <v>0.45615269285933846</v>
      </c>
      <c r="BT796" s="29">
        <v>0</v>
      </c>
      <c r="BV796" s="22">
        <v>45341</v>
      </c>
      <c r="BW796" s="26">
        <f t="shared" ca="1" si="152"/>
        <v>0.31466631320504523</v>
      </c>
      <c r="BX796" s="29">
        <v>0</v>
      </c>
    </row>
    <row r="797" spans="2:76" ht="12.75" x14ac:dyDescent="0.2">
      <c r="B797" s="22">
        <v>45342</v>
      </c>
      <c r="C797" s="26">
        <f t="shared" ca="1" si="135"/>
        <v>0.60304919040964489</v>
      </c>
      <c r="D797" s="29">
        <f t="shared" ca="1" si="169"/>
        <v>81</v>
      </c>
      <c r="F797" s="22"/>
      <c r="G797" s="26">
        <f t="shared" ca="1" si="136"/>
        <v>0.84627982353828546</v>
      </c>
      <c r="H797" s="29">
        <f t="shared" ca="1" si="170"/>
        <v>231</v>
      </c>
      <c r="J797" s="22">
        <v>45342</v>
      </c>
      <c r="K797" s="26">
        <f t="shared" ca="1" si="137"/>
        <v>8.8366304553438857E-2</v>
      </c>
      <c r="L797" s="29">
        <f t="shared" ca="1" si="171"/>
        <v>137</v>
      </c>
      <c r="N797" s="22">
        <v>45342</v>
      </c>
      <c r="O797" s="26">
        <f t="shared" ca="1" si="138"/>
        <v>2.0936743275514758E-2</v>
      </c>
      <c r="P797" s="29">
        <f t="shared" ca="1" si="172"/>
        <v>199</v>
      </c>
      <c r="R797" s="22">
        <v>45342</v>
      </c>
      <c r="S797" s="26">
        <f t="shared" ca="1" si="139"/>
        <v>0.75825222878982412</v>
      </c>
      <c r="T797" s="29">
        <f t="shared" ca="1" si="173"/>
        <v>146</v>
      </c>
      <c r="V797" s="22">
        <v>45342</v>
      </c>
      <c r="W797" s="26">
        <f t="shared" ca="1" si="140"/>
        <v>0.56645079269128162</v>
      </c>
      <c r="X797" s="29">
        <f t="shared" ca="1" si="174"/>
        <v>228</v>
      </c>
      <c r="Z797" s="22">
        <v>45342</v>
      </c>
      <c r="AA797" s="26">
        <f t="shared" ca="1" si="141"/>
        <v>0.15806402577468892</v>
      </c>
      <c r="AB797" s="29">
        <f t="shared" ca="1" si="175"/>
        <v>252</v>
      </c>
      <c r="AC797"/>
      <c r="AD797" s="25"/>
      <c r="AF797" s="22">
        <v>45342</v>
      </c>
      <c r="AG797" s="26">
        <f t="shared" ca="1" si="142"/>
        <v>0.16511829528637467</v>
      </c>
      <c r="AH797" s="29">
        <f t="shared" ca="1" si="176"/>
        <v>243</v>
      </c>
      <c r="AJ797" s="22">
        <v>45342</v>
      </c>
      <c r="AK797" s="26">
        <f t="shared" ca="1" si="143"/>
        <v>0.84071351414477824</v>
      </c>
      <c r="AL797" s="29">
        <f t="shared" ca="1" si="177"/>
        <v>216</v>
      </c>
      <c r="AN797" s="22">
        <v>45342</v>
      </c>
      <c r="AO797" s="26">
        <f t="shared" ca="1" si="144"/>
        <v>0.86693394850123362</v>
      </c>
      <c r="AP797" s="29">
        <f t="shared" ca="1" si="178"/>
        <v>301</v>
      </c>
      <c r="AR797" s="22">
        <v>45342</v>
      </c>
      <c r="AS797" s="26">
        <f t="shared" ca="1" si="145"/>
        <v>0.94292548926102171</v>
      </c>
      <c r="AT797" s="29">
        <f t="shared" ca="1" si="179"/>
        <v>282</v>
      </c>
      <c r="AV797" s="22">
        <v>45342</v>
      </c>
      <c r="AW797" s="26">
        <f t="shared" ca="1" si="146"/>
        <v>0.15999170868518808</v>
      </c>
      <c r="AX797" s="29">
        <f t="shared" ca="1" si="180"/>
        <v>152</v>
      </c>
      <c r="AZ797" s="22">
        <v>45342</v>
      </c>
      <c r="BA797" s="26">
        <f t="shared" ca="1" si="147"/>
        <v>0.3558152998319577</v>
      </c>
      <c r="BB797" s="29">
        <f t="shared" ca="1" si="181"/>
        <v>211</v>
      </c>
      <c r="BC797"/>
      <c r="BD797" s="25"/>
      <c r="BF797" s="22">
        <v>45342</v>
      </c>
      <c r="BG797" s="26">
        <f t="shared" ca="1" si="148"/>
        <v>0.22348199027908933</v>
      </c>
      <c r="BH797" s="29">
        <f t="shared" ca="1" si="182"/>
        <v>160</v>
      </c>
      <c r="BJ797" s="22">
        <v>45342</v>
      </c>
      <c r="BK797" s="26">
        <f t="shared" ca="1" si="149"/>
        <v>0.58845139911171662</v>
      </c>
      <c r="BL797" s="29">
        <f t="shared" ca="1" si="183"/>
        <v>179</v>
      </c>
      <c r="BN797" s="22">
        <v>45342</v>
      </c>
      <c r="BO797" s="26">
        <f t="shared" ca="1" si="150"/>
        <v>0.81133546904966336</v>
      </c>
      <c r="BP797" s="29">
        <f t="shared" ca="1" si="184"/>
        <v>267</v>
      </c>
      <c r="BR797" s="22">
        <v>45342</v>
      </c>
      <c r="BS797" s="26">
        <f t="shared" ca="1" si="151"/>
        <v>0.36158740292028668</v>
      </c>
      <c r="BT797" s="29">
        <v>0</v>
      </c>
      <c r="BV797" s="22">
        <v>45342</v>
      </c>
      <c r="BW797" s="26">
        <f t="shared" ca="1" si="152"/>
        <v>0.64171772947136774</v>
      </c>
      <c r="BX797" s="29">
        <v>0</v>
      </c>
    </row>
    <row r="798" spans="2:76" ht="12.75" x14ac:dyDescent="0.2">
      <c r="B798" s="22">
        <v>45343</v>
      </c>
      <c r="C798" s="26">
        <f t="shared" ca="1" si="135"/>
        <v>0.31282875505860797</v>
      </c>
      <c r="D798" s="29">
        <f t="shared" ca="1" si="169"/>
        <v>66</v>
      </c>
      <c r="F798" s="22"/>
      <c r="G798" s="26">
        <f t="shared" ca="1" si="136"/>
        <v>0.8423253274014999</v>
      </c>
      <c r="H798" s="29">
        <f t="shared" ca="1" si="170"/>
        <v>230</v>
      </c>
      <c r="J798" s="22">
        <v>45343</v>
      </c>
      <c r="K798" s="26">
        <f t="shared" ca="1" si="137"/>
        <v>0.81880198077752464</v>
      </c>
      <c r="L798" s="29">
        <f t="shared" ca="1" si="171"/>
        <v>160</v>
      </c>
      <c r="N798" s="22">
        <v>45343</v>
      </c>
      <c r="O798" s="26">
        <f t="shared" ca="1" si="138"/>
        <v>0.23435645103520186</v>
      </c>
      <c r="P798" s="29">
        <f t="shared" ca="1" si="172"/>
        <v>219</v>
      </c>
      <c r="R798" s="22">
        <v>45343</v>
      </c>
      <c r="S798" s="26">
        <f t="shared" ca="1" si="139"/>
        <v>0.64761240309297563</v>
      </c>
      <c r="T798" s="29">
        <f t="shared" ca="1" si="173"/>
        <v>143</v>
      </c>
      <c r="V798" s="22">
        <v>45343</v>
      </c>
      <c r="W798" s="26">
        <f t="shared" ca="1" si="140"/>
        <v>0.76175746166793457</v>
      </c>
      <c r="X798" s="29">
        <f t="shared" ca="1" si="174"/>
        <v>236</v>
      </c>
      <c r="Z798" s="22">
        <v>45343</v>
      </c>
      <c r="AA798" s="26">
        <f t="shared" ca="1" si="141"/>
        <v>0.28980315795650269</v>
      </c>
      <c r="AB798" s="29">
        <f t="shared" ca="1" si="175"/>
        <v>261</v>
      </c>
      <c r="AC798"/>
      <c r="AD798" s="25"/>
      <c r="AF798" s="22">
        <v>45343</v>
      </c>
      <c r="AG798" s="26">
        <f t="shared" ca="1" si="142"/>
        <v>0.65938573941716705</v>
      </c>
      <c r="AH798" s="29">
        <f t="shared" ca="1" si="176"/>
        <v>363</v>
      </c>
      <c r="AJ798" s="22">
        <v>45343</v>
      </c>
      <c r="AK798" s="26">
        <f t="shared" ca="1" si="143"/>
        <v>0.78398311075216631</v>
      </c>
      <c r="AL798" s="29">
        <f t="shared" ca="1" si="177"/>
        <v>207</v>
      </c>
      <c r="AN798" s="22">
        <v>45343</v>
      </c>
      <c r="AO798" s="26">
        <f t="shared" ca="1" si="144"/>
        <v>0.29126270311484903</v>
      </c>
      <c r="AP798" s="29">
        <f t="shared" ca="1" si="178"/>
        <v>199</v>
      </c>
      <c r="AR798" s="22">
        <v>45343</v>
      </c>
      <c r="AS798" s="26">
        <f t="shared" ca="1" si="145"/>
        <v>0.98093864419399757</v>
      </c>
      <c r="AT798" s="29">
        <f t="shared" ca="1" si="179"/>
        <v>308</v>
      </c>
      <c r="AV798" s="22">
        <v>45343</v>
      </c>
      <c r="AW798" s="26">
        <f t="shared" ca="1" si="146"/>
        <v>0.46531924639939448</v>
      </c>
      <c r="AX798" s="29">
        <f t="shared" ca="1" si="180"/>
        <v>201</v>
      </c>
      <c r="AZ798" s="22">
        <v>45343</v>
      </c>
      <c r="BA798" s="26">
        <f t="shared" ca="1" si="147"/>
        <v>0.35790253008042627</v>
      </c>
      <c r="BB798" s="29">
        <f t="shared" ca="1" si="181"/>
        <v>211</v>
      </c>
      <c r="BC798"/>
      <c r="BD798" s="25"/>
      <c r="BF798" s="22">
        <v>45343</v>
      </c>
      <c r="BG798" s="26">
        <f t="shared" ca="1" si="148"/>
        <v>0.3801043766229677</v>
      </c>
      <c r="BH798" s="29">
        <f t="shared" ca="1" si="182"/>
        <v>185</v>
      </c>
      <c r="BJ798" s="22">
        <v>45343</v>
      </c>
      <c r="BK798" s="26">
        <f t="shared" ca="1" si="149"/>
        <v>3.0273533557808485E-2</v>
      </c>
      <c r="BL798" s="29">
        <f t="shared" ca="1" si="183"/>
        <v>85</v>
      </c>
      <c r="BN798" s="22">
        <v>45343</v>
      </c>
      <c r="BO798" s="26">
        <f t="shared" ca="1" si="150"/>
        <v>0.8127560015408567</v>
      </c>
      <c r="BP798" s="29">
        <f t="shared" ca="1" si="184"/>
        <v>267</v>
      </c>
      <c r="BR798" s="22">
        <v>45343</v>
      </c>
      <c r="BS798" s="26">
        <f t="shared" ca="1" si="151"/>
        <v>0.13855175048857948</v>
      </c>
      <c r="BT798" s="29">
        <v>0</v>
      </c>
      <c r="BV798" s="22">
        <v>45343</v>
      </c>
      <c r="BW798" s="26">
        <f t="shared" ca="1" si="152"/>
        <v>0.40393460252933866</v>
      </c>
      <c r="BX798" s="29">
        <v>0</v>
      </c>
    </row>
    <row r="799" spans="2:76" ht="12.75" x14ac:dyDescent="0.2">
      <c r="B799" s="22">
        <v>45344</v>
      </c>
      <c r="C799" s="26">
        <f t="shared" ca="1" si="135"/>
        <v>0.48710191884252074</v>
      </c>
      <c r="D799" s="29">
        <f t="shared" ca="1" si="169"/>
        <v>75</v>
      </c>
      <c r="F799" s="22"/>
      <c r="G799" s="26">
        <f t="shared" ca="1" si="136"/>
        <v>0.73383367706895475</v>
      </c>
      <c r="H799" s="29">
        <f t="shared" ca="1" si="170"/>
        <v>225</v>
      </c>
      <c r="J799" s="22">
        <v>45344</v>
      </c>
      <c r="K799" s="26">
        <f t="shared" ca="1" si="137"/>
        <v>0.95198588429260611</v>
      </c>
      <c r="L799" s="29">
        <f t="shared" ca="1" si="171"/>
        <v>167</v>
      </c>
      <c r="N799" s="22">
        <v>45344</v>
      </c>
      <c r="O799" s="26">
        <f t="shared" ca="1" si="138"/>
        <v>0.78894951699321891</v>
      </c>
      <c r="P799" s="29">
        <f t="shared" ca="1" si="172"/>
        <v>242</v>
      </c>
      <c r="R799" s="22">
        <v>45344</v>
      </c>
      <c r="S799" s="26">
        <f t="shared" ca="1" si="139"/>
        <v>0.44483690736485382</v>
      </c>
      <c r="T799" s="29">
        <f t="shared" ca="1" si="173"/>
        <v>138</v>
      </c>
      <c r="V799" s="22">
        <v>45344</v>
      </c>
      <c r="W799" s="26">
        <f t="shared" ca="1" si="140"/>
        <v>0.19756277707033787</v>
      </c>
      <c r="X799" s="29">
        <f t="shared" ca="1" si="174"/>
        <v>213</v>
      </c>
      <c r="Z799" s="22">
        <v>45344</v>
      </c>
      <c r="AA799" s="26">
        <f t="shared" ca="1" si="141"/>
        <v>9.6882554477369154E-2</v>
      </c>
      <c r="AB799" s="29">
        <f t="shared" ca="1" si="175"/>
        <v>247</v>
      </c>
      <c r="AC799"/>
      <c r="AD799" s="25"/>
      <c r="AF799" s="22">
        <v>45344</v>
      </c>
      <c r="AG799" s="26">
        <f t="shared" ca="1" si="142"/>
        <v>0.27520291724944501</v>
      </c>
      <c r="AH799" s="29">
        <f t="shared" ca="1" si="176"/>
        <v>275</v>
      </c>
      <c r="AJ799" s="22">
        <v>45344</v>
      </c>
      <c r="AK799" s="26">
        <f t="shared" ca="1" si="143"/>
        <v>0.58556758843210821</v>
      </c>
      <c r="AL799" s="29">
        <f t="shared" ca="1" si="177"/>
        <v>181</v>
      </c>
      <c r="AN799" s="22">
        <v>45344</v>
      </c>
      <c r="AO799" s="26">
        <f t="shared" ca="1" si="144"/>
        <v>0.51910559264928446</v>
      </c>
      <c r="AP799" s="29">
        <f t="shared" ca="1" si="178"/>
        <v>236</v>
      </c>
      <c r="AR799" s="22">
        <v>45344</v>
      </c>
      <c r="AS799" s="26">
        <f t="shared" ca="1" si="145"/>
        <v>0.47293891519289943</v>
      </c>
      <c r="AT799" s="29">
        <f t="shared" ca="1" si="179"/>
        <v>195</v>
      </c>
      <c r="AV799" s="22">
        <v>45344</v>
      </c>
      <c r="AW799" s="26">
        <f t="shared" ca="1" si="146"/>
        <v>0.50994216184005781</v>
      </c>
      <c r="AX799" s="29">
        <f t="shared" ca="1" si="180"/>
        <v>207</v>
      </c>
      <c r="AZ799" s="22">
        <v>45344</v>
      </c>
      <c r="BA799" s="26">
        <f t="shared" ca="1" si="147"/>
        <v>0.31432903461360251</v>
      </c>
      <c r="BB799" s="29">
        <f t="shared" ca="1" si="181"/>
        <v>204</v>
      </c>
      <c r="BC799"/>
      <c r="BD799" s="25"/>
      <c r="BF799" s="22">
        <v>45344</v>
      </c>
      <c r="BG799" s="26">
        <f t="shared" ca="1" si="148"/>
        <v>0.32773859603496736</v>
      </c>
      <c r="BH799" s="29">
        <f t="shared" ca="1" si="182"/>
        <v>177</v>
      </c>
      <c r="BJ799" s="22">
        <v>45344</v>
      </c>
      <c r="BK799" s="26">
        <f t="shared" ca="1" si="149"/>
        <v>0.91556622053274495</v>
      </c>
      <c r="BL799" s="29">
        <f t="shared" ca="1" si="183"/>
        <v>231</v>
      </c>
      <c r="BN799" s="22">
        <v>45344</v>
      </c>
      <c r="BO799" s="26">
        <f t="shared" ca="1" si="150"/>
        <v>0.98516025291180442</v>
      </c>
      <c r="BP799" s="29">
        <f t="shared" ca="1" si="184"/>
        <v>341</v>
      </c>
      <c r="BR799" s="22">
        <v>45344</v>
      </c>
      <c r="BS799" s="26">
        <f t="shared" ca="1" si="151"/>
        <v>0.65169655661832127</v>
      </c>
      <c r="BT799" s="29">
        <v>0</v>
      </c>
      <c r="BV799" s="22">
        <v>45344</v>
      </c>
      <c r="BW799" s="26">
        <f t="shared" ca="1" si="152"/>
        <v>9.6806027799729799E-2</v>
      </c>
      <c r="BX799" s="29">
        <v>0</v>
      </c>
    </row>
    <row r="800" spans="2:76" ht="12.75" x14ac:dyDescent="0.2">
      <c r="B800" s="22">
        <v>45345</v>
      </c>
      <c r="C800" s="26">
        <f t="shared" ca="1" si="135"/>
        <v>0.55916951376016188</v>
      </c>
      <c r="D800" s="29">
        <f t="shared" ca="1" si="169"/>
        <v>78</v>
      </c>
      <c r="F800" s="22"/>
      <c r="G800" s="26">
        <f t="shared" ca="1" si="136"/>
        <v>0.74894215300030453</v>
      </c>
      <c r="H800" s="29">
        <f t="shared" ca="1" si="170"/>
        <v>226</v>
      </c>
      <c r="J800" s="22">
        <v>45345</v>
      </c>
      <c r="K800" s="26">
        <f t="shared" ca="1" si="137"/>
        <v>0.72948993433175402</v>
      </c>
      <c r="L800" s="29">
        <f t="shared" ca="1" si="171"/>
        <v>157</v>
      </c>
      <c r="N800" s="22">
        <v>45345</v>
      </c>
      <c r="O800" s="26">
        <f t="shared" ca="1" si="138"/>
        <v>0.93309183343929636</v>
      </c>
      <c r="P800" s="29">
        <f t="shared" ca="1" si="172"/>
        <v>253</v>
      </c>
      <c r="R800" s="22">
        <v>45345</v>
      </c>
      <c r="S800" s="26">
        <f t="shared" ca="1" si="139"/>
        <v>0.71108130111830414</v>
      </c>
      <c r="T800" s="29">
        <f t="shared" ca="1" si="173"/>
        <v>144</v>
      </c>
      <c r="V800" s="22">
        <v>45345</v>
      </c>
      <c r="W800" s="26">
        <f t="shared" ca="1" si="140"/>
        <v>0.534808896386199</v>
      </c>
      <c r="X800" s="29">
        <f t="shared" ca="1" si="174"/>
        <v>227</v>
      </c>
      <c r="Z800" s="22">
        <v>45345</v>
      </c>
      <c r="AA800" s="26">
        <f t="shared" ca="1" si="141"/>
        <v>0.33733483795308405</v>
      </c>
      <c r="AB800" s="29">
        <f t="shared" ca="1" si="175"/>
        <v>263</v>
      </c>
      <c r="AC800"/>
      <c r="AD800" s="25"/>
      <c r="AF800" s="22">
        <v>45345</v>
      </c>
      <c r="AG800" s="26">
        <f t="shared" ca="1" si="142"/>
        <v>0.20060174424937027</v>
      </c>
      <c r="AH800" s="29">
        <f t="shared" ca="1" si="176"/>
        <v>254</v>
      </c>
      <c r="AJ800" s="22">
        <v>45345</v>
      </c>
      <c r="AK800" s="26">
        <f t="shared" ca="1" si="143"/>
        <v>0.87887881729936324</v>
      </c>
      <c r="AL800" s="29">
        <f t="shared" ca="1" si="177"/>
        <v>224</v>
      </c>
      <c r="AN800" s="22">
        <v>45345</v>
      </c>
      <c r="AO800" s="26">
        <f t="shared" ca="1" si="144"/>
        <v>1.7974772973153752E-2</v>
      </c>
      <c r="AP800" s="29">
        <f t="shared" ca="1" si="178"/>
        <v>103</v>
      </c>
      <c r="AR800" s="22">
        <v>45345</v>
      </c>
      <c r="AS800" s="26">
        <f t="shared" ca="1" si="145"/>
        <v>0.20432635236230945</v>
      </c>
      <c r="AT800" s="29">
        <f t="shared" ca="1" si="179"/>
        <v>155</v>
      </c>
      <c r="AV800" s="22">
        <v>45345</v>
      </c>
      <c r="AW800" s="26">
        <f t="shared" ca="1" si="146"/>
        <v>0.10115003733777739</v>
      </c>
      <c r="AX800" s="29">
        <f t="shared" ca="1" si="180"/>
        <v>136</v>
      </c>
      <c r="AZ800" s="22">
        <v>45345</v>
      </c>
      <c r="BA800" s="26">
        <f t="shared" ca="1" si="147"/>
        <v>0.58089083312638001</v>
      </c>
      <c r="BB800" s="29">
        <f t="shared" ca="1" si="181"/>
        <v>247</v>
      </c>
      <c r="BC800"/>
      <c r="BD800" s="25"/>
      <c r="BF800" s="22">
        <v>45345</v>
      </c>
      <c r="BG800" s="26">
        <f t="shared" ca="1" si="148"/>
        <v>0.65963349645806935</v>
      </c>
      <c r="BH800" s="29">
        <f t="shared" ca="1" si="182"/>
        <v>223</v>
      </c>
      <c r="BJ800" s="22">
        <v>45345</v>
      </c>
      <c r="BK800" s="26">
        <f t="shared" ca="1" si="149"/>
        <v>0.59349086308351395</v>
      </c>
      <c r="BL800" s="29">
        <f t="shared" ca="1" si="183"/>
        <v>180</v>
      </c>
      <c r="BN800" s="22">
        <v>45345</v>
      </c>
      <c r="BO800" s="26">
        <f t="shared" ca="1" si="150"/>
        <v>0.26837736454300187</v>
      </c>
      <c r="BP800" s="29">
        <f t="shared" ca="1" si="184"/>
        <v>181</v>
      </c>
      <c r="BR800" s="22">
        <v>45345</v>
      </c>
      <c r="BS800" s="26">
        <f t="shared" ca="1" si="151"/>
        <v>0.99044987555313213</v>
      </c>
      <c r="BT800" s="29">
        <v>0</v>
      </c>
      <c r="BV800" s="22">
        <v>45345</v>
      </c>
      <c r="BW800" s="26">
        <f t="shared" ca="1" si="152"/>
        <v>0.84698765844284796</v>
      </c>
      <c r="BX800" s="29">
        <v>0</v>
      </c>
    </row>
    <row r="801" spans="2:77" ht="12.75" x14ac:dyDescent="0.2">
      <c r="B801" s="22">
        <v>45346</v>
      </c>
      <c r="C801" s="26">
        <f t="shared" ca="1" si="135"/>
        <v>0.96275997942816272</v>
      </c>
      <c r="D801" s="29">
        <f t="shared" ca="1" si="169"/>
        <v>111</v>
      </c>
      <c r="F801" s="22"/>
      <c r="G801" s="26">
        <f t="shared" ca="1" si="136"/>
        <v>0.80706114277421637</v>
      </c>
      <c r="H801" s="29">
        <f t="shared" ca="1" si="170"/>
        <v>228</v>
      </c>
      <c r="J801" s="22">
        <v>45346</v>
      </c>
      <c r="K801" s="26">
        <f t="shared" ca="1" si="137"/>
        <v>0.98660128448381568</v>
      </c>
      <c r="L801" s="29">
        <f t="shared" ca="1" si="171"/>
        <v>173</v>
      </c>
      <c r="N801" s="22">
        <v>45346</v>
      </c>
      <c r="O801" s="26">
        <f t="shared" ca="1" si="138"/>
        <v>0.5770026787552639</v>
      </c>
      <c r="P801" s="29">
        <f t="shared" ca="1" si="172"/>
        <v>233</v>
      </c>
      <c r="R801" s="22">
        <v>45346</v>
      </c>
      <c r="S801" s="26">
        <f t="shared" ca="1" si="139"/>
        <v>0.29769173946204852</v>
      </c>
      <c r="T801" s="29">
        <f t="shared" ca="1" si="173"/>
        <v>134</v>
      </c>
      <c r="V801" s="22">
        <v>45346</v>
      </c>
      <c r="W801" s="26">
        <f t="shared" ca="1" si="140"/>
        <v>0.78945693544484641</v>
      </c>
      <c r="X801" s="29">
        <f t="shared" ca="1" si="174"/>
        <v>238</v>
      </c>
      <c r="Z801" s="22">
        <v>45346</v>
      </c>
      <c r="AA801" s="26">
        <f t="shared" ca="1" si="141"/>
        <v>0.30185459056395281</v>
      </c>
      <c r="AB801" s="29">
        <f t="shared" ca="1" si="175"/>
        <v>261</v>
      </c>
      <c r="AC801"/>
      <c r="AD801" s="25"/>
      <c r="AF801" s="22">
        <v>45346</v>
      </c>
      <c r="AG801" s="26">
        <f t="shared" ca="1" si="142"/>
        <v>0.39740136847563956</v>
      </c>
      <c r="AH801" s="29">
        <f t="shared" ca="1" si="176"/>
        <v>305</v>
      </c>
      <c r="AJ801" s="22">
        <v>45346</v>
      </c>
      <c r="AK801" s="26">
        <f t="shared" ca="1" si="143"/>
        <v>0.60325599889211046</v>
      </c>
      <c r="AL801" s="29">
        <f t="shared" ca="1" si="177"/>
        <v>183</v>
      </c>
      <c r="AN801" s="22">
        <v>45346</v>
      </c>
      <c r="AO801" s="26">
        <f t="shared" ca="1" si="144"/>
        <v>0.87820734397829381</v>
      </c>
      <c r="AP801" s="29">
        <f t="shared" ca="1" si="178"/>
        <v>305</v>
      </c>
      <c r="AR801" s="22">
        <v>45346</v>
      </c>
      <c r="AS801" s="26">
        <f t="shared" ca="1" si="145"/>
        <v>0.33633136780762274</v>
      </c>
      <c r="AT801" s="29">
        <f t="shared" ca="1" si="179"/>
        <v>176</v>
      </c>
      <c r="AV801" s="22">
        <v>45346</v>
      </c>
      <c r="AW801" s="26">
        <f t="shared" ca="1" si="146"/>
        <v>0.60609195182410536</v>
      </c>
      <c r="AX801" s="29">
        <f t="shared" ca="1" si="180"/>
        <v>221</v>
      </c>
      <c r="AZ801" s="22">
        <v>45346</v>
      </c>
      <c r="BA801" s="26">
        <f t="shared" ca="1" si="147"/>
        <v>0.31540434294071928</v>
      </c>
      <c r="BB801" s="29">
        <f t="shared" ca="1" si="181"/>
        <v>204</v>
      </c>
      <c r="BC801"/>
      <c r="BD801" s="25"/>
      <c r="BF801" s="22">
        <v>45346</v>
      </c>
      <c r="BG801" s="26">
        <f t="shared" ca="1" si="148"/>
        <v>0.62607384647642295</v>
      </c>
      <c r="BH801" s="29">
        <f t="shared" ca="1" si="182"/>
        <v>218</v>
      </c>
      <c r="BJ801" s="22">
        <v>45346</v>
      </c>
      <c r="BK801" s="26">
        <f t="shared" ca="1" si="149"/>
        <v>0.28709947241442291</v>
      </c>
      <c r="BL801" s="29">
        <f t="shared" ca="1" si="183"/>
        <v>144</v>
      </c>
      <c r="BN801" s="22">
        <v>45346</v>
      </c>
      <c r="BO801" s="26">
        <f t="shared" ca="1" si="150"/>
        <v>0.32926837363046069</v>
      </c>
      <c r="BP801" s="29">
        <f t="shared" ca="1" si="184"/>
        <v>191</v>
      </c>
      <c r="BR801" s="22">
        <v>45346</v>
      </c>
      <c r="BS801" s="26">
        <f t="shared" ca="1" si="151"/>
        <v>0.62442622190130292</v>
      </c>
      <c r="BT801" s="29">
        <v>0</v>
      </c>
      <c r="BV801" s="22">
        <v>45346</v>
      </c>
      <c r="BW801" s="26">
        <f t="shared" ca="1" si="152"/>
        <v>0.99135510413811545</v>
      </c>
      <c r="BX801" s="29">
        <v>0</v>
      </c>
    </row>
    <row r="802" spans="2:77" ht="12.75" x14ac:dyDescent="0.2">
      <c r="B802" s="22">
        <v>45347</v>
      </c>
      <c r="C802" s="26">
        <f t="shared" ca="1" si="135"/>
        <v>0.39269552864470536</v>
      </c>
      <c r="D802" s="29">
        <f t="shared" ca="1" si="169"/>
        <v>70</v>
      </c>
      <c r="F802" s="22"/>
      <c r="G802" s="26">
        <f t="shared" ca="1" si="136"/>
        <v>4.8650579311058095E-3</v>
      </c>
      <c r="H802" s="29">
        <f t="shared" ca="1" si="170"/>
        <v>179</v>
      </c>
      <c r="J802" s="22">
        <v>45347</v>
      </c>
      <c r="K802" s="26">
        <f t="shared" ca="1" si="137"/>
        <v>0.45319875973528789</v>
      </c>
      <c r="L802" s="29">
        <f t="shared" ca="1" si="171"/>
        <v>149</v>
      </c>
      <c r="N802" s="22">
        <v>45347</v>
      </c>
      <c r="O802" s="26">
        <f t="shared" ca="1" si="138"/>
        <v>0.5213840896568096</v>
      </c>
      <c r="P802" s="29">
        <f t="shared" ca="1" si="172"/>
        <v>231</v>
      </c>
      <c r="R802" s="22">
        <v>45347</v>
      </c>
      <c r="S802" s="26">
        <f t="shared" ca="1" si="139"/>
        <v>0.43813499283927748</v>
      </c>
      <c r="T802" s="29">
        <f t="shared" ca="1" si="173"/>
        <v>138</v>
      </c>
      <c r="V802" s="22">
        <v>45347</v>
      </c>
      <c r="W802" s="26">
        <f t="shared" ca="1" si="140"/>
        <v>0.35841051775583355</v>
      </c>
      <c r="X802" s="29">
        <f t="shared" ca="1" si="174"/>
        <v>220</v>
      </c>
      <c r="Z802" s="22">
        <v>45347</v>
      </c>
      <c r="AA802" s="26">
        <f t="shared" ca="1" si="141"/>
        <v>0.78801866218004379</v>
      </c>
      <c r="AB802" s="29">
        <f t="shared" ca="1" si="175"/>
        <v>285</v>
      </c>
      <c r="AC802"/>
      <c r="AD802" s="25"/>
      <c r="AF802" s="22">
        <v>45347</v>
      </c>
      <c r="AG802" s="26">
        <f t="shared" ca="1" si="142"/>
        <v>0.99097671469584059</v>
      </c>
      <c r="AH802" s="29">
        <f t="shared" ca="1" si="176"/>
        <v>534</v>
      </c>
      <c r="AJ802" s="22">
        <v>45347</v>
      </c>
      <c r="AK802" s="26">
        <f t="shared" ca="1" si="143"/>
        <v>2.6517243121671141E-2</v>
      </c>
      <c r="AL802" s="29">
        <f t="shared" ca="1" si="177"/>
        <v>83</v>
      </c>
      <c r="AN802" s="22">
        <v>45347</v>
      </c>
      <c r="AO802" s="26">
        <f t="shared" ca="1" si="144"/>
        <v>0.33186798249884597</v>
      </c>
      <c r="AP802" s="29">
        <f t="shared" ca="1" si="178"/>
        <v>206</v>
      </c>
      <c r="AR802" s="22">
        <v>45347</v>
      </c>
      <c r="AS802" s="26">
        <f t="shared" ca="1" si="145"/>
        <v>0.9335353843253098</v>
      </c>
      <c r="AT802" s="29">
        <f t="shared" ca="1" si="179"/>
        <v>278</v>
      </c>
      <c r="AV802" s="22">
        <v>45347</v>
      </c>
      <c r="AW802" s="26">
        <f t="shared" ca="1" si="146"/>
        <v>0.17317972038076324</v>
      </c>
      <c r="AX802" s="29">
        <f t="shared" ca="1" si="180"/>
        <v>154</v>
      </c>
      <c r="AZ802" s="22">
        <v>45347</v>
      </c>
      <c r="BA802" s="26">
        <f t="shared" ca="1" si="147"/>
        <v>0.19039369424535635</v>
      </c>
      <c r="BB802" s="29">
        <f t="shared" ca="1" si="181"/>
        <v>179</v>
      </c>
      <c r="BC802"/>
      <c r="BD802" s="25"/>
      <c r="BF802" s="22">
        <v>45347</v>
      </c>
      <c r="BG802" s="26">
        <f t="shared" ca="1" si="148"/>
        <v>3.2377185723183932E-2</v>
      </c>
      <c r="BH802" s="29">
        <f t="shared" ca="1" si="182"/>
        <v>102</v>
      </c>
      <c r="BJ802" s="22">
        <v>45347</v>
      </c>
      <c r="BK802" s="26">
        <f t="shared" ca="1" si="149"/>
        <v>0.19166718395786553</v>
      </c>
      <c r="BL802" s="29">
        <f t="shared" ca="1" si="183"/>
        <v>130</v>
      </c>
      <c r="BN802" s="22">
        <v>45347</v>
      </c>
      <c r="BO802" s="26">
        <f t="shared" ca="1" si="150"/>
        <v>0.60929286041748199</v>
      </c>
      <c r="BP802" s="29">
        <f t="shared" ca="1" si="184"/>
        <v>232</v>
      </c>
      <c r="BR802" s="22">
        <v>45347</v>
      </c>
      <c r="BS802" s="26">
        <f t="shared" ca="1" si="151"/>
        <v>0.14532070321753998</v>
      </c>
      <c r="BT802" s="29">
        <v>0</v>
      </c>
      <c r="BV802" s="22">
        <v>45347</v>
      </c>
      <c r="BW802" s="26">
        <f t="shared" ca="1" si="152"/>
        <v>0.50290280447612623</v>
      </c>
      <c r="BX802" s="29">
        <v>0</v>
      </c>
    </row>
    <row r="803" spans="2:77" ht="12.75" x14ac:dyDescent="0.2">
      <c r="B803" s="22">
        <v>45348</v>
      </c>
      <c r="C803" s="26">
        <f t="shared" ca="1" si="135"/>
        <v>0.64180267731080143</v>
      </c>
      <c r="D803" s="29">
        <f t="shared" ca="1" si="169"/>
        <v>83</v>
      </c>
      <c r="F803" s="22"/>
      <c r="G803" s="26">
        <f t="shared" ca="1" si="136"/>
        <v>0.34969901487885824</v>
      </c>
      <c r="H803" s="29">
        <f t="shared" ca="1" si="170"/>
        <v>210</v>
      </c>
      <c r="J803" s="22">
        <v>45348</v>
      </c>
      <c r="K803" s="26">
        <f t="shared" ca="1" si="137"/>
        <v>0.90846204591244273</v>
      </c>
      <c r="L803" s="29">
        <f t="shared" ca="1" si="171"/>
        <v>164</v>
      </c>
      <c r="N803" s="22">
        <v>45348</v>
      </c>
      <c r="O803" s="26">
        <f t="shared" ca="1" si="138"/>
        <v>4.8193091113874598E-2</v>
      </c>
      <c r="P803" s="29">
        <f t="shared" ca="1" si="172"/>
        <v>204</v>
      </c>
      <c r="R803" s="22">
        <v>45348</v>
      </c>
      <c r="S803" s="26">
        <f t="shared" ca="1" si="139"/>
        <v>0.40820488304249025</v>
      </c>
      <c r="T803" s="29">
        <f t="shared" ca="1" si="173"/>
        <v>137</v>
      </c>
      <c r="V803" s="22">
        <v>45348</v>
      </c>
      <c r="W803" s="26">
        <f t="shared" ca="1" si="140"/>
        <v>0.34294397468520887</v>
      </c>
      <c r="X803" s="29">
        <f t="shared" ca="1" si="174"/>
        <v>219</v>
      </c>
      <c r="Z803" s="22">
        <v>45348</v>
      </c>
      <c r="AA803" s="26">
        <f t="shared" ca="1" si="141"/>
        <v>0.14145437283396223</v>
      </c>
      <c r="AB803" s="29">
        <f t="shared" ca="1" si="175"/>
        <v>251</v>
      </c>
      <c r="AC803"/>
      <c r="AD803" s="25"/>
      <c r="AF803" s="22">
        <v>45348</v>
      </c>
      <c r="AG803" s="26">
        <f t="shared" ca="1" si="142"/>
        <v>0.89681879423502131</v>
      </c>
      <c r="AH803" s="29">
        <f t="shared" ca="1" si="176"/>
        <v>438</v>
      </c>
      <c r="AJ803" s="22">
        <v>45348</v>
      </c>
      <c r="AK803" s="26">
        <f t="shared" ca="1" si="143"/>
        <v>0.72316608355699408</v>
      </c>
      <c r="AL803" s="29">
        <f t="shared" ca="1" si="177"/>
        <v>198</v>
      </c>
      <c r="AN803" s="22">
        <v>45348</v>
      </c>
      <c r="AO803" s="26">
        <f t="shared" ca="1" si="144"/>
        <v>0.85751480206300457</v>
      </c>
      <c r="AP803" s="29">
        <f t="shared" ca="1" si="178"/>
        <v>299</v>
      </c>
      <c r="AR803" s="22">
        <v>45348</v>
      </c>
      <c r="AS803" s="26">
        <f t="shared" ca="1" si="145"/>
        <v>4.7588955342166006E-3</v>
      </c>
      <c r="AT803" s="29">
        <f t="shared" ca="1" si="179"/>
        <v>62</v>
      </c>
      <c r="AV803" s="22">
        <v>45348</v>
      </c>
      <c r="AW803" s="26">
        <f t="shared" ca="1" si="146"/>
        <v>0.28030003185424857</v>
      </c>
      <c r="AX803" s="29">
        <f t="shared" ca="1" si="180"/>
        <v>174</v>
      </c>
      <c r="AZ803" s="22">
        <v>45348</v>
      </c>
      <c r="BA803" s="26">
        <f t="shared" ca="1" si="147"/>
        <v>0.77390168352539623</v>
      </c>
      <c r="BB803" s="29">
        <f t="shared" ca="1" si="181"/>
        <v>281</v>
      </c>
      <c r="BC803"/>
      <c r="BD803" s="25"/>
      <c r="BF803" s="22">
        <v>45348</v>
      </c>
      <c r="BG803" s="26">
        <f t="shared" ca="1" si="148"/>
        <v>0.74290009581387872</v>
      </c>
      <c r="BH803" s="29">
        <f t="shared" ca="1" si="182"/>
        <v>236</v>
      </c>
      <c r="BJ803" s="22">
        <v>45348</v>
      </c>
      <c r="BK803" s="26">
        <f t="shared" ca="1" si="149"/>
        <v>0.60454868778651116</v>
      </c>
      <c r="BL803" s="29">
        <f t="shared" ca="1" si="183"/>
        <v>181</v>
      </c>
      <c r="BN803" s="22">
        <v>45348</v>
      </c>
      <c r="BO803" s="26">
        <f t="shared" ca="1" si="150"/>
        <v>0.51693902359982791</v>
      </c>
      <c r="BP803" s="29">
        <f t="shared" ca="1" si="184"/>
        <v>219</v>
      </c>
      <c r="BR803" s="22">
        <v>45348</v>
      </c>
      <c r="BS803" s="26">
        <f t="shared" ca="1" si="151"/>
        <v>0.87545228287225796</v>
      </c>
      <c r="BT803" s="29">
        <v>0</v>
      </c>
      <c r="BV803" s="22">
        <v>45348</v>
      </c>
      <c r="BW803" s="26">
        <f t="shared" ca="1" si="152"/>
        <v>3.9446606484270341E-2</v>
      </c>
      <c r="BX803" s="29">
        <v>0</v>
      </c>
    </row>
    <row r="804" spans="2:77" ht="12.75" x14ac:dyDescent="0.2">
      <c r="B804" s="22">
        <v>45349</v>
      </c>
      <c r="C804" s="26">
        <f t="shared" ca="1" si="135"/>
        <v>0.63134181619392082</v>
      </c>
      <c r="D804" s="29">
        <f t="shared" ca="1" si="169"/>
        <v>82</v>
      </c>
      <c r="F804" s="22"/>
      <c r="G804" s="26">
        <f t="shared" ca="1" si="136"/>
        <v>0.22333464917044654</v>
      </c>
      <c r="H804" s="29">
        <f t="shared" ca="1" si="170"/>
        <v>205</v>
      </c>
      <c r="J804" s="22">
        <v>45349</v>
      </c>
      <c r="K804" s="26">
        <f t="shared" ca="1" si="137"/>
        <v>0.39841777582583715</v>
      </c>
      <c r="L804" s="29">
        <f t="shared" ca="1" si="171"/>
        <v>148</v>
      </c>
      <c r="N804" s="22">
        <v>45349</v>
      </c>
      <c r="O804" s="26">
        <f t="shared" ca="1" si="138"/>
        <v>0.20709413114866393</v>
      </c>
      <c r="P804" s="29">
        <f t="shared" ca="1" si="172"/>
        <v>217</v>
      </c>
      <c r="R804" s="22">
        <v>45349</v>
      </c>
      <c r="S804" s="26">
        <f t="shared" ca="1" si="139"/>
        <v>0.77112215354984803</v>
      </c>
      <c r="T804" s="29">
        <f t="shared" ca="1" si="173"/>
        <v>146</v>
      </c>
      <c r="V804" s="22">
        <v>45349</v>
      </c>
      <c r="W804" s="26">
        <f t="shared" ca="1" si="140"/>
        <v>0.28906189988353537</v>
      </c>
      <c r="X804" s="29">
        <f t="shared" ca="1" si="174"/>
        <v>217</v>
      </c>
      <c r="Z804" s="22">
        <v>45349</v>
      </c>
      <c r="AA804" s="26">
        <f t="shared" ca="1" si="141"/>
        <v>8.5819650162927696E-2</v>
      </c>
      <c r="AB804" s="29">
        <f t="shared" ca="1" si="175"/>
        <v>246</v>
      </c>
      <c r="AC804"/>
      <c r="AD804" s="25"/>
      <c r="AF804" s="22">
        <v>45349</v>
      </c>
      <c r="AG804" s="26">
        <f t="shared" ca="1" si="142"/>
        <v>0.80413754688007233</v>
      </c>
      <c r="AH804" s="29">
        <f t="shared" ca="1" si="176"/>
        <v>402</v>
      </c>
      <c r="AJ804" s="22">
        <v>45349</v>
      </c>
      <c r="AK804" s="26">
        <f t="shared" ca="1" si="143"/>
        <v>0.75374967123072212</v>
      </c>
      <c r="AL804" s="29">
        <f t="shared" ca="1" si="177"/>
        <v>202</v>
      </c>
      <c r="AN804" s="22">
        <v>45349</v>
      </c>
      <c r="AO804" s="26">
        <f t="shared" ca="1" si="144"/>
        <v>0.15380093736430955</v>
      </c>
      <c r="AP804" s="29">
        <f t="shared" ca="1" si="178"/>
        <v>169</v>
      </c>
      <c r="AR804" s="22">
        <v>45349</v>
      </c>
      <c r="AS804" s="26">
        <f t="shared" ca="1" si="145"/>
        <v>0.9760220161085158</v>
      </c>
      <c r="AT804" s="29">
        <f t="shared" ca="1" si="179"/>
        <v>303</v>
      </c>
      <c r="AV804" s="22">
        <v>45349</v>
      </c>
      <c r="AW804" s="26">
        <f t="shared" ca="1" si="146"/>
        <v>0.98434997210940145</v>
      </c>
      <c r="AX804" s="29">
        <f t="shared" ca="1" si="180"/>
        <v>324</v>
      </c>
      <c r="AZ804" s="22">
        <v>45349</v>
      </c>
      <c r="BA804" s="26">
        <f t="shared" ca="1" si="147"/>
        <v>0.35794714528553306</v>
      </c>
      <c r="BB804" s="29">
        <f t="shared" ca="1" si="181"/>
        <v>211</v>
      </c>
      <c r="BC804"/>
      <c r="BD804" s="25"/>
      <c r="BF804" s="22">
        <v>45349</v>
      </c>
      <c r="BG804" s="26">
        <f t="shared" ca="1" si="148"/>
        <v>0.76575824074783161</v>
      </c>
      <c r="BH804" s="29">
        <f t="shared" ca="1" si="182"/>
        <v>240</v>
      </c>
      <c r="BJ804" s="22">
        <v>45349</v>
      </c>
      <c r="BK804" s="26">
        <f t="shared" ca="1" si="149"/>
        <v>0.83271558058032102</v>
      </c>
      <c r="BL804" s="29">
        <f t="shared" ca="1" si="183"/>
        <v>212</v>
      </c>
      <c r="BN804" s="22">
        <v>45349</v>
      </c>
      <c r="BO804" s="26">
        <f t="shared" ca="1" si="150"/>
        <v>0.45526869764196765</v>
      </c>
      <c r="BP804" s="29">
        <f t="shared" ca="1" si="184"/>
        <v>210</v>
      </c>
      <c r="BR804" s="22">
        <v>45349</v>
      </c>
      <c r="BS804" s="26">
        <f t="shared" ca="1" si="151"/>
        <v>0.5461095584714476</v>
      </c>
      <c r="BT804" s="29">
        <v>0</v>
      </c>
      <c r="BV804" s="22">
        <v>45349</v>
      </c>
      <c r="BW804" s="26">
        <f t="shared" ca="1" si="152"/>
        <v>0.77101891009087564</v>
      </c>
      <c r="BX804" s="29">
        <v>0</v>
      </c>
    </row>
    <row r="805" spans="2:77" ht="12.75" x14ac:dyDescent="0.2">
      <c r="B805" s="22">
        <v>45350</v>
      </c>
      <c r="C805" s="26">
        <f t="shared" ca="1" si="135"/>
        <v>0.85655139861768614</v>
      </c>
      <c r="D805" s="29">
        <f t="shared" ca="1" si="169"/>
        <v>97</v>
      </c>
      <c r="F805" s="22"/>
      <c r="G805" s="26">
        <f t="shared" ca="1" si="136"/>
        <v>0.51664274916899378</v>
      </c>
      <c r="H805" s="29">
        <f t="shared" ca="1" si="170"/>
        <v>216</v>
      </c>
      <c r="J805" s="22">
        <v>45350</v>
      </c>
      <c r="K805" s="26">
        <f t="shared" ca="1" si="137"/>
        <v>0.10530711097647194</v>
      </c>
      <c r="L805" s="29">
        <f t="shared" ca="1" si="171"/>
        <v>138</v>
      </c>
      <c r="N805" s="22">
        <v>45350</v>
      </c>
      <c r="O805" s="26">
        <f t="shared" ca="1" si="138"/>
        <v>0.48583298470741021</v>
      </c>
      <c r="P805" s="29">
        <f t="shared" ca="1" si="172"/>
        <v>229</v>
      </c>
      <c r="R805" s="22">
        <v>45350</v>
      </c>
      <c r="S805" s="26">
        <f t="shared" ca="1" si="139"/>
        <v>1.624673714427427E-3</v>
      </c>
      <c r="T805" s="29">
        <f t="shared" ca="1" si="173"/>
        <v>112</v>
      </c>
      <c r="V805" s="22">
        <v>45350</v>
      </c>
      <c r="W805" s="26">
        <f t="shared" ca="1" si="140"/>
        <v>0.74860646701793554</v>
      </c>
      <c r="X805" s="29">
        <f t="shared" ca="1" si="174"/>
        <v>236</v>
      </c>
      <c r="Z805" s="22">
        <v>45350</v>
      </c>
      <c r="AA805" s="26">
        <f t="shared" ca="1" si="141"/>
        <v>0.27523561813968522</v>
      </c>
      <c r="AB805" s="29">
        <f t="shared" ca="1" si="175"/>
        <v>260</v>
      </c>
      <c r="AC805"/>
      <c r="AD805" s="25"/>
      <c r="AF805" s="22">
        <v>45350</v>
      </c>
      <c r="AG805" s="26">
        <f t="shared" ca="1" si="142"/>
        <v>0.62007233141531093</v>
      </c>
      <c r="AH805" s="29">
        <f t="shared" ca="1" si="176"/>
        <v>354</v>
      </c>
      <c r="AJ805" s="22">
        <v>45350</v>
      </c>
      <c r="AK805" s="26">
        <f t="shared" ca="1" si="143"/>
        <v>0.38587890278889048</v>
      </c>
      <c r="AL805" s="29">
        <f t="shared" ca="1" si="177"/>
        <v>158</v>
      </c>
      <c r="AN805" s="22">
        <v>45350</v>
      </c>
      <c r="AO805" s="26">
        <f t="shared" ca="1" si="144"/>
        <v>0.6317967630396073</v>
      </c>
      <c r="AP805" s="29">
        <f t="shared" ca="1" si="178"/>
        <v>253</v>
      </c>
      <c r="AR805" s="22">
        <v>45350</v>
      </c>
      <c r="AS805" s="26">
        <f t="shared" ca="1" si="145"/>
        <v>0.10266999474682026</v>
      </c>
      <c r="AT805" s="29">
        <f t="shared" ca="1" si="179"/>
        <v>132</v>
      </c>
      <c r="AV805" s="22">
        <v>45350</v>
      </c>
      <c r="AW805" s="26">
        <f t="shared" ca="1" si="146"/>
        <v>0.78381615152952056</v>
      </c>
      <c r="AX805" s="29">
        <f t="shared" ca="1" si="180"/>
        <v>249</v>
      </c>
      <c r="AZ805" s="22">
        <v>45350</v>
      </c>
      <c r="BA805" s="26">
        <f t="shared" ca="1" si="147"/>
        <v>0.56269631027875378</v>
      </c>
      <c r="BB805" s="29">
        <f t="shared" ca="1" si="181"/>
        <v>244</v>
      </c>
      <c r="BC805"/>
      <c r="BD805" s="25"/>
      <c r="BF805" s="22">
        <v>45350</v>
      </c>
      <c r="BG805" s="26">
        <f t="shared" ca="1" si="148"/>
        <v>0.86158060531963832</v>
      </c>
      <c r="BH805" s="29">
        <f t="shared" ca="1" si="182"/>
        <v>259</v>
      </c>
      <c r="BJ805" s="22">
        <v>45350</v>
      </c>
      <c r="BK805" s="26">
        <f t="shared" ca="1" si="149"/>
        <v>0.16231122059632463</v>
      </c>
      <c r="BL805" s="29">
        <f t="shared" ca="1" si="183"/>
        <v>125</v>
      </c>
      <c r="BN805" s="22">
        <v>45350</v>
      </c>
      <c r="BO805" s="26">
        <f t="shared" ca="1" si="150"/>
        <v>0.42109347767869942</v>
      </c>
      <c r="BP805" s="29">
        <f t="shared" ca="1" si="184"/>
        <v>205</v>
      </c>
      <c r="BR805" s="22">
        <v>45350</v>
      </c>
      <c r="BS805" s="26">
        <f t="shared" ca="1" si="151"/>
        <v>0.43221565792067607</v>
      </c>
      <c r="BT805" s="29">
        <v>0</v>
      </c>
      <c r="BV805" s="22">
        <v>45350</v>
      </c>
      <c r="BW805" s="26">
        <f t="shared" ca="1" si="152"/>
        <v>0.85562134762500208</v>
      </c>
      <c r="BX805" s="29">
        <v>0</v>
      </c>
    </row>
    <row r="806" spans="2:77" ht="12.75" x14ac:dyDescent="0.2">
      <c r="B806" s="22">
        <v>45351</v>
      </c>
      <c r="C806" s="26">
        <f t="shared" ca="1" si="135"/>
        <v>0.23474320704206952</v>
      </c>
      <c r="D806" s="29">
        <f t="shared" ca="1" si="169"/>
        <v>61</v>
      </c>
      <c r="E806">
        <v>1760</v>
      </c>
      <c r="F806" s="22"/>
      <c r="G806" s="26">
        <f t="shared" ca="1" si="136"/>
        <v>0.17169739931684747</v>
      </c>
      <c r="H806" s="29">
        <f t="shared" ca="1" si="170"/>
        <v>202</v>
      </c>
      <c r="I806">
        <v>1511</v>
      </c>
      <c r="J806" s="22">
        <v>45351</v>
      </c>
      <c r="K806" s="26">
        <f t="shared" ca="1" si="137"/>
        <v>0.55984988015322856</v>
      </c>
      <c r="L806" s="29">
        <f t="shared" ca="1" si="171"/>
        <v>152</v>
      </c>
      <c r="M806">
        <v>3044</v>
      </c>
      <c r="N806" s="22">
        <v>45351</v>
      </c>
      <c r="O806" s="26">
        <f t="shared" ca="1" si="138"/>
        <v>0.32429242082701915</v>
      </c>
      <c r="P806" s="29">
        <f t="shared" ca="1" si="172"/>
        <v>223</v>
      </c>
      <c r="Q806">
        <v>4635</v>
      </c>
      <c r="R806" s="22">
        <v>45351</v>
      </c>
      <c r="S806" s="26">
        <f t="shared" ca="1" si="139"/>
        <v>0.30886345305677898</v>
      </c>
      <c r="T806" s="29">
        <f t="shared" ca="1" si="173"/>
        <v>135</v>
      </c>
      <c r="U806">
        <v>2735</v>
      </c>
      <c r="V806" s="22">
        <v>45351</v>
      </c>
      <c r="W806" s="26">
        <f t="shared" ca="1" si="140"/>
        <v>0.97657511348113923</v>
      </c>
      <c r="X806" s="29">
        <f t="shared" ca="1" si="174"/>
        <v>255</v>
      </c>
      <c r="Y806">
        <v>4495</v>
      </c>
      <c r="Z806" s="22">
        <v>45351</v>
      </c>
      <c r="AA806" s="26">
        <f t="shared" ca="1" si="141"/>
        <v>0.3365916596542663</v>
      </c>
      <c r="AB806" s="29">
        <f t="shared" ca="1" si="175"/>
        <v>263</v>
      </c>
      <c r="AC806">
        <v>5466</v>
      </c>
      <c r="AD806" s="25"/>
      <c r="AF806" s="22">
        <v>45351</v>
      </c>
      <c r="AG806" s="26">
        <f t="shared" ca="1" si="142"/>
        <v>0.49754291393802763</v>
      </c>
      <c r="AH806" s="29">
        <f t="shared" ca="1" si="176"/>
        <v>327</v>
      </c>
      <c r="AI806">
        <v>6621</v>
      </c>
      <c r="AJ806" s="22">
        <v>45351</v>
      </c>
      <c r="AK806" s="26">
        <f t="shared" ca="1" si="143"/>
        <v>0.91100079370786824</v>
      </c>
      <c r="AL806" s="29">
        <f t="shared" ca="1" si="177"/>
        <v>232</v>
      </c>
      <c r="AM806">
        <v>3772</v>
      </c>
      <c r="AN806" s="22">
        <v>45351</v>
      </c>
      <c r="AO806" s="26">
        <f t="shared" ca="1" si="144"/>
        <v>0.23458721978300234</v>
      </c>
      <c r="AP806" s="29">
        <f t="shared" ca="1" si="178"/>
        <v>188</v>
      </c>
      <c r="AQ806">
        <v>3041</v>
      </c>
      <c r="AR806" s="22">
        <v>45351</v>
      </c>
      <c r="AS806" s="26">
        <f t="shared" ca="1" si="145"/>
        <v>3.8444549189782462E-2</v>
      </c>
      <c r="AT806" s="29">
        <f t="shared" ca="1" si="179"/>
        <v>105</v>
      </c>
      <c r="AU806">
        <v>3925</v>
      </c>
      <c r="AV806" s="22">
        <v>45351</v>
      </c>
      <c r="AW806" s="26">
        <f t="shared" ca="1" si="146"/>
        <v>0.40897605393419245</v>
      </c>
      <c r="AX806" s="29">
        <f t="shared" ca="1" si="180"/>
        <v>193</v>
      </c>
      <c r="AY806">
        <v>3787</v>
      </c>
      <c r="AZ806" s="22">
        <v>45351</v>
      </c>
      <c r="BA806" s="26">
        <f t="shared" ca="1" si="147"/>
        <v>0.48356076841242479</v>
      </c>
      <c r="BB806" s="29">
        <f t="shared" ca="1" si="181"/>
        <v>231</v>
      </c>
      <c r="BC806">
        <v>3898</v>
      </c>
      <c r="BD806" s="25"/>
      <c r="BF806" s="22">
        <v>45351</v>
      </c>
      <c r="BG806" s="26">
        <f t="shared" ca="1" si="148"/>
        <v>0.30929718977328602</v>
      </c>
      <c r="BH806" s="29">
        <f t="shared" ca="1" si="182"/>
        <v>174</v>
      </c>
      <c r="BI806">
        <v>3096</v>
      </c>
      <c r="BJ806" s="22">
        <v>45351</v>
      </c>
      <c r="BK806" s="26">
        <f t="shared" ca="1" si="149"/>
        <v>0.8428053154746924</v>
      </c>
      <c r="BL806" s="29">
        <f t="shared" ca="1" si="183"/>
        <v>214</v>
      </c>
      <c r="BM806">
        <v>3078</v>
      </c>
      <c r="BN806" s="22">
        <v>45351</v>
      </c>
      <c r="BO806" s="26">
        <f t="shared" ca="1" si="150"/>
        <v>0.91776649737545746</v>
      </c>
      <c r="BP806" s="29">
        <f t="shared" ca="1" si="184"/>
        <v>296</v>
      </c>
      <c r="BQ806">
        <v>2272</v>
      </c>
      <c r="BR806" s="22">
        <v>45351</v>
      </c>
      <c r="BS806" s="26">
        <f t="shared" ca="1" si="151"/>
        <v>0.71456527761055566</v>
      </c>
      <c r="BT806" s="29">
        <v>0</v>
      </c>
      <c r="BU806">
        <v>0</v>
      </c>
      <c r="BV806" s="22">
        <v>45351</v>
      </c>
      <c r="BW806" s="26">
        <f t="shared" ca="1" si="152"/>
        <v>0.41134716826674023</v>
      </c>
      <c r="BX806" s="29">
        <v>0</v>
      </c>
      <c r="BY806">
        <v>0</v>
      </c>
    </row>
    <row r="807" spans="2:77" ht="12.75" x14ac:dyDescent="0.2">
      <c r="B807" s="22">
        <v>45352</v>
      </c>
      <c r="C807" s="26">
        <f t="shared" ca="1" si="135"/>
        <v>0.80325784485156226</v>
      </c>
      <c r="D807" s="29">
        <f ca="1">ROUNDUP(_xlfn.NORM.INV(C806,C$10,C$12),0)</f>
        <v>61</v>
      </c>
      <c r="F807" s="22"/>
      <c r="G807" s="26">
        <f t="shared" ca="1" si="136"/>
        <v>0.93128475253611731</v>
      </c>
      <c r="H807" s="29">
        <f ca="1">ROUNDUP(_xlfn.NORM.INV(G806,G$10,G$12),0)</f>
        <v>202</v>
      </c>
      <c r="J807" s="22">
        <v>45352</v>
      </c>
      <c r="K807" s="26">
        <f t="shared" ca="1" si="137"/>
        <v>0.94570814787935631</v>
      </c>
      <c r="L807" s="29">
        <f ca="1">ROUNDUP(_xlfn.NORM.INV(K806,K$10,K$12),0)</f>
        <v>152</v>
      </c>
      <c r="N807" s="22">
        <v>45352</v>
      </c>
      <c r="O807" s="26">
        <f t="shared" ca="1" si="138"/>
        <v>0.75268580998233947</v>
      </c>
      <c r="P807" s="29">
        <f ca="1">ROUNDUP(_xlfn.NORM.INV(O806,O$10,O$12),0)</f>
        <v>223</v>
      </c>
      <c r="R807" s="22">
        <v>45352</v>
      </c>
      <c r="S807" s="26">
        <f t="shared" ca="1" si="139"/>
        <v>0.57187588962919311</v>
      </c>
      <c r="T807" s="29">
        <f ca="1">ROUNDUP(_xlfn.NORM.INV(S806,S$10,S$12),0)</f>
        <v>135</v>
      </c>
      <c r="V807" s="22">
        <v>45352</v>
      </c>
      <c r="W807" s="26">
        <f t="shared" ca="1" si="140"/>
        <v>0.27818127303938867</v>
      </c>
      <c r="X807" s="29">
        <f ca="1">ROUNDUP(_xlfn.NORM.INV(W806,W$10,W$12),0)</f>
        <v>255</v>
      </c>
      <c r="Z807" s="22">
        <v>45352</v>
      </c>
      <c r="AA807" s="26">
        <f t="shared" ca="1" si="141"/>
        <v>0.53073080427043118</v>
      </c>
      <c r="AB807" s="29">
        <f ca="1">ROUNDUP(_xlfn.NORM.INV(AA806,AA$10,AA$12),0)</f>
        <v>263</v>
      </c>
      <c r="AC807"/>
      <c r="AD807" s="25"/>
      <c r="AF807" s="22">
        <v>45352</v>
      </c>
      <c r="AG807" s="26">
        <f t="shared" ca="1" si="142"/>
        <v>0.21374841026006963</v>
      </c>
      <c r="AH807" s="29">
        <f ca="1">ROUNDUP(_xlfn.NORM.INV(AG806,AG$10,AG$12),0)</f>
        <v>327</v>
      </c>
      <c r="AJ807" s="22">
        <v>45352</v>
      </c>
      <c r="AK807" s="26">
        <f t="shared" ca="1" si="143"/>
        <v>0.9187344572064724</v>
      </c>
      <c r="AL807" s="29">
        <f ca="1">ROUNDUP(_xlfn.NORM.INV(AK806,AK$10,AK$12),0)</f>
        <v>232</v>
      </c>
      <c r="AN807" s="22">
        <v>45352</v>
      </c>
      <c r="AO807" s="26">
        <f t="shared" ca="1" si="144"/>
        <v>0.45305462963998</v>
      </c>
      <c r="AP807" s="29">
        <f ca="1">ROUNDUP(_xlfn.NORM.INV(AO806,AO$10,AO$12),0)</f>
        <v>188</v>
      </c>
      <c r="AR807" s="22">
        <v>45352</v>
      </c>
      <c r="AS807" s="26">
        <f t="shared" ca="1" si="145"/>
        <v>0.24704299661461837</v>
      </c>
      <c r="AT807" s="29">
        <f ca="1">ROUNDUP(_xlfn.NORM.INV(AS806,AS$10,AS$12),0)</f>
        <v>105</v>
      </c>
      <c r="AV807" s="22">
        <v>45352</v>
      </c>
      <c r="AW807" s="26">
        <f t="shared" ca="1" si="146"/>
        <v>0.28806171313728379</v>
      </c>
      <c r="AX807" s="29">
        <f ca="1">ROUNDUP(_xlfn.NORM.INV(AW806,AW$10,AW$12),0)</f>
        <v>193</v>
      </c>
      <c r="AZ807" s="22">
        <v>45352</v>
      </c>
      <c r="BA807" s="26">
        <f t="shared" ca="1" si="147"/>
        <v>7.5913209638502344E-2</v>
      </c>
      <c r="BB807" s="29">
        <f ca="1">ROUNDUP(_xlfn.NORM.INV(BA806,BA$10,BA$12),0)</f>
        <v>231</v>
      </c>
      <c r="BC807"/>
      <c r="BD807" s="25"/>
      <c r="BF807" s="22">
        <v>45352</v>
      </c>
      <c r="BG807" s="26">
        <f t="shared" ca="1" si="148"/>
        <v>0.85284259641080806</v>
      </c>
      <c r="BH807" s="29">
        <f ca="1">ROUNDUP(_xlfn.NORM.INV(BG806,BG$10,BG$12),0)</f>
        <v>174</v>
      </c>
      <c r="BJ807" s="22">
        <v>45352</v>
      </c>
      <c r="BK807" s="26">
        <f t="shared" ca="1" si="149"/>
        <v>0.49755272686684748</v>
      </c>
      <c r="BL807" s="29">
        <f ca="1">ROUNDUP(_xlfn.NORM.INV(BK806,BK$10,BK$12),0)</f>
        <v>214</v>
      </c>
      <c r="BN807" s="22">
        <v>45352</v>
      </c>
      <c r="BO807" s="26">
        <f t="shared" ca="1" si="150"/>
        <v>0.12578383728008591</v>
      </c>
      <c r="BP807" s="29">
        <f ca="1">ROUNDUP(_xlfn.NORM.INV(BO806,BO$10,BO$12),0)</f>
        <v>296</v>
      </c>
      <c r="BR807" s="22">
        <v>45352</v>
      </c>
      <c r="BS807" s="26">
        <f t="shared" ca="1" si="151"/>
        <v>0.96236395901708116</v>
      </c>
      <c r="BT807" s="29">
        <v>0</v>
      </c>
      <c r="BV807" s="22">
        <v>45352</v>
      </c>
      <c r="BW807" s="26">
        <f t="shared" ca="1" si="152"/>
        <v>0.32283307933772498</v>
      </c>
      <c r="BX807" s="29">
        <v>0</v>
      </c>
    </row>
    <row r="808" spans="2:77" ht="12.75" x14ac:dyDescent="0.2">
      <c r="B808" s="22">
        <v>45353</v>
      </c>
      <c r="C808" s="26">
        <f t="shared" ca="1" si="135"/>
        <v>0.60183228488138607</v>
      </c>
      <c r="D808" s="29">
        <f t="shared" ca="1" si="169"/>
        <v>81</v>
      </c>
      <c r="F808" s="22"/>
      <c r="G808" s="26">
        <f t="shared" ca="1" si="136"/>
        <v>0.91986683565212046</v>
      </c>
      <c r="H808" s="29">
        <f t="shared" ca="1" si="170"/>
        <v>236</v>
      </c>
      <c r="J808" s="22">
        <v>45353</v>
      </c>
      <c r="K808" s="26">
        <f t="shared" ca="1" si="137"/>
        <v>0.44678598755918064</v>
      </c>
      <c r="L808" s="29">
        <f t="shared" ca="1" si="171"/>
        <v>149</v>
      </c>
      <c r="N808" s="22">
        <v>45353</v>
      </c>
      <c r="O808" s="26">
        <f t="shared" ca="1" si="138"/>
        <v>0.65293098350206036</v>
      </c>
      <c r="P808" s="29">
        <f t="shared" ca="1" si="172"/>
        <v>236</v>
      </c>
      <c r="R808" s="22">
        <v>45353</v>
      </c>
      <c r="S808" s="26">
        <f t="shared" ca="1" si="139"/>
        <v>0.40583134360823958</v>
      </c>
      <c r="T808" s="29">
        <f t="shared" ca="1" si="173"/>
        <v>137</v>
      </c>
      <c r="V808" s="22">
        <v>45353</v>
      </c>
      <c r="W808" s="26">
        <f t="shared" ca="1" si="140"/>
        <v>0.44638693553365416</v>
      </c>
      <c r="X808" s="29">
        <f t="shared" ca="1" si="174"/>
        <v>223</v>
      </c>
      <c r="Z808" s="22">
        <v>45353</v>
      </c>
      <c r="AA808" s="26">
        <f t="shared" ca="1" si="141"/>
        <v>0.54029423802334053</v>
      </c>
      <c r="AB808" s="29">
        <f t="shared" ca="1" si="175"/>
        <v>272</v>
      </c>
      <c r="AC808"/>
      <c r="AD808" s="25"/>
      <c r="AF808" s="22">
        <v>45353</v>
      </c>
      <c r="AG808" s="26">
        <f t="shared" ca="1" si="142"/>
        <v>0.80221176440046482</v>
      </c>
      <c r="AH808" s="29">
        <f t="shared" ca="1" si="176"/>
        <v>402</v>
      </c>
      <c r="AJ808" s="22">
        <v>45353</v>
      </c>
      <c r="AK808" s="26">
        <f t="shared" ca="1" si="143"/>
        <v>0.53719703004060737</v>
      </c>
      <c r="AL808" s="29">
        <f t="shared" ca="1" si="177"/>
        <v>175</v>
      </c>
      <c r="AN808" s="22">
        <v>45353</v>
      </c>
      <c r="AO808" s="26">
        <f t="shared" ca="1" si="144"/>
        <v>0.17695958132442358</v>
      </c>
      <c r="AP808" s="29">
        <f t="shared" ca="1" si="178"/>
        <v>175</v>
      </c>
      <c r="AR808" s="22">
        <v>45353</v>
      </c>
      <c r="AS808" s="26">
        <f t="shared" ca="1" si="145"/>
        <v>0.8461878893823277</v>
      </c>
      <c r="AT808" s="29">
        <f t="shared" ca="1" si="179"/>
        <v>252</v>
      </c>
      <c r="AV808" s="22">
        <v>45353</v>
      </c>
      <c r="AW808" s="26">
        <f t="shared" ca="1" si="146"/>
        <v>0.31303113307927877</v>
      </c>
      <c r="AX808" s="29">
        <f t="shared" ca="1" si="180"/>
        <v>179</v>
      </c>
      <c r="AZ808" s="22">
        <v>45353</v>
      </c>
      <c r="BA808" s="26">
        <f t="shared" ca="1" si="147"/>
        <v>0.90187758033763987</v>
      </c>
      <c r="BB808" s="29">
        <f t="shared" ca="1" si="181"/>
        <v>315</v>
      </c>
      <c r="BC808"/>
      <c r="BD808" s="25"/>
      <c r="BF808" s="22">
        <v>45353</v>
      </c>
      <c r="BG808" s="26">
        <f t="shared" ca="1" si="148"/>
        <v>0.44487854653780012</v>
      </c>
      <c r="BH808" s="29">
        <f t="shared" ca="1" si="182"/>
        <v>194</v>
      </c>
      <c r="BJ808" s="22">
        <v>45353</v>
      </c>
      <c r="BK808" s="26">
        <f t="shared" ca="1" si="149"/>
        <v>0.96993231909743982</v>
      </c>
      <c r="BL808" s="29">
        <f t="shared" ca="1" si="183"/>
        <v>254</v>
      </c>
      <c r="BN808" s="22">
        <v>45353</v>
      </c>
      <c r="BO808" s="26">
        <f t="shared" ca="1" si="150"/>
        <v>0.55268998958224036</v>
      </c>
      <c r="BP808" s="29">
        <f t="shared" ca="1" si="184"/>
        <v>224</v>
      </c>
      <c r="BR808" s="22">
        <v>45353</v>
      </c>
      <c r="BS808" s="26">
        <f t="shared" ca="1" si="151"/>
        <v>0.1412308527665207</v>
      </c>
      <c r="BT808" s="29">
        <f t="shared" ref="BT808:BT845" ca="1" si="185">ROUNDUP(_xlfn.NORM.INV(BS808,BS$10,BS$12),0)</f>
        <v>115</v>
      </c>
      <c r="BV808" s="22">
        <v>45353</v>
      </c>
      <c r="BW808" s="26">
        <f t="shared" ca="1" si="152"/>
        <v>0.39396849973350445</v>
      </c>
      <c r="BX808" s="29">
        <v>0</v>
      </c>
    </row>
    <row r="809" spans="2:77" ht="12.75" x14ac:dyDescent="0.2">
      <c r="B809" s="22">
        <v>45354</v>
      </c>
      <c r="C809" s="26">
        <f t="shared" ca="1" si="135"/>
        <v>0.11750167113633736</v>
      </c>
      <c r="D809" s="29">
        <f t="shared" ca="1" si="169"/>
        <v>52</v>
      </c>
      <c r="F809" s="22"/>
      <c r="G809" s="26">
        <f t="shared" ca="1" si="136"/>
        <v>0.66110477516615984</v>
      </c>
      <c r="H809" s="29">
        <f t="shared" ca="1" si="170"/>
        <v>222</v>
      </c>
      <c r="J809" s="22">
        <v>45354</v>
      </c>
      <c r="K809" s="26">
        <f t="shared" ca="1" si="137"/>
        <v>0.73808472380493395</v>
      </c>
      <c r="L809" s="29">
        <f t="shared" ca="1" si="171"/>
        <v>157</v>
      </c>
      <c r="N809" s="22">
        <v>45354</v>
      </c>
      <c r="O809" s="26">
        <f t="shared" ca="1" si="138"/>
        <v>0.93892117836274192</v>
      </c>
      <c r="P809" s="29">
        <f t="shared" ca="1" si="172"/>
        <v>253</v>
      </c>
      <c r="R809" s="22">
        <v>45354</v>
      </c>
      <c r="S809" s="26">
        <f t="shared" ca="1" si="139"/>
        <v>0.34172793227477583</v>
      </c>
      <c r="T809" s="29">
        <f t="shared" ca="1" si="173"/>
        <v>135</v>
      </c>
      <c r="V809" s="22">
        <v>45354</v>
      </c>
      <c r="W809" s="26">
        <f t="shared" ca="1" si="140"/>
        <v>0.83408715566670155</v>
      </c>
      <c r="X809" s="29">
        <f t="shared" ca="1" si="174"/>
        <v>240</v>
      </c>
      <c r="Z809" s="22">
        <v>45354</v>
      </c>
      <c r="AA809" s="26">
        <f t="shared" ca="1" si="141"/>
        <v>0.86437015052320798</v>
      </c>
      <c r="AB809" s="29">
        <f t="shared" ca="1" si="175"/>
        <v>290</v>
      </c>
      <c r="AC809"/>
      <c r="AD809" s="25"/>
      <c r="AF809" s="22">
        <v>45354</v>
      </c>
      <c r="AG809" s="26">
        <f t="shared" ca="1" si="142"/>
        <v>0.39949367872033725</v>
      </c>
      <c r="AH809" s="29">
        <f t="shared" ca="1" si="176"/>
        <v>305</v>
      </c>
      <c r="AJ809" s="22">
        <v>45354</v>
      </c>
      <c r="AK809" s="26">
        <f t="shared" ca="1" si="143"/>
        <v>0.80795933948072463</v>
      </c>
      <c r="AL809" s="29">
        <f t="shared" ca="1" si="177"/>
        <v>210</v>
      </c>
      <c r="AN809" s="22">
        <v>45354</v>
      </c>
      <c r="AO809" s="26">
        <f t="shared" ca="1" si="144"/>
        <v>0.89258053037099849</v>
      </c>
      <c r="AP809" s="29">
        <f t="shared" ca="1" si="178"/>
        <v>309</v>
      </c>
      <c r="AR809" s="22">
        <v>45354</v>
      </c>
      <c r="AS809" s="26">
        <f t="shared" ca="1" si="145"/>
        <v>0.13392562565643085</v>
      </c>
      <c r="AT809" s="29">
        <f t="shared" ca="1" si="179"/>
        <v>140</v>
      </c>
      <c r="AV809" s="22">
        <v>45354</v>
      </c>
      <c r="AW809" s="26">
        <f t="shared" ca="1" si="146"/>
        <v>0.92366277205254588</v>
      </c>
      <c r="AX809" s="29">
        <f t="shared" ca="1" si="180"/>
        <v>284</v>
      </c>
      <c r="AZ809" s="22">
        <v>45354</v>
      </c>
      <c r="BA809" s="26">
        <f t="shared" ca="1" si="147"/>
        <v>0.98374124920447381</v>
      </c>
      <c r="BB809" s="29">
        <f t="shared" ca="1" si="181"/>
        <v>367</v>
      </c>
      <c r="BC809"/>
      <c r="BD809" s="25"/>
      <c r="BF809" s="22">
        <v>45354</v>
      </c>
      <c r="BG809" s="26">
        <f t="shared" ca="1" si="148"/>
        <v>0.79276292659409398</v>
      </c>
      <c r="BH809" s="29">
        <f t="shared" ca="1" si="182"/>
        <v>245</v>
      </c>
      <c r="BJ809" s="22">
        <v>45354</v>
      </c>
      <c r="BK809" s="26">
        <f t="shared" ca="1" si="149"/>
        <v>0.62677644482986117</v>
      </c>
      <c r="BL809" s="29">
        <f t="shared" ca="1" si="183"/>
        <v>184</v>
      </c>
      <c r="BN809" s="22">
        <v>45354</v>
      </c>
      <c r="BO809" s="26">
        <f t="shared" ca="1" si="150"/>
        <v>0.91509171443201875</v>
      </c>
      <c r="BP809" s="29">
        <f t="shared" ca="1" si="184"/>
        <v>295</v>
      </c>
      <c r="BR809" s="22">
        <v>45354</v>
      </c>
      <c r="BS809" s="26">
        <f t="shared" ca="1" si="151"/>
        <v>0.71734610454090253</v>
      </c>
      <c r="BT809" s="29">
        <f t="shared" ca="1" si="185"/>
        <v>186</v>
      </c>
      <c r="BV809" s="22">
        <v>45354</v>
      </c>
      <c r="BW809" s="26">
        <f t="shared" ca="1" si="152"/>
        <v>0.42281467141367357</v>
      </c>
      <c r="BX809" s="29">
        <v>0</v>
      </c>
    </row>
    <row r="810" spans="2:77" ht="12.75" x14ac:dyDescent="0.2">
      <c r="B810" s="22">
        <v>45355</v>
      </c>
      <c r="C810" s="26">
        <f t="shared" ca="1" si="135"/>
        <v>0.18527780279421002</v>
      </c>
      <c r="D810" s="29">
        <f t="shared" ca="1" si="169"/>
        <v>58</v>
      </c>
      <c r="F810" s="22"/>
      <c r="G810" s="26">
        <f t="shared" ca="1" si="136"/>
        <v>8.3616612470819085E-2</v>
      </c>
      <c r="H810" s="29">
        <f t="shared" ca="1" si="170"/>
        <v>196</v>
      </c>
      <c r="J810" s="22">
        <v>45355</v>
      </c>
      <c r="K810" s="26">
        <f t="shared" ca="1" si="137"/>
        <v>0.49711937886148816</v>
      </c>
      <c r="L810" s="29">
        <f t="shared" ca="1" si="171"/>
        <v>150</v>
      </c>
      <c r="N810" s="22">
        <v>45355</v>
      </c>
      <c r="O810" s="26">
        <f t="shared" ca="1" si="138"/>
        <v>0.55453672235184903</v>
      </c>
      <c r="P810" s="29">
        <f t="shared" ca="1" si="172"/>
        <v>232</v>
      </c>
      <c r="R810" s="22">
        <v>45355</v>
      </c>
      <c r="S810" s="26">
        <f t="shared" ca="1" si="139"/>
        <v>0.65652420935688882</v>
      </c>
      <c r="T810" s="29">
        <f t="shared" ca="1" si="173"/>
        <v>143</v>
      </c>
      <c r="V810" s="22">
        <v>45355</v>
      </c>
      <c r="W810" s="26">
        <f t="shared" ca="1" si="140"/>
        <v>0.85641636080565997</v>
      </c>
      <c r="X810" s="29">
        <f t="shared" ca="1" si="174"/>
        <v>241</v>
      </c>
      <c r="Z810" s="22">
        <v>45355</v>
      </c>
      <c r="AA810" s="26">
        <f t="shared" ca="1" si="141"/>
        <v>0.17338108884731063</v>
      </c>
      <c r="AB810" s="29">
        <f t="shared" ca="1" si="175"/>
        <v>254</v>
      </c>
      <c r="AC810"/>
      <c r="AD810" s="25"/>
      <c r="AF810" s="22">
        <v>45355</v>
      </c>
      <c r="AG810" s="26">
        <f t="shared" ca="1" si="142"/>
        <v>0.28486456426746753</v>
      </c>
      <c r="AH810" s="29">
        <f t="shared" ca="1" si="176"/>
        <v>278</v>
      </c>
      <c r="AJ810" s="22">
        <v>45355</v>
      </c>
      <c r="AK810" s="26">
        <f t="shared" ca="1" si="143"/>
        <v>0.27176401492424873</v>
      </c>
      <c r="AL810" s="29">
        <f t="shared" ca="1" si="177"/>
        <v>143</v>
      </c>
      <c r="AN810" s="22">
        <v>45355</v>
      </c>
      <c r="AO810" s="26">
        <f t="shared" ca="1" si="144"/>
        <v>3.9028376892570993E-2</v>
      </c>
      <c r="AP810" s="29">
        <f t="shared" ca="1" si="178"/>
        <v>124</v>
      </c>
      <c r="AR810" s="22">
        <v>45355</v>
      </c>
      <c r="AS810" s="26">
        <f t="shared" ca="1" si="145"/>
        <v>0.61058309329446769</v>
      </c>
      <c r="AT810" s="29">
        <f t="shared" ca="1" si="179"/>
        <v>213</v>
      </c>
      <c r="AV810" s="22">
        <v>45355</v>
      </c>
      <c r="AW810" s="26">
        <f t="shared" ca="1" si="146"/>
        <v>0.37459409228142881</v>
      </c>
      <c r="AX810" s="29">
        <f t="shared" ca="1" si="180"/>
        <v>188</v>
      </c>
      <c r="AZ810" s="22">
        <v>45355</v>
      </c>
      <c r="BA810" s="26">
        <f t="shared" ca="1" si="147"/>
        <v>0.58958901165101063</v>
      </c>
      <c r="BB810" s="29">
        <f t="shared" ca="1" si="181"/>
        <v>248</v>
      </c>
      <c r="BC810"/>
      <c r="BD810" s="25"/>
      <c r="BF810" s="22">
        <v>45355</v>
      </c>
      <c r="BG810" s="26">
        <f t="shared" ca="1" si="148"/>
        <v>0.36020650335301962</v>
      </c>
      <c r="BH810" s="29">
        <f t="shared" ca="1" si="182"/>
        <v>182</v>
      </c>
      <c r="BJ810" s="22">
        <v>45355</v>
      </c>
      <c r="BK810" s="26">
        <f t="shared" ca="1" si="149"/>
        <v>0.81636387061464122</v>
      </c>
      <c r="BL810" s="29">
        <f t="shared" ca="1" si="183"/>
        <v>210</v>
      </c>
      <c r="BN810" s="22">
        <v>45355</v>
      </c>
      <c r="BO810" s="26">
        <f t="shared" ca="1" si="150"/>
        <v>0.597585498661376</v>
      </c>
      <c r="BP810" s="29">
        <f t="shared" ca="1" si="184"/>
        <v>230</v>
      </c>
      <c r="BR810" s="22">
        <v>45355</v>
      </c>
      <c r="BS810" s="26">
        <f t="shared" ca="1" si="151"/>
        <v>0.356725788168611</v>
      </c>
      <c r="BT810" s="29">
        <f t="shared" ca="1" si="185"/>
        <v>145</v>
      </c>
      <c r="BV810" s="22">
        <v>45355</v>
      </c>
      <c r="BW810" s="26">
        <f t="shared" ca="1" si="152"/>
        <v>0.44295378032401433</v>
      </c>
      <c r="BX810" s="29">
        <v>0</v>
      </c>
    </row>
    <row r="811" spans="2:77" ht="12.75" x14ac:dyDescent="0.2">
      <c r="B811" s="22">
        <v>45356</v>
      </c>
      <c r="C811" s="26">
        <f t="shared" ca="1" si="135"/>
        <v>0.88795943200727812</v>
      </c>
      <c r="D811" s="29">
        <f t="shared" ca="1" si="169"/>
        <v>100</v>
      </c>
      <c r="F811" s="22"/>
      <c r="G811" s="26">
        <f t="shared" ca="1" si="136"/>
        <v>0.85654072303185402</v>
      </c>
      <c r="H811" s="29">
        <f t="shared" ca="1" si="170"/>
        <v>231</v>
      </c>
      <c r="J811" s="22">
        <v>45356</v>
      </c>
      <c r="K811" s="26">
        <f t="shared" ca="1" si="137"/>
        <v>0.32021703816417035</v>
      </c>
      <c r="L811" s="29">
        <f t="shared" ca="1" si="171"/>
        <v>146</v>
      </c>
      <c r="N811" s="22">
        <v>45356</v>
      </c>
      <c r="O811" s="26">
        <f t="shared" ca="1" si="138"/>
        <v>0.9440837199529738</v>
      </c>
      <c r="P811" s="29">
        <f t="shared" ca="1" si="172"/>
        <v>254</v>
      </c>
      <c r="R811" s="22">
        <v>45356</v>
      </c>
      <c r="S811" s="26">
        <f t="shared" ca="1" si="139"/>
        <v>0.21791947798086675</v>
      </c>
      <c r="T811" s="29">
        <f t="shared" ca="1" si="173"/>
        <v>132</v>
      </c>
      <c r="V811" s="22">
        <v>45356</v>
      </c>
      <c r="W811" s="26">
        <f t="shared" ca="1" si="140"/>
        <v>6.1585343569268813E-2</v>
      </c>
      <c r="X811" s="29">
        <f t="shared" ca="1" si="174"/>
        <v>202</v>
      </c>
      <c r="Z811" s="22">
        <v>45356</v>
      </c>
      <c r="AA811" s="26">
        <f t="shared" ca="1" si="141"/>
        <v>8.0032593565009691E-2</v>
      </c>
      <c r="AB811" s="29">
        <f t="shared" ca="1" si="175"/>
        <v>245</v>
      </c>
      <c r="AC811"/>
      <c r="AD811" s="25"/>
      <c r="AF811" s="22">
        <v>45356</v>
      </c>
      <c r="AG811" s="26">
        <f t="shared" ca="1" si="142"/>
        <v>1.5122502506924373E-2</v>
      </c>
      <c r="AH811" s="29">
        <f t="shared" ca="1" si="176"/>
        <v>139</v>
      </c>
      <c r="AJ811" s="22">
        <v>45356</v>
      </c>
      <c r="AK811" s="26">
        <f t="shared" ca="1" si="143"/>
        <v>0.33516594270863631</v>
      </c>
      <c r="AL811" s="29">
        <f t="shared" ca="1" si="177"/>
        <v>152</v>
      </c>
      <c r="AN811" s="22">
        <v>45356</v>
      </c>
      <c r="AO811" s="26">
        <f t="shared" ca="1" si="144"/>
        <v>0.4033981164366216</v>
      </c>
      <c r="AP811" s="29">
        <f t="shared" ca="1" si="178"/>
        <v>217</v>
      </c>
      <c r="AR811" s="22">
        <v>45356</v>
      </c>
      <c r="AS811" s="26">
        <f t="shared" ca="1" si="145"/>
        <v>0.14664955256865719</v>
      </c>
      <c r="AT811" s="29">
        <f t="shared" ca="1" si="179"/>
        <v>143</v>
      </c>
      <c r="AV811" s="22">
        <v>45356</v>
      </c>
      <c r="AW811" s="26">
        <f t="shared" ca="1" si="146"/>
        <v>0.20556337888390008</v>
      </c>
      <c r="AX811" s="29">
        <f t="shared" ca="1" si="180"/>
        <v>161</v>
      </c>
      <c r="AZ811" s="22">
        <v>45356</v>
      </c>
      <c r="BA811" s="26">
        <f t="shared" ca="1" si="147"/>
        <v>0.56308892082399731</v>
      </c>
      <c r="BB811" s="29">
        <f t="shared" ca="1" si="181"/>
        <v>244</v>
      </c>
      <c r="BC811"/>
      <c r="BD811" s="25"/>
      <c r="BF811" s="22">
        <v>45356</v>
      </c>
      <c r="BG811" s="26">
        <f t="shared" ca="1" si="148"/>
        <v>0.60740793225500533</v>
      </c>
      <c r="BH811" s="29">
        <f t="shared" ca="1" si="182"/>
        <v>216</v>
      </c>
      <c r="BJ811" s="22">
        <v>45356</v>
      </c>
      <c r="BK811" s="26">
        <f t="shared" ca="1" si="149"/>
        <v>0.91077649999151744</v>
      </c>
      <c r="BL811" s="29">
        <f t="shared" ca="1" si="183"/>
        <v>230</v>
      </c>
      <c r="BN811" s="22">
        <v>45356</v>
      </c>
      <c r="BO811" s="26">
        <f t="shared" ca="1" si="150"/>
        <v>0.76560672568192145</v>
      </c>
      <c r="BP811" s="29">
        <f t="shared" ca="1" si="184"/>
        <v>258</v>
      </c>
      <c r="BR811" s="22">
        <v>45356</v>
      </c>
      <c r="BS811" s="26">
        <f t="shared" ca="1" si="151"/>
        <v>0.4453277699859387</v>
      </c>
      <c r="BT811" s="29">
        <f t="shared" ca="1" si="185"/>
        <v>155</v>
      </c>
      <c r="BV811" s="22">
        <v>45356</v>
      </c>
      <c r="BW811" s="26">
        <f t="shared" ca="1" si="152"/>
        <v>0.11378481333377743</v>
      </c>
      <c r="BX811" s="29">
        <v>0</v>
      </c>
    </row>
    <row r="812" spans="2:77" ht="12.75" x14ac:dyDescent="0.2">
      <c r="B812" s="22">
        <v>45357</v>
      </c>
      <c r="C812" s="26">
        <f t="shared" ca="1" si="135"/>
        <v>0.15491239407784463</v>
      </c>
      <c r="D812" s="29">
        <f t="shared" ca="1" si="169"/>
        <v>55</v>
      </c>
      <c r="F812" s="22"/>
      <c r="G812" s="26">
        <f t="shared" ca="1" si="136"/>
        <v>0.86572153198764956</v>
      </c>
      <c r="H812" s="29">
        <f t="shared" ca="1" si="170"/>
        <v>232</v>
      </c>
      <c r="J812" s="22">
        <v>45357</v>
      </c>
      <c r="K812" s="26">
        <f t="shared" ca="1" si="137"/>
        <v>0.54599090307263887</v>
      </c>
      <c r="L812" s="29">
        <f t="shared" ca="1" si="171"/>
        <v>152</v>
      </c>
      <c r="N812" s="22">
        <v>45357</v>
      </c>
      <c r="O812" s="26">
        <f t="shared" ca="1" si="138"/>
        <v>0.20087332380694067</v>
      </c>
      <c r="P812" s="29">
        <f t="shared" ca="1" si="172"/>
        <v>217</v>
      </c>
      <c r="R812" s="22">
        <v>45357</v>
      </c>
      <c r="S812" s="26">
        <f t="shared" ca="1" si="139"/>
        <v>0.46578687889332371</v>
      </c>
      <c r="T812" s="29">
        <f t="shared" ca="1" si="173"/>
        <v>138</v>
      </c>
      <c r="V812" s="22">
        <v>45357</v>
      </c>
      <c r="W812" s="26">
        <f t="shared" ca="1" si="140"/>
        <v>0.17778909408205079</v>
      </c>
      <c r="X812" s="29">
        <f t="shared" ca="1" si="174"/>
        <v>212</v>
      </c>
      <c r="Z812" s="22">
        <v>45357</v>
      </c>
      <c r="AA812" s="26">
        <f t="shared" ca="1" si="141"/>
        <v>0.73672986229642778</v>
      </c>
      <c r="AB812" s="29">
        <f t="shared" ca="1" si="175"/>
        <v>282</v>
      </c>
      <c r="AC812"/>
      <c r="AD812" s="25"/>
      <c r="AF812" s="22">
        <v>45357</v>
      </c>
      <c r="AG812" s="26">
        <f t="shared" ca="1" si="142"/>
        <v>0.38909739690987732</v>
      </c>
      <c r="AH812" s="29">
        <f t="shared" ca="1" si="176"/>
        <v>303</v>
      </c>
      <c r="AJ812" s="22">
        <v>45357</v>
      </c>
      <c r="AK812" s="26">
        <f t="shared" ca="1" si="143"/>
        <v>0.6649733059924724</v>
      </c>
      <c r="AL812" s="29">
        <f t="shared" ca="1" si="177"/>
        <v>190</v>
      </c>
      <c r="AN812" s="22">
        <v>45357</v>
      </c>
      <c r="AO812" s="26">
        <f t="shared" ca="1" si="144"/>
        <v>0.83309681658014945</v>
      </c>
      <c r="AP812" s="29">
        <f t="shared" ca="1" si="178"/>
        <v>292</v>
      </c>
      <c r="AR812" s="22">
        <v>45357</v>
      </c>
      <c r="AS812" s="26">
        <f t="shared" ca="1" si="145"/>
        <v>0.98966107652185087</v>
      </c>
      <c r="AT812" s="29">
        <f t="shared" ca="1" si="179"/>
        <v>321</v>
      </c>
      <c r="AV812" s="22">
        <v>45357</v>
      </c>
      <c r="AW812" s="26">
        <f t="shared" ca="1" si="146"/>
        <v>0.51661417749821559</v>
      </c>
      <c r="AX812" s="29">
        <f t="shared" ca="1" si="180"/>
        <v>208</v>
      </c>
      <c r="AZ812" s="22">
        <v>45357</v>
      </c>
      <c r="BA812" s="26">
        <f t="shared" ca="1" si="147"/>
        <v>0.43196871779392587</v>
      </c>
      <c r="BB812" s="29">
        <f t="shared" ca="1" si="181"/>
        <v>223</v>
      </c>
      <c r="BC812"/>
      <c r="BD812" s="25"/>
      <c r="BF812" s="22">
        <v>45357</v>
      </c>
      <c r="BG812" s="26">
        <f t="shared" ca="1" si="148"/>
        <v>0.616505522421674</v>
      </c>
      <c r="BH812" s="29">
        <f t="shared" ca="1" si="182"/>
        <v>217</v>
      </c>
      <c r="BJ812" s="22">
        <v>45357</v>
      </c>
      <c r="BK812" s="26">
        <f t="shared" ca="1" si="149"/>
        <v>0.20417163462446519</v>
      </c>
      <c r="BL812" s="29">
        <f t="shared" ca="1" si="183"/>
        <v>132</v>
      </c>
      <c r="BN812" s="22">
        <v>45357</v>
      </c>
      <c r="BO812" s="26">
        <f t="shared" ca="1" si="150"/>
        <v>0.99916368291693081</v>
      </c>
      <c r="BP812" s="29">
        <f t="shared" ca="1" si="184"/>
        <v>397</v>
      </c>
      <c r="BR812" s="22">
        <v>45357</v>
      </c>
      <c r="BS812" s="26">
        <f t="shared" ca="1" si="151"/>
        <v>0.41632012331365553</v>
      </c>
      <c r="BT812" s="29">
        <f t="shared" ca="1" si="185"/>
        <v>152</v>
      </c>
      <c r="BV812" s="22">
        <v>45357</v>
      </c>
      <c r="BW812" s="26">
        <f t="shared" ca="1" si="152"/>
        <v>0.82793412321863802</v>
      </c>
      <c r="BX812" s="29">
        <v>0</v>
      </c>
    </row>
    <row r="813" spans="2:77" ht="12.75" x14ac:dyDescent="0.2">
      <c r="B813" s="22">
        <v>45358</v>
      </c>
      <c r="C813" s="26">
        <f t="shared" ca="1" si="135"/>
        <v>0.39305842283388293</v>
      </c>
      <c r="D813" s="29">
        <f t="shared" ca="1" si="169"/>
        <v>70</v>
      </c>
      <c r="F813" s="22"/>
      <c r="G813" s="26">
        <f t="shared" ca="1" si="136"/>
        <v>0.58684501912356735</v>
      </c>
      <c r="H813" s="29">
        <f t="shared" ca="1" si="170"/>
        <v>219</v>
      </c>
      <c r="J813" s="22">
        <v>45358</v>
      </c>
      <c r="K813" s="26">
        <f t="shared" ca="1" si="137"/>
        <v>0.19990943261836136</v>
      </c>
      <c r="L813" s="29">
        <f t="shared" ca="1" si="171"/>
        <v>142</v>
      </c>
      <c r="N813" s="22">
        <v>45358</v>
      </c>
      <c r="O813" s="26">
        <f t="shared" ca="1" si="138"/>
        <v>0.53575238969276262</v>
      </c>
      <c r="P813" s="29">
        <f t="shared" ca="1" si="172"/>
        <v>231</v>
      </c>
      <c r="R813" s="22">
        <v>45358</v>
      </c>
      <c r="S813" s="26">
        <f t="shared" ca="1" si="139"/>
        <v>0.97332382591643318</v>
      </c>
      <c r="T813" s="29">
        <f t="shared" ca="1" si="173"/>
        <v>157</v>
      </c>
      <c r="V813" s="22">
        <v>45358</v>
      </c>
      <c r="W813" s="26">
        <f t="shared" ca="1" si="140"/>
        <v>0.56842621295024631</v>
      </c>
      <c r="X813" s="29">
        <f t="shared" ca="1" si="174"/>
        <v>228</v>
      </c>
      <c r="Z813" s="22">
        <v>45358</v>
      </c>
      <c r="AA813" s="26">
        <f t="shared" ca="1" si="141"/>
        <v>0.92135407299780858</v>
      </c>
      <c r="AB813" s="29">
        <f t="shared" ca="1" si="175"/>
        <v>296</v>
      </c>
      <c r="AC813"/>
      <c r="AD813" s="25"/>
      <c r="AF813" s="22">
        <v>45358</v>
      </c>
      <c r="AG813" s="26">
        <f t="shared" ca="1" si="142"/>
        <v>0.645457637485914</v>
      </c>
      <c r="AH813" s="29">
        <f t="shared" ca="1" si="176"/>
        <v>360</v>
      </c>
      <c r="AJ813" s="22">
        <v>45358</v>
      </c>
      <c r="AK813" s="26">
        <f t="shared" ca="1" si="143"/>
        <v>0.81486689057124362</v>
      </c>
      <c r="AL813" s="29">
        <f t="shared" ca="1" si="177"/>
        <v>212</v>
      </c>
      <c r="AN813" s="22">
        <v>45358</v>
      </c>
      <c r="AO813" s="26">
        <f t="shared" ca="1" si="144"/>
        <v>0.46964982459082372</v>
      </c>
      <c r="AP813" s="29">
        <f t="shared" ca="1" si="178"/>
        <v>228</v>
      </c>
      <c r="AR813" s="22">
        <v>45358</v>
      </c>
      <c r="AS813" s="26">
        <f t="shared" ca="1" si="145"/>
        <v>6.2534567660239571E-2</v>
      </c>
      <c r="AT813" s="29">
        <f t="shared" ca="1" si="179"/>
        <v>118</v>
      </c>
      <c r="AV813" s="22">
        <v>45358</v>
      </c>
      <c r="AW813" s="26">
        <f t="shared" ca="1" si="146"/>
        <v>0.38373719187315358</v>
      </c>
      <c r="AX813" s="29">
        <f t="shared" ca="1" si="180"/>
        <v>190</v>
      </c>
      <c r="AZ813" s="22">
        <v>45358</v>
      </c>
      <c r="BA813" s="26">
        <f t="shared" ca="1" si="147"/>
        <v>0.99344717487194978</v>
      </c>
      <c r="BB813" s="29">
        <f t="shared" ca="1" si="181"/>
        <v>389</v>
      </c>
      <c r="BC813"/>
      <c r="BD813" s="25"/>
      <c r="BF813" s="22">
        <v>45358</v>
      </c>
      <c r="BG813" s="26">
        <f t="shared" ca="1" si="148"/>
        <v>0.87641597207902766</v>
      </c>
      <c r="BH813" s="29">
        <f t="shared" ca="1" si="182"/>
        <v>263</v>
      </c>
      <c r="BJ813" s="22">
        <v>45358</v>
      </c>
      <c r="BK813" s="26">
        <f t="shared" ca="1" si="149"/>
        <v>7.6582128600957144E-2</v>
      </c>
      <c r="BL813" s="29">
        <f t="shared" ca="1" si="183"/>
        <v>105</v>
      </c>
      <c r="BN813" s="22">
        <v>45358</v>
      </c>
      <c r="BO813" s="26">
        <f t="shared" ca="1" si="150"/>
        <v>0.18494161592616953</v>
      </c>
      <c r="BP813" s="29">
        <f t="shared" ca="1" si="184"/>
        <v>165</v>
      </c>
      <c r="BR813" s="22">
        <v>45358</v>
      </c>
      <c r="BS813" s="26">
        <f t="shared" ca="1" si="151"/>
        <v>0.17902069994548198</v>
      </c>
      <c r="BT813" s="29">
        <f t="shared" ca="1" si="185"/>
        <v>122</v>
      </c>
      <c r="BV813" s="22">
        <v>45358</v>
      </c>
      <c r="BW813" s="26">
        <f t="shared" ca="1" si="152"/>
        <v>0.26212959906313127</v>
      </c>
      <c r="BX813" s="29">
        <v>0</v>
      </c>
    </row>
    <row r="814" spans="2:77" ht="12.75" x14ac:dyDescent="0.2">
      <c r="B814" s="22">
        <v>45359</v>
      </c>
      <c r="C814" s="26">
        <f t="shared" ca="1" si="135"/>
        <v>0.8508886041936865</v>
      </c>
      <c r="D814" s="29">
        <f t="shared" ca="1" si="169"/>
        <v>96</v>
      </c>
      <c r="F814" s="22"/>
      <c r="G814" s="26">
        <f t="shared" ca="1" si="136"/>
        <v>0.67998735189895032</v>
      </c>
      <c r="H814" s="29">
        <f t="shared" ca="1" si="170"/>
        <v>223</v>
      </c>
      <c r="J814" s="22">
        <v>45359</v>
      </c>
      <c r="K814" s="26">
        <f t="shared" ca="1" si="137"/>
        <v>0.53453480918377805</v>
      </c>
      <c r="L814" s="29">
        <f t="shared" ca="1" si="171"/>
        <v>151</v>
      </c>
      <c r="N814" s="22">
        <v>45359</v>
      </c>
      <c r="O814" s="26">
        <f t="shared" ca="1" si="138"/>
        <v>0.63661831441611483</v>
      </c>
      <c r="P814" s="29">
        <f t="shared" ca="1" si="172"/>
        <v>235</v>
      </c>
      <c r="R814" s="22">
        <v>45359</v>
      </c>
      <c r="S814" s="26">
        <f t="shared" ca="1" si="139"/>
        <v>0.40525808475316749</v>
      </c>
      <c r="T814" s="29">
        <f t="shared" ca="1" si="173"/>
        <v>137</v>
      </c>
      <c r="V814" s="22">
        <v>45359</v>
      </c>
      <c r="W814" s="26">
        <f t="shared" ca="1" si="140"/>
        <v>0.86022175260176392</v>
      </c>
      <c r="X814" s="29">
        <f t="shared" ca="1" si="174"/>
        <v>242</v>
      </c>
      <c r="Z814" s="22">
        <v>45359</v>
      </c>
      <c r="AA814" s="26">
        <f t="shared" ca="1" si="141"/>
        <v>0.84063199193782245</v>
      </c>
      <c r="AB814" s="29">
        <f t="shared" ca="1" si="175"/>
        <v>288</v>
      </c>
      <c r="AC814"/>
      <c r="AD814" s="25"/>
      <c r="AF814" s="22">
        <v>45359</v>
      </c>
      <c r="AG814" s="26">
        <f t="shared" ca="1" si="142"/>
        <v>0.94598745166020415</v>
      </c>
      <c r="AH814" s="29">
        <f t="shared" ca="1" si="176"/>
        <v>468</v>
      </c>
      <c r="AJ814" s="22">
        <v>45359</v>
      </c>
      <c r="AK814" s="26">
        <f t="shared" ca="1" si="143"/>
        <v>0.71504644313973487</v>
      </c>
      <c r="AL814" s="29">
        <f t="shared" ca="1" si="177"/>
        <v>197</v>
      </c>
      <c r="AN814" s="22">
        <v>45359</v>
      </c>
      <c r="AO814" s="26">
        <f t="shared" ca="1" si="144"/>
        <v>0.88006322754063238</v>
      </c>
      <c r="AP814" s="29">
        <f t="shared" ca="1" si="178"/>
        <v>305</v>
      </c>
      <c r="AR814" s="22">
        <v>45359</v>
      </c>
      <c r="AS814" s="26">
        <f t="shared" ca="1" si="145"/>
        <v>0.78104912607690691</v>
      </c>
      <c r="AT814" s="29">
        <f t="shared" ca="1" si="179"/>
        <v>239</v>
      </c>
      <c r="AV814" s="22">
        <v>45359</v>
      </c>
      <c r="AW814" s="26">
        <f t="shared" ca="1" si="146"/>
        <v>0.75584092743110287</v>
      </c>
      <c r="AX814" s="29">
        <f t="shared" ca="1" si="180"/>
        <v>244</v>
      </c>
      <c r="AZ814" s="22">
        <v>45359</v>
      </c>
      <c r="BA814" s="26">
        <f t="shared" ca="1" si="147"/>
        <v>0.64394720998374744</v>
      </c>
      <c r="BB814" s="29">
        <f t="shared" ca="1" si="181"/>
        <v>257</v>
      </c>
      <c r="BC814"/>
      <c r="BD814" s="25"/>
      <c r="BF814" s="22">
        <v>45359</v>
      </c>
      <c r="BG814" s="26">
        <f t="shared" ca="1" si="148"/>
        <v>0.66861768860590909</v>
      </c>
      <c r="BH814" s="29">
        <f t="shared" ca="1" si="182"/>
        <v>224</v>
      </c>
      <c r="BJ814" s="22">
        <v>45359</v>
      </c>
      <c r="BK814" s="26">
        <f t="shared" ca="1" si="149"/>
        <v>0.89898902284541149</v>
      </c>
      <c r="BL814" s="29">
        <f t="shared" ca="1" si="183"/>
        <v>226</v>
      </c>
      <c r="BN814" s="22">
        <v>45359</v>
      </c>
      <c r="BO814" s="26">
        <f t="shared" ca="1" si="150"/>
        <v>0.23047404582497699</v>
      </c>
      <c r="BP814" s="29">
        <f t="shared" ca="1" si="184"/>
        <v>174</v>
      </c>
      <c r="BR814" s="22">
        <v>45359</v>
      </c>
      <c r="BS814" s="26">
        <f t="shared" ca="1" si="151"/>
        <v>0.90518449521968192</v>
      </c>
      <c r="BT814" s="29">
        <f t="shared" ca="1" si="185"/>
        <v>217</v>
      </c>
      <c r="BV814" s="22">
        <v>45359</v>
      </c>
      <c r="BW814" s="26">
        <f t="shared" ca="1" si="152"/>
        <v>7.3181783281556445E-2</v>
      </c>
      <c r="BX814" s="29">
        <v>0</v>
      </c>
    </row>
    <row r="815" spans="2:77" ht="12.75" x14ac:dyDescent="0.2">
      <c r="B815" s="22">
        <v>45360</v>
      </c>
      <c r="C815" s="26">
        <f t="shared" ca="1" si="135"/>
        <v>0.14188508317985193</v>
      </c>
      <c r="D815" s="29">
        <f t="shared" ca="1" si="169"/>
        <v>54</v>
      </c>
      <c r="F815" s="22"/>
      <c r="G815" s="26">
        <f t="shared" ca="1" si="136"/>
        <v>0.39357165285932005</v>
      </c>
      <c r="H815" s="29">
        <f t="shared" ca="1" si="170"/>
        <v>212</v>
      </c>
      <c r="J815" s="22">
        <v>45360</v>
      </c>
      <c r="K815" s="26">
        <f t="shared" ca="1" si="137"/>
        <v>0.49769747507491868</v>
      </c>
      <c r="L815" s="29">
        <f t="shared" ca="1" si="171"/>
        <v>150</v>
      </c>
      <c r="N815" s="22">
        <v>45360</v>
      </c>
      <c r="O815" s="26">
        <f t="shared" ca="1" si="138"/>
        <v>0.33368008060131282</v>
      </c>
      <c r="P815" s="29">
        <f t="shared" ca="1" si="172"/>
        <v>223</v>
      </c>
      <c r="R815" s="22">
        <v>45360</v>
      </c>
      <c r="S815" s="26">
        <f t="shared" ca="1" si="139"/>
        <v>0.88147448642174486</v>
      </c>
      <c r="T815" s="29">
        <f t="shared" ca="1" si="173"/>
        <v>150</v>
      </c>
      <c r="V815" s="22">
        <v>45360</v>
      </c>
      <c r="W815" s="26">
        <f t="shared" ca="1" si="140"/>
        <v>0.68481247226630471</v>
      </c>
      <c r="X815" s="29">
        <f t="shared" ca="1" si="174"/>
        <v>233</v>
      </c>
      <c r="Z815" s="22">
        <v>45360</v>
      </c>
      <c r="AA815" s="26">
        <f t="shared" ca="1" si="141"/>
        <v>0.73465778990985231</v>
      </c>
      <c r="AB815" s="29">
        <f t="shared" ca="1" si="175"/>
        <v>282</v>
      </c>
      <c r="AC815"/>
      <c r="AD815" s="25"/>
      <c r="AF815" s="22">
        <v>45360</v>
      </c>
      <c r="AG815" s="26">
        <f t="shared" ca="1" si="142"/>
        <v>0.35806703808112383</v>
      </c>
      <c r="AH815" s="29">
        <f t="shared" ca="1" si="176"/>
        <v>296</v>
      </c>
      <c r="AJ815" s="22">
        <v>45360</v>
      </c>
      <c r="AK815" s="26">
        <f t="shared" ca="1" si="143"/>
        <v>0.87915368739201782</v>
      </c>
      <c r="AL815" s="29">
        <f t="shared" ca="1" si="177"/>
        <v>224</v>
      </c>
      <c r="AN815" s="22">
        <v>45360</v>
      </c>
      <c r="AO815" s="26">
        <f t="shared" ca="1" si="144"/>
        <v>0.89443518232608255</v>
      </c>
      <c r="AP815" s="29">
        <f t="shared" ca="1" si="178"/>
        <v>310</v>
      </c>
      <c r="AR815" s="22">
        <v>45360</v>
      </c>
      <c r="AS815" s="26">
        <f t="shared" ca="1" si="145"/>
        <v>4.2138658921368921E-2</v>
      </c>
      <c r="AT815" s="29">
        <f t="shared" ca="1" si="179"/>
        <v>107</v>
      </c>
      <c r="AV815" s="22">
        <v>45360</v>
      </c>
      <c r="AW815" s="26">
        <f t="shared" ca="1" si="146"/>
        <v>0.30164463960897414</v>
      </c>
      <c r="AX815" s="29">
        <f t="shared" ca="1" si="180"/>
        <v>178</v>
      </c>
      <c r="AZ815" s="22">
        <v>45360</v>
      </c>
      <c r="BA815" s="26">
        <f t="shared" ca="1" si="147"/>
        <v>0.60718794252978603</v>
      </c>
      <c r="BB815" s="29">
        <f t="shared" ca="1" si="181"/>
        <v>251</v>
      </c>
      <c r="BC815"/>
      <c r="BD815" s="25"/>
      <c r="BF815" s="22">
        <v>45360</v>
      </c>
      <c r="BG815" s="26">
        <f t="shared" ca="1" si="148"/>
        <v>0.43063896292265946</v>
      </c>
      <c r="BH815" s="29">
        <f t="shared" ca="1" si="182"/>
        <v>192</v>
      </c>
      <c r="BJ815" s="22">
        <v>45360</v>
      </c>
      <c r="BK815" s="26">
        <f t="shared" ca="1" si="149"/>
        <v>0.51108862536349586</v>
      </c>
      <c r="BL815" s="29">
        <f t="shared" ca="1" si="183"/>
        <v>170</v>
      </c>
      <c r="BN815" s="22">
        <v>45360</v>
      </c>
      <c r="BO815" s="26">
        <f t="shared" ca="1" si="150"/>
        <v>0.91560900531650125</v>
      </c>
      <c r="BP815" s="29">
        <f t="shared" ca="1" si="184"/>
        <v>295</v>
      </c>
      <c r="BR815" s="22">
        <v>45360</v>
      </c>
      <c r="BS815" s="26">
        <f t="shared" ca="1" si="151"/>
        <v>0.39554243471750206</v>
      </c>
      <c r="BT815" s="29">
        <f t="shared" ca="1" si="185"/>
        <v>150</v>
      </c>
      <c r="BV815" s="22">
        <v>45360</v>
      </c>
      <c r="BW815" s="26">
        <f t="shared" ca="1" si="152"/>
        <v>0.85145301259963713</v>
      </c>
      <c r="BX815" s="29">
        <v>0</v>
      </c>
    </row>
    <row r="816" spans="2:77" ht="12.75" x14ac:dyDescent="0.2">
      <c r="B816" s="22">
        <v>45361</v>
      </c>
      <c r="C816" s="26">
        <f t="shared" ca="1" si="135"/>
        <v>4.9101701178956736E-2</v>
      </c>
      <c r="D816" s="29">
        <f t="shared" ca="1" si="169"/>
        <v>42</v>
      </c>
      <c r="F816" s="22"/>
      <c r="G816" s="26">
        <f t="shared" ca="1" si="136"/>
        <v>0.43419628487114348</v>
      </c>
      <c r="H816" s="29">
        <f t="shared" ca="1" si="170"/>
        <v>214</v>
      </c>
      <c r="J816" s="22">
        <v>45361</v>
      </c>
      <c r="K816" s="26">
        <f t="shared" ca="1" si="137"/>
        <v>5.4043183635617109E-2</v>
      </c>
      <c r="L816" s="29">
        <f t="shared" ca="1" si="171"/>
        <v>134</v>
      </c>
      <c r="N816" s="22">
        <v>45361</v>
      </c>
      <c r="O816" s="26">
        <f t="shared" ca="1" si="138"/>
        <v>0.27795519068825625</v>
      </c>
      <c r="P816" s="29">
        <f t="shared" ca="1" si="172"/>
        <v>221</v>
      </c>
      <c r="R816" s="22">
        <v>45361</v>
      </c>
      <c r="S816" s="26">
        <f t="shared" ca="1" si="139"/>
        <v>0.8547267206830933</v>
      </c>
      <c r="T816" s="29">
        <f t="shared" ca="1" si="173"/>
        <v>149</v>
      </c>
      <c r="V816" s="22">
        <v>45361</v>
      </c>
      <c r="W816" s="26">
        <f t="shared" ca="1" si="140"/>
        <v>0.65625730921274572</v>
      </c>
      <c r="X816" s="29">
        <f t="shared" ca="1" si="174"/>
        <v>232</v>
      </c>
      <c r="Z816" s="22">
        <v>45361</v>
      </c>
      <c r="AA816" s="26">
        <f t="shared" ca="1" si="141"/>
        <v>0.34014497396824472</v>
      </c>
      <c r="AB816" s="29">
        <f t="shared" ca="1" si="175"/>
        <v>263</v>
      </c>
      <c r="AC816"/>
      <c r="AD816" s="25"/>
      <c r="AF816" s="22">
        <v>45361</v>
      </c>
      <c r="AG816" s="26">
        <f t="shared" ca="1" si="142"/>
        <v>0.98188427314226034</v>
      </c>
      <c r="AH816" s="29">
        <f t="shared" ca="1" si="176"/>
        <v>510</v>
      </c>
      <c r="AJ816" s="22">
        <v>45361</v>
      </c>
      <c r="AK816" s="26">
        <f t="shared" ca="1" si="143"/>
        <v>0.40674061502372705</v>
      </c>
      <c r="AL816" s="29">
        <f t="shared" ca="1" si="177"/>
        <v>160</v>
      </c>
      <c r="AN816" s="22">
        <v>45361</v>
      </c>
      <c r="AO816" s="26">
        <f t="shared" ca="1" si="144"/>
        <v>9.3049844344118005E-2</v>
      </c>
      <c r="AP816" s="29">
        <f t="shared" ca="1" si="178"/>
        <v>151</v>
      </c>
      <c r="AR816" s="22">
        <v>45361</v>
      </c>
      <c r="AS816" s="26">
        <f t="shared" ca="1" si="145"/>
        <v>0.32575314050182269</v>
      </c>
      <c r="AT816" s="29">
        <f t="shared" ca="1" si="179"/>
        <v>175</v>
      </c>
      <c r="AV816" s="22">
        <v>45361</v>
      </c>
      <c r="AW816" s="26">
        <f t="shared" ca="1" si="146"/>
        <v>0.77642540017444872</v>
      </c>
      <c r="AX816" s="29">
        <f t="shared" ca="1" si="180"/>
        <v>248</v>
      </c>
      <c r="AZ816" s="22">
        <v>45361</v>
      </c>
      <c r="BA816" s="26">
        <f t="shared" ca="1" si="147"/>
        <v>0.41150980431875461</v>
      </c>
      <c r="BB816" s="29">
        <f t="shared" ca="1" si="181"/>
        <v>220</v>
      </c>
      <c r="BC816"/>
      <c r="BD816" s="25"/>
      <c r="BF816" s="22">
        <v>45361</v>
      </c>
      <c r="BG816" s="26">
        <f t="shared" ca="1" si="148"/>
        <v>0.48497156653177742</v>
      </c>
      <c r="BH816" s="29">
        <f t="shared" ca="1" si="182"/>
        <v>199</v>
      </c>
      <c r="BJ816" s="22">
        <v>45361</v>
      </c>
      <c r="BK816" s="26">
        <f t="shared" ca="1" si="149"/>
        <v>0.80281160550191999</v>
      </c>
      <c r="BL816" s="29">
        <f t="shared" ca="1" si="183"/>
        <v>207</v>
      </c>
      <c r="BN816" s="22">
        <v>45361</v>
      </c>
      <c r="BO816" s="26">
        <f t="shared" ca="1" si="150"/>
        <v>6.7768642821362968E-2</v>
      </c>
      <c r="BP816" s="29">
        <f t="shared" ca="1" si="184"/>
        <v>130</v>
      </c>
      <c r="BR816" s="22">
        <v>45361</v>
      </c>
      <c r="BS816" s="26">
        <f t="shared" ca="1" si="151"/>
        <v>0.28160420980628154</v>
      </c>
      <c r="BT816" s="29">
        <f t="shared" ca="1" si="185"/>
        <v>136</v>
      </c>
      <c r="BV816" s="22">
        <v>45361</v>
      </c>
      <c r="BW816" s="26">
        <f t="shared" ca="1" si="152"/>
        <v>0.29964431354035248</v>
      </c>
      <c r="BX816" s="29">
        <v>0</v>
      </c>
    </row>
    <row r="817" spans="2:76" ht="12.75" x14ac:dyDescent="0.2">
      <c r="B817" s="22">
        <v>45362</v>
      </c>
      <c r="C817" s="26">
        <f t="shared" ca="1" si="135"/>
        <v>5.800132455385798E-2</v>
      </c>
      <c r="D817" s="29">
        <f t="shared" ca="1" si="169"/>
        <v>44</v>
      </c>
      <c r="F817" s="22"/>
      <c r="G817" s="26">
        <f t="shared" ca="1" si="136"/>
        <v>0.65169646979204798</v>
      </c>
      <c r="H817" s="29">
        <f t="shared" ca="1" si="170"/>
        <v>221</v>
      </c>
      <c r="J817" s="22">
        <v>45362</v>
      </c>
      <c r="K817" s="26">
        <f t="shared" ca="1" si="137"/>
        <v>0.75522652071517526</v>
      </c>
      <c r="L817" s="29">
        <f t="shared" ca="1" si="171"/>
        <v>157</v>
      </c>
      <c r="N817" s="22">
        <v>45362</v>
      </c>
      <c r="O817" s="26">
        <f t="shared" ca="1" si="138"/>
        <v>0.42463464559515374</v>
      </c>
      <c r="P817" s="29">
        <f t="shared" ca="1" si="172"/>
        <v>227</v>
      </c>
      <c r="R817" s="22">
        <v>45362</v>
      </c>
      <c r="S817" s="26">
        <f t="shared" ca="1" si="139"/>
        <v>0.65457970235842156</v>
      </c>
      <c r="T817" s="29">
        <f t="shared" ca="1" si="173"/>
        <v>143</v>
      </c>
      <c r="V817" s="22">
        <v>45362</v>
      </c>
      <c r="W817" s="26">
        <f t="shared" ca="1" si="140"/>
        <v>0.90139867191831136</v>
      </c>
      <c r="X817" s="29">
        <f t="shared" ca="1" si="174"/>
        <v>245</v>
      </c>
      <c r="Z817" s="22">
        <v>45362</v>
      </c>
      <c r="AA817" s="26">
        <f t="shared" ca="1" si="141"/>
        <v>0.9014774415267589</v>
      </c>
      <c r="AB817" s="29">
        <f t="shared" ca="1" si="175"/>
        <v>294</v>
      </c>
      <c r="AC817"/>
      <c r="AD817" s="25"/>
      <c r="AF817" s="22">
        <v>45362</v>
      </c>
      <c r="AG817" s="26">
        <f t="shared" ca="1" si="142"/>
        <v>0.44664959989783293</v>
      </c>
      <c r="AH817" s="29">
        <f t="shared" ca="1" si="176"/>
        <v>316</v>
      </c>
      <c r="AJ817" s="22">
        <v>45362</v>
      </c>
      <c r="AK817" s="26">
        <f t="shared" ca="1" si="143"/>
        <v>0.46659575319815427</v>
      </c>
      <c r="AL817" s="29">
        <f t="shared" ca="1" si="177"/>
        <v>167</v>
      </c>
      <c r="AN817" s="22">
        <v>45362</v>
      </c>
      <c r="AO817" s="26">
        <f t="shared" ca="1" si="144"/>
        <v>0.94394979388844524</v>
      </c>
      <c r="AP817" s="29">
        <f t="shared" ca="1" si="178"/>
        <v>331</v>
      </c>
      <c r="AR817" s="22">
        <v>45362</v>
      </c>
      <c r="AS817" s="26">
        <f t="shared" ca="1" si="145"/>
        <v>0.70603973033225365</v>
      </c>
      <c r="AT817" s="29">
        <f t="shared" ca="1" si="179"/>
        <v>227</v>
      </c>
      <c r="AV817" s="22">
        <v>45362</v>
      </c>
      <c r="AW817" s="26">
        <f t="shared" ca="1" si="146"/>
        <v>0.92098469898605917</v>
      </c>
      <c r="AX817" s="29">
        <f t="shared" ca="1" si="180"/>
        <v>283</v>
      </c>
      <c r="AZ817" s="22">
        <v>45362</v>
      </c>
      <c r="BA817" s="26">
        <f t="shared" ca="1" si="147"/>
        <v>0.83436755762926096</v>
      </c>
      <c r="BB817" s="29">
        <f t="shared" ca="1" si="181"/>
        <v>295</v>
      </c>
      <c r="BC817"/>
      <c r="BD817" s="25"/>
      <c r="BF817" s="22">
        <v>45362</v>
      </c>
      <c r="BG817" s="26">
        <f t="shared" ca="1" si="148"/>
        <v>0.2583111275276464</v>
      </c>
      <c r="BH817" s="29">
        <f t="shared" ca="1" si="182"/>
        <v>166</v>
      </c>
      <c r="BJ817" s="22">
        <v>45362</v>
      </c>
      <c r="BK817" s="26">
        <f t="shared" ca="1" si="149"/>
        <v>0.75914967717426296</v>
      </c>
      <c r="BL817" s="29">
        <f t="shared" ca="1" si="183"/>
        <v>201</v>
      </c>
      <c r="BN817" s="22">
        <v>45362</v>
      </c>
      <c r="BO817" s="26">
        <f t="shared" ca="1" si="150"/>
        <v>0.7376702023214613</v>
      </c>
      <c r="BP817" s="29">
        <f t="shared" ca="1" si="184"/>
        <v>253</v>
      </c>
      <c r="BR817" s="22">
        <v>45362</v>
      </c>
      <c r="BS817" s="26">
        <f t="shared" ca="1" si="151"/>
        <v>0.92007683256242589</v>
      </c>
      <c r="BT817" s="29">
        <f t="shared" ca="1" si="185"/>
        <v>221</v>
      </c>
      <c r="BV817" s="22">
        <v>45362</v>
      </c>
      <c r="BW817" s="26">
        <f t="shared" ca="1" si="152"/>
        <v>0.50283611773653636</v>
      </c>
      <c r="BX817" s="29">
        <v>0</v>
      </c>
    </row>
    <row r="818" spans="2:76" ht="12.75" x14ac:dyDescent="0.2">
      <c r="B818" s="22">
        <v>45363</v>
      </c>
      <c r="C818" s="26">
        <f t="shared" ca="1" si="135"/>
        <v>0.75522646553767958</v>
      </c>
      <c r="D818" s="29">
        <f t="shared" ca="1" si="169"/>
        <v>89</v>
      </c>
      <c r="F818" s="22"/>
      <c r="G818" s="26">
        <f t="shared" ca="1" si="136"/>
        <v>0.97511615438728083</v>
      </c>
      <c r="H818" s="29">
        <f t="shared" ca="1" si="170"/>
        <v>244</v>
      </c>
      <c r="J818" s="22">
        <v>45363</v>
      </c>
      <c r="K818" s="26">
        <f t="shared" ca="1" si="137"/>
        <v>0.59072940586913081</v>
      </c>
      <c r="L818" s="29">
        <f t="shared" ca="1" si="171"/>
        <v>153</v>
      </c>
      <c r="N818" s="22">
        <v>45363</v>
      </c>
      <c r="O818" s="26">
        <f t="shared" ca="1" si="138"/>
        <v>0.23967737149295421</v>
      </c>
      <c r="P818" s="29">
        <f t="shared" ca="1" si="172"/>
        <v>219</v>
      </c>
      <c r="R818" s="22">
        <v>45363</v>
      </c>
      <c r="S818" s="26">
        <f t="shared" ca="1" si="139"/>
        <v>0.72661274429573652</v>
      </c>
      <c r="T818" s="29">
        <f t="shared" ca="1" si="173"/>
        <v>145</v>
      </c>
      <c r="V818" s="22">
        <v>45363</v>
      </c>
      <c r="W818" s="26">
        <f t="shared" ca="1" si="140"/>
        <v>0.49696951855962568</v>
      </c>
      <c r="X818" s="29">
        <f t="shared" ca="1" si="174"/>
        <v>225</v>
      </c>
      <c r="Z818" s="22">
        <v>45363</v>
      </c>
      <c r="AA818" s="26">
        <f t="shared" ca="1" si="141"/>
        <v>6.8485159386604488E-2</v>
      </c>
      <c r="AB818" s="29">
        <f t="shared" ca="1" si="175"/>
        <v>244</v>
      </c>
      <c r="AC818"/>
      <c r="AD818" s="25"/>
      <c r="AF818" s="22">
        <v>45363</v>
      </c>
      <c r="AG818" s="26">
        <f t="shared" ca="1" si="142"/>
        <v>0.64165121384111123</v>
      </c>
      <c r="AH818" s="29">
        <f t="shared" ca="1" si="176"/>
        <v>359</v>
      </c>
      <c r="AJ818" s="22">
        <v>45363</v>
      </c>
      <c r="AK818" s="26">
        <f t="shared" ca="1" si="143"/>
        <v>0.43917078033580914</v>
      </c>
      <c r="AL818" s="29">
        <f t="shared" ca="1" si="177"/>
        <v>164</v>
      </c>
      <c r="AN818" s="22">
        <v>45363</v>
      </c>
      <c r="AO818" s="26">
        <f t="shared" ca="1" si="144"/>
        <v>0.88694705007521724</v>
      </c>
      <c r="AP818" s="29">
        <f t="shared" ca="1" si="178"/>
        <v>307</v>
      </c>
      <c r="AR818" s="22">
        <v>45363</v>
      </c>
      <c r="AS818" s="26">
        <f t="shared" ca="1" si="145"/>
        <v>0.90659417107176499</v>
      </c>
      <c r="AT818" s="29">
        <f t="shared" ca="1" si="179"/>
        <v>268</v>
      </c>
      <c r="AV818" s="22">
        <v>45363</v>
      </c>
      <c r="AW818" s="26">
        <f t="shared" ca="1" si="146"/>
        <v>0.68345759795511951</v>
      </c>
      <c r="AX818" s="29">
        <f t="shared" ca="1" si="180"/>
        <v>232</v>
      </c>
      <c r="AZ818" s="22">
        <v>45363</v>
      </c>
      <c r="BA818" s="26">
        <f t="shared" ca="1" si="147"/>
        <v>0.64926622654426858</v>
      </c>
      <c r="BB818" s="29">
        <f t="shared" ca="1" si="181"/>
        <v>258</v>
      </c>
      <c r="BC818"/>
      <c r="BD818" s="25"/>
      <c r="BF818" s="22">
        <v>45363</v>
      </c>
      <c r="BG818" s="26">
        <f t="shared" ca="1" si="148"/>
        <v>0.1288712065509291</v>
      </c>
      <c r="BH818" s="29">
        <f t="shared" ca="1" si="182"/>
        <v>141</v>
      </c>
      <c r="BJ818" s="22">
        <v>45363</v>
      </c>
      <c r="BK818" s="26">
        <f t="shared" ca="1" si="149"/>
        <v>0.28520713581320523</v>
      </c>
      <c r="BL818" s="29">
        <f t="shared" ca="1" si="183"/>
        <v>144</v>
      </c>
      <c r="BN818" s="22">
        <v>45363</v>
      </c>
      <c r="BO818" s="26">
        <f t="shared" ca="1" si="150"/>
        <v>0.77126685002748829</v>
      </c>
      <c r="BP818" s="29">
        <f t="shared" ca="1" si="184"/>
        <v>259</v>
      </c>
      <c r="BR818" s="22">
        <v>45363</v>
      </c>
      <c r="BS818" s="26">
        <f t="shared" ca="1" si="151"/>
        <v>0.82168643909203787</v>
      </c>
      <c r="BT818" s="29">
        <f t="shared" ca="1" si="185"/>
        <v>201</v>
      </c>
      <c r="BV818" s="22">
        <v>45363</v>
      </c>
      <c r="BW818" s="26">
        <f t="shared" ca="1" si="152"/>
        <v>0.70978107063862184</v>
      </c>
      <c r="BX818" s="29">
        <v>0</v>
      </c>
    </row>
    <row r="819" spans="2:76" ht="12.75" x14ac:dyDescent="0.2">
      <c r="B819" s="22">
        <v>45364</v>
      </c>
      <c r="C819" s="26">
        <f t="shared" ca="1" si="135"/>
        <v>0.90378199844931006</v>
      </c>
      <c r="D819" s="29">
        <f t="shared" ca="1" si="169"/>
        <v>102</v>
      </c>
      <c r="F819" s="22"/>
      <c r="G819" s="26">
        <f t="shared" ca="1" si="136"/>
        <v>1.9850548996077522E-2</v>
      </c>
      <c r="H819" s="29">
        <f t="shared" ca="1" si="170"/>
        <v>186</v>
      </c>
      <c r="J819" s="22">
        <v>45364</v>
      </c>
      <c r="K819" s="26">
        <f t="shared" ca="1" si="137"/>
        <v>0.41818840301466076</v>
      </c>
      <c r="L819" s="29">
        <f t="shared" ca="1" si="171"/>
        <v>148</v>
      </c>
      <c r="N819" s="22">
        <v>45364</v>
      </c>
      <c r="O819" s="26">
        <f t="shared" ca="1" si="138"/>
        <v>0.28039824242973277</v>
      </c>
      <c r="P819" s="29">
        <f t="shared" ca="1" si="172"/>
        <v>221</v>
      </c>
      <c r="R819" s="22">
        <v>45364</v>
      </c>
      <c r="S819" s="26">
        <f t="shared" ca="1" si="139"/>
        <v>0.52704065803909816</v>
      </c>
      <c r="T819" s="29">
        <f t="shared" ca="1" si="173"/>
        <v>140</v>
      </c>
      <c r="V819" s="22">
        <v>45364</v>
      </c>
      <c r="W819" s="26">
        <f t="shared" ca="1" si="140"/>
        <v>0.840487189600572</v>
      </c>
      <c r="X819" s="29">
        <f t="shared" ca="1" si="174"/>
        <v>240</v>
      </c>
      <c r="Z819" s="22">
        <v>45364</v>
      </c>
      <c r="AA819" s="26">
        <f t="shared" ca="1" si="141"/>
        <v>0.51511047203791993</v>
      </c>
      <c r="AB819" s="29">
        <f t="shared" ca="1" si="175"/>
        <v>271</v>
      </c>
      <c r="AC819"/>
      <c r="AD819" s="25"/>
      <c r="AF819" s="22">
        <v>45364</v>
      </c>
      <c r="AG819" s="26">
        <f t="shared" ca="1" si="142"/>
        <v>0.46741335828242336</v>
      </c>
      <c r="AH819" s="29">
        <f t="shared" ca="1" si="176"/>
        <v>320</v>
      </c>
      <c r="AJ819" s="22">
        <v>45364</v>
      </c>
      <c r="AK819" s="26">
        <f t="shared" ca="1" si="143"/>
        <v>0.67340231081496182</v>
      </c>
      <c r="AL819" s="29">
        <f t="shared" ca="1" si="177"/>
        <v>191</v>
      </c>
      <c r="AN819" s="22">
        <v>45364</v>
      </c>
      <c r="AO819" s="26">
        <f t="shared" ca="1" si="144"/>
        <v>0.1150413805689332</v>
      </c>
      <c r="AP819" s="29">
        <f t="shared" ca="1" si="178"/>
        <v>158</v>
      </c>
      <c r="AR819" s="22">
        <v>45364</v>
      </c>
      <c r="AS819" s="26">
        <f t="shared" ca="1" si="145"/>
        <v>8.1058891682874279E-2</v>
      </c>
      <c r="AT819" s="29">
        <f t="shared" ca="1" si="179"/>
        <v>125</v>
      </c>
      <c r="AV819" s="22">
        <v>45364</v>
      </c>
      <c r="AW819" s="26">
        <f t="shared" ca="1" si="146"/>
        <v>0.87505960961069673</v>
      </c>
      <c r="AX819" s="29">
        <f t="shared" ca="1" si="180"/>
        <v>269</v>
      </c>
      <c r="AZ819" s="22">
        <v>45364</v>
      </c>
      <c r="BA819" s="26">
        <f t="shared" ca="1" si="147"/>
        <v>0.8510106008204732</v>
      </c>
      <c r="BB819" s="29">
        <f t="shared" ca="1" si="181"/>
        <v>299</v>
      </c>
      <c r="BC819"/>
      <c r="BD819" s="25"/>
      <c r="BF819" s="22">
        <v>45364</v>
      </c>
      <c r="BG819" s="26">
        <f t="shared" ca="1" si="148"/>
        <v>0.58033373781050623</v>
      </c>
      <c r="BH819" s="29">
        <f t="shared" ca="1" si="182"/>
        <v>212</v>
      </c>
      <c r="BJ819" s="22">
        <v>45364</v>
      </c>
      <c r="BK819" s="26">
        <f t="shared" ca="1" si="149"/>
        <v>0.63526270871222434</v>
      </c>
      <c r="BL819" s="29">
        <f t="shared" ca="1" si="183"/>
        <v>185</v>
      </c>
      <c r="BN819" s="22">
        <v>45364</v>
      </c>
      <c r="BO819" s="26">
        <f t="shared" ca="1" si="150"/>
        <v>0.18807594850483744</v>
      </c>
      <c r="BP819" s="29">
        <f t="shared" ca="1" si="184"/>
        <v>165</v>
      </c>
      <c r="BR819" s="22">
        <v>45364</v>
      </c>
      <c r="BS819" s="26">
        <f t="shared" ca="1" si="151"/>
        <v>0.50403221604648452</v>
      </c>
      <c r="BT819" s="29">
        <f t="shared" ca="1" si="185"/>
        <v>162</v>
      </c>
      <c r="BV819" s="22">
        <v>45364</v>
      </c>
      <c r="BW819" s="26">
        <f t="shared" ca="1" si="152"/>
        <v>0.61700805399406133</v>
      </c>
      <c r="BX819" s="29">
        <v>0</v>
      </c>
    </row>
    <row r="820" spans="2:76" ht="12.75" x14ac:dyDescent="0.2">
      <c r="B820" s="22">
        <v>45365</v>
      </c>
      <c r="C820" s="26">
        <f t="shared" ca="1" si="135"/>
        <v>0.13794304194443185</v>
      </c>
      <c r="D820" s="29">
        <f t="shared" ca="1" si="169"/>
        <v>54</v>
      </c>
      <c r="F820" s="22"/>
      <c r="G820" s="26">
        <f t="shared" ca="1" si="136"/>
        <v>0.41141318792296044</v>
      </c>
      <c r="H820" s="29">
        <f t="shared" ca="1" si="170"/>
        <v>213</v>
      </c>
      <c r="J820" s="22">
        <v>45365</v>
      </c>
      <c r="K820" s="26">
        <f t="shared" ca="1" si="137"/>
        <v>0.87901295036291704</v>
      </c>
      <c r="L820" s="29">
        <f t="shared" ca="1" si="171"/>
        <v>162</v>
      </c>
      <c r="N820" s="22">
        <v>45365</v>
      </c>
      <c r="O820" s="26">
        <f t="shared" ca="1" si="138"/>
        <v>0.30985163778510605</v>
      </c>
      <c r="P820" s="29">
        <f t="shared" ca="1" si="172"/>
        <v>222</v>
      </c>
      <c r="R820" s="22">
        <v>45365</v>
      </c>
      <c r="S820" s="26">
        <f t="shared" ca="1" si="139"/>
        <v>0.98399083224425399</v>
      </c>
      <c r="T820" s="29">
        <f t="shared" ca="1" si="173"/>
        <v>159</v>
      </c>
      <c r="V820" s="22">
        <v>45365</v>
      </c>
      <c r="W820" s="26">
        <f t="shared" ca="1" si="140"/>
        <v>2.8830789244413513E-2</v>
      </c>
      <c r="X820" s="29">
        <f t="shared" ca="1" si="174"/>
        <v>197</v>
      </c>
      <c r="Z820" s="22">
        <v>45365</v>
      </c>
      <c r="AA820" s="26">
        <f t="shared" ca="1" si="141"/>
        <v>0.14934910183680561</v>
      </c>
      <c r="AB820" s="29">
        <f t="shared" ca="1" si="175"/>
        <v>252</v>
      </c>
      <c r="AC820"/>
      <c r="AD820" s="25"/>
      <c r="AF820" s="22">
        <v>45365</v>
      </c>
      <c r="AG820" s="26">
        <f t="shared" ca="1" si="142"/>
        <v>7.2928562047523626E-2</v>
      </c>
      <c r="AH820" s="29">
        <f t="shared" ca="1" si="176"/>
        <v>201</v>
      </c>
      <c r="AJ820" s="22">
        <v>45365</v>
      </c>
      <c r="AK820" s="26">
        <f t="shared" ca="1" si="143"/>
        <v>9.0193077486675377E-2</v>
      </c>
      <c r="AL820" s="29">
        <f t="shared" ca="1" si="177"/>
        <v>110</v>
      </c>
      <c r="AN820" s="22">
        <v>45365</v>
      </c>
      <c r="AO820" s="26">
        <f t="shared" ca="1" si="144"/>
        <v>0.40716259597065341</v>
      </c>
      <c r="AP820" s="29">
        <f t="shared" ca="1" si="178"/>
        <v>218</v>
      </c>
      <c r="AR820" s="22">
        <v>45365</v>
      </c>
      <c r="AS820" s="26">
        <f t="shared" ca="1" si="145"/>
        <v>0.95838675994101341</v>
      </c>
      <c r="AT820" s="29">
        <f t="shared" ca="1" si="179"/>
        <v>290</v>
      </c>
      <c r="AV820" s="22">
        <v>45365</v>
      </c>
      <c r="AW820" s="26">
        <f t="shared" ca="1" si="146"/>
        <v>0.36360794963478804</v>
      </c>
      <c r="AX820" s="29">
        <f t="shared" ca="1" si="180"/>
        <v>187</v>
      </c>
      <c r="AZ820" s="22">
        <v>45365</v>
      </c>
      <c r="BA820" s="26">
        <f t="shared" ca="1" si="147"/>
        <v>0.56901828476972915</v>
      </c>
      <c r="BB820" s="29">
        <f t="shared" ca="1" si="181"/>
        <v>245</v>
      </c>
      <c r="BC820"/>
      <c r="BD820" s="25"/>
      <c r="BF820" s="22">
        <v>45365</v>
      </c>
      <c r="BG820" s="26">
        <f t="shared" ca="1" si="148"/>
        <v>0.84549454586902206</v>
      </c>
      <c r="BH820" s="29">
        <f t="shared" ca="1" si="182"/>
        <v>255</v>
      </c>
      <c r="BJ820" s="22">
        <v>45365</v>
      </c>
      <c r="BK820" s="26">
        <f t="shared" ca="1" si="149"/>
        <v>0.18585053781276739</v>
      </c>
      <c r="BL820" s="29">
        <f t="shared" ca="1" si="183"/>
        <v>129</v>
      </c>
      <c r="BN820" s="22">
        <v>45365</v>
      </c>
      <c r="BO820" s="26">
        <f t="shared" ca="1" si="150"/>
        <v>0.43902265499643567</v>
      </c>
      <c r="BP820" s="29">
        <f t="shared" ca="1" si="184"/>
        <v>207</v>
      </c>
      <c r="BR820" s="22">
        <v>45365</v>
      </c>
      <c r="BS820" s="26">
        <f t="shared" ca="1" si="151"/>
        <v>0.15585919036124107</v>
      </c>
      <c r="BT820" s="29">
        <f t="shared" ca="1" si="185"/>
        <v>118</v>
      </c>
      <c r="BV820" s="22">
        <v>45365</v>
      </c>
      <c r="BW820" s="26">
        <f t="shared" ca="1" si="152"/>
        <v>0.19182426303358135</v>
      </c>
      <c r="BX820" s="29">
        <v>0</v>
      </c>
    </row>
    <row r="821" spans="2:76" ht="12.75" x14ac:dyDescent="0.2">
      <c r="B821" s="22">
        <v>45366</v>
      </c>
      <c r="C821" s="26">
        <f t="shared" ca="1" si="135"/>
        <v>0.48114247381442188</v>
      </c>
      <c r="D821" s="29">
        <f t="shared" ca="1" si="169"/>
        <v>75</v>
      </c>
      <c r="F821" s="22"/>
      <c r="G821" s="26">
        <f t="shared" ca="1" si="136"/>
        <v>0.70905891754415762</v>
      </c>
      <c r="H821" s="29">
        <f t="shared" ca="1" si="170"/>
        <v>224</v>
      </c>
      <c r="J821" s="22">
        <v>45366</v>
      </c>
      <c r="K821" s="26">
        <f t="shared" ca="1" si="137"/>
        <v>0.93153096869853669</v>
      </c>
      <c r="L821" s="29">
        <f t="shared" ca="1" si="171"/>
        <v>165</v>
      </c>
      <c r="N821" s="22">
        <v>45366</v>
      </c>
      <c r="O821" s="26">
        <f t="shared" ca="1" si="138"/>
        <v>0.1865975416116179</v>
      </c>
      <c r="P821" s="29">
        <f t="shared" ca="1" si="172"/>
        <v>216</v>
      </c>
      <c r="R821" s="22">
        <v>45366</v>
      </c>
      <c r="S821" s="26">
        <f t="shared" ca="1" si="139"/>
        <v>0.85141717720864829</v>
      </c>
      <c r="T821" s="29">
        <f t="shared" ca="1" si="173"/>
        <v>149</v>
      </c>
      <c r="V821" s="22">
        <v>45366</v>
      </c>
      <c r="W821" s="26">
        <f t="shared" ca="1" si="140"/>
        <v>0.22909807035219487</v>
      </c>
      <c r="X821" s="29">
        <f t="shared" ca="1" si="174"/>
        <v>214</v>
      </c>
      <c r="Z821" s="22">
        <v>45366</v>
      </c>
      <c r="AA821" s="26">
        <f t="shared" ca="1" si="141"/>
        <v>2.3248221216210285E-2</v>
      </c>
      <c r="AB821" s="29">
        <f t="shared" ca="1" si="175"/>
        <v>235</v>
      </c>
      <c r="AC821"/>
      <c r="AD821" s="25"/>
      <c r="AF821" s="22">
        <v>45366</v>
      </c>
      <c r="AG821" s="26">
        <f t="shared" ca="1" si="142"/>
        <v>0.24891118306962556</v>
      </c>
      <c r="AH821" s="29">
        <f t="shared" ca="1" si="176"/>
        <v>268</v>
      </c>
      <c r="AJ821" s="22">
        <v>45366</v>
      </c>
      <c r="AK821" s="26">
        <f t="shared" ca="1" si="143"/>
        <v>1.8890811073347114E-2</v>
      </c>
      <c r="AL821" s="29">
        <f t="shared" ca="1" si="177"/>
        <v>77</v>
      </c>
      <c r="AN821" s="22">
        <v>45366</v>
      </c>
      <c r="AO821" s="26">
        <f t="shared" ca="1" si="144"/>
        <v>0.53593710720799026</v>
      </c>
      <c r="AP821" s="29">
        <f t="shared" ca="1" si="178"/>
        <v>238</v>
      </c>
      <c r="AR821" s="22">
        <v>45366</v>
      </c>
      <c r="AS821" s="26">
        <f t="shared" ca="1" si="145"/>
        <v>0.10908710753645112</v>
      </c>
      <c r="AT821" s="29">
        <f t="shared" ca="1" si="179"/>
        <v>133</v>
      </c>
      <c r="AV821" s="22">
        <v>45366</v>
      </c>
      <c r="AW821" s="26">
        <f t="shared" ca="1" si="146"/>
        <v>0.14956198483717797</v>
      </c>
      <c r="AX821" s="29">
        <f t="shared" ca="1" si="180"/>
        <v>149</v>
      </c>
      <c r="AZ821" s="22">
        <v>45366</v>
      </c>
      <c r="BA821" s="26">
        <f t="shared" ca="1" si="147"/>
        <v>0.66825213855525301</v>
      </c>
      <c r="BB821" s="29">
        <f t="shared" ca="1" si="181"/>
        <v>261</v>
      </c>
      <c r="BC821"/>
      <c r="BD821" s="25"/>
      <c r="BF821" s="22">
        <v>45366</v>
      </c>
      <c r="BG821" s="26">
        <f t="shared" ca="1" si="148"/>
        <v>0.53277195497384677</v>
      </c>
      <c r="BH821" s="29">
        <f t="shared" ca="1" si="182"/>
        <v>205</v>
      </c>
      <c r="BJ821" s="22">
        <v>45366</v>
      </c>
      <c r="BK821" s="26">
        <f t="shared" ca="1" si="149"/>
        <v>0.33782867572726916</v>
      </c>
      <c r="BL821" s="29">
        <f t="shared" ca="1" si="183"/>
        <v>150</v>
      </c>
      <c r="BN821" s="22">
        <v>45366</v>
      </c>
      <c r="BO821" s="26">
        <f t="shared" ca="1" si="150"/>
        <v>0.79726141222821412</v>
      </c>
      <c r="BP821" s="29">
        <f t="shared" ca="1" si="184"/>
        <v>264</v>
      </c>
      <c r="BR821" s="22">
        <v>45366</v>
      </c>
      <c r="BS821" s="26">
        <f t="shared" ca="1" si="151"/>
        <v>0.86040985750532861</v>
      </c>
      <c r="BT821" s="29">
        <f t="shared" ca="1" si="185"/>
        <v>208</v>
      </c>
      <c r="BV821" s="22">
        <v>45366</v>
      </c>
      <c r="BW821" s="26">
        <f t="shared" ca="1" si="152"/>
        <v>1.1124007932990732E-2</v>
      </c>
      <c r="BX821" s="29">
        <v>0</v>
      </c>
    </row>
    <row r="822" spans="2:76" ht="12.75" x14ac:dyDescent="0.2">
      <c r="B822" s="22">
        <v>45367</v>
      </c>
      <c r="C822" s="26">
        <f t="shared" ca="1" si="135"/>
        <v>5.1279731455381783E-2</v>
      </c>
      <c r="D822" s="29">
        <f t="shared" ca="1" si="169"/>
        <v>43</v>
      </c>
      <c r="F822" s="22"/>
      <c r="G822" s="26">
        <f t="shared" ca="1" si="136"/>
        <v>0.2373576779498261</v>
      </c>
      <c r="H822" s="29">
        <f t="shared" ca="1" si="170"/>
        <v>206</v>
      </c>
      <c r="J822" s="22">
        <v>45367</v>
      </c>
      <c r="K822" s="26">
        <f t="shared" ca="1" si="137"/>
        <v>0.14996135679352796</v>
      </c>
      <c r="L822" s="29">
        <f t="shared" ca="1" si="171"/>
        <v>140</v>
      </c>
      <c r="N822" s="22">
        <v>45367</v>
      </c>
      <c r="O822" s="26">
        <f t="shared" ca="1" si="138"/>
        <v>0.37662454091477948</v>
      </c>
      <c r="P822" s="29">
        <f t="shared" ca="1" si="172"/>
        <v>225</v>
      </c>
      <c r="R822" s="22">
        <v>45367</v>
      </c>
      <c r="S822" s="26">
        <f t="shared" ca="1" si="139"/>
        <v>3.7509731072032926E-2</v>
      </c>
      <c r="T822" s="29">
        <f t="shared" ca="1" si="173"/>
        <v>123</v>
      </c>
      <c r="V822" s="22">
        <v>45367</v>
      </c>
      <c r="W822" s="26">
        <f t="shared" ca="1" si="140"/>
        <v>0.64872469328522053</v>
      </c>
      <c r="X822" s="29">
        <f t="shared" ca="1" si="174"/>
        <v>231</v>
      </c>
      <c r="Z822" s="22">
        <v>45367</v>
      </c>
      <c r="AA822" s="26">
        <f t="shared" ca="1" si="141"/>
        <v>0.98650298200045361</v>
      </c>
      <c r="AB822" s="29">
        <f t="shared" ca="1" si="175"/>
        <v>310</v>
      </c>
      <c r="AC822"/>
      <c r="AD822" s="25"/>
      <c r="AF822" s="22">
        <v>45367</v>
      </c>
      <c r="AG822" s="26">
        <f t="shared" ca="1" si="142"/>
        <v>0.97347254704441344</v>
      </c>
      <c r="AH822" s="29">
        <f t="shared" ca="1" si="176"/>
        <v>496</v>
      </c>
      <c r="AJ822" s="22">
        <v>45367</v>
      </c>
      <c r="AK822" s="26">
        <f t="shared" ca="1" si="143"/>
        <v>0.9624978508656552</v>
      </c>
      <c r="AL822" s="29">
        <f t="shared" ca="1" si="177"/>
        <v>252</v>
      </c>
      <c r="AN822" s="22">
        <v>45367</v>
      </c>
      <c r="AO822" s="26">
        <f t="shared" ca="1" si="144"/>
        <v>0.49423015549137772</v>
      </c>
      <c r="AP822" s="29">
        <f t="shared" ca="1" si="178"/>
        <v>232</v>
      </c>
      <c r="AR822" s="22">
        <v>45367</v>
      </c>
      <c r="AS822" s="26">
        <f t="shared" ca="1" si="145"/>
        <v>0.30512785716311575</v>
      </c>
      <c r="AT822" s="29">
        <f t="shared" ca="1" si="179"/>
        <v>172</v>
      </c>
      <c r="AV822" s="22">
        <v>45367</v>
      </c>
      <c r="AW822" s="26">
        <f t="shared" ca="1" si="146"/>
        <v>0.4643076422301865</v>
      </c>
      <c r="AX822" s="29">
        <f t="shared" ca="1" si="180"/>
        <v>201</v>
      </c>
      <c r="AZ822" s="22">
        <v>45367</v>
      </c>
      <c r="BA822" s="26">
        <f t="shared" ca="1" si="147"/>
        <v>0.19870466761090333</v>
      </c>
      <c r="BB822" s="29">
        <f t="shared" ca="1" si="181"/>
        <v>181</v>
      </c>
      <c r="BC822"/>
      <c r="BD822" s="25"/>
      <c r="BF822" s="22">
        <v>45367</v>
      </c>
      <c r="BG822" s="26">
        <f t="shared" ca="1" si="148"/>
        <v>0.54573110183194584</v>
      </c>
      <c r="BH822" s="29">
        <f t="shared" ca="1" si="182"/>
        <v>207</v>
      </c>
      <c r="BJ822" s="22">
        <v>45367</v>
      </c>
      <c r="BK822" s="26">
        <f t="shared" ca="1" si="149"/>
        <v>0.38021373055869767</v>
      </c>
      <c r="BL822" s="29">
        <f t="shared" ca="1" si="183"/>
        <v>155</v>
      </c>
      <c r="BN822" s="22">
        <v>45367</v>
      </c>
      <c r="BO822" s="26">
        <f t="shared" ca="1" si="150"/>
        <v>0.35674873980020116</v>
      </c>
      <c r="BP822" s="29">
        <f t="shared" ca="1" si="184"/>
        <v>195</v>
      </c>
      <c r="BR822" s="22">
        <v>45367</v>
      </c>
      <c r="BS822" s="26">
        <f t="shared" ca="1" si="151"/>
        <v>0.5938129103623756</v>
      </c>
      <c r="BT822" s="29">
        <f t="shared" ca="1" si="185"/>
        <v>171</v>
      </c>
      <c r="BV822" s="22">
        <v>45367</v>
      </c>
      <c r="BW822" s="26">
        <f t="shared" ca="1" si="152"/>
        <v>0.77749672282959015</v>
      </c>
      <c r="BX822" s="29">
        <v>0</v>
      </c>
    </row>
    <row r="823" spans="2:76" ht="12.75" x14ac:dyDescent="0.2">
      <c r="B823" s="22">
        <v>45368</v>
      </c>
      <c r="C823" s="26">
        <f t="shared" ca="1" si="135"/>
        <v>0.38709826118597468</v>
      </c>
      <c r="D823" s="29">
        <f t="shared" ca="1" si="169"/>
        <v>70</v>
      </c>
      <c r="F823" s="22"/>
      <c r="G823" s="26">
        <f t="shared" ca="1" si="136"/>
        <v>0.97339460162024927</v>
      </c>
      <c r="H823" s="29">
        <f t="shared" ca="1" si="170"/>
        <v>244</v>
      </c>
      <c r="J823" s="22">
        <v>45368</v>
      </c>
      <c r="K823" s="26">
        <f t="shared" ca="1" si="137"/>
        <v>8.1629373620771162E-2</v>
      </c>
      <c r="L823" s="29">
        <f t="shared" ca="1" si="171"/>
        <v>137</v>
      </c>
      <c r="N823" s="22">
        <v>45368</v>
      </c>
      <c r="O823" s="26">
        <f t="shared" ca="1" si="138"/>
        <v>0.30819607370186586</v>
      </c>
      <c r="P823" s="29">
        <f t="shared" ca="1" si="172"/>
        <v>222</v>
      </c>
      <c r="R823" s="22">
        <v>45368</v>
      </c>
      <c r="S823" s="26">
        <f t="shared" ca="1" si="139"/>
        <v>0.37433636043394114</v>
      </c>
      <c r="T823" s="29">
        <f t="shared" ca="1" si="173"/>
        <v>136</v>
      </c>
      <c r="V823" s="22">
        <v>45368</v>
      </c>
      <c r="W823" s="26">
        <f t="shared" ca="1" si="140"/>
        <v>9.3527901129117019E-2</v>
      </c>
      <c r="X823" s="29">
        <f t="shared" ca="1" si="174"/>
        <v>206</v>
      </c>
      <c r="Z823" s="22">
        <v>45368</v>
      </c>
      <c r="AA823" s="26">
        <f t="shared" ca="1" si="141"/>
        <v>0.40284226398942502</v>
      </c>
      <c r="AB823" s="29">
        <f t="shared" ca="1" si="175"/>
        <v>266</v>
      </c>
      <c r="AC823"/>
      <c r="AD823" s="25"/>
      <c r="AF823" s="22">
        <v>45368</v>
      </c>
      <c r="AG823" s="26">
        <f t="shared" ca="1" si="142"/>
        <v>0.3413451622464323</v>
      </c>
      <c r="AH823" s="29">
        <f t="shared" ca="1" si="176"/>
        <v>292</v>
      </c>
      <c r="AJ823" s="22">
        <v>45368</v>
      </c>
      <c r="AK823" s="26">
        <f t="shared" ca="1" si="143"/>
        <v>8.8764993277407056E-3</v>
      </c>
      <c r="AL823" s="29">
        <f t="shared" ca="1" si="177"/>
        <v>63</v>
      </c>
      <c r="AN823" s="22">
        <v>45368</v>
      </c>
      <c r="AO823" s="26">
        <f t="shared" ca="1" si="144"/>
        <v>5.6959470839023418E-2</v>
      </c>
      <c r="AP823" s="29">
        <f t="shared" ca="1" si="178"/>
        <v>135</v>
      </c>
      <c r="AR823" s="22">
        <v>45368</v>
      </c>
      <c r="AS823" s="26">
        <f t="shared" ca="1" si="145"/>
        <v>0.59485722985751166</v>
      </c>
      <c r="AT823" s="29">
        <f t="shared" ca="1" si="179"/>
        <v>211</v>
      </c>
      <c r="AV823" s="22">
        <v>45368</v>
      </c>
      <c r="AW823" s="26">
        <f t="shared" ca="1" si="146"/>
        <v>0.75215192322988778</v>
      </c>
      <c r="AX823" s="29">
        <f t="shared" ca="1" si="180"/>
        <v>243</v>
      </c>
      <c r="AZ823" s="22">
        <v>45368</v>
      </c>
      <c r="BA823" s="26">
        <f t="shared" ca="1" si="147"/>
        <v>0.64569010862788834</v>
      </c>
      <c r="BB823" s="29">
        <f t="shared" ca="1" si="181"/>
        <v>257</v>
      </c>
      <c r="BC823"/>
      <c r="BD823" s="25"/>
      <c r="BF823" s="22">
        <v>45368</v>
      </c>
      <c r="BG823" s="26">
        <f t="shared" ca="1" si="148"/>
        <v>0.97182922275685202</v>
      </c>
      <c r="BH823" s="29">
        <f t="shared" ca="1" si="182"/>
        <v>303</v>
      </c>
      <c r="BJ823" s="22">
        <v>45368</v>
      </c>
      <c r="BK823" s="26">
        <f t="shared" ca="1" si="149"/>
        <v>0.51536003523815177</v>
      </c>
      <c r="BL823" s="29">
        <f t="shared" ca="1" si="183"/>
        <v>171</v>
      </c>
      <c r="BN823" s="22">
        <v>45368</v>
      </c>
      <c r="BO823" s="26">
        <f t="shared" ca="1" si="150"/>
        <v>0.68564051891039501</v>
      </c>
      <c r="BP823" s="29">
        <f t="shared" ca="1" si="184"/>
        <v>244</v>
      </c>
      <c r="BR823" s="22">
        <v>45368</v>
      </c>
      <c r="BS823" s="26">
        <f t="shared" ca="1" si="151"/>
        <v>0.56954356126241668</v>
      </c>
      <c r="BT823" s="29">
        <f t="shared" ca="1" si="185"/>
        <v>169</v>
      </c>
      <c r="BV823" s="22">
        <v>45368</v>
      </c>
      <c r="BW823" s="26">
        <f t="shared" ca="1" si="152"/>
        <v>0.99219768192804259</v>
      </c>
      <c r="BX823" s="29">
        <v>0</v>
      </c>
    </row>
    <row r="824" spans="2:76" ht="12.75" x14ac:dyDescent="0.2">
      <c r="B824" s="22">
        <v>45369</v>
      </c>
      <c r="C824" s="26">
        <f t="shared" ca="1" si="135"/>
        <v>0.96294915544303261</v>
      </c>
      <c r="D824" s="29">
        <f t="shared" ca="1" si="169"/>
        <v>111</v>
      </c>
      <c r="F824" s="22"/>
      <c r="G824" s="26">
        <f t="shared" ca="1" si="136"/>
        <v>0.45473587823011219</v>
      </c>
      <c r="H824" s="29">
        <f t="shared" ca="1" si="170"/>
        <v>214</v>
      </c>
      <c r="J824" s="22">
        <v>45369</v>
      </c>
      <c r="K824" s="26">
        <f t="shared" ca="1" si="137"/>
        <v>0.33308820839231235</v>
      </c>
      <c r="L824" s="29">
        <f t="shared" ca="1" si="171"/>
        <v>146</v>
      </c>
      <c r="N824" s="22">
        <v>45369</v>
      </c>
      <c r="O824" s="26">
        <f t="shared" ca="1" si="138"/>
        <v>0.55955962267870107</v>
      </c>
      <c r="P824" s="29">
        <f t="shared" ca="1" si="172"/>
        <v>232</v>
      </c>
      <c r="R824" s="22">
        <v>45369</v>
      </c>
      <c r="S824" s="26">
        <f t="shared" ca="1" si="139"/>
        <v>0.75229850950466759</v>
      </c>
      <c r="T824" s="29">
        <f t="shared" ca="1" si="173"/>
        <v>146</v>
      </c>
      <c r="V824" s="22">
        <v>45369</v>
      </c>
      <c r="W824" s="26">
        <f t="shared" ca="1" si="140"/>
        <v>0.62032757591451793</v>
      </c>
      <c r="X824" s="29">
        <f t="shared" ca="1" si="174"/>
        <v>230</v>
      </c>
      <c r="Z824" s="22">
        <v>45369</v>
      </c>
      <c r="AA824" s="26">
        <f t="shared" ca="1" si="141"/>
        <v>0.26085208913773517</v>
      </c>
      <c r="AB824" s="29">
        <f t="shared" ca="1" si="175"/>
        <v>259</v>
      </c>
      <c r="AC824"/>
      <c r="AD824" s="25"/>
      <c r="AF824" s="22">
        <v>45369</v>
      </c>
      <c r="AG824" s="26">
        <f t="shared" ca="1" si="142"/>
        <v>0.75059518165199635</v>
      </c>
      <c r="AH824" s="29">
        <f t="shared" ca="1" si="176"/>
        <v>386</v>
      </c>
      <c r="AJ824" s="22">
        <v>45369</v>
      </c>
      <c r="AK824" s="26">
        <f t="shared" ca="1" si="143"/>
        <v>3.5057166272631779E-2</v>
      </c>
      <c r="AL824" s="29">
        <f t="shared" ca="1" si="177"/>
        <v>89</v>
      </c>
      <c r="AN824" s="22">
        <v>45369</v>
      </c>
      <c r="AO824" s="26">
        <f t="shared" ca="1" si="144"/>
        <v>0.78179154427787589</v>
      </c>
      <c r="AP824" s="29">
        <f t="shared" ca="1" si="178"/>
        <v>281</v>
      </c>
      <c r="AR824" s="22">
        <v>45369</v>
      </c>
      <c r="AS824" s="26">
        <f t="shared" ca="1" si="145"/>
        <v>0.84681419370827715</v>
      </c>
      <c r="AT824" s="29">
        <f t="shared" ca="1" si="179"/>
        <v>253</v>
      </c>
      <c r="AV824" s="22">
        <v>45369</v>
      </c>
      <c r="AW824" s="26">
        <f t="shared" ca="1" si="146"/>
        <v>0.10770690231537139</v>
      </c>
      <c r="AX824" s="29">
        <f t="shared" ca="1" si="180"/>
        <v>138</v>
      </c>
      <c r="AZ824" s="22">
        <v>45369</v>
      </c>
      <c r="BA824" s="26">
        <f t="shared" ca="1" si="147"/>
        <v>0.80498117102169653</v>
      </c>
      <c r="BB824" s="29">
        <f t="shared" ca="1" si="181"/>
        <v>288</v>
      </c>
      <c r="BC824"/>
      <c r="BD824" s="25"/>
      <c r="BF824" s="22">
        <v>45369</v>
      </c>
      <c r="BG824" s="26">
        <f t="shared" ca="1" si="148"/>
        <v>0.51676786220345106</v>
      </c>
      <c r="BH824" s="29">
        <f t="shared" ca="1" si="182"/>
        <v>203</v>
      </c>
      <c r="BJ824" s="22">
        <v>45369</v>
      </c>
      <c r="BK824" s="26">
        <f t="shared" ca="1" si="149"/>
        <v>0.63407382828633774</v>
      </c>
      <c r="BL824" s="29">
        <f t="shared" ca="1" si="183"/>
        <v>185</v>
      </c>
      <c r="BN824" s="22">
        <v>45369</v>
      </c>
      <c r="BO824" s="26">
        <f t="shared" ca="1" si="150"/>
        <v>0.18943315451040221</v>
      </c>
      <c r="BP824" s="29">
        <f t="shared" ca="1" si="184"/>
        <v>166</v>
      </c>
      <c r="BR824" s="22">
        <v>45369</v>
      </c>
      <c r="BS824" s="26">
        <f t="shared" ca="1" si="151"/>
        <v>0.67142938318173084</v>
      </c>
      <c r="BT824" s="29">
        <f t="shared" ca="1" si="185"/>
        <v>180</v>
      </c>
      <c r="BV824" s="22">
        <v>45369</v>
      </c>
      <c r="BW824" s="26">
        <f t="shared" ca="1" si="152"/>
        <v>0.6718613950258786</v>
      </c>
      <c r="BX824" s="29">
        <v>0</v>
      </c>
    </row>
    <row r="825" spans="2:76" ht="12.75" x14ac:dyDescent="0.2">
      <c r="B825" s="22">
        <v>45370</v>
      </c>
      <c r="C825" s="26">
        <f t="shared" ca="1" si="135"/>
        <v>0.78936738047515265</v>
      </c>
      <c r="D825" s="29">
        <f t="shared" ca="1" si="169"/>
        <v>92</v>
      </c>
      <c r="F825" s="22"/>
      <c r="G825" s="26">
        <f t="shared" ca="1" si="136"/>
        <v>7.8233458206689699E-2</v>
      </c>
      <c r="H825" s="29">
        <f t="shared" ca="1" si="170"/>
        <v>196</v>
      </c>
      <c r="J825" s="22">
        <v>45370</v>
      </c>
      <c r="K825" s="26">
        <f t="shared" ca="1" si="137"/>
        <v>0.5637986626468382</v>
      </c>
      <c r="L825" s="29">
        <f t="shared" ca="1" si="171"/>
        <v>152</v>
      </c>
      <c r="N825" s="22">
        <v>45370</v>
      </c>
      <c r="O825" s="26">
        <f t="shared" ca="1" si="138"/>
        <v>0.41711870266315598</v>
      </c>
      <c r="P825" s="29">
        <f t="shared" ca="1" si="172"/>
        <v>227</v>
      </c>
      <c r="R825" s="22">
        <v>45370</v>
      </c>
      <c r="S825" s="26">
        <f t="shared" ca="1" si="139"/>
        <v>7.3567202837256152E-2</v>
      </c>
      <c r="T825" s="29">
        <f t="shared" ca="1" si="173"/>
        <v>126</v>
      </c>
      <c r="V825" s="22">
        <v>45370</v>
      </c>
      <c r="W825" s="26">
        <f t="shared" ca="1" si="140"/>
        <v>0.849045079625382</v>
      </c>
      <c r="X825" s="29">
        <f t="shared" ca="1" si="174"/>
        <v>241</v>
      </c>
      <c r="Z825" s="22">
        <v>45370</v>
      </c>
      <c r="AA825" s="26">
        <f t="shared" ca="1" si="141"/>
        <v>0.78286800993902594</v>
      </c>
      <c r="AB825" s="29">
        <f t="shared" ca="1" si="175"/>
        <v>285</v>
      </c>
      <c r="AC825"/>
      <c r="AD825" s="25"/>
      <c r="AF825" s="22">
        <v>45370</v>
      </c>
      <c r="AG825" s="26">
        <f t="shared" ca="1" si="142"/>
        <v>0.77897860131908347</v>
      </c>
      <c r="AH825" s="29">
        <f t="shared" ca="1" si="176"/>
        <v>395</v>
      </c>
      <c r="AJ825" s="22">
        <v>45370</v>
      </c>
      <c r="AK825" s="26">
        <f t="shared" ca="1" si="143"/>
        <v>0.52080131577796196</v>
      </c>
      <c r="AL825" s="29">
        <f t="shared" ca="1" si="177"/>
        <v>173</v>
      </c>
      <c r="AN825" s="22">
        <v>45370</v>
      </c>
      <c r="AO825" s="26">
        <f t="shared" ca="1" si="144"/>
        <v>0.96682471370409306</v>
      </c>
      <c r="AP825" s="29">
        <f t="shared" ca="1" si="178"/>
        <v>346</v>
      </c>
      <c r="AR825" s="22">
        <v>45370</v>
      </c>
      <c r="AS825" s="26">
        <f t="shared" ca="1" si="145"/>
        <v>0.59670442199119811</v>
      </c>
      <c r="AT825" s="29">
        <f t="shared" ca="1" si="179"/>
        <v>211</v>
      </c>
      <c r="AV825" s="22">
        <v>45370</v>
      </c>
      <c r="AW825" s="26">
        <f t="shared" ca="1" si="146"/>
        <v>0.50672769114647409</v>
      </c>
      <c r="AX825" s="29">
        <f t="shared" ca="1" si="180"/>
        <v>207</v>
      </c>
      <c r="AZ825" s="22">
        <v>45370</v>
      </c>
      <c r="BA825" s="26">
        <f t="shared" ca="1" si="147"/>
        <v>0.10953531007194783</v>
      </c>
      <c r="BB825" s="29">
        <f t="shared" ca="1" si="181"/>
        <v>158</v>
      </c>
      <c r="BC825"/>
      <c r="BD825" s="25"/>
      <c r="BF825" s="22">
        <v>45370</v>
      </c>
      <c r="BG825" s="26">
        <f t="shared" ca="1" si="148"/>
        <v>0.18126133062625416</v>
      </c>
      <c r="BH825" s="29">
        <f t="shared" ca="1" si="182"/>
        <v>152</v>
      </c>
      <c r="BJ825" s="22">
        <v>45370</v>
      </c>
      <c r="BK825" s="26">
        <f t="shared" ca="1" si="149"/>
        <v>0.6573526912361316</v>
      </c>
      <c r="BL825" s="29">
        <f t="shared" ca="1" si="183"/>
        <v>187</v>
      </c>
      <c r="BN825" s="22">
        <v>45370</v>
      </c>
      <c r="BO825" s="26">
        <f t="shared" ca="1" si="150"/>
        <v>0.12750603972425889</v>
      </c>
      <c r="BP825" s="29">
        <f t="shared" ca="1" si="184"/>
        <v>151</v>
      </c>
      <c r="BR825" s="22">
        <v>45370</v>
      </c>
      <c r="BS825" s="26">
        <f t="shared" ca="1" si="151"/>
        <v>0.9488850184240607</v>
      </c>
      <c r="BT825" s="29">
        <f t="shared" ca="1" si="185"/>
        <v>231</v>
      </c>
      <c r="BV825" s="22">
        <v>45370</v>
      </c>
      <c r="BW825" s="26">
        <f t="shared" ca="1" si="152"/>
        <v>0.86252951709976911</v>
      </c>
      <c r="BX825" s="29">
        <v>0</v>
      </c>
    </row>
    <row r="826" spans="2:76" ht="12.75" x14ac:dyDescent="0.2">
      <c r="B826" s="22">
        <v>45371</v>
      </c>
      <c r="C826" s="26">
        <f t="shared" ca="1" si="135"/>
        <v>3.3574505473452088E-2</v>
      </c>
      <c r="D826" s="29">
        <f t="shared" ca="1" si="169"/>
        <v>39</v>
      </c>
      <c r="F826" s="22"/>
      <c r="G826" s="26">
        <f t="shared" ca="1" si="136"/>
        <v>0.27345892557736762</v>
      </c>
      <c r="H826" s="29">
        <f t="shared" ca="1" si="170"/>
        <v>207</v>
      </c>
      <c r="J826" s="22">
        <v>45371</v>
      </c>
      <c r="K826" s="26">
        <f t="shared" ca="1" si="137"/>
        <v>0.57769612847926055</v>
      </c>
      <c r="L826" s="29">
        <f t="shared" ca="1" si="171"/>
        <v>152</v>
      </c>
      <c r="N826" s="22">
        <v>45371</v>
      </c>
      <c r="O826" s="26">
        <f t="shared" ca="1" si="138"/>
        <v>0.31298265472370324</v>
      </c>
      <c r="P826" s="29">
        <f t="shared" ca="1" si="172"/>
        <v>222</v>
      </c>
      <c r="R826" s="22">
        <v>45371</v>
      </c>
      <c r="S826" s="26">
        <f t="shared" ca="1" si="139"/>
        <v>6.1324785893764888E-2</v>
      </c>
      <c r="T826" s="29">
        <f t="shared" ca="1" si="173"/>
        <v>125</v>
      </c>
      <c r="V826" s="22">
        <v>45371</v>
      </c>
      <c r="W826" s="26">
        <f t="shared" ca="1" si="140"/>
        <v>0.43995119003059557</v>
      </c>
      <c r="X826" s="29">
        <f t="shared" ca="1" si="174"/>
        <v>223</v>
      </c>
      <c r="Z826" s="22">
        <v>45371</v>
      </c>
      <c r="AA826" s="26">
        <f t="shared" ca="1" si="141"/>
        <v>0.87312250930015844</v>
      </c>
      <c r="AB826" s="29">
        <f t="shared" ca="1" si="175"/>
        <v>291</v>
      </c>
      <c r="AC826"/>
      <c r="AD826" s="25"/>
      <c r="AF826" s="22">
        <v>45371</v>
      </c>
      <c r="AG826" s="26">
        <f t="shared" ca="1" si="142"/>
        <v>0.78144930766142229</v>
      </c>
      <c r="AH826" s="29">
        <f t="shared" ca="1" si="176"/>
        <v>395</v>
      </c>
      <c r="AJ826" s="22">
        <v>45371</v>
      </c>
      <c r="AK826" s="26">
        <f t="shared" ca="1" si="143"/>
        <v>0.11630104915821726</v>
      </c>
      <c r="AL826" s="29">
        <f t="shared" ca="1" si="177"/>
        <v>117</v>
      </c>
      <c r="AN826" s="22">
        <v>45371</v>
      </c>
      <c r="AO826" s="26">
        <f t="shared" ca="1" si="144"/>
        <v>0.65388712572317809</v>
      </c>
      <c r="AP826" s="29">
        <f t="shared" ca="1" si="178"/>
        <v>257</v>
      </c>
      <c r="AR826" s="22">
        <v>45371</v>
      </c>
      <c r="AS826" s="26">
        <f t="shared" ca="1" si="145"/>
        <v>0.63575616207764829</v>
      </c>
      <c r="AT826" s="29">
        <f t="shared" ca="1" si="179"/>
        <v>217</v>
      </c>
      <c r="AV826" s="22">
        <v>45371</v>
      </c>
      <c r="AW826" s="26">
        <f t="shared" ca="1" si="146"/>
        <v>0.81399025100975486</v>
      </c>
      <c r="AX826" s="29">
        <f t="shared" ca="1" si="180"/>
        <v>255</v>
      </c>
      <c r="AZ826" s="22">
        <v>45371</v>
      </c>
      <c r="BA826" s="26">
        <f t="shared" ca="1" si="147"/>
        <v>0.13841771714936213</v>
      </c>
      <c r="BB826" s="29">
        <f t="shared" ca="1" si="181"/>
        <v>166</v>
      </c>
      <c r="BC826"/>
      <c r="BD826" s="25"/>
      <c r="BF826" s="22">
        <v>45371</v>
      </c>
      <c r="BG826" s="26">
        <f t="shared" ca="1" si="148"/>
        <v>0.2791306582308356</v>
      </c>
      <c r="BH826" s="29">
        <f t="shared" ca="1" si="182"/>
        <v>170</v>
      </c>
      <c r="BJ826" s="22">
        <v>45371</v>
      </c>
      <c r="BK826" s="26">
        <f t="shared" ca="1" si="149"/>
        <v>0.25273393666024779</v>
      </c>
      <c r="BL826" s="29">
        <f t="shared" ca="1" si="183"/>
        <v>139</v>
      </c>
      <c r="BN826" s="22">
        <v>45371</v>
      </c>
      <c r="BO826" s="26">
        <f t="shared" ca="1" si="150"/>
        <v>0.70009525585256616</v>
      </c>
      <c r="BP826" s="29">
        <f t="shared" ca="1" si="184"/>
        <v>246</v>
      </c>
      <c r="BR826" s="22">
        <v>45371</v>
      </c>
      <c r="BS826" s="26">
        <f t="shared" ca="1" si="151"/>
        <v>0.79915650040107022</v>
      </c>
      <c r="BT826" s="29">
        <f t="shared" ca="1" si="185"/>
        <v>197</v>
      </c>
      <c r="BV826" s="22">
        <v>45371</v>
      </c>
      <c r="BW826" s="26">
        <f t="shared" ca="1" si="152"/>
        <v>0.81934727943650432</v>
      </c>
      <c r="BX826" s="29">
        <v>0</v>
      </c>
    </row>
    <row r="827" spans="2:76" ht="12.75" x14ac:dyDescent="0.2">
      <c r="B827" s="22">
        <v>45372</v>
      </c>
      <c r="C827" s="26">
        <f t="shared" ca="1" si="135"/>
        <v>0.44506514210790737</v>
      </c>
      <c r="D827" s="29">
        <f t="shared" ca="1" si="169"/>
        <v>73</v>
      </c>
      <c r="F827" s="22"/>
      <c r="G827" s="26">
        <f t="shared" ca="1" si="136"/>
        <v>0.47506484639568425</v>
      </c>
      <c r="H827" s="29">
        <f t="shared" ca="1" si="170"/>
        <v>215</v>
      </c>
      <c r="J827" s="22">
        <v>45372</v>
      </c>
      <c r="K827" s="26">
        <f t="shared" ca="1" si="137"/>
        <v>0.70558476417480587</v>
      </c>
      <c r="L827" s="29">
        <f t="shared" ca="1" si="171"/>
        <v>156</v>
      </c>
      <c r="N827" s="22">
        <v>45372</v>
      </c>
      <c r="O827" s="26">
        <f t="shared" ca="1" si="138"/>
        <v>9.6526578235336502E-2</v>
      </c>
      <c r="P827" s="29">
        <f t="shared" ca="1" si="172"/>
        <v>210</v>
      </c>
      <c r="R827" s="22">
        <v>45372</v>
      </c>
      <c r="S827" s="26">
        <f t="shared" ca="1" si="139"/>
        <v>0.57984924909808389</v>
      </c>
      <c r="T827" s="29">
        <f t="shared" ca="1" si="173"/>
        <v>141</v>
      </c>
      <c r="V827" s="22">
        <v>45372</v>
      </c>
      <c r="W827" s="26">
        <f t="shared" ca="1" si="140"/>
        <v>0.97544725352932293</v>
      </c>
      <c r="X827" s="29">
        <f t="shared" ca="1" si="174"/>
        <v>255</v>
      </c>
      <c r="Z827" s="22">
        <v>45372</v>
      </c>
      <c r="AA827" s="26">
        <f t="shared" ca="1" si="141"/>
        <v>0.79104189786493839</v>
      </c>
      <c r="AB827" s="29">
        <f t="shared" ca="1" si="175"/>
        <v>285</v>
      </c>
      <c r="AC827"/>
      <c r="AD827" s="25"/>
      <c r="AF827" s="22">
        <v>45372</v>
      </c>
      <c r="AG827" s="26">
        <f t="shared" ca="1" si="142"/>
        <v>0.86832037547099761</v>
      </c>
      <c r="AH827" s="29">
        <f t="shared" ca="1" si="176"/>
        <v>425</v>
      </c>
      <c r="AJ827" s="22">
        <v>45372</v>
      </c>
      <c r="AK827" s="26">
        <f t="shared" ca="1" si="143"/>
        <v>0.45161733486694067</v>
      </c>
      <c r="AL827" s="29">
        <f t="shared" ca="1" si="177"/>
        <v>165</v>
      </c>
      <c r="AN827" s="22">
        <v>45372</v>
      </c>
      <c r="AO827" s="26">
        <f t="shared" ca="1" si="144"/>
        <v>0.11080741832222551</v>
      </c>
      <c r="AP827" s="29">
        <f t="shared" ca="1" si="178"/>
        <v>157</v>
      </c>
      <c r="AR827" s="22">
        <v>45372</v>
      </c>
      <c r="AS827" s="26">
        <f t="shared" ca="1" si="145"/>
        <v>0.30939856975062252</v>
      </c>
      <c r="AT827" s="29">
        <f t="shared" ca="1" si="179"/>
        <v>172</v>
      </c>
      <c r="AV827" s="22">
        <v>45372</v>
      </c>
      <c r="AW827" s="26">
        <f t="shared" ca="1" si="146"/>
        <v>0.88727282449334022</v>
      </c>
      <c r="AX827" s="29">
        <f t="shared" ca="1" si="180"/>
        <v>272</v>
      </c>
      <c r="AZ827" s="22">
        <v>45372</v>
      </c>
      <c r="BA827" s="26">
        <f t="shared" ca="1" si="147"/>
        <v>0.22010646663268396</v>
      </c>
      <c r="BB827" s="29">
        <f t="shared" ca="1" si="181"/>
        <v>186</v>
      </c>
      <c r="BC827"/>
      <c r="BD827" s="25"/>
      <c r="BF827" s="22">
        <v>45372</v>
      </c>
      <c r="BG827" s="26">
        <f t="shared" ca="1" si="148"/>
        <v>0.72869691847731621</v>
      </c>
      <c r="BH827" s="29">
        <f t="shared" ca="1" si="182"/>
        <v>234</v>
      </c>
      <c r="BJ827" s="22">
        <v>45372</v>
      </c>
      <c r="BK827" s="26">
        <f t="shared" ca="1" si="149"/>
        <v>0.81097243757851101</v>
      </c>
      <c r="BL827" s="29">
        <f t="shared" ca="1" si="183"/>
        <v>209</v>
      </c>
      <c r="BN827" s="22">
        <v>45372</v>
      </c>
      <c r="BO827" s="26">
        <f t="shared" ca="1" si="150"/>
        <v>0.16282309505565262</v>
      </c>
      <c r="BP827" s="29">
        <f t="shared" ca="1" si="184"/>
        <v>160</v>
      </c>
      <c r="BR827" s="22">
        <v>45372</v>
      </c>
      <c r="BS827" s="26">
        <f t="shared" ca="1" si="151"/>
        <v>0.85768143472756209</v>
      </c>
      <c r="BT827" s="29">
        <f t="shared" ca="1" si="185"/>
        <v>207</v>
      </c>
      <c r="BV827" s="22">
        <v>45372</v>
      </c>
      <c r="BW827" s="26">
        <f t="shared" ca="1" si="152"/>
        <v>0.50521129107263185</v>
      </c>
      <c r="BX827" s="29">
        <v>0</v>
      </c>
    </row>
    <row r="828" spans="2:76" ht="12.75" x14ac:dyDescent="0.2">
      <c r="B828" s="22">
        <v>45373</v>
      </c>
      <c r="C828" s="26">
        <f t="shared" ca="1" si="135"/>
        <v>0.37846312304375529</v>
      </c>
      <c r="D828" s="29">
        <f t="shared" ca="1" si="169"/>
        <v>69</v>
      </c>
      <c r="F828" s="22"/>
      <c r="G828" s="26">
        <f t="shared" ca="1" si="136"/>
        <v>0.80585217884349858</v>
      </c>
      <c r="H828" s="29">
        <f t="shared" ca="1" si="170"/>
        <v>228</v>
      </c>
      <c r="J828" s="22">
        <v>45373</v>
      </c>
      <c r="K828" s="26">
        <f t="shared" ca="1" si="137"/>
        <v>0.8713140715758031</v>
      </c>
      <c r="L828" s="29">
        <f t="shared" ca="1" si="171"/>
        <v>162</v>
      </c>
      <c r="N828" s="22">
        <v>45373</v>
      </c>
      <c r="O828" s="26">
        <f t="shared" ca="1" si="138"/>
        <v>1.3787904193893863E-2</v>
      </c>
      <c r="P828" s="29">
        <f t="shared" ca="1" si="172"/>
        <v>196</v>
      </c>
      <c r="R828" s="22">
        <v>45373</v>
      </c>
      <c r="S828" s="26">
        <f t="shared" ca="1" si="139"/>
        <v>0.49156738998566285</v>
      </c>
      <c r="T828" s="29">
        <f t="shared" ca="1" si="173"/>
        <v>139</v>
      </c>
      <c r="V828" s="22">
        <v>45373</v>
      </c>
      <c r="W828" s="26">
        <f t="shared" ca="1" si="140"/>
        <v>0.42139956823508129</v>
      </c>
      <c r="X828" s="29">
        <f t="shared" ca="1" si="174"/>
        <v>223</v>
      </c>
      <c r="Z828" s="22">
        <v>45373</v>
      </c>
      <c r="AA828" s="26">
        <f t="shared" ca="1" si="141"/>
        <v>0.54609745684258815</v>
      </c>
      <c r="AB828" s="29">
        <f t="shared" ca="1" si="175"/>
        <v>273</v>
      </c>
      <c r="AC828"/>
      <c r="AD828" s="25"/>
      <c r="AF828" s="22">
        <v>45373</v>
      </c>
      <c r="AG828" s="26">
        <f t="shared" ca="1" si="142"/>
        <v>0.98428295182205516</v>
      </c>
      <c r="AH828" s="29">
        <f t="shared" ca="1" si="176"/>
        <v>515</v>
      </c>
      <c r="AJ828" s="22">
        <v>45373</v>
      </c>
      <c r="AK828" s="26">
        <f t="shared" ca="1" si="143"/>
        <v>0.82164384886524899</v>
      </c>
      <c r="AL828" s="29">
        <f t="shared" ca="1" si="177"/>
        <v>213</v>
      </c>
      <c r="AN828" s="22">
        <v>45373</v>
      </c>
      <c r="AO828" s="26">
        <f t="shared" ca="1" si="144"/>
        <v>0.67071044962678861</v>
      </c>
      <c r="AP828" s="29">
        <f t="shared" ca="1" si="178"/>
        <v>260</v>
      </c>
      <c r="AR828" s="22">
        <v>45373</v>
      </c>
      <c r="AS828" s="26">
        <f t="shared" ca="1" si="145"/>
        <v>0.55426202861952423</v>
      </c>
      <c r="AT828" s="29">
        <f t="shared" ca="1" si="179"/>
        <v>206</v>
      </c>
      <c r="AV828" s="22">
        <v>45373</v>
      </c>
      <c r="AW828" s="26">
        <f t="shared" ca="1" si="146"/>
        <v>0.86371539963949018</v>
      </c>
      <c r="AX828" s="29">
        <f t="shared" ca="1" si="180"/>
        <v>266</v>
      </c>
      <c r="AZ828" s="22">
        <v>45373</v>
      </c>
      <c r="BA828" s="26">
        <f t="shared" ca="1" si="147"/>
        <v>0.14106071917307139</v>
      </c>
      <c r="BB828" s="29">
        <f t="shared" ca="1" si="181"/>
        <v>167</v>
      </c>
      <c r="BC828"/>
      <c r="BD828" s="25"/>
      <c r="BF828" s="22">
        <v>45373</v>
      </c>
      <c r="BG828" s="26">
        <f t="shared" ca="1" si="148"/>
        <v>0.87297362180544935</v>
      </c>
      <c r="BH828" s="29">
        <f t="shared" ca="1" si="182"/>
        <v>262</v>
      </c>
      <c r="BJ828" s="22">
        <v>45373</v>
      </c>
      <c r="BK828" s="26">
        <f t="shared" ca="1" si="149"/>
        <v>0.22637554757441958</v>
      </c>
      <c r="BL828" s="29">
        <f t="shared" ca="1" si="183"/>
        <v>135</v>
      </c>
      <c r="BN828" s="22">
        <v>45373</v>
      </c>
      <c r="BO828" s="26">
        <f t="shared" ca="1" si="150"/>
        <v>0.96198696601431399</v>
      </c>
      <c r="BP828" s="29">
        <f t="shared" ca="1" si="184"/>
        <v>318</v>
      </c>
      <c r="BR828" s="22">
        <v>45373</v>
      </c>
      <c r="BS828" s="26">
        <f t="shared" ca="1" si="151"/>
        <v>0.30574714006695713</v>
      </c>
      <c r="BT828" s="29">
        <f t="shared" ca="1" si="185"/>
        <v>139</v>
      </c>
      <c r="BV828" s="22">
        <v>45373</v>
      </c>
      <c r="BW828" s="26">
        <f t="shared" ca="1" si="152"/>
        <v>0.64410669993253278</v>
      </c>
      <c r="BX828" s="29">
        <v>0</v>
      </c>
    </row>
    <row r="829" spans="2:76" ht="12.75" x14ac:dyDescent="0.2">
      <c r="B829" s="22">
        <v>45374</v>
      </c>
      <c r="C829" s="26">
        <f t="shared" ca="1" si="135"/>
        <v>1.9124881988057729E-2</v>
      </c>
      <c r="D829" s="29">
        <f t="shared" ca="1" si="169"/>
        <v>34</v>
      </c>
      <c r="F829" s="22"/>
      <c r="G829" s="26">
        <f t="shared" ca="1" si="136"/>
        <v>0.92526097048575595</v>
      </c>
      <c r="H829" s="29">
        <f t="shared" ca="1" si="170"/>
        <v>237</v>
      </c>
      <c r="J829" s="22">
        <v>45374</v>
      </c>
      <c r="K829" s="26">
        <f t="shared" ca="1" si="137"/>
        <v>0.84993403002026591</v>
      </c>
      <c r="L829" s="29">
        <f t="shared" ca="1" si="171"/>
        <v>161</v>
      </c>
      <c r="N829" s="22">
        <v>45374</v>
      </c>
      <c r="O829" s="26">
        <f t="shared" ca="1" si="138"/>
        <v>0.3263992912152277</v>
      </c>
      <c r="P829" s="29">
        <f t="shared" ca="1" si="172"/>
        <v>223</v>
      </c>
      <c r="R829" s="22">
        <v>45374</v>
      </c>
      <c r="S829" s="26">
        <f t="shared" ca="1" si="139"/>
        <v>0.83865695097809823</v>
      </c>
      <c r="T829" s="29">
        <f t="shared" ca="1" si="173"/>
        <v>148</v>
      </c>
      <c r="V829" s="22">
        <v>45374</v>
      </c>
      <c r="W829" s="26">
        <f t="shared" ca="1" si="140"/>
        <v>0.27206924990318204</v>
      </c>
      <c r="X829" s="29">
        <f t="shared" ca="1" si="174"/>
        <v>216</v>
      </c>
      <c r="Z829" s="22">
        <v>45374</v>
      </c>
      <c r="AA829" s="26">
        <f t="shared" ca="1" si="141"/>
        <v>0.35057611039345271</v>
      </c>
      <c r="AB829" s="29">
        <f t="shared" ca="1" si="175"/>
        <v>264</v>
      </c>
      <c r="AC829"/>
      <c r="AD829" s="25"/>
      <c r="AF829" s="22">
        <v>45374</v>
      </c>
      <c r="AG829" s="26">
        <f t="shared" ca="1" si="142"/>
        <v>0.78451496685572064</v>
      </c>
      <c r="AH829" s="29">
        <f t="shared" ca="1" si="176"/>
        <v>396</v>
      </c>
      <c r="AJ829" s="22">
        <v>45374</v>
      </c>
      <c r="AK829" s="26">
        <f t="shared" ca="1" si="143"/>
        <v>0.60678413769311468</v>
      </c>
      <c r="AL829" s="29">
        <f t="shared" ca="1" si="177"/>
        <v>183</v>
      </c>
      <c r="AN829" s="22">
        <v>45374</v>
      </c>
      <c r="AO829" s="26">
        <f t="shared" ca="1" si="144"/>
        <v>4.8512005223150356E-2</v>
      </c>
      <c r="AP829" s="29">
        <f t="shared" ca="1" si="178"/>
        <v>130</v>
      </c>
      <c r="AR829" s="22">
        <v>45374</v>
      </c>
      <c r="AS829" s="26">
        <f t="shared" ca="1" si="145"/>
        <v>0.71346794588097273</v>
      </c>
      <c r="AT829" s="29">
        <f t="shared" ca="1" si="179"/>
        <v>228</v>
      </c>
      <c r="AV829" s="22">
        <v>45374</v>
      </c>
      <c r="AW829" s="26">
        <f t="shared" ca="1" si="146"/>
        <v>0.3560649880532567</v>
      </c>
      <c r="AX829" s="29">
        <f t="shared" ca="1" si="180"/>
        <v>186</v>
      </c>
      <c r="AZ829" s="22">
        <v>45374</v>
      </c>
      <c r="BA829" s="26">
        <f t="shared" ca="1" si="147"/>
        <v>0.22035711802870839</v>
      </c>
      <c r="BB829" s="29">
        <f t="shared" ca="1" si="181"/>
        <v>186</v>
      </c>
      <c r="BC829"/>
      <c r="BD829" s="25"/>
      <c r="BF829" s="22">
        <v>45374</v>
      </c>
      <c r="BG829" s="26">
        <f t="shared" ca="1" si="148"/>
        <v>0.40139559137004521</v>
      </c>
      <c r="BH829" s="29">
        <f t="shared" ca="1" si="182"/>
        <v>188</v>
      </c>
      <c r="BJ829" s="22">
        <v>45374</v>
      </c>
      <c r="BK829" s="26">
        <f t="shared" ca="1" si="149"/>
        <v>0.14351954966950164</v>
      </c>
      <c r="BL829" s="29">
        <f t="shared" ca="1" si="183"/>
        <v>121</v>
      </c>
      <c r="BN829" s="22">
        <v>45374</v>
      </c>
      <c r="BO829" s="26">
        <f t="shared" ca="1" si="150"/>
        <v>0.74252779994600682</v>
      </c>
      <c r="BP829" s="29">
        <f t="shared" ca="1" si="184"/>
        <v>254</v>
      </c>
      <c r="BR829" s="22">
        <v>45374</v>
      </c>
      <c r="BS829" s="26">
        <f t="shared" ca="1" si="151"/>
        <v>0.88651085293793075</v>
      </c>
      <c r="BT829" s="29">
        <f t="shared" ca="1" si="185"/>
        <v>213</v>
      </c>
      <c r="BV829" s="22">
        <v>45374</v>
      </c>
      <c r="BW829" s="26">
        <f t="shared" ca="1" si="152"/>
        <v>0.98951605338720472</v>
      </c>
      <c r="BX829" s="29">
        <v>0</v>
      </c>
    </row>
    <row r="830" spans="2:76" ht="12.75" x14ac:dyDescent="0.2">
      <c r="B830" s="22">
        <v>45375</v>
      </c>
      <c r="C830" s="26">
        <f t="shared" ca="1" si="135"/>
        <v>0.56581296230485578</v>
      </c>
      <c r="D830" s="29">
        <f t="shared" ca="1" si="169"/>
        <v>79</v>
      </c>
      <c r="F830" s="22"/>
      <c r="G830" s="26">
        <f t="shared" ca="1" si="136"/>
        <v>0.20883619713399348</v>
      </c>
      <c r="H830" s="29">
        <f t="shared" ca="1" si="170"/>
        <v>204</v>
      </c>
      <c r="J830" s="22">
        <v>45375</v>
      </c>
      <c r="K830" s="26">
        <f t="shared" ca="1" si="137"/>
        <v>3.8201380849964828E-3</v>
      </c>
      <c r="L830" s="29">
        <f t="shared" ca="1" si="171"/>
        <v>124</v>
      </c>
      <c r="N830" s="22">
        <v>45375</v>
      </c>
      <c r="O830" s="26">
        <f t="shared" ca="1" si="138"/>
        <v>0.60504733427075119</v>
      </c>
      <c r="P830" s="29">
        <f t="shared" ca="1" si="172"/>
        <v>234</v>
      </c>
      <c r="R830" s="22">
        <v>45375</v>
      </c>
      <c r="S830" s="26">
        <f t="shared" ca="1" si="139"/>
        <v>0.56643032289968087</v>
      </c>
      <c r="T830" s="29">
        <f t="shared" ca="1" si="173"/>
        <v>141</v>
      </c>
      <c r="V830" s="22">
        <v>45375</v>
      </c>
      <c r="W830" s="26">
        <f t="shared" ca="1" si="140"/>
        <v>0.83699898253238125</v>
      </c>
      <c r="X830" s="29">
        <f t="shared" ca="1" si="174"/>
        <v>240</v>
      </c>
      <c r="Z830" s="22">
        <v>45375</v>
      </c>
      <c r="AA830" s="26">
        <f t="shared" ca="1" si="141"/>
        <v>6.4429355192664461E-2</v>
      </c>
      <c r="AB830" s="29">
        <f t="shared" ca="1" si="175"/>
        <v>243</v>
      </c>
      <c r="AC830"/>
      <c r="AD830" s="25"/>
      <c r="AF830" s="22">
        <v>45375</v>
      </c>
      <c r="AG830" s="26">
        <f t="shared" ca="1" si="142"/>
        <v>0.45547815225150268</v>
      </c>
      <c r="AH830" s="29">
        <f t="shared" ca="1" si="176"/>
        <v>318</v>
      </c>
      <c r="AJ830" s="22">
        <v>45375</v>
      </c>
      <c r="AK830" s="26">
        <f t="shared" ca="1" si="143"/>
        <v>0.19354549050398118</v>
      </c>
      <c r="AL830" s="29">
        <f t="shared" ca="1" si="177"/>
        <v>132</v>
      </c>
      <c r="AN830" s="22">
        <v>45375</v>
      </c>
      <c r="AO830" s="26">
        <f t="shared" ca="1" si="144"/>
        <v>0.10865751463300599</v>
      </c>
      <c r="AP830" s="29">
        <f t="shared" ca="1" si="178"/>
        <v>156</v>
      </c>
      <c r="AR830" s="22">
        <v>45375</v>
      </c>
      <c r="AS830" s="26">
        <f t="shared" ca="1" si="145"/>
        <v>0.91287576155373218</v>
      </c>
      <c r="AT830" s="29">
        <f t="shared" ca="1" si="179"/>
        <v>270</v>
      </c>
      <c r="AV830" s="22">
        <v>45375</v>
      </c>
      <c r="AW830" s="26">
        <f t="shared" ca="1" si="146"/>
        <v>0.32830601776576585</v>
      </c>
      <c r="AX830" s="29">
        <f t="shared" ca="1" si="180"/>
        <v>182</v>
      </c>
      <c r="AZ830" s="22">
        <v>45375</v>
      </c>
      <c r="BA830" s="26">
        <f t="shared" ca="1" si="147"/>
        <v>0.78971827376746917</v>
      </c>
      <c r="BB830" s="29">
        <f t="shared" ca="1" si="181"/>
        <v>284</v>
      </c>
      <c r="BC830"/>
      <c r="BD830" s="25"/>
      <c r="BF830" s="22">
        <v>45375</v>
      </c>
      <c r="BG830" s="26">
        <f t="shared" ca="1" si="148"/>
        <v>0.28032887360978598</v>
      </c>
      <c r="BH830" s="29">
        <f t="shared" ca="1" si="182"/>
        <v>170</v>
      </c>
      <c r="BJ830" s="22">
        <v>45375</v>
      </c>
      <c r="BK830" s="26">
        <f t="shared" ca="1" si="149"/>
        <v>0.73144752689210757</v>
      </c>
      <c r="BL830" s="29">
        <f t="shared" ca="1" si="183"/>
        <v>197</v>
      </c>
      <c r="BN830" s="22">
        <v>45375</v>
      </c>
      <c r="BO830" s="26">
        <f t="shared" ca="1" si="150"/>
        <v>0.17266942572318544</v>
      </c>
      <c r="BP830" s="29">
        <f t="shared" ca="1" si="184"/>
        <v>162</v>
      </c>
      <c r="BR830" s="22">
        <v>45375</v>
      </c>
      <c r="BS830" s="26">
        <f t="shared" ca="1" si="151"/>
        <v>0.41305516970028344</v>
      </c>
      <c r="BT830" s="29">
        <f t="shared" ca="1" si="185"/>
        <v>152</v>
      </c>
      <c r="BV830" s="22">
        <v>45375</v>
      </c>
      <c r="BW830" s="26">
        <f t="shared" ca="1" si="152"/>
        <v>0.89283507263127615</v>
      </c>
      <c r="BX830" s="29">
        <v>0</v>
      </c>
    </row>
    <row r="831" spans="2:76" ht="12.75" x14ac:dyDescent="0.2">
      <c r="B831" s="22">
        <v>45376</v>
      </c>
      <c r="C831" s="26">
        <f t="shared" ca="1" si="135"/>
        <v>0.54955480099775866</v>
      </c>
      <c r="D831" s="29">
        <f t="shared" ca="1" si="169"/>
        <v>78</v>
      </c>
      <c r="F831" s="22"/>
      <c r="G831" s="26">
        <f t="shared" ca="1" si="136"/>
        <v>0.43108261861503017</v>
      </c>
      <c r="H831" s="29">
        <f t="shared" ca="1" si="170"/>
        <v>213</v>
      </c>
      <c r="J831" s="22">
        <v>45376</v>
      </c>
      <c r="K831" s="26">
        <f t="shared" ca="1" si="137"/>
        <v>0.64217980849751821</v>
      </c>
      <c r="L831" s="29">
        <f t="shared" ca="1" si="171"/>
        <v>154</v>
      </c>
      <c r="N831" s="22">
        <v>45376</v>
      </c>
      <c r="O831" s="26">
        <f t="shared" ca="1" si="138"/>
        <v>0.50354235423146765</v>
      </c>
      <c r="P831" s="29">
        <f t="shared" ca="1" si="172"/>
        <v>230</v>
      </c>
      <c r="R831" s="22">
        <v>45376</v>
      </c>
      <c r="S831" s="26">
        <f t="shared" ca="1" si="139"/>
        <v>0.18662359232750692</v>
      </c>
      <c r="T831" s="29">
        <f t="shared" ca="1" si="173"/>
        <v>131</v>
      </c>
      <c r="V831" s="22">
        <v>45376</v>
      </c>
      <c r="W831" s="26">
        <f t="shared" ca="1" si="140"/>
        <v>9.6022297352661434E-2</v>
      </c>
      <c r="X831" s="29">
        <f t="shared" ca="1" si="174"/>
        <v>206</v>
      </c>
      <c r="Z831" s="22">
        <v>45376</v>
      </c>
      <c r="AA831" s="26">
        <f t="shared" ca="1" si="141"/>
        <v>0.37646236215163453</v>
      </c>
      <c r="AB831" s="29">
        <f t="shared" ca="1" si="175"/>
        <v>265</v>
      </c>
      <c r="AC831"/>
      <c r="AD831" s="25"/>
      <c r="AF831" s="22">
        <v>45376</v>
      </c>
      <c r="AG831" s="26">
        <f t="shared" ca="1" si="142"/>
        <v>0.46063363372631227</v>
      </c>
      <c r="AH831" s="29">
        <f t="shared" ca="1" si="176"/>
        <v>319</v>
      </c>
      <c r="AJ831" s="22">
        <v>45376</v>
      </c>
      <c r="AK831" s="26">
        <f t="shared" ca="1" si="143"/>
        <v>0.5634497544055963</v>
      </c>
      <c r="AL831" s="29">
        <f t="shared" ca="1" si="177"/>
        <v>178</v>
      </c>
      <c r="AN831" s="22">
        <v>45376</v>
      </c>
      <c r="AO831" s="26">
        <f t="shared" ca="1" si="144"/>
        <v>0.91443965171312402</v>
      </c>
      <c r="AP831" s="29">
        <f t="shared" ca="1" si="178"/>
        <v>317</v>
      </c>
      <c r="AR831" s="22">
        <v>45376</v>
      </c>
      <c r="AS831" s="26">
        <f t="shared" ca="1" si="145"/>
        <v>0.45633834141271723</v>
      </c>
      <c r="AT831" s="29">
        <f t="shared" ca="1" si="179"/>
        <v>193</v>
      </c>
      <c r="AV831" s="22">
        <v>45376</v>
      </c>
      <c r="AW831" s="26">
        <f t="shared" ca="1" si="146"/>
        <v>0.97509835356615793</v>
      </c>
      <c r="AX831" s="29">
        <f t="shared" ca="1" si="180"/>
        <v>313</v>
      </c>
      <c r="AZ831" s="22">
        <v>45376</v>
      </c>
      <c r="BA831" s="26">
        <f t="shared" ca="1" si="147"/>
        <v>0.10964843904112631</v>
      </c>
      <c r="BB831" s="29">
        <f t="shared" ca="1" si="181"/>
        <v>158</v>
      </c>
      <c r="BC831"/>
      <c r="BD831" s="25"/>
      <c r="BF831" s="22">
        <v>45376</v>
      </c>
      <c r="BG831" s="26">
        <f t="shared" ca="1" si="148"/>
        <v>0.62557724012950289</v>
      </c>
      <c r="BH831" s="29">
        <f t="shared" ca="1" si="182"/>
        <v>218</v>
      </c>
      <c r="BJ831" s="22">
        <v>45376</v>
      </c>
      <c r="BK831" s="26">
        <f t="shared" ca="1" si="149"/>
        <v>0.27310381289432539</v>
      </c>
      <c r="BL831" s="29">
        <f t="shared" ca="1" si="183"/>
        <v>142</v>
      </c>
      <c r="BN831" s="22">
        <v>45376</v>
      </c>
      <c r="BO831" s="26">
        <f t="shared" ca="1" si="150"/>
        <v>0.18266513655950578</v>
      </c>
      <c r="BP831" s="29">
        <f t="shared" ca="1" si="184"/>
        <v>164</v>
      </c>
      <c r="BR831" s="22">
        <v>45376</v>
      </c>
      <c r="BS831" s="26">
        <f t="shared" ca="1" si="151"/>
        <v>0.13953197489237279</v>
      </c>
      <c r="BT831" s="29">
        <f t="shared" ca="1" si="185"/>
        <v>115</v>
      </c>
      <c r="BV831" s="22">
        <v>45376</v>
      </c>
      <c r="BW831" s="26">
        <f t="shared" ca="1" si="152"/>
        <v>0.52742654119814514</v>
      </c>
      <c r="BX831" s="29">
        <v>0</v>
      </c>
    </row>
    <row r="832" spans="2:76" ht="12.75" x14ac:dyDescent="0.2">
      <c r="B832" s="22">
        <v>45377</v>
      </c>
      <c r="C832" s="26">
        <f t="shared" ca="1" si="135"/>
        <v>0.32082055472655091</v>
      </c>
      <c r="D832" s="29">
        <f t="shared" ca="1" si="169"/>
        <v>66</v>
      </c>
      <c r="F832" s="22"/>
      <c r="G832" s="26">
        <f t="shared" ca="1" si="136"/>
        <v>0.36743167042173641</v>
      </c>
      <c r="H832" s="29">
        <f t="shared" ca="1" si="170"/>
        <v>211</v>
      </c>
      <c r="J832" s="22">
        <v>45377</v>
      </c>
      <c r="K832" s="26">
        <f t="shared" ca="1" si="137"/>
        <v>4.8268009778856813E-3</v>
      </c>
      <c r="L832" s="29">
        <f t="shared" ca="1" si="171"/>
        <v>125</v>
      </c>
      <c r="N832" s="22">
        <v>45377</v>
      </c>
      <c r="O832" s="26">
        <f t="shared" ca="1" si="138"/>
        <v>5.9586311392797908E-2</v>
      </c>
      <c r="P832" s="29">
        <f t="shared" ca="1" si="172"/>
        <v>206</v>
      </c>
      <c r="R832" s="22">
        <v>45377</v>
      </c>
      <c r="S832" s="26">
        <f t="shared" ca="1" si="139"/>
        <v>0.93833464999548921</v>
      </c>
      <c r="T832" s="29">
        <f t="shared" ca="1" si="173"/>
        <v>154</v>
      </c>
      <c r="V832" s="22">
        <v>45377</v>
      </c>
      <c r="W832" s="26">
        <f t="shared" ca="1" si="140"/>
        <v>5.281497554408987E-2</v>
      </c>
      <c r="X832" s="29">
        <f t="shared" ca="1" si="174"/>
        <v>201</v>
      </c>
      <c r="Z832" s="22">
        <v>45377</v>
      </c>
      <c r="AA832" s="26">
        <f t="shared" ca="1" si="141"/>
        <v>2.9671733809101597E-2</v>
      </c>
      <c r="AB832" s="29">
        <f t="shared" ca="1" si="175"/>
        <v>237</v>
      </c>
      <c r="AC832"/>
      <c r="AD832" s="25"/>
      <c r="AF832" s="22">
        <v>45377</v>
      </c>
      <c r="AG832" s="26">
        <f t="shared" ca="1" si="142"/>
        <v>0.17842730777302829</v>
      </c>
      <c r="AH832" s="29">
        <f t="shared" ca="1" si="176"/>
        <v>247</v>
      </c>
      <c r="AJ832" s="22">
        <v>45377</v>
      </c>
      <c r="AK832" s="26">
        <f t="shared" ca="1" si="143"/>
        <v>0.40644832333607228</v>
      </c>
      <c r="AL832" s="29">
        <f t="shared" ca="1" si="177"/>
        <v>160</v>
      </c>
      <c r="AN832" s="22">
        <v>45377</v>
      </c>
      <c r="AO832" s="26">
        <f t="shared" ca="1" si="144"/>
        <v>8.4147213237239282E-2</v>
      </c>
      <c r="AP832" s="29">
        <f t="shared" ca="1" si="178"/>
        <v>147</v>
      </c>
      <c r="AR832" s="22">
        <v>45377</v>
      </c>
      <c r="AS832" s="26">
        <f t="shared" ca="1" si="145"/>
        <v>0.78970103107081679</v>
      </c>
      <c r="AT832" s="29">
        <f t="shared" ca="1" si="179"/>
        <v>241</v>
      </c>
      <c r="AV832" s="22">
        <v>45377</v>
      </c>
      <c r="AW832" s="26">
        <f t="shared" ca="1" si="146"/>
        <v>0.6961255042009078</v>
      </c>
      <c r="AX832" s="29">
        <f t="shared" ca="1" si="180"/>
        <v>234</v>
      </c>
      <c r="AZ832" s="22">
        <v>45377</v>
      </c>
      <c r="BA832" s="26">
        <f t="shared" ca="1" si="147"/>
        <v>0.48400661318699179</v>
      </c>
      <c r="BB832" s="29">
        <f t="shared" ca="1" si="181"/>
        <v>232</v>
      </c>
      <c r="BC832"/>
      <c r="BD832" s="25"/>
      <c r="BF832" s="22">
        <v>45377</v>
      </c>
      <c r="BG832" s="26">
        <f t="shared" ca="1" si="148"/>
        <v>0.87329954409239108</v>
      </c>
      <c r="BH832" s="29">
        <f t="shared" ca="1" si="182"/>
        <v>262</v>
      </c>
      <c r="BJ832" s="22">
        <v>45377</v>
      </c>
      <c r="BK832" s="26">
        <f t="shared" ca="1" si="149"/>
        <v>0.82405636197775189</v>
      </c>
      <c r="BL832" s="29">
        <f t="shared" ca="1" si="183"/>
        <v>211</v>
      </c>
      <c r="BN832" s="22">
        <v>45377</v>
      </c>
      <c r="BO832" s="26">
        <f t="shared" ca="1" si="150"/>
        <v>0.3771135934334503</v>
      </c>
      <c r="BP832" s="29">
        <f t="shared" ca="1" si="184"/>
        <v>198</v>
      </c>
      <c r="BR832" s="22">
        <v>45377</v>
      </c>
      <c r="BS832" s="26">
        <f t="shared" ca="1" si="151"/>
        <v>0.51003266907988232</v>
      </c>
      <c r="BT832" s="29">
        <f t="shared" ca="1" si="185"/>
        <v>162</v>
      </c>
      <c r="BV832" s="22">
        <v>45377</v>
      </c>
      <c r="BW832" s="26">
        <f t="shared" ca="1" si="152"/>
        <v>0.51536222760460271</v>
      </c>
      <c r="BX832" s="29">
        <v>0</v>
      </c>
    </row>
    <row r="833" spans="2:77" ht="12.75" x14ac:dyDescent="0.2">
      <c r="B833" s="22">
        <v>45378</v>
      </c>
      <c r="C833" s="26">
        <f t="shared" ca="1" si="135"/>
        <v>0.6056848601239444</v>
      </c>
      <c r="D833" s="29">
        <f t="shared" ca="1" si="169"/>
        <v>81</v>
      </c>
      <c r="F833" s="22"/>
      <c r="G833" s="26">
        <f t="shared" ca="1" si="136"/>
        <v>0.72988920664647017</v>
      </c>
      <c r="H833" s="29">
        <f t="shared" ca="1" si="170"/>
        <v>225</v>
      </c>
      <c r="J833" s="22">
        <v>45378</v>
      </c>
      <c r="K833" s="26">
        <f t="shared" ca="1" si="137"/>
        <v>0.82750829279471239</v>
      </c>
      <c r="L833" s="29">
        <f t="shared" ca="1" si="171"/>
        <v>160</v>
      </c>
      <c r="N833" s="22">
        <v>45378</v>
      </c>
      <c r="O833" s="26">
        <f t="shared" ca="1" si="138"/>
        <v>0.45638762964568091</v>
      </c>
      <c r="P833" s="29">
        <f t="shared" ca="1" si="172"/>
        <v>228</v>
      </c>
      <c r="R833" s="22">
        <v>45378</v>
      </c>
      <c r="S833" s="26">
        <f t="shared" ca="1" si="139"/>
        <v>0.5495719704750649</v>
      </c>
      <c r="T833" s="29">
        <f t="shared" ca="1" si="173"/>
        <v>140</v>
      </c>
      <c r="V833" s="22">
        <v>45378</v>
      </c>
      <c r="W833" s="26">
        <f t="shared" ca="1" si="140"/>
        <v>0.31510359890666062</v>
      </c>
      <c r="X833" s="29">
        <f t="shared" ca="1" si="174"/>
        <v>218</v>
      </c>
      <c r="Z833" s="22">
        <v>45378</v>
      </c>
      <c r="AA833" s="26">
        <f t="shared" ca="1" si="141"/>
        <v>0.19795122149392841</v>
      </c>
      <c r="AB833" s="29">
        <f t="shared" ca="1" si="175"/>
        <v>255</v>
      </c>
      <c r="AC833"/>
      <c r="AD833" s="25"/>
      <c r="AF833" s="22">
        <v>45378</v>
      </c>
      <c r="AG833" s="26">
        <f t="shared" ca="1" si="142"/>
        <v>0.74757476018930602</v>
      </c>
      <c r="AH833" s="29">
        <f t="shared" ca="1" si="176"/>
        <v>386</v>
      </c>
      <c r="AJ833" s="22">
        <v>45378</v>
      </c>
      <c r="AK833" s="26">
        <f t="shared" ca="1" si="143"/>
        <v>0.19979768429992861</v>
      </c>
      <c r="AL833" s="29">
        <f t="shared" ca="1" si="177"/>
        <v>133</v>
      </c>
      <c r="AN833" s="22">
        <v>45378</v>
      </c>
      <c r="AO833" s="26">
        <f t="shared" ca="1" si="144"/>
        <v>0.66648428299817275</v>
      </c>
      <c r="AP833" s="29">
        <f t="shared" ca="1" si="178"/>
        <v>259</v>
      </c>
      <c r="AR833" s="22">
        <v>45378</v>
      </c>
      <c r="AS833" s="26">
        <f t="shared" ca="1" si="145"/>
        <v>0.33013058503068449</v>
      </c>
      <c r="AT833" s="29">
        <f t="shared" ca="1" si="179"/>
        <v>175</v>
      </c>
      <c r="AV833" s="22">
        <v>45378</v>
      </c>
      <c r="AW833" s="26">
        <f t="shared" ca="1" si="146"/>
        <v>0.88484453003644525</v>
      </c>
      <c r="AX833" s="29">
        <f t="shared" ca="1" si="180"/>
        <v>272</v>
      </c>
      <c r="AZ833" s="22">
        <v>45378</v>
      </c>
      <c r="BA833" s="26">
        <f t="shared" ca="1" si="147"/>
        <v>0.42807249085685684</v>
      </c>
      <c r="BB833" s="29">
        <f t="shared" ca="1" si="181"/>
        <v>223</v>
      </c>
      <c r="BC833"/>
      <c r="BD833" s="25"/>
      <c r="BF833" s="22">
        <v>45378</v>
      </c>
      <c r="BG833" s="26">
        <f t="shared" ca="1" si="148"/>
        <v>0.24117550078038841</v>
      </c>
      <c r="BH833" s="29">
        <f t="shared" ca="1" si="182"/>
        <v>163</v>
      </c>
      <c r="BJ833" s="22">
        <v>45378</v>
      </c>
      <c r="BK833" s="26">
        <f t="shared" ca="1" si="149"/>
        <v>0.64561296111418731</v>
      </c>
      <c r="BL833" s="29">
        <f t="shared" ca="1" si="183"/>
        <v>186</v>
      </c>
      <c r="BN833" s="22">
        <v>45378</v>
      </c>
      <c r="BO833" s="26">
        <f t="shared" ca="1" si="150"/>
        <v>0.38608615706417626</v>
      </c>
      <c r="BP833" s="29">
        <f t="shared" ca="1" si="184"/>
        <v>200</v>
      </c>
      <c r="BR833" s="22">
        <v>45378</v>
      </c>
      <c r="BS833" s="26">
        <f t="shared" ca="1" si="151"/>
        <v>0.96888271104029522</v>
      </c>
      <c r="BT833" s="29">
        <f t="shared" ca="1" si="185"/>
        <v>241</v>
      </c>
      <c r="BV833" s="22">
        <v>45378</v>
      </c>
      <c r="BW833" s="26">
        <f t="shared" ca="1" si="152"/>
        <v>0.60058564378554757</v>
      </c>
      <c r="BX833" s="29">
        <v>0</v>
      </c>
    </row>
    <row r="834" spans="2:77" ht="12.75" x14ac:dyDescent="0.2">
      <c r="B834" s="22">
        <v>45379</v>
      </c>
      <c r="C834" s="26">
        <f t="shared" ca="1" si="135"/>
        <v>0.17802176129000746</v>
      </c>
      <c r="D834" s="29">
        <f t="shared" ca="1" si="169"/>
        <v>57</v>
      </c>
      <c r="F834" s="22"/>
      <c r="G834" s="26">
        <f t="shared" ca="1" si="136"/>
        <v>0.4129403439817263</v>
      </c>
      <c r="H834" s="29">
        <f t="shared" ca="1" si="170"/>
        <v>213</v>
      </c>
      <c r="J834" s="22">
        <v>45379</v>
      </c>
      <c r="K834" s="26">
        <f t="shared" ca="1" si="137"/>
        <v>0.14093381076372946</v>
      </c>
      <c r="L834" s="29">
        <f t="shared" ca="1" si="171"/>
        <v>140</v>
      </c>
      <c r="N834" s="22">
        <v>45379</v>
      </c>
      <c r="O834" s="26">
        <f t="shared" ca="1" si="138"/>
        <v>0.76447920998827212</v>
      </c>
      <c r="P834" s="29">
        <f t="shared" ca="1" si="172"/>
        <v>241</v>
      </c>
      <c r="R834" s="22">
        <v>45379</v>
      </c>
      <c r="S834" s="26">
        <f t="shared" ca="1" si="139"/>
        <v>0.37725525481323907</v>
      </c>
      <c r="T834" s="29">
        <f t="shared" ca="1" si="173"/>
        <v>136</v>
      </c>
      <c r="V834" s="22">
        <v>45379</v>
      </c>
      <c r="W834" s="26">
        <f t="shared" ca="1" si="140"/>
        <v>0.14707210905061985</v>
      </c>
      <c r="X834" s="29">
        <f t="shared" ca="1" si="174"/>
        <v>210</v>
      </c>
      <c r="Z834" s="22">
        <v>45379</v>
      </c>
      <c r="AA834" s="26">
        <f t="shared" ca="1" si="141"/>
        <v>7.8312058315842203E-2</v>
      </c>
      <c r="AB834" s="29">
        <f t="shared" ca="1" si="175"/>
        <v>245</v>
      </c>
      <c r="AC834"/>
      <c r="AD834" s="25"/>
      <c r="AF834" s="22">
        <v>45379</v>
      </c>
      <c r="AG834" s="26">
        <f t="shared" ca="1" si="142"/>
        <v>0.4004219945765386</v>
      </c>
      <c r="AH834" s="29">
        <f t="shared" ca="1" si="176"/>
        <v>306</v>
      </c>
      <c r="AJ834" s="22">
        <v>45379</v>
      </c>
      <c r="AK834" s="26">
        <f t="shared" ca="1" si="143"/>
        <v>8.3749645389382898E-2</v>
      </c>
      <c r="AL834" s="29">
        <f t="shared" ca="1" si="177"/>
        <v>108</v>
      </c>
      <c r="AN834" s="22">
        <v>45379</v>
      </c>
      <c r="AO834" s="26">
        <f t="shared" ca="1" si="144"/>
        <v>0.65389742238224313</v>
      </c>
      <c r="AP834" s="29">
        <f t="shared" ca="1" si="178"/>
        <v>257</v>
      </c>
      <c r="AR834" s="22">
        <v>45379</v>
      </c>
      <c r="AS834" s="26">
        <f t="shared" ca="1" si="145"/>
        <v>2.6811252937933183E-2</v>
      </c>
      <c r="AT834" s="29">
        <f t="shared" ca="1" si="179"/>
        <v>97</v>
      </c>
      <c r="AV834" s="22">
        <v>45379</v>
      </c>
      <c r="AW834" s="26">
        <f t="shared" ca="1" si="146"/>
        <v>0.98460298033960292</v>
      </c>
      <c r="AX834" s="29">
        <f t="shared" ca="1" si="180"/>
        <v>324</v>
      </c>
      <c r="AZ834" s="22">
        <v>45379</v>
      </c>
      <c r="BA834" s="26">
        <f t="shared" ca="1" si="147"/>
        <v>0.36323997388259066</v>
      </c>
      <c r="BB834" s="29">
        <f t="shared" ca="1" si="181"/>
        <v>212</v>
      </c>
      <c r="BC834"/>
      <c r="BD834" s="25"/>
      <c r="BF834" s="22">
        <v>45379</v>
      </c>
      <c r="BG834" s="26">
        <f t="shared" ca="1" si="148"/>
        <v>0.92241736125833051</v>
      </c>
      <c r="BH834" s="29">
        <f t="shared" ca="1" si="182"/>
        <v>277</v>
      </c>
      <c r="BJ834" s="22">
        <v>45379</v>
      </c>
      <c r="BK834" s="26">
        <f t="shared" ca="1" si="149"/>
        <v>0.77761097743705032</v>
      </c>
      <c r="BL834" s="29">
        <f t="shared" ca="1" si="183"/>
        <v>203</v>
      </c>
      <c r="BN834" s="22">
        <v>45379</v>
      </c>
      <c r="BO834" s="26">
        <f t="shared" ca="1" si="150"/>
        <v>0.38801818463309568</v>
      </c>
      <c r="BP834" s="29">
        <f t="shared" ca="1" si="184"/>
        <v>200</v>
      </c>
      <c r="BR834" s="22">
        <v>45379</v>
      </c>
      <c r="BS834" s="26">
        <f t="shared" ca="1" si="151"/>
        <v>0.85093551554115865</v>
      </c>
      <c r="BT834" s="29">
        <f t="shared" ca="1" si="185"/>
        <v>206</v>
      </c>
      <c r="BV834" s="22">
        <v>45379</v>
      </c>
      <c r="BW834" s="26">
        <f t="shared" ca="1" si="152"/>
        <v>0.81453515859782299</v>
      </c>
      <c r="BX834" s="29">
        <v>0</v>
      </c>
    </row>
    <row r="835" spans="2:77" ht="12.75" x14ac:dyDescent="0.2">
      <c r="B835" s="22">
        <v>45380</v>
      </c>
      <c r="C835" s="26">
        <f t="shared" ca="1" si="135"/>
        <v>0.16972037524547801</v>
      </c>
      <c r="D835" s="29">
        <f t="shared" ca="1" si="169"/>
        <v>56</v>
      </c>
      <c r="F835" s="22"/>
      <c r="G835" s="26">
        <f t="shared" ca="1" si="136"/>
        <v>0.30309961875529046</v>
      </c>
      <c r="H835" s="29">
        <f t="shared" ca="1" si="170"/>
        <v>208</v>
      </c>
      <c r="J835" s="22">
        <v>45380</v>
      </c>
      <c r="K835" s="26">
        <f t="shared" ca="1" si="137"/>
        <v>0.33443768683336439</v>
      </c>
      <c r="L835" s="29">
        <f t="shared" ca="1" si="171"/>
        <v>146</v>
      </c>
      <c r="N835" s="22">
        <v>45380</v>
      </c>
      <c r="O835" s="26">
        <f t="shared" ca="1" si="138"/>
        <v>0.5041112835440148</v>
      </c>
      <c r="P835" s="29">
        <f t="shared" ca="1" si="172"/>
        <v>230</v>
      </c>
      <c r="R835" s="22">
        <v>45380</v>
      </c>
      <c r="S835" s="26">
        <f t="shared" ca="1" si="139"/>
        <v>0.37783365122132162</v>
      </c>
      <c r="T835" s="29">
        <f t="shared" ca="1" si="173"/>
        <v>136</v>
      </c>
      <c r="V835" s="22">
        <v>45380</v>
      </c>
      <c r="W835" s="26">
        <f t="shared" ca="1" si="140"/>
        <v>4.5262968415612836E-2</v>
      </c>
      <c r="X835" s="29">
        <f t="shared" ca="1" si="174"/>
        <v>200</v>
      </c>
      <c r="Z835" s="22">
        <v>45380</v>
      </c>
      <c r="AA835" s="26">
        <f t="shared" ca="1" si="141"/>
        <v>0.20851157358534089</v>
      </c>
      <c r="AB835" s="29">
        <f t="shared" ca="1" si="175"/>
        <v>256</v>
      </c>
      <c r="AC835"/>
      <c r="AD835" s="25"/>
      <c r="AF835" s="22">
        <v>45380</v>
      </c>
      <c r="AG835" s="26">
        <f t="shared" ca="1" si="142"/>
        <v>0.91647493707134153</v>
      </c>
      <c r="AH835" s="29">
        <f t="shared" ca="1" si="176"/>
        <v>448</v>
      </c>
      <c r="AJ835" s="22">
        <v>45380</v>
      </c>
      <c r="AK835" s="26">
        <f t="shared" ca="1" si="143"/>
        <v>0.2120764854761289</v>
      </c>
      <c r="AL835" s="29">
        <f t="shared" ca="1" si="177"/>
        <v>135</v>
      </c>
      <c r="AN835" s="22">
        <v>45380</v>
      </c>
      <c r="AO835" s="26">
        <f t="shared" ca="1" si="144"/>
        <v>0.12027217593552519</v>
      </c>
      <c r="AP835" s="29">
        <f t="shared" ca="1" si="178"/>
        <v>160</v>
      </c>
      <c r="AR835" s="22">
        <v>45380</v>
      </c>
      <c r="AS835" s="26">
        <f t="shared" ca="1" si="145"/>
        <v>7.2801259973557242E-2</v>
      </c>
      <c r="AT835" s="29">
        <f t="shared" ca="1" si="179"/>
        <v>122</v>
      </c>
      <c r="AV835" s="22">
        <v>45380</v>
      </c>
      <c r="AW835" s="26">
        <f t="shared" ca="1" si="146"/>
        <v>0.20631902466270358</v>
      </c>
      <c r="AX835" s="29">
        <f t="shared" ca="1" si="180"/>
        <v>161</v>
      </c>
      <c r="AZ835" s="22">
        <v>45380</v>
      </c>
      <c r="BA835" s="26">
        <f t="shared" ca="1" si="147"/>
        <v>0.76629814164353327</v>
      </c>
      <c r="BB835" s="29">
        <f t="shared" ca="1" si="181"/>
        <v>279</v>
      </c>
      <c r="BC835"/>
      <c r="BD835" s="25"/>
      <c r="BF835" s="22">
        <v>45380</v>
      </c>
      <c r="BG835" s="26">
        <f t="shared" ca="1" si="148"/>
        <v>0.14863340204186726</v>
      </c>
      <c r="BH835" s="29">
        <f t="shared" ca="1" si="182"/>
        <v>145</v>
      </c>
      <c r="BJ835" s="22">
        <v>45380</v>
      </c>
      <c r="BK835" s="26">
        <f t="shared" ca="1" si="149"/>
        <v>0.21673195570679671</v>
      </c>
      <c r="BL835" s="29">
        <f t="shared" ca="1" si="183"/>
        <v>134</v>
      </c>
      <c r="BN835" s="22">
        <v>45380</v>
      </c>
      <c r="BO835" s="26">
        <f t="shared" ca="1" si="150"/>
        <v>0.33934138594195107</v>
      </c>
      <c r="BP835" s="29">
        <f t="shared" ca="1" si="184"/>
        <v>192</v>
      </c>
      <c r="BR835" s="22">
        <v>45380</v>
      </c>
      <c r="BS835" s="26">
        <f t="shared" ca="1" si="151"/>
        <v>0.97786401471826823</v>
      </c>
      <c r="BT835" s="29">
        <f t="shared" ca="1" si="185"/>
        <v>247</v>
      </c>
      <c r="BV835" s="22">
        <v>45380</v>
      </c>
      <c r="BW835" s="26">
        <f t="shared" ca="1" si="152"/>
        <v>0.21555633774051375</v>
      </c>
      <c r="BX835" s="29">
        <v>0</v>
      </c>
    </row>
    <row r="836" spans="2:77" ht="12.75" x14ac:dyDescent="0.2">
      <c r="B836" s="22">
        <v>45381</v>
      </c>
      <c r="C836" s="26">
        <f t="shared" ca="1" si="135"/>
        <v>0.91361331573329574</v>
      </c>
      <c r="D836" s="29">
        <f t="shared" ca="1" si="169"/>
        <v>103</v>
      </c>
      <c r="F836" s="22"/>
      <c r="G836" s="26">
        <f t="shared" ca="1" si="136"/>
        <v>0.10806110519511858</v>
      </c>
      <c r="H836" s="29">
        <f t="shared" ca="1" si="170"/>
        <v>198</v>
      </c>
      <c r="J836" s="22">
        <v>45381</v>
      </c>
      <c r="K836" s="26">
        <f t="shared" ca="1" si="137"/>
        <v>4.4751402308833566E-3</v>
      </c>
      <c r="L836" s="29">
        <f t="shared" ca="1" si="171"/>
        <v>124</v>
      </c>
      <c r="N836" s="22">
        <v>45381</v>
      </c>
      <c r="O836" s="26">
        <f t="shared" ca="1" si="138"/>
        <v>0.46328057542885781</v>
      </c>
      <c r="P836" s="29">
        <f t="shared" ca="1" si="172"/>
        <v>228</v>
      </c>
      <c r="R836" s="22">
        <v>45381</v>
      </c>
      <c r="S836" s="26">
        <f t="shared" ca="1" si="139"/>
        <v>0.10285051016684144</v>
      </c>
      <c r="T836" s="29">
        <f t="shared" ca="1" si="173"/>
        <v>128</v>
      </c>
      <c r="V836" s="22">
        <v>45381</v>
      </c>
      <c r="W836" s="26">
        <f t="shared" ca="1" si="140"/>
        <v>0.72520764560942974</v>
      </c>
      <c r="X836" s="29">
        <f t="shared" ca="1" si="174"/>
        <v>234</v>
      </c>
      <c r="Z836" s="22">
        <v>45381</v>
      </c>
      <c r="AA836" s="26">
        <f t="shared" ca="1" si="141"/>
        <v>0.34778170313939272</v>
      </c>
      <c r="AB836" s="29">
        <f t="shared" ca="1" si="175"/>
        <v>263</v>
      </c>
      <c r="AC836"/>
      <c r="AD836" s="25"/>
      <c r="AF836" s="22">
        <v>45381</v>
      </c>
      <c r="AG836" s="26">
        <f t="shared" ca="1" si="142"/>
        <v>0.11351612993942517</v>
      </c>
      <c r="AH836" s="29">
        <f t="shared" ca="1" si="176"/>
        <v>222</v>
      </c>
      <c r="AJ836" s="22">
        <v>45381</v>
      </c>
      <c r="AK836" s="26">
        <f t="shared" ca="1" si="143"/>
        <v>0.86368454232086078</v>
      </c>
      <c r="AL836" s="29">
        <f t="shared" ca="1" si="177"/>
        <v>221</v>
      </c>
      <c r="AN836" s="22">
        <v>45381</v>
      </c>
      <c r="AO836" s="26">
        <f t="shared" ca="1" si="144"/>
        <v>0.40619149602057369</v>
      </c>
      <c r="AP836" s="29">
        <f t="shared" ca="1" si="178"/>
        <v>218</v>
      </c>
      <c r="AR836" s="22">
        <v>45381</v>
      </c>
      <c r="AS836" s="26">
        <f t="shared" ca="1" si="145"/>
        <v>0.59681906884482883</v>
      </c>
      <c r="AT836" s="29">
        <f t="shared" ca="1" si="179"/>
        <v>211</v>
      </c>
      <c r="AV836" s="22">
        <v>45381</v>
      </c>
      <c r="AW836" s="26">
        <f t="shared" ca="1" si="146"/>
        <v>0.66938686453197938</v>
      </c>
      <c r="AX836" s="29">
        <f t="shared" ca="1" si="180"/>
        <v>230</v>
      </c>
      <c r="AZ836" s="22">
        <v>45381</v>
      </c>
      <c r="BA836" s="26">
        <f t="shared" ca="1" si="147"/>
        <v>0.95296916611543203</v>
      </c>
      <c r="BB836" s="29">
        <f t="shared" ca="1" si="181"/>
        <v>338</v>
      </c>
      <c r="BC836"/>
      <c r="BD836" s="25"/>
      <c r="BF836" s="22">
        <v>45381</v>
      </c>
      <c r="BG836" s="26">
        <f t="shared" ca="1" si="148"/>
        <v>4.1267291700690656E-2</v>
      </c>
      <c r="BH836" s="29">
        <f t="shared" ca="1" si="182"/>
        <v>108</v>
      </c>
      <c r="BJ836" s="22">
        <v>45381</v>
      </c>
      <c r="BK836" s="26">
        <f t="shared" ca="1" si="149"/>
        <v>0.55986480343371658</v>
      </c>
      <c r="BL836" s="29">
        <f t="shared" ca="1" si="183"/>
        <v>176</v>
      </c>
      <c r="BN836" s="22">
        <v>45381</v>
      </c>
      <c r="BO836" s="26">
        <f t="shared" ca="1" si="150"/>
        <v>0.49052957901743366</v>
      </c>
      <c r="BP836" s="29">
        <f t="shared" ca="1" si="184"/>
        <v>215</v>
      </c>
      <c r="BR836" s="22">
        <v>45381</v>
      </c>
      <c r="BS836" s="26">
        <f t="shared" ca="1" si="151"/>
        <v>0.22113089509133721</v>
      </c>
      <c r="BT836" s="29">
        <f t="shared" ca="1" si="185"/>
        <v>128</v>
      </c>
      <c r="BV836" s="22">
        <v>45381</v>
      </c>
      <c r="BW836" s="26">
        <f t="shared" ca="1" si="152"/>
        <v>0.94409888609297921</v>
      </c>
      <c r="BX836" s="29">
        <v>0</v>
      </c>
    </row>
    <row r="837" spans="2:77" ht="12.75" x14ac:dyDescent="0.2">
      <c r="B837" s="22">
        <v>45382</v>
      </c>
      <c r="C837" s="26">
        <f t="shared" ca="1" si="135"/>
        <v>0.71825795657492331</v>
      </c>
      <c r="D837" s="29">
        <f t="shared" ca="1" si="169"/>
        <v>87</v>
      </c>
      <c r="E837">
        <v>2212</v>
      </c>
      <c r="F837" s="22"/>
      <c r="G837" s="26">
        <f t="shared" ca="1" si="136"/>
        <v>0.70247533186857558</v>
      </c>
      <c r="H837" s="29">
        <f t="shared" ca="1" si="170"/>
        <v>224</v>
      </c>
      <c r="I837">
        <v>2371</v>
      </c>
      <c r="J837" s="22">
        <v>45382</v>
      </c>
      <c r="K837" s="26">
        <f t="shared" ca="1" si="137"/>
        <v>0.70066166167846211</v>
      </c>
      <c r="L837" s="29">
        <f t="shared" ca="1" si="171"/>
        <v>156</v>
      </c>
      <c r="M837">
        <v>4585</v>
      </c>
      <c r="N837" s="22">
        <v>45382</v>
      </c>
      <c r="O837" s="26">
        <f t="shared" ca="1" si="138"/>
        <v>0.43583929694655887</v>
      </c>
      <c r="P837" s="29">
        <f t="shared" ca="1" si="172"/>
        <v>227</v>
      </c>
      <c r="Q837">
        <v>7170</v>
      </c>
      <c r="R837" s="22">
        <v>45382</v>
      </c>
      <c r="S837" s="26">
        <f t="shared" ca="1" si="139"/>
        <v>0.74096393450860165</v>
      </c>
      <c r="T837" s="29">
        <f t="shared" ca="1" si="173"/>
        <v>145</v>
      </c>
      <c r="U837">
        <v>4337</v>
      </c>
      <c r="V837" s="22">
        <v>45382</v>
      </c>
      <c r="W837" s="26">
        <f t="shared" ca="1" si="140"/>
        <v>0.38609782648742474</v>
      </c>
      <c r="X837" s="29">
        <f t="shared" ca="1" si="174"/>
        <v>221</v>
      </c>
      <c r="Y837">
        <v>6977</v>
      </c>
      <c r="Z837" s="22">
        <v>45382</v>
      </c>
      <c r="AA837" s="26">
        <f t="shared" ca="1" si="141"/>
        <v>0.49599968068974398</v>
      </c>
      <c r="AB837" s="29">
        <f t="shared" ca="1" si="175"/>
        <v>270</v>
      </c>
      <c r="AC837">
        <v>8418</v>
      </c>
      <c r="AD837" s="25"/>
      <c r="AF837" s="22">
        <v>45382</v>
      </c>
      <c r="AG837" s="26">
        <f t="shared" ca="1" si="142"/>
        <v>0.80714259953417355</v>
      </c>
      <c r="AH837" s="29">
        <f t="shared" ca="1" si="176"/>
        <v>403</v>
      </c>
      <c r="AI837">
        <v>9657</v>
      </c>
      <c r="AJ837" s="22">
        <v>45382</v>
      </c>
      <c r="AK837" s="26">
        <f t="shared" ca="1" si="143"/>
        <v>0.93472227358822413</v>
      </c>
      <c r="AL837" s="29">
        <f t="shared" ca="1" si="177"/>
        <v>240</v>
      </c>
      <c r="AM837">
        <v>5846</v>
      </c>
      <c r="AN837" s="22">
        <v>45382</v>
      </c>
      <c r="AO837" s="26">
        <f t="shared" ca="1" si="144"/>
        <v>0.51475685081270661</v>
      </c>
      <c r="AP837" s="29">
        <f t="shared" ca="1" si="178"/>
        <v>235</v>
      </c>
      <c r="AQ837">
        <v>4678</v>
      </c>
      <c r="AR837" s="22">
        <v>45382</v>
      </c>
      <c r="AS837" s="26">
        <f t="shared" ca="1" si="145"/>
        <v>0.53373361223758209</v>
      </c>
      <c r="AT837" s="29">
        <f t="shared" ca="1" si="179"/>
        <v>203</v>
      </c>
      <c r="AU837">
        <v>6720</v>
      </c>
      <c r="AV837" s="22">
        <v>45382</v>
      </c>
      <c r="AW837" s="26">
        <f t="shared" ca="1" si="146"/>
        <v>0.41878635321864399</v>
      </c>
      <c r="AX837" s="29">
        <f t="shared" ca="1" si="180"/>
        <v>195</v>
      </c>
      <c r="AY837">
        <v>5338</v>
      </c>
      <c r="AZ837" s="22">
        <v>45382</v>
      </c>
      <c r="BA837" s="26">
        <f t="shared" ca="1" si="147"/>
        <v>0.23885551978689878</v>
      </c>
      <c r="BB837" s="29">
        <f t="shared" ca="1" si="181"/>
        <v>190</v>
      </c>
      <c r="BC837">
        <v>5855</v>
      </c>
      <c r="BD837" s="25"/>
      <c r="BF837" s="22">
        <v>45382</v>
      </c>
      <c r="BG837" s="26">
        <f t="shared" ca="1" si="148"/>
        <v>5.0255208509951577E-2</v>
      </c>
      <c r="BH837" s="29">
        <f t="shared" ca="1" si="182"/>
        <v>113</v>
      </c>
      <c r="BI837">
        <v>5212</v>
      </c>
      <c r="BJ837" s="22">
        <v>45382</v>
      </c>
      <c r="BK837" s="26">
        <f t="shared" ca="1" si="149"/>
        <v>0.64287312405328345</v>
      </c>
      <c r="BL837" s="29">
        <f t="shared" ca="1" si="183"/>
        <v>186</v>
      </c>
      <c r="BM837">
        <v>5086</v>
      </c>
      <c r="BN837" s="22">
        <v>45382</v>
      </c>
      <c r="BO837" s="26">
        <f t="shared" ca="1" si="150"/>
        <v>0.68905642278124624</v>
      </c>
      <c r="BP837" s="29">
        <f t="shared" ca="1" si="184"/>
        <v>245</v>
      </c>
      <c r="BQ837">
        <v>4314</v>
      </c>
      <c r="BR837" s="22">
        <v>45382</v>
      </c>
      <c r="BS837" s="26">
        <f t="shared" ca="1" si="151"/>
        <v>0.37425449477684947</v>
      </c>
      <c r="BT837" s="29">
        <f t="shared" ca="1" si="185"/>
        <v>147</v>
      </c>
      <c r="BU837">
        <v>5345</v>
      </c>
      <c r="BV837" s="22">
        <v>45382</v>
      </c>
      <c r="BW837" s="26">
        <f t="shared" ca="1" si="152"/>
        <v>0.72576060660766373</v>
      </c>
      <c r="BX837" s="29">
        <v>0</v>
      </c>
      <c r="BY837">
        <v>0</v>
      </c>
    </row>
    <row r="838" spans="2:77" ht="12.75" x14ac:dyDescent="0.2">
      <c r="B838" s="22">
        <v>45383</v>
      </c>
      <c r="C838" s="26">
        <f t="shared" ca="1" si="135"/>
        <v>0.37088689982346112</v>
      </c>
      <c r="D838" s="29">
        <f ca="1">ROUNDUP(_xlfn.NORM.INV(C837,C$10,C$12),0)</f>
        <v>87</v>
      </c>
      <c r="F838" s="22"/>
      <c r="G838" s="26">
        <f t="shared" ca="1" si="136"/>
        <v>0.36487867143866581</v>
      </c>
      <c r="H838" s="29">
        <f ca="1">ROUNDUP(_xlfn.NORM.INV(G837,G$10,G$12),0)</f>
        <v>224</v>
      </c>
      <c r="J838" s="22">
        <v>45383</v>
      </c>
      <c r="K838" s="26">
        <f t="shared" ca="1" si="137"/>
        <v>0.53893100991124177</v>
      </c>
      <c r="L838" s="29">
        <f ca="1">ROUNDUP(_xlfn.NORM.INV(K837,K$10,K$12),0)</f>
        <v>156</v>
      </c>
      <c r="N838" s="22">
        <v>45383</v>
      </c>
      <c r="O838" s="26">
        <f t="shared" ca="1" si="138"/>
        <v>0.37490645192379524</v>
      </c>
      <c r="P838" s="29">
        <f ca="1">ROUNDUP(_xlfn.NORM.INV(O837,O$10,O$12),0)</f>
        <v>227</v>
      </c>
      <c r="R838" s="22">
        <v>45383</v>
      </c>
      <c r="S838" s="26">
        <f t="shared" ca="1" si="139"/>
        <v>0.22477686794217655</v>
      </c>
      <c r="T838" s="29">
        <f ca="1">ROUNDUP(_xlfn.NORM.INV(S837,S$10,S$12),0)</f>
        <v>145</v>
      </c>
      <c r="V838" s="22">
        <v>45383</v>
      </c>
      <c r="W838" s="26">
        <f t="shared" ca="1" si="140"/>
        <v>0.64429114209248151</v>
      </c>
      <c r="X838" s="29">
        <f ca="1">ROUNDUP(_xlfn.NORM.INV(W837,W$10,W$12),0)</f>
        <v>221</v>
      </c>
      <c r="Z838" s="22">
        <v>45383</v>
      </c>
      <c r="AA838" s="26">
        <f t="shared" ca="1" si="141"/>
        <v>0.81474367735919484</v>
      </c>
      <c r="AB838" s="29">
        <f ca="1">ROUNDUP(_xlfn.NORM.INV(AA837,AA$10,AA$12),0)</f>
        <v>270</v>
      </c>
      <c r="AC838"/>
      <c r="AD838" s="25"/>
      <c r="AF838" s="22">
        <v>45383</v>
      </c>
      <c r="AG838" s="26">
        <f t="shared" ca="1" si="142"/>
        <v>0.13301584338415218</v>
      </c>
      <c r="AH838" s="29">
        <f ca="1">ROUNDUP(_xlfn.NORM.INV(AG837,AG$10,AG$12),0)</f>
        <v>403</v>
      </c>
      <c r="AJ838" s="22">
        <v>45383</v>
      </c>
      <c r="AK838" s="26">
        <f t="shared" ca="1" si="143"/>
        <v>0.82382916592096977</v>
      </c>
      <c r="AL838" s="29">
        <f ca="1">ROUNDUP(_xlfn.NORM.INV(AK837,AK$10,AK$12),0)</f>
        <v>240</v>
      </c>
      <c r="AN838" s="22">
        <v>45383</v>
      </c>
      <c r="AO838" s="26">
        <f t="shared" ca="1" si="144"/>
        <v>0.48870409209385191</v>
      </c>
      <c r="AP838" s="29">
        <f ca="1">ROUNDUP(_xlfn.NORM.INV(AO837,AO$10,AO$12),0)</f>
        <v>235</v>
      </c>
      <c r="AR838" s="22">
        <v>45383</v>
      </c>
      <c r="AS838" s="26">
        <f t="shared" ca="1" si="145"/>
        <v>0.64774369650449881</v>
      </c>
      <c r="AT838" s="29">
        <f ca="1">ROUNDUP(_xlfn.NORM.INV(AS837,AS$10,AS$12),0)</f>
        <v>203</v>
      </c>
      <c r="AV838" s="22">
        <v>45383</v>
      </c>
      <c r="AW838" s="26">
        <f t="shared" ca="1" si="146"/>
        <v>0.77962732136226787</v>
      </c>
      <c r="AX838" s="29">
        <f ca="1">ROUNDUP(_xlfn.NORM.INV(AW837,AW$10,AW$12),0)</f>
        <v>195</v>
      </c>
      <c r="AZ838" s="22">
        <v>45383</v>
      </c>
      <c r="BA838" s="26">
        <f t="shared" ca="1" si="147"/>
        <v>0.33166405768990748</v>
      </c>
      <c r="BB838" s="29">
        <f ca="1">ROUNDUP(_xlfn.NORM.INV(BA837,BA$10,BA$12),0)</f>
        <v>190</v>
      </c>
      <c r="BC838"/>
      <c r="BD838" s="25"/>
      <c r="BF838" s="22">
        <v>45383</v>
      </c>
      <c r="BG838" s="26">
        <f t="shared" ca="1" si="148"/>
        <v>0.47044423069675245</v>
      </c>
      <c r="BH838" s="29">
        <f ca="1">ROUNDUP(_xlfn.NORM.INV(BG837,BG$10,BG$12),0)</f>
        <v>113</v>
      </c>
      <c r="BJ838" s="22">
        <v>45383</v>
      </c>
      <c r="BK838" s="26">
        <f t="shared" ca="1" si="149"/>
        <v>0.16004595384983511</v>
      </c>
      <c r="BL838" s="29">
        <f ca="1">ROUNDUP(_xlfn.NORM.INV(BK837,BK$10,BK$12),0)</f>
        <v>186</v>
      </c>
      <c r="BN838" s="22">
        <v>45383</v>
      </c>
      <c r="BO838" s="26">
        <f t="shared" ca="1" si="150"/>
        <v>0.58549878600422689</v>
      </c>
      <c r="BP838" s="29">
        <f ca="1">ROUNDUP(_xlfn.NORM.INV(BO837,BO$10,BO$12),0)</f>
        <v>245</v>
      </c>
      <c r="BR838" s="22">
        <v>45383</v>
      </c>
      <c r="BS838" s="26">
        <f t="shared" ca="1" si="151"/>
        <v>0.5341817241852489</v>
      </c>
      <c r="BT838" s="29">
        <f ca="1">ROUNDUP(_xlfn.NORM.INV(BS837,BS$10,BS$12),0)</f>
        <v>147</v>
      </c>
      <c r="BV838" s="22">
        <v>45383</v>
      </c>
      <c r="BW838" s="26">
        <f t="shared" ca="1" si="152"/>
        <v>0.13437905469742062</v>
      </c>
      <c r="BX838" s="29">
        <v>0</v>
      </c>
    </row>
    <row r="839" spans="2:77" ht="12.75" x14ac:dyDescent="0.2">
      <c r="B839" s="22">
        <v>45384</v>
      </c>
      <c r="C839" s="26">
        <f t="shared" ca="1" si="135"/>
        <v>0.23900152689070098</v>
      </c>
      <c r="D839" s="29">
        <f t="shared" ca="1" si="169"/>
        <v>61</v>
      </c>
      <c r="F839" s="22"/>
      <c r="G839" s="26">
        <f t="shared" ca="1" si="136"/>
        <v>0.67782434670326586</v>
      </c>
      <c r="H839" s="29">
        <f t="shared" ca="1" si="170"/>
        <v>223</v>
      </c>
      <c r="J839" s="22">
        <v>45384</v>
      </c>
      <c r="K839" s="26">
        <f t="shared" ca="1" si="137"/>
        <v>0.93244601901216839</v>
      </c>
      <c r="L839" s="29">
        <f t="shared" ca="1" si="171"/>
        <v>165</v>
      </c>
      <c r="N839" s="22">
        <v>45384</v>
      </c>
      <c r="O839" s="26">
        <f t="shared" ca="1" si="138"/>
        <v>0.1430988439373968</v>
      </c>
      <c r="P839" s="29">
        <f t="shared" ca="1" si="172"/>
        <v>214</v>
      </c>
      <c r="R839" s="22">
        <v>45384</v>
      </c>
      <c r="S839" s="26">
        <f t="shared" ca="1" si="139"/>
        <v>0.41836262331987073</v>
      </c>
      <c r="T839" s="29">
        <f t="shared" ca="1" si="173"/>
        <v>137</v>
      </c>
      <c r="V839" s="22">
        <v>45384</v>
      </c>
      <c r="W839" s="26">
        <f t="shared" ca="1" si="140"/>
        <v>0.57886225662816304</v>
      </c>
      <c r="X839" s="29">
        <f t="shared" ca="1" si="174"/>
        <v>228</v>
      </c>
      <c r="Z839" s="22">
        <v>45384</v>
      </c>
      <c r="AA839" s="26">
        <f t="shared" ca="1" si="141"/>
        <v>0.92713510424341239</v>
      </c>
      <c r="AB839" s="29">
        <f t="shared" ca="1" si="175"/>
        <v>297</v>
      </c>
      <c r="AC839"/>
      <c r="AD839" s="25"/>
      <c r="AF839" s="22">
        <v>45384</v>
      </c>
      <c r="AG839" s="26">
        <f t="shared" ca="1" si="142"/>
        <v>9.4097602673419267E-2</v>
      </c>
      <c r="AH839" s="29">
        <f t="shared" ca="1" si="176"/>
        <v>213</v>
      </c>
      <c r="AJ839" s="22">
        <v>45384</v>
      </c>
      <c r="AK839" s="26">
        <f t="shared" ca="1" si="143"/>
        <v>0.9156601679196481</v>
      </c>
      <c r="AL839" s="29">
        <f t="shared" ca="1" si="177"/>
        <v>233</v>
      </c>
      <c r="AN839" s="22">
        <v>45384</v>
      </c>
      <c r="AO839" s="26">
        <f t="shared" ca="1" si="144"/>
        <v>0.38435294226603056</v>
      </c>
      <c r="AP839" s="29">
        <f t="shared" ca="1" si="178"/>
        <v>214</v>
      </c>
      <c r="AR839" s="22">
        <v>45384</v>
      </c>
      <c r="AS839" s="26">
        <f t="shared" ca="1" si="145"/>
        <v>0.92557261269999047</v>
      </c>
      <c r="AT839" s="29">
        <f t="shared" ca="1" si="179"/>
        <v>275</v>
      </c>
      <c r="AV839" s="22">
        <v>45384</v>
      </c>
      <c r="AW839" s="26">
        <f t="shared" ca="1" si="146"/>
        <v>0.67687552504678927</v>
      </c>
      <c r="AX839" s="29">
        <f t="shared" ca="1" si="180"/>
        <v>231</v>
      </c>
      <c r="AZ839" s="22">
        <v>45384</v>
      </c>
      <c r="BA839" s="26">
        <f t="shared" ca="1" si="147"/>
        <v>0.49734616316828184</v>
      </c>
      <c r="BB839" s="29">
        <f t="shared" ca="1" si="181"/>
        <v>234</v>
      </c>
      <c r="BC839"/>
      <c r="BD839" s="25"/>
      <c r="BF839" s="22">
        <v>45384</v>
      </c>
      <c r="BG839" s="26">
        <f t="shared" ca="1" si="148"/>
        <v>0.36916357686925239</v>
      </c>
      <c r="BH839" s="29">
        <f t="shared" ca="1" si="182"/>
        <v>183</v>
      </c>
      <c r="BJ839" s="22">
        <v>45384</v>
      </c>
      <c r="BK839" s="26">
        <f t="shared" ca="1" si="149"/>
        <v>0.25332390512225944</v>
      </c>
      <c r="BL839" s="29">
        <f t="shared" ca="1" si="183"/>
        <v>139</v>
      </c>
      <c r="BN839" s="22">
        <v>45384</v>
      </c>
      <c r="BO839" s="26">
        <f t="shared" ca="1" si="150"/>
        <v>0.61599147332641191</v>
      </c>
      <c r="BP839" s="29">
        <f t="shared" ca="1" si="184"/>
        <v>233</v>
      </c>
      <c r="BR839" s="22">
        <v>45384</v>
      </c>
      <c r="BS839" s="26">
        <f t="shared" ca="1" si="151"/>
        <v>0.85265419141308596</v>
      </c>
      <c r="BT839" s="29">
        <f t="shared" ca="1" si="185"/>
        <v>206</v>
      </c>
      <c r="BV839" s="22">
        <v>45384</v>
      </c>
      <c r="BW839" s="26">
        <f t="shared" ca="1" si="152"/>
        <v>9.1576666129029372E-2</v>
      </c>
      <c r="BX839" s="29">
        <f t="shared" ref="BX839:BX845" ca="1" si="186">ROUNDUP(_xlfn.NORM.INV(BW839,BW$10,BW$12),0)</f>
        <v>142</v>
      </c>
    </row>
    <row r="840" spans="2:77" ht="12.75" x14ac:dyDescent="0.2">
      <c r="B840" s="22">
        <v>45385</v>
      </c>
      <c r="C840" s="26">
        <f t="shared" ca="1" si="135"/>
        <v>0.29578489225501126</v>
      </c>
      <c r="D840" s="29">
        <f t="shared" ca="1" si="169"/>
        <v>65</v>
      </c>
      <c r="F840" s="22"/>
      <c r="G840" s="26">
        <f t="shared" ca="1" si="136"/>
        <v>0.48434610014991364</v>
      </c>
      <c r="H840" s="29">
        <f t="shared" ca="1" si="170"/>
        <v>215</v>
      </c>
      <c r="J840" s="22">
        <v>45385</v>
      </c>
      <c r="K840" s="26">
        <f t="shared" ca="1" si="137"/>
        <v>0.57822428901722667</v>
      </c>
      <c r="L840" s="29">
        <f t="shared" ca="1" si="171"/>
        <v>152</v>
      </c>
      <c r="N840" s="22">
        <v>45385</v>
      </c>
      <c r="O840" s="26">
        <f t="shared" ca="1" si="138"/>
        <v>0.20011014910646718</v>
      </c>
      <c r="P840" s="29">
        <f t="shared" ca="1" si="172"/>
        <v>217</v>
      </c>
      <c r="R840" s="22">
        <v>45385</v>
      </c>
      <c r="S840" s="26">
        <f t="shared" ca="1" si="139"/>
        <v>0.86678226407786951</v>
      </c>
      <c r="T840" s="29">
        <f t="shared" ca="1" si="173"/>
        <v>150</v>
      </c>
      <c r="V840" s="22">
        <v>45385</v>
      </c>
      <c r="W840" s="26">
        <f t="shared" ca="1" si="140"/>
        <v>0.31754617911276939</v>
      </c>
      <c r="X840" s="29">
        <f t="shared" ca="1" si="174"/>
        <v>218</v>
      </c>
      <c r="Z840" s="22">
        <v>45385</v>
      </c>
      <c r="AA840" s="26">
        <f t="shared" ca="1" si="141"/>
        <v>0.54922981692139572</v>
      </c>
      <c r="AB840" s="29">
        <f t="shared" ca="1" si="175"/>
        <v>273</v>
      </c>
      <c r="AC840"/>
      <c r="AD840" s="25"/>
      <c r="AF840" s="22">
        <v>45385</v>
      </c>
      <c r="AG840" s="26">
        <f t="shared" ca="1" si="142"/>
        <v>0.5507649901517756</v>
      </c>
      <c r="AH840" s="29">
        <f t="shared" ca="1" si="176"/>
        <v>339</v>
      </c>
      <c r="AJ840" s="22">
        <v>45385</v>
      </c>
      <c r="AK840" s="26">
        <f t="shared" ca="1" si="143"/>
        <v>0.61048517681767556</v>
      </c>
      <c r="AL840" s="29">
        <f t="shared" ca="1" si="177"/>
        <v>184</v>
      </c>
      <c r="AN840" s="22">
        <v>45385</v>
      </c>
      <c r="AO840" s="26">
        <f t="shared" ca="1" si="144"/>
        <v>0.35200390338539522</v>
      </c>
      <c r="AP840" s="29">
        <f t="shared" ca="1" si="178"/>
        <v>209</v>
      </c>
      <c r="AR840" s="22">
        <v>45385</v>
      </c>
      <c r="AS840" s="26">
        <f t="shared" ca="1" si="145"/>
        <v>0.23078489696961424</v>
      </c>
      <c r="AT840" s="29">
        <f t="shared" ca="1" si="179"/>
        <v>160</v>
      </c>
      <c r="AV840" s="22">
        <v>45385</v>
      </c>
      <c r="AW840" s="26">
        <f t="shared" ca="1" si="146"/>
        <v>8.4211264832639854E-3</v>
      </c>
      <c r="AX840" s="29">
        <f t="shared" ca="1" si="180"/>
        <v>75</v>
      </c>
      <c r="AZ840" s="22">
        <v>45385</v>
      </c>
      <c r="BA840" s="26">
        <f t="shared" ca="1" si="147"/>
        <v>0.17023041926732085</v>
      </c>
      <c r="BB840" s="29">
        <f t="shared" ca="1" si="181"/>
        <v>175</v>
      </c>
      <c r="BC840"/>
      <c r="BD840" s="25"/>
      <c r="BF840" s="22">
        <v>45385</v>
      </c>
      <c r="BG840" s="26">
        <f t="shared" ca="1" si="148"/>
        <v>0.78768856907047768</v>
      </c>
      <c r="BH840" s="29">
        <f t="shared" ca="1" si="182"/>
        <v>244</v>
      </c>
      <c r="BJ840" s="22">
        <v>45385</v>
      </c>
      <c r="BK840" s="26">
        <f t="shared" ca="1" si="149"/>
        <v>0.11384519695539308</v>
      </c>
      <c r="BL840" s="29">
        <f t="shared" ca="1" si="183"/>
        <v>115</v>
      </c>
      <c r="BN840" s="22">
        <v>45385</v>
      </c>
      <c r="BO840" s="26">
        <f t="shared" ca="1" si="150"/>
        <v>0.42154344696864776</v>
      </c>
      <c r="BP840" s="29">
        <f t="shared" ca="1" si="184"/>
        <v>205</v>
      </c>
      <c r="BR840" s="22">
        <v>45385</v>
      </c>
      <c r="BS840" s="26">
        <f t="shared" ca="1" si="151"/>
        <v>0.74164425854072702</v>
      </c>
      <c r="BT840" s="29">
        <f t="shared" ca="1" si="185"/>
        <v>189</v>
      </c>
      <c r="BV840" s="22">
        <v>45385</v>
      </c>
      <c r="BW840" s="26">
        <f t="shared" ca="1" si="152"/>
        <v>0.20511192207012052</v>
      </c>
      <c r="BX840" s="29">
        <f t="shared" ca="1" si="186"/>
        <v>172</v>
      </c>
    </row>
    <row r="841" spans="2:77" ht="12.75" x14ac:dyDescent="0.2">
      <c r="B841" s="22">
        <v>45386</v>
      </c>
      <c r="C841" s="26">
        <f t="shared" ca="1" si="135"/>
        <v>0.9745836112154399</v>
      </c>
      <c r="D841" s="29">
        <f t="shared" ca="1" si="169"/>
        <v>115</v>
      </c>
      <c r="F841" s="22"/>
      <c r="G841" s="26">
        <f t="shared" ca="1" si="136"/>
        <v>0.46558157801523847</v>
      </c>
      <c r="H841" s="29">
        <f t="shared" ca="1" si="170"/>
        <v>215</v>
      </c>
      <c r="J841" s="22">
        <v>45386</v>
      </c>
      <c r="K841" s="26">
        <f t="shared" ca="1" si="137"/>
        <v>0.22072329431127491</v>
      </c>
      <c r="L841" s="29">
        <f t="shared" ca="1" si="171"/>
        <v>143</v>
      </c>
      <c r="N841" s="22">
        <v>45386</v>
      </c>
      <c r="O841" s="26">
        <f t="shared" ca="1" si="138"/>
        <v>8.3990360953384746E-2</v>
      </c>
      <c r="P841" s="29">
        <f t="shared" ca="1" si="172"/>
        <v>209</v>
      </c>
      <c r="R841" s="22">
        <v>45386</v>
      </c>
      <c r="S841" s="26">
        <f t="shared" ca="1" si="139"/>
        <v>0.14425468019313925</v>
      </c>
      <c r="T841" s="29">
        <f t="shared" ca="1" si="173"/>
        <v>129</v>
      </c>
      <c r="V841" s="22">
        <v>45386</v>
      </c>
      <c r="W841" s="26">
        <f t="shared" ca="1" si="140"/>
        <v>5.380919862903788E-3</v>
      </c>
      <c r="X841" s="29">
        <f t="shared" ca="1" si="174"/>
        <v>187</v>
      </c>
      <c r="Z841" s="22">
        <v>45386</v>
      </c>
      <c r="AA841" s="26">
        <f t="shared" ca="1" si="141"/>
        <v>9.5823114160812017E-2</v>
      </c>
      <c r="AB841" s="29">
        <f t="shared" ca="1" si="175"/>
        <v>247</v>
      </c>
      <c r="AC841"/>
      <c r="AD841" s="25"/>
      <c r="AF841" s="22">
        <v>45386</v>
      </c>
      <c r="AG841" s="26">
        <f t="shared" ca="1" si="142"/>
        <v>0.93282653509735347</v>
      </c>
      <c r="AH841" s="29">
        <f t="shared" ca="1" si="176"/>
        <v>458</v>
      </c>
      <c r="AJ841" s="22">
        <v>45386</v>
      </c>
      <c r="AK841" s="26">
        <f t="shared" ca="1" si="143"/>
        <v>0.9152419243396982</v>
      </c>
      <c r="AL841" s="29">
        <f t="shared" ca="1" si="177"/>
        <v>233</v>
      </c>
      <c r="AN841" s="22">
        <v>45386</v>
      </c>
      <c r="AO841" s="26">
        <f t="shared" ca="1" si="144"/>
        <v>0.93841981490576776</v>
      </c>
      <c r="AP841" s="29">
        <f t="shared" ca="1" si="178"/>
        <v>328</v>
      </c>
      <c r="AR841" s="22">
        <v>45386</v>
      </c>
      <c r="AS841" s="26">
        <f t="shared" ca="1" si="145"/>
        <v>9.4907483843583273E-2</v>
      </c>
      <c r="AT841" s="29">
        <f t="shared" ca="1" si="179"/>
        <v>129</v>
      </c>
      <c r="AV841" s="22">
        <v>45386</v>
      </c>
      <c r="AW841" s="26">
        <f t="shared" ca="1" si="146"/>
        <v>0.90631953585502478</v>
      </c>
      <c r="AX841" s="29">
        <f t="shared" ca="1" si="180"/>
        <v>278</v>
      </c>
      <c r="AZ841" s="22">
        <v>45386</v>
      </c>
      <c r="BA841" s="26">
        <f t="shared" ca="1" si="147"/>
        <v>9.1863688681217526E-2</v>
      </c>
      <c r="BB841" s="29">
        <f t="shared" ca="1" si="181"/>
        <v>151</v>
      </c>
      <c r="BC841"/>
      <c r="BD841" s="25"/>
      <c r="BF841" s="22">
        <v>45386</v>
      </c>
      <c r="BG841" s="26">
        <f t="shared" ca="1" si="148"/>
        <v>0.70694624868195688</v>
      </c>
      <c r="BH841" s="29">
        <f t="shared" ca="1" si="182"/>
        <v>230</v>
      </c>
      <c r="BJ841" s="22">
        <v>45386</v>
      </c>
      <c r="BK841" s="26">
        <f t="shared" ca="1" si="149"/>
        <v>0.10105577465662541</v>
      </c>
      <c r="BL841" s="29">
        <f t="shared" ca="1" si="183"/>
        <v>112</v>
      </c>
      <c r="BN841" s="22">
        <v>45386</v>
      </c>
      <c r="BO841" s="26">
        <f t="shared" ca="1" si="150"/>
        <v>0.7671537724519838</v>
      </c>
      <c r="BP841" s="29">
        <f t="shared" ca="1" si="184"/>
        <v>258</v>
      </c>
      <c r="BR841" s="22">
        <v>45386</v>
      </c>
      <c r="BS841" s="26">
        <f t="shared" ca="1" si="151"/>
        <v>0.5748340947563827</v>
      </c>
      <c r="BT841" s="29">
        <f t="shared" ca="1" si="185"/>
        <v>169</v>
      </c>
      <c r="BV841" s="22">
        <v>45386</v>
      </c>
      <c r="BW841" s="26">
        <f t="shared" ca="1" si="152"/>
        <v>0.82102190290880439</v>
      </c>
      <c r="BX841" s="29">
        <f t="shared" ca="1" si="186"/>
        <v>274</v>
      </c>
    </row>
    <row r="842" spans="2:77" ht="12.75" x14ac:dyDescent="0.2">
      <c r="B842" s="22">
        <v>45387</v>
      </c>
      <c r="C842" s="26">
        <f t="shared" ca="1" si="135"/>
        <v>0.3511289108453447</v>
      </c>
      <c r="D842" s="29">
        <f t="shared" ca="1" si="169"/>
        <v>68</v>
      </c>
      <c r="F842" s="22"/>
      <c r="G842" s="26">
        <f t="shared" ca="1" si="136"/>
        <v>0.95962102126119686</v>
      </c>
      <c r="H842" s="29">
        <f t="shared" ca="1" si="170"/>
        <v>241</v>
      </c>
      <c r="J842" s="22">
        <v>45387</v>
      </c>
      <c r="K842" s="26">
        <f t="shared" ca="1" si="137"/>
        <v>0.48924089549688876</v>
      </c>
      <c r="L842" s="29">
        <f t="shared" ca="1" si="171"/>
        <v>150</v>
      </c>
      <c r="N842" s="22">
        <v>45387</v>
      </c>
      <c r="O842" s="26">
        <f t="shared" ca="1" si="138"/>
        <v>5.0938555973088162E-2</v>
      </c>
      <c r="P842" s="29">
        <f t="shared" ca="1" si="172"/>
        <v>205</v>
      </c>
      <c r="R842" s="22">
        <v>45387</v>
      </c>
      <c r="S842" s="26">
        <f t="shared" ca="1" si="139"/>
        <v>0.49677945640441801</v>
      </c>
      <c r="T842" s="29">
        <f t="shared" ca="1" si="173"/>
        <v>139</v>
      </c>
      <c r="V842" s="22">
        <v>45387</v>
      </c>
      <c r="W842" s="26">
        <f t="shared" ca="1" si="140"/>
        <v>0.47336000768688902</v>
      </c>
      <c r="X842" s="29">
        <f t="shared" ca="1" si="174"/>
        <v>224</v>
      </c>
      <c r="Z842" s="22">
        <v>45387</v>
      </c>
      <c r="AA842" s="26">
        <f t="shared" ca="1" si="141"/>
        <v>0.35037175230500328</v>
      </c>
      <c r="AB842" s="29">
        <f t="shared" ca="1" si="175"/>
        <v>264</v>
      </c>
      <c r="AC842"/>
      <c r="AD842" s="25"/>
      <c r="AF842" s="22">
        <v>45387</v>
      </c>
      <c r="AG842" s="26">
        <f t="shared" ca="1" si="142"/>
        <v>0.36853482435890372</v>
      </c>
      <c r="AH842" s="29">
        <f t="shared" ca="1" si="176"/>
        <v>298</v>
      </c>
      <c r="AJ842" s="22">
        <v>45387</v>
      </c>
      <c r="AK842" s="26">
        <f t="shared" ca="1" si="143"/>
        <v>0.78427325951177307</v>
      </c>
      <c r="AL842" s="29">
        <f t="shared" ca="1" si="177"/>
        <v>207</v>
      </c>
      <c r="AN842" s="22">
        <v>45387</v>
      </c>
      <c r="AO842" s="26">
        <f t="shared" ca="1" si="144"/>
        <v>0.35913744545241566</v>
      </c>
      <c r="AP842" s="29">
        <f t="shared" ca="1" si="178"/>
        <v>210</v>
      </c>
      <c r="AR842" s="22">
        <v>45387</v>
      </c>
      <c r="AS842" s="26">
        <f t="shared" ca="1" si="145"/>
        <v>0.89751036578685228</v>
      </c>
      <c r="AT842" s="29">
        <f t="shared" ca="1" si="179"/>
        <v>265</v>
      </c>
      <c r="AV842" s="22">
        <v>45387</v>
      </c>
      <c r="AW842" s="26">
        <f t="shared" ca="1" si="146"/>
        <v>0.53921577706343204</v>
      </c>
      <c r="AX842" s="29">
        <f t="shared" ca="1" si="180"/>
        <v>211</v>
      </c>
      <c r="AZ842" s="22">
        <v>45387</v>
      </c>
      <c r="BA842" s="26">
        <f t="shared" ca="1" si="147"/>
        <v>0.3970070658749002</v>
      </c>
      <c r="BB842" s="29">
        <f t="shared" ca="1" si="181"/>
        <v>218</v>
      </c>
      <c r="BC842"/>
      <c r="BD842" s="25"/>
      <c r="BF842" s="22">
        <v>45387</v>
      </c>
      <c r="BG842" s="26">
        <f t="shared" ca="1" si="148"/>
        <v>0.82953518148584715</v>
      </c>
      <c r="BH842" s="29">
        <f t="shared" ca="1" si="182"/>
        <v>252</v>
      </c>
      <c r="BJ842" s="22">
        <v>45387</v>
      </c>
      <c r="BK842" s="26">
        <f t="shared" ca="1" si="149"/>
        <v>0.44930009673461035</v>
      </c>
      <c r="BL842" s="29">
        <f t="shared" ca="1" si="183"/>
        <v>163</v>
      </c>
      <c r="BN842" s="22">
        <v>45387</v>
      </c>
      <c r="BO842" s="26">
        <f t="shared" ca="1" si="150"/>
        <v>0.24518067488729334</v>
      </c>
      <c r="BP842" s="29">
        <f t="shared" ca="1" si="184"/>
        <v>177</v>
      </c>
      <c r="BR842" s="22">
        <v>45387</v>
      </c>
      <c r="BS842" s="26">
        <f t="shared" ca="1" si="151"/>
        <v>0.36335129396900079</v>
      </c>
      <c r="BT842" s="29">
        <f t="shared" ca="1" si="185"/>
        <v>146</v>
      </c>
      <c r="BV842" s="22">
        <v>45387</v>
      </c>
      <c r="BW842" s="26">
        <f t="shared" ca="1" si="152"/>
        <v>0.59934570459248804</v>
      </c>
      <c r="BX842" s="29">
        <f t="shared" ca="1" si="186"/>
        <v>235</v>
      </c>
    </row>
    <row r="843" spans="2:77" ht="12.75" x14ac:dyDescent="0.2">
      <c r="B843" s="22">
        <v>45388</v>
      </c>
      <c r="C843" s="26">
        <f t="shared" ca="1" si="135"/>
        <v>4.3516176448291533E-2</v>
      </c>
      <c r="D843" s="29">
        <f t="shared" ca="1" si="169"/>
        <v>41</v>
      </c>
      <c r="F843" s="22"/>
      <c r="G843" s="26">
        <f t="shared" ca="1" si="136"/>
        <v>0.946707427542129</v>
      </c>
      <c r="H843" s="29">
        <f t="shared" ca="1" si="170"/>
        <v>239</v>
      </c>
      <c r="J843" s="22">
        <v>45388</v>
      </c>
      <c r="K843" s="26">
        <f t="shared" ca="1" si="137"/>
        <v>0.1496270644584563</v>
      </c>
      <c r="L843" s="29">
        <f t="shared" ca="1" si="171"/>
        <v>140</v>
      </c>
      <c r="N843" s="22">
        <v>45388</v>
      </c>
      <c r="O843" s="26">
        <f t="shared" ca="1" si="138"/>
        <v>0.89847562104169043</v>
      </c>
      <c r="P843" s="29">
        <f t="shared" ca="1" si="172"/>
        <v>249</v>
      </c>
      <c r="R843" s="22">
        <v>45388</v>
      </c>
      <c r="S843" s="26">
        <f t="shared" ca="1" si="139"/>
        <v>0.90127586644063318</v>
      </c>
      <c r="T843" s="29">
        <f t="shared" ca="1" si="173"/>
        <v>151</v>
      </c>
      <c r="V843" s="22">
        <v>45388</v>
      </c>
      <c r="W843" s="26">
        <f t="shared" ca="1" si="140"/>
        <v>0.27491071841630399</v>
      </c>
      <c r="X843" s="29">
        <f t="shared" ca="1" si="174"/>
        <v>217</v>
      </c>
      <c r="Z843" s="22">
        <v>45388</v>
      </c>
      <c r="AA843" s="26">
        <f t="shared" ca="1" si="141"/>
        <v>0.79469148563549286</v>
      </c>
      <c r="AB843" s="29">
        <f t="shared" ca="1" si="175"/>
        <v>285</v>
      </c>
      <c r="AC843"/>
      <c r="AD843" s="25"/>
      <c r="AF843" s="22">
        <v>45388</v>
      </c>
      <c r="AG843" s="26">
        <f t="shared" ca="1" si="142"/>
        <v>0.23534252023768798</v>
      </c>
      <c r="AH843" s="29">
        <f t="shared" ca="1" si="176"/>
        <v>265</v>
      </c>
      <c r="AJ843" s="22">
        <v>45388</v>
      </c>
      <c r="AK843" s="26">
        <f t="shared" ca="1" si="143"/>
        <v>0.50453094869862447</v>
      </c>
      <c r="AL843" s="29">
        <f t="shared" ca="1" si="177"/>
        <v>171</v>
      </c>
      <c r="AN843" s="22">
        <v>45388</v>
      </c>
      <c r="AO843" s="26">
        <f t="shared" ca="1" si="144"/>
        <v>0.57396426819296276</v>
      </c>
      <c r="AP843" s="29">
        <f t="shared" ca="1" si="178"/>
        <v>244</v>
      </c>
      <c r="AR843" s="22">
        <v>45388</v>
      </c>
      <c r="AS843" s="26">
        <f t="shared" ca="1" si="145"/>
        <v>0.98043678856638838</v>
      </c>
      <c r="AT843" s="29">
        <f t="shared" ca="1" si="179"/>
        <v>307</v>
      </c>
      <c r="AV843" s="22">
        <v>45388</v>
      </c>
      <c r="AW843" s="26">
        <f t="shared" ca="1" si="146"/>
        <v>0.23134421979643005</v>
      </c>
      <c r="AX843" s="29">
        <f t="shared" ca="1" si="180"/>
        <v>166</v>
      </c>
      <c r="AZ843" s="22">
        <v>45388</v>
      </c>
      <c r="BA843" s="26">
        <f t="shared" ca="1" si="147"/>
        <v>0.72280404617595662</v>
      </c>
      <c r="BB843" s="29">
        <f t="shared" ca="1" si="181"/>
        <v>271</v>
      </c>
      <c r="BC843"/>
      <c r="BD843" s="25"/>
      <c r="BF843" s="22">
        <v>45388</v>
      </c>
      <c r="BG843" s="26">
        <f t="shared" ca="1" si="148"/>
        <v>0.7485826290143982</v>
      </c>
      <c r="BH843" s="29">
        <f t="shared" ca="1" si="182"/>
        <v>237</v>
      </c>
      <c r="BJ843" s="22">
        <v>45388</v>
      </c>
      <c r="BK843" s="26">
        <f t="shared" ca="1" si="149"/>
        <v>0.65817147185293912</v>
      </c>
      <c r="BL843" s="29">
        <f t="shared" ca="1" si="183"/>
        <v>187</v>
      </c>
      <c r="BN843" s="22">
        <v>45388</v>
      </c>
      <c r="BO843" s="26">
        <f t="shared" ca="1" si="150"/>
        <v>0.7664160879168691</v>
      </c>
      <c r="BP843" s="29">
        <f t="shared" ca="1" si="184"/>
        <v>258</v>
      </c>
      <c r="BR843" s="22">
        <v>45388</v>
      </c>
      <c r="BS843" s="26">
        <f t="shared" ca="1" si="151"/>
        <v>0.49953077428328674</v>
      </c>
      <c r="BT843" s="29">
        <f t="shared" ca="1" si="185"/>
        <v>161</v>
      </c>
      <c r="BV843" s="22">
        <v>45388</v>
      </c>
      <c r="BW843" s="26">
        <f t="shared" ca="1" si="152"/>
        <v>0.76596439431399377</v>
      </c>
      <c r="BX843" s="29">
        <f t="shared" ca="1" si="186"/>
        <v>262</v>
      </c>
    </row>
    <row r="844" spans="2:77" ht="12.75" x14ac:dyDescent="0.2">
      <c r="B844" s="22">
        <v>45389</v>
      </c>
      <c r="C844" s="26">
        <f t="shared" ca="1" si="135"/>
        <v>0.7092363287023562</v>
      </c>
      <c r="D844" s="29">
        <f t="shared" ca="1" si="169"/>
        <v>87</v>
      </c>
      <c r="F844" s="22"/>
      <c r="G844" s="26">
        <f t="shared" ca="1" si="136"/>
        <v>0.75689785076494442</v>
      </c>
      <c r="H844" s="29">
        <f t="shared" ca="1" si="170"/>
        <v>226</v>
      </c>
      <c r="J844" s="22">
        <v>45389</v>
      </c>
      <c r="K844" s="26">
        <f t="shared" ca="1" si="137"/>
        <v>0.81557547323056545</v>
      </c>
      <c r="L844" s="29">
        <f t="shared" ca="1" si="171"/>
        <v>159</v>
      </c>
      <c r="N844" s="22">
        <v>45389</v>
      </c>
      <c r="O844" s="26">
        <f t="shared" ca="1" si="138"/>
        <v>0.57792436010967541</v>
      </c>
      <c r="P844" s="29">
        <f t="shared" ca="1" si="172"/>
        <v>233</v>
      </c>
      <c r="R844" s="22">
        <v>45389</v>
      </c>
      <c r="S844" s="26">
        <f t="shared" ca="1" si="139"/>
        <v>0.17243961569381072</v>
      </c>
      <c r="T844" s="29">
        <f t="shared" ca="1" si="173"/>
        <v>131</v>
      </c>
      <c r="V844" s="22">
        <v>45389</v>
      </c>
      <c r="W844" s="26">
        <f t="shared" ca="1" si="140"/>
        <v>0.12112342332617387</v>
      </c>
      <c r="X844" s="29">
        <f t="shared" ca="1" si="174"/>
        <v>208</v>
      </c>
      <c r="Z844" s="22">
        <v>45389</v>
      </c>
      <c r="AA844" s="26">
        <f t="shared" ca="1" si="141"/>
        <v>0.43805161408599724</v>
      </c>
      <c r="AB844" s="29">
        <f t="shared" ca="1" si="175"/>
        <v>268</v>
      </c>
      <c r="AC844"/>
      <c r="AD844" s="25"/>
      <c r="AF844" s="22">
        <v>45389</v>
      </c>
      <c r="AG844" s="26">
        <f t="shared" ca="1" si="142"/>
        <v>0.17080035292936557</v>
      </c>
      <c r="AH844" s="29">
        <f t="shared" ca="1" si="176"/>
        <v>245</v>
      </c>
      <c r="AJ844" s="22">
        <v>45389</v>
      </c>
      <c r="AK844" s="26">
        <f t="shared" ca="1" si="143"/>
        <v>0.86660372565329857</v>
      </c>
      <c r="AL844" s="29">
        <f t="shared" ca="1" si="177"/>
        <v>221</v>
      </c>
      <c r="AN844" s="22">
        <v>45389</v>
      </c>
      <c r="AO844" s="26">
        <f t="shared" ca="1" si="144"/>
        <v>0.98120299530868083</v>
      </c>
      <c r="AP844" s="29">
        <f t="shared" ca="1" si="178"/>
        <v>361</v>
      </c>
      <c r="AR844" s="22">
        <v>45389</v>
      </c>
      <c r="AS844" s="26">
        <f t="shared" ca="1" si="145"/>
        <v>0.41774085735884559</v>
      </c>
      <c r="AT844" s="29">
        <f t="shared" ca="1" si="179"/>
        <v>188</v>
      </c>
      <c r="AV844" s="22">
        <v>45389</v>
      </c>
      <c r="AW844" s="26">
        <f t="shared" ca="1" si="146"/>
        <v>0.98135356811009888</v>
      </c>
      <c r="AX844" s="29">
        <f t="shared" ca="1" si="180"/>
        <v>320</v>
      </c>
      <c r="AZ844" s="22">
        <v>45389</v>
      </c>
      <c r="BA844" s="26">
        <f t="shared" ca="1" si="147"/>
        <v>0.9042473941393453</v>
      </c>
      <c r="BB844" s="29">
        <f t="shared" ca="1" si="181"/>
        <v>315</v>
      </c>
      <c r="BC844"/>
      <c r="BD844" s="25"/>
      <c r="BF844" s="22">
        <v>45389</v>
      </c>
      <c r="BG844" s="26">
        <f t="shared" ca="1" si="148"/>
        <v>0.24075930365350784</v>
      </c>
      <c r="BH844" s="29">
        <f t="shared" ca="1" si="182"/>
        <v>163</v>
      </c>
      <c r="BJ844" s="22">
        <v>45389</v>
      </c>
      <c r="BK844" s="26">
        <f t="shared" ca="1" si="149"/>
        <v>0.3853271227031797</v>
      </c>
      <c r="BL844" s="29">
        <f t="shared" ca="1" si="183"/>
        <v>156</v>
      </c>
      <c r="BN844" s="22">
        <v>45389</v>
      </c>
      <c r="BO844" s="26">
        <f t="shared" ca="1" si="150"/>
        <v>0.5224878925689882</v>
      </c>
      <c r="BP844" s="29">
        <f t="shared" ca="1" si="184"/>
        <v>219</v>
      </c>
      <c r="BR844" s="22">
        <v>45389</v>
      </c>
      <c r="BS844" s="26">
        <f t="shared" ca="1" si="151"/>
        <v>0.61955584166613253</v>
      </c>
      <c r="BT844" s="29">
        <f t="shared" ca="1" si="185"/>
        <v>174</v>
      </c>
      <c r="BV844" s="22">
        <v>45389</v>
      </c>
      <c r="BW844" s="26">
        <f t="shared" ca="1" si="152"/>
        <v>0.81875912324912714</v>
      </c>
      <c r="BX844" s="29">
        <f t="shared" ca="1" si="186"/>
        <v>273</v>
      </c>
    </row>
    <row r="845" spans="2:77" ht="12.75" x14ac:dyDescent="0.2">
      <c r="B845" s="22">
        <v>45390</v>
      </c>
      <c r="C845" s="26">
        <f t="shared" ca="1" si="135"/>
        <v>0.88063507339857394</v>
      </c>
      <c r="D845" s="29">
        <f t="shared" ca="1" si="169"/>
        <v>99</v>
      </c>
      <c r="F845" s="22"/>
      <c r="G845" s="26">
        <f t="shared" ca="1" si="136"/>
        <v>0.47799448730730421</v>
      </c>
      <c r="H845" s="29">
        <f t="shared" ca="1" si="170"/>
        <v>215</v>
      </c>
      <c r="J845" s="22">
        <v>45390</v>
      </c>
      <c r="K845" s="26">
        <f t="shared" ca="1" si="137"/>
        <v>0.58186180084924155</v>
      </c>
      <c r="L845" s="29">
        <f t="shared" ca="1" si="171"/>
        <v>153</v>
      </c>
      <c r="N845" s="22">
        <v>45390</v>
      </c>
      <c r="O845" s="26">
        <f t="shared" ca="1" si="138"/>
        <v>0.60341037866693359</v>
      </c>
      <c r="P845" s="29">
        <f t="shared" ca="1" si="172"/>
        <v>234</v>
      </c>
      <c r="R845" s="22">
        <v>45390</v>
      </c>
      <c r="S845" s="26">
        <f t="shared" ca="1" si="139"/>
        <v>0.149548002269702</v>
      </c>
      <c r="T845" s="29">
        <f t="shared" ca="1" si="173"/>
        <v>130</v>
      </c>
      <c r="V845" s="22">
        <v>45390</v>
      </c>
      <c r="W845" s="26">
        <f t="shared" ca="1" si="140"/>
        <v>0.41377117430854504</v>
      </c>
      <c r="X845" s="29">
        <f t="shared" ca="1" si="174"/>
        <v>222</v>
      </c>
      <c r="Z845" s="22">
        <v>45390</v>
      </c>
      <c r="AA845" s="26">
        <f t="shared" ca="1" si="141"/>
        <v>0.48311119917361156</v>
      </c>
      <c r="AB845" s="29">
        <f t="shared" ca="1" si="175"/>
        <v>270</v>
      </c>
      <c r="AC845"/>
      <c r="AD845" s="25"/>
      <c r="AF845" s="22">
        <v>45390</v>
      </c>
      <c r="AG845" s="26">
        <f t="shared" ca="1" si="142"/>
        <v>0.27598450111658446</v>
      </c>
      <c r="AH845" s="29">
        <f t="shared" ca="1" si="176"/>
        <v>276</v>
      </c>
      <c r="AJ845" s="22">
        <v>45390</v>
      </c>
      <c r="AK845" s="26">
        <f t="shared" ca="1" si="143"/>
        <v>4.7389639991210486E-2</v>
      </c>
      <c r="AL845" s="29">
        <f t="shared" ca="1" si="177"/>
        <v>95</v>
      </c>
      <c r="AN845" s="22">
        <v>45390</v>
      </c>
      <c r="AO845" s="26">
        <f t="shared" ca="1" si="144"/>
        <v>0.2947141628005745</v>
      </c>
      <c r="AP845" s="29">
        <f t="shared" ca="1" si="178"/>
        <v>199</v>
      </c>
      <c r="AR845" s="22">
        <v>45390</v>
      </c>
      <c r="AS845" s="26">
        <f t="shared" ca="1" si="145"/>
        <v>5.5297672880828097E-2</v>
      </c>
      <c r="AT845" s="29">
        <f t="shared" ca="1" si="179"/>
        <v>114</v>
      </c>
      <c r="AV845" s="22">
        <v>45390</v>
      </c>
      <c r="AW845" s="26">
        <f t="shared" ca="1" si="146"/>
        <v>0.32649087709443636</v>
      </c>
      <c r="AX845" s="29">
        <f t="shared" ca="1" si="180"/>
        <v>181</v>
      </c>
      <c r="AZ845" s="22">
        <v>45390</v>
      </c>
      <c r="BA845" s="26">
        <f t="shared" ca="1" si="147"/>
        <v>0.15735236772353389</v>
      </c>
      <c r="BB845" s="29">
        <f t="shared" ca="1" si="181"/>
        <v>171</v>
      </c>
      <c r="BC845"/>
      <c r="BD845" s="25"/>
      <c r="BF845" s="22">
        <v>45390</v>
      </c>
      <c r="BG845" s="26">
        <f t="shared" ca="1" si="148"/>
        <v>0.98448349819514414</v>
      </c>
      <c r="BH845" s="29">
        <f t="shared" ca="1" si="182"/>
        <v>316</v>
      </c>
      <c r="BJ845" s="22">
        <v>45390</v>
      </c>
      <c r="BK845" s="26">
        <f t="shared" ca="1" si="149"/>
        <v>0.87770737291385204</v>
      </c>
      <c r="BL845" s="29">
        <f t="shared" ca="1" si="183"/>
        <v>221</v>
      </c>
      <c r="BN845" s="22">
        <v>45390</v>
      </c>
      <c r="BO845" s="26">
        <f t="shared" ca="1" si="150"/>
        <v>0.1329164871261207</v>
      </c>
      <c r="BP845" s="29">
        <f t="shared" ca="1" si="184"/>
        <v>152</v>
      </c>
      <c r="BR845" s="22">
        <v>45390</v>
      </c>
      <c r="BS845" s="26">
        <f t="shared" ca="1" si="151"/>
        <v>0.52274026658885109</v>
      </c>
      <c r="BT845" s="29">
        <f t="shared" ca="1" si="185"/>
        <v>164</v>
      </c>
      <c r="BV845" s="22">
        <v>45390</v>
      </c>
      <c r="BW845" s="26">
        <f t="shared" ca="1" si="152"/>
        <v>0.58471676633871239</v>
      </c>
      <c r="BX845" s="29">
        <f t="shared" ca="1" si="186"/>
        <v>232</v>
      </c>
    </row>
    <row r="846" spans="2:77" ht="12.75" x14ac:dyDescent="0.2">
      <c r="B846" s="22">
        <v>45391</v>
      </c>
      <c r="C846" s="26">
        <f t="shared" ca="1" si="135"/>
        <v>4.3419479154607865E-2</v>
      </c>
      <c r="D846" s="29">
        <v>0</v>
      </c>
      <c r="F846" s="22"/>
      <c r="G846" s="26">
        <f t="shared" ca="1" si="136"/>
        <v>0.36980024650444498</v>
      </c>
      <c r="H846" s="29">
        <v>0</v>
      </c>
      <c r="J846" s="22">
        <v>45391</v>
      </c>
      <c r="K846" s="26">
        <f t="shared" ca="1" si="137"/>
        <v>0.46031364799385888</v>
      </c>
      <c r="L846" s="29">
        <v>0</v>
      </c>
      <c r="N846" s="22">
        <v>45391</v>
      </c>
      <c r="O846" s="26">
        <f t="shared" ca="1" si="138"/>
        <v>0.87693129396209601</v>
      </c>
      <c r="P846" s="29">
        <v>0</v>
      </c>
      <c r="R846" s="22">
        <v>45391</v>
      </c>
      <c r="S846" s="26">
        <f t="shared" ca="1" si="139"/>
        <v>0.83879774520444661</v>
      </c>
      <c r="T846" s="29">
        <v>0</v>
      </c>
      <c r="V846" s="22">
        <v>45391</v>
      </c>
      <c r="W846" s="26">
        <f t="shared" ca="1" si="140"/>
        <v>0.74213441559809712</v>
      </c>
      <c r="X846" s="29">
        <v>0</v>
      </c>
      <c r="Z846" s="22">
        <v>45391</v>
      </c>
      <c r="AA846" s="26">
        <f t="shared" ca="1" si="141"/>
        <v>0.34298768258771561</v>
      </c>
      <c r="AB846" s="29">
        <v>0</v>
      </c>
      <c r="AC846"/>
      <c r="AD846" s="25"/>
      <c r="AF846" s="22">
        <v>45391</v>
      </c>
      <c r="AG846" s="26">
        <f t="shared" ca="1" si="142"/>
        <v>0.35748214712130832</v>
      </c>
      <c r="AH846" s="29">
        <v>0</v>
      </c>
      <c r="AJ846" s="22">
        <v>45391</v>
      </c>
      <c r="AK846" s="26">
        <f t="shared" ca="1" si="143"/>
        <v>0.70743025200004206</v>
      </c>
      <c r="AL846" s="29">
        <v>0</v>
      </c>
      <c r="AN846" s="22">
        <v>45391</v>
      </c>
      <c r="AO846" s="26">
        <f t="shared" ca="1" si="144"/>
        <v>0.20576756939039131</v>
      </c>
      <c r="AP846" s="29">
        <v>0</v>
      </c>
      <c r="AR846" s="22">
        <v>45391</v>
      </c>
      <c r="AS846" s="26">
        <f t="shared" ca="1" si="145"/>
        <v>0.45160529646399394</v>
      </c>
      <c r="AT846" s="29">
        <v>0</v>
      </c>
      <c r="AV846" s="22">
        <v>45391</v>
      </c>
      <c r="AW846" s="26">
        <f t="shared" ca="1" si="146"/>
        <v>0.35200570877707027</v>
      </c>
      <c r="AX846" s="29">
        <v>0</v>
      </c>
      <c r="AZ846" s="22">
        <v>45391</v>
      </c>
      <c r="BA846" s="26">
        <f t="shared" ca="1" si="147"/>
        <v>0.53029499045825779</v>
      </c>
      <c r="BB846" s="29">
        <v>0</v>
      </c>
      <c r="BC846"/>
      <c r="BD846" s="25"/>
      <c r="BF846" s="22">
        <v>45391</v>
      </c>
      <c r="BG846" s="26">
        <f t="shared" ca="1" si="148"/>
        <v>0.96351273433543483</v>
      </c>
      <c r="BH846" s="29">
        <v>0</v>
      </c>
      <c r="BJ846" s="22">
        <v>45391</v>
      </c>
      <c r="BK846" s="26">
        <f t="shared" ca="1" si="149"/>
        <v>0.15499768164297301</v>
      </c>
      <c r="BL846" s="29">
        <v>0</v>
      </c>
      <c r="BN846" s="22">
        <v>45391</v>
      </c>
      <c r="BO846" s="26">
        <f t="shared" ca="1" si="150"/>
        <v>0.36312675833215657</v>
      </c>
      <c r="BP846" s="29">
        <v>0</v>
      </c>
      <c r="BR846" s="22">
        <v>45391</v>
      </c>
      <c r="BS846" s="26">
        <f t="shared" ca="1" si="151"/>
        <v>0.66665668374603615</v>
      </c>
      <c r="BT846" s="29">
        <v>0</v>
      </c>
      <c r="BV846" s="22">
        <v>45391</v>
      </c>
      <c r="BW846" s="26">
        <f t="shared" ca="1" si="152"/>
        <v>7.4232029247981335E-2</v>
      </c>
      <c r="BX846" s="29">
        <v>0</v>
      </c>
    </row>
    <row r="847" spans="2:77" ht="12.75" x14ac:dyDescent="0.2">
      <c r="B847" s="22">
        <v>45392</v>
      </c>
      <c r="C847" s="26">
        <f t="shared" ca="1" si="135"/>
        <v>0.36141533731910891</v>
      </c>
      <c r="D847" s="29">
        <v>0</v>
      </c>
      <c r="F847" s="22"/>
      <c r="G847" s="26">
        <f t="shared" ca="1" si="136"/>
        <v>8.7118756915416817E-2</v>
      </c>
      <c r="H847" s="29">
        <v>0</v>
      </c>
      <c r="J847" s="22">
        <v>45392</v>
      </c>
      <c r="K847" s="26">
        <f t="shared" ca="1" si="137"/>
        <v>0.45919803804929349</v>
      </c>
      <c r="L847" s="29">
        <v>0</v>
      </c>
      <c r="N847" s="22">
        <v>45392</v>
      </c>
      <c r="O847" s="26">
        <f t="shared" ca="1" si="138"/>
        <v>0.19321224751708788</v>
      </c>
      <c r="P847" s="29">
        <v>0</v>
      </c>
      <c r="R847" s="22">
        <v>45392</v>
      </c>
      <c r="S847" s="26">
        <f t="shared" ca="1" si="139"/>
        <v>1.1430207832450745E-2</v>
      </c>
      <c r="T847" s="29">
        <v>0</v>
      </c>
      <c r="V847" s="22">
        <v>45392</v>
      </c>
      <c r="W847" s="26">
        <f t="shared" ca="1" si="140"/>
        <v>0.94461295331362716</v>
      </c>
      <c r="X847" s="29">
        <v>0</v>
      </c>
      <c r="Z847" s="22">
        <v>45392</v>
      </c>
      <c r="AA847" s="26">
        <f t="shared" ca="1" si="141"/>
        <v>0.94822816501442253</v>
      </c>
      <c r="AB847" s="29">
        <v>0</v>
      </c>
      <c r="AC847"/>
      <c r="AD847" s="25"/>
      <c r="AF847" s="22">
        <v>45392</v>
      </c>
      <c r="AG847" s="26">
        <f t="shared" ca="1" si="142"/>
        <v>0.24461308867542186</v>
      </c>
      <c r="AH847" s="29">
        <v>0</v>
      </c>
      <c r="AJ847" s="22">
        <v>45392</v>
      </c>
      <c r="AK847" s="26">
        <f t="shared" ca="1" si="143"/>
        <v>7.2024120126465974E-2</v>
      </c>
      <c r="AL847" s="29">
        <v>0</v>
      </c>
      <c r="AN847" s="22">
        <v>45392</v>
      </c>
      <c r="AO847" s="26">
        <f t="shared" ca="1" si="144"/>
        <v>0.19905992968477915</v>
      </c>
      <c r="AP847" s="29">
        <v>0</v>
      </c>
      <c r="AR847" s="22">
        <v>45392</v>
      </c>
      <c r="AS847" s="26">
        <f t="shared" ca="1" si="145"/>
        <v>0.70061079293875173</v>
      </c>
      <c r="AT847" s="29">
        <v>0</v>
      </c>
      <c r="AV847" s="22">
        <v>45392</v>
      </c>
      <c r="AW847" s="26">
        <f t="shared" ca="1" si="146"/>
        <v>8.834492407463157E-2</v>
      </c>
      <c r="AX847" s="29">
        <v>0</v>
      </c>
      <c r="AZ847" s="22">
        <v>45392</v>
      </c>
      <c r="BA847" s="26">
        <f t="shared" ca="1" si="147"/>
        <v>0.61433617777568339</v>
      </c>
      <c r="BB847" s="29">
        <v>0</v>
      </c>
      <c r="BC847"/>
      <c r="BD847" s="25"/>
      <c r="BF847" s="22">
        <v>45392</v>
      </c>
      <c r="BG847" s="26">
        <f t="shared" ca="1" si="148"/>
        <v>0.56711507065252498</v>
      </c>
      <c r="BH847" s="29">
        <v>0</v>
      </c>
      <c r="BJ847" s="22">
        <v>45392</v>
      </c>
      <c r="BK847" s="26">
        <f t="shared" ca="1" si="149"/>
        <v>0.35163949936897354</v>
      </c>
      <c r="BL847" s="29">
        <v>0</v>
      </c>
      <c r="BN847" s="22">
        <v>45392</v>
      </c>
      <c r="BO847" s="26">
        <f t="shared" ca="1" si="150"/>
        <v>0.78475822983201005</v>
      </c>
      <c r="BP847" s="29">
        <v>0</v>
      </c>
      <c r="BR847" s="22">
        <v>45392</v>
      </c>
      <c r="BS847" s="26">
        <f t="shared" ca="1" si="151"/>
        <v>0.81268295550979264</v>
      </c>
      <c r="BT847" s="29">
        <v>0</v>
      </c>
      <c r="BV847" s="22">
        <v>45392</v>
      </c>
      <c r="BW847" s="26">
        <f t="shared" ca="1" si="152"/>
        <v>0.36739975302311045</v>
      </c>
      <c r="BX847" s="29">
        <v>0</v>
      </c>
    </row>
    <row r="848" spans="2:77" ht="12.75" x14ac:dyDescent="0.2">
      <c r="B848" s="22">
        <v>45393</v>
      </c>
      <c r="C848" s="26">
        <f t="shared" ca="1" si="135"/>
        <v>0.56022270287154474</v>
      </c>
      <c r="D848" s="29">
        <v>0</v>
      </c>
      <c r="F848" s="22"/>
      <c r="G848" s="26">
        <f t="shared" ca="1" si="136"/>
        <v>0.64731499803204995</v>
      </c>
      <c r="H848" s="29">
        <v>0</v>
      </c>
      <c r="J848" s="22">
        <v>45393</v>
      </c>
      <c r="K848" s="26">
        <f t="shared" ca="1" si="137"/>
        <v>0.92998985871703888</v>
      </c>
      <c r="L848" s="29">
        <v>0</v>
      </c>
      <c r="N848" s="22">
        <v>45393</v>
      </c>
      <c r="O848" s="26">
        <f t="shared" ca="1" si="138"/>
        <v>0.54498705474352671</v>
      </c>
      <c r="P848" s="29">
        <v>0</v>
      </c>
      <c r="R848" s="22">
        <v>45393</v>
      </c>
      <c r="S848" s="26">
        <f t="shared" ca="1" si="139"/>
        <v>0.92767066865502112</v>
      </c>
      <c r="T848" s="29">
        <v>0</v>
      </c>
      <c r="V848" s="22">
        <v>45393</v>
      </c>
      <c r="W848" s="26">
        <f t="shared" ca="1" si="140"/>
        <v>0.96517933885466456</v>
      </c>
      <c r="X848" s="29">
        <v>0</v>
      </c>
      <c r="Z848" s="22">
        <v>45393</v>
      </c>
      <c r="AA848" s="26">
        <f t="shared" ca="1" si="141"/>
        <v>0.67845295174287612</v>
      </c>
      <c r="AB848" s="29">
        <v>0</v>
      </c>
      <c r="AC848"/>
      <c r="AD848" s="25"/>
      <c r="AF848" s="22">
        <v>45393</v>
      </c>
      <c r="AG848" s="26">
        <f t="shared" ca="1" si="142"/>
        <v>0.33710409639901406</v>
      </c>
      <c r="AH848" s="29">
        <v>0</v>
      </c>
      <c r="AJ848" s="22">
        <v>45393</v>
      </c>
      <c r="AK848" s="26">
        <f t="shared" ca="1" si="143"/>
        <v>0.41740904196209228</v>
      </c>
      <c r="AL848" s="29">
        <v>0</v>
      </c>
      <c r="AN848" s="22">
        <v>45393</v>
      </c>
      <c r="AO848" s="26">
        <f t="shared" ca="1" si="144"/>
        <v>0.88461401517055827</v>
      </c>
      <c r="AP848" s="29">
        <v>0</v>
      </c>
      <c r="AR848" s="22">
        <v>45393</v>
      </c>
      <c r="AS848" s="26">
        <f t="shared" ca="1" si="145"/>
        <v>0.62443000523549574</v>
      </c>
      <c r="AT848" s="29">
        <v>0</v>
      </c>
      <c r="AV848" s="22">
        <v>45393</v>
      </c>
      <c r="AW848" s="26">
        <f t="shared" ca="1" si="146"/>
        <v>0.85621310743919188</v>
      </c>
      <c r="AX848" s="29">
        <v>0</v>
      </c>
      <c r="AZ848" s="22">
        <v>45393</v>
      </c>
      <c r="BA848" s="26">
        <f t="shared" ca="1" si="147"/>
        <v>0.66824246922218522</v>
      </c>
      <c r="BB848" s="29">
        <v>0</v>
      </c>
      <c r="BC848"/>
      <c r="BD848" s="25"/>
      <c r="BF848" s="22">
        <v>45393</v>
      </c>
      <c r="BG848" s="26">
        <f t="shared" ca="1" si="148"/>
        <v>0.28059713947736808</v>
      </c>
      <c r="BH848" s="29">
        <v>0</v>
      </c>
      <c r="BJ848" s="22">
        <v>45393</v>
      </c>
      <c r="BK848" s="26">
        <f t="shared" ca="1" si="149"/>
        <v>0.57803080106525795</v>
      </c>
      <c r="BL848" s="29">
        <v>0</v>
      </c>
      <c r="BN848" s="22">
        <v>45393</v>
      </c>
      <c r="BO848" s="26">
        <f t="shared" ca="1" si="150"/>
        <v>0.65084175741068639</v>
      </c>
      <c r="BP848" s="29">
        <v>0</v>
      </c>
      <c r="BR848" s="22">
        <v>45393</v>
      </c>
      <c r="BS848" s="26">
        <f t="shared" ca="1" si="151"/>
        <v>0.67547426460187265</v>
      </c>
      <c r="BT848" s="29">
        <v>0</v>
      </c>
      <c r="BV848" s="22">
        <v>45393</v>
      </c>
      <c r="BW848" s="26">
        <f t="shared" ca="1" si="152"/>
        <v>8.9223146667109954E-2</v>
      </c>
      <c r="BX848" s="29">
        <v>0</v>
      </c>
    </row>
    <row r="849" spans="2:76" ht="12.75" x14ac:dyDescent="0.2">
      <c r="B849" s="22">
        <v>45394</v>
      </c>
      <c r="C849" s="26">
        <f t="shared" ca="1" si="135"/>
        <v>0.39563053112154556</v>
      </c>
      <c r="D849" s="29">
        <v>0</v>
      </c>
      <c r="F849" s="22"/>
      <c r="G849" s="26">
        <f t="shared" ca="1" si="136"/>
        <v>0.21716826219521324</v>
      </c>
      <c r="H849" s="29">
        <v>0</v>
      </c>
      <c r="J849" s="22">
        <v>45394</v>
      </c>
      <c r="K849" s="26">
        <f t="shared" ca="1" si="137"/>
        <v>0.31481910460948126</v>
      </c>
      <c r="L849" s="29">
        <v>0</v>
      </c>
      <c r="N849" s="22">
        <v>45394</v>
      </c>
      <c r="O849" s="26">
        <f t="shared" ca="1" si="138"/>
        <v>0.5479085155741239</v>
      </c>
      <c r="P849" s="29">
        <v>0</v>
      </c>
      <c r="R849" s="22">
        <v>45394</v>
      </c>
      <c r="S849" s="26">
        <f t="shared" ca="1" si="139"/>
        <v>0.85084081170955295</v>
      </c>
      <c r="T849" s="29">
        <v>0</v>
      </c>
      <c r="V849" s="22">
        <v>45394</v>
      </c>
      <c r="W849" s="26">
        <f t="shared" ca="1" si="140"/>
        <v>0.49741369883480135</v>
      </c>
      <c r="X849" s="29">
        <v>0</v>
      </c>
      <c r="Z849" s="22">
        <v>45394</v>
      </c>
      <c r="AA849" s="26">
        <f t="shared" ca="1" si="141"/>
        <v>0.39816188971961641</v>
      </c>
      <c r="AB849" s="29">
        <v>0</v>
      </c>
      <c r="AC849"/>
      <c r="AD849" s="25"/>
      <c r="AF849" s="22">
        <v>45394</v>
      </c>
      <c r="AG849" s="26">
        <f t="shared" ca="1" si="142"/>
        <v>0.25314419000648058</v>
      </c>
      <c r="AH849" s="29">
        <v>0</v>
      </c>
      <c r="AJ849" s="22">
        <v>45394</v>
      </c>
      <c r="AK849" s="26">
        <f t="shared" ca="1" si="143"/>
        <v>0.5859398613141592</v>
      </c>
      <c r="AL849" s="29">
        <v>0</v>
      </c>
      <c r="AN849" s="22">
        <v>45394</v>
      </c>
      <c r="AO849" s="26">
        <f t="shared" ca="1" si="144"/>
        <v>0.6041514462651888</v>
      </c>
      <c r="AP849" s="29">
        <v>0</v>
      </c>
      <c r="AR849" s="22">
        <v>45394</v>
      </c>
      <c r="AS849" s="26">
        <f t="shared" ca="1" si="145"/>
        <v>0.92804250038015057</v>
      </c>
      <c r="AT849" s="29">
        <v>0</v>
      </c>
      <c r="AV849" s="22">
        <v>45394</v>
      </c>
      <c r="AW849" s="26">
        <f t="shared" ca="1" si="146"/>
        <v>0.16813464995608829</v>
      </c>
      <c r="AX849" s="29">
        <v>0</v>
      </c>
      <c r="AZ849" s="22">
        <v>45394</v>
      </c>
      <c r="BA849" s="26">
        <f t="shared" ca="1" si="147"/>
        <v>0.49810503933305583</v>
      </c>
      <c r="BB849" s="29">
        <v>0</v>
      </c>
      <c r="BC849"/>
      <c r="BD849" s="25"/>
      <c r="BF849" s="22">
        <v>45394</v>
      </c>
      <c r="BG849" s="26">
        <f t="shared" ca="1" si="148"/>
        <v>0.75371070934405193</v>
      </c>
      <c r="BH849" s="29">
        <v>0</v>
      </c>
      <c r="BJ849" s="22">
        <v>45394</v>
      </c>
      <c r="BK849" s="26">
        <f t="shared" ca="1" si="149"/>
        <v>0.38708902877763751</v>
      </c>
      <c r="BL849" s="29">
        <v>0</v>
      </c>
      <c r="BN849" s="22">
        <v>45394</v>
      </c>
      <c r="BO849" s="26">
        <f t="shared" ca="1" si="150"/>
        <v>0.47110990568800837</v>
      </c>
      <c r="BP849" s="29">
        <v>0</v>
      </c>
      <c r="BR849" s="22">
        <v>45394</v>
      </c>
      <c r="BS849" s="26">
        <f t="shared" ca="1" si="151"/>
        <v>0.6907962371116545</v>
      </c>
      <c r="BT849" s="29">
        <v>0</v>
      </c>
      <c r="BV849" s="22">
        <v>45394</v>
      </c>
      <c r="BW849" s="26">
        <f t="shared" ca="1" si="152"/>
        <v>0.88757307279444675</v>
      </c>
      <c r="BX849" s="29">
        <v>0</v>
      </c>
    </row>
    <row r="850" spans="2:76" ht="12.75" x14ac:dyDescent="0.2">
      <c r="B850" s="22">
        <v>45395</v>
      </c>
      <c r="C850" s="26">
        <f t="shared" ca="1" si="135"/>
        <v>0.94880261363568519</v>
      </c>
      <c r="D850" s="29">
        <v>0</v>
      </c>
      <c r="F850" s="22"/>
      <c r="G850" s="26">
        <f t="shared" ca="1" si="136"/>
        <v>0.28898288643208359</v>
      </c>
      <c r="H850" s="29">
        <v>0</v>
      </c>
      <c r="J850" s="22">
        <v>45395</v>
      </c>
      <c r="K850" s="26">
        <f t="shared" ca="1" si="137"/>
        <v>0.693147428343588</v>
      </c>
      <c r="L850" s="29">
        <v>0</v>
      </c>
      <c r="N850" s="22">
        <v>45395</v>
      </c>
      <c r="O850" s="26">
        <f t="shared" ca="1" si="138"/>
        <v>0.7320019148202791</v>
      </c>
      <c r="P850" s="29">
        <v>0</v>
      </c>
      <c r="R850" s="22">
        <v>45395</v>
      </c>
      <c r="S850" s="26">
        <f t="shared" ca="1" si="139"/>
        <v>0.84626808275081766</v>
      </c>
      <c r="T850" s="29">
        <v>0</v>
      </c>
      <c r="V850" s="22">
        <v>45395</v>
      </c>
      <c r="W850" s="26">
        <f t="shared" ca="1" si="140"/>
        <v>0.9197941729029574</v>
      </c>
      <c r="X850" s="29">
        <v>0</v>
      </c>
      <c r="Z850" s="22">
        <v>45395</v>
      </c>
      <c r="AA850" s="26">
        <f t="shared" ca="1" si="141"/>
        <v>3.7355520130924247E-2</v>
      </c>
      <c r="AB850" s="29">
        <v>0</v>
      </c>
      <c r="AC850"/>
      <c r="AD850" s="25"/>
      <c r="AF850" s="22">
        <v>45395</v>
      </c>
      <c r="AG850" s="26">
        <f t="shared" ca="1" si="142"/>
        <v>0.56825637635163562</v>
      </c>
      <c r="AH850" s="29">
        <v>0</v>
      </c>
      <c r="AJ850" s="22">
        <v>45395</v>
      </c>
      <c r="AK850" s="26">
        <f t="shared" ca="1" si="143"/>
        <v>0.80585076897238483</v>
      </c>
      <c r="AL850" s="29">
        <v>0</v>
      </c>
      <c r="AN850" s="22">
        <v>45395</v>
      </c>
      <c r="AO850" s="26">
        <f t="shared" ca="1" si="144"/>
        <v>0.46261986438801694</v>
      </c>
      <c r="AP850" s="29">
        <v>0</v>
      </c>
      <c r="AR850" s="22">
        <v>45395</v>
      </c>
      <c r="AS850" s="26">
        <f t="shared" ca="1" si="145"/>
        <v>0.32566328811891798</v>
      </c>
      <c r="AT850" s="29">
        <v>0</v>
      </c>
      <c r="AV850" s="22">
        <v>45395</v>
      </c>
      <c r="AW850" s="26">
        <f t="shared" ca="1" si="146"/>
        <v>3.9596679673714497E-2</v>
      </c>
      <c r="AX850" s="29">
        <v>0</v>
      </c>
      <c r="AZ850" s="22">
        <v>45395</v>
      </c>
      <c r="BA850" s="26">
        <f t="shared" ca="1" si="147"/>
        <v>0.15311511938120914</v>
      </c>
      <c r="BB850" s="29">
        <v>0</v>
      </c>
      <c r="BC850"/>
      <c r="BD850" s="25"/>
      <c r="BF850" s="22">
        <v>45395</v>
      </c>
      <c r="BG850" s="26">
        <f t="shared" ca="1" si="148"/>
        <v>0.15172772745898466</v>
      </c>
      <c r="BH850" s="29">
        <v>0</v>
      </c>
      <c r="BJ850" s="22">
        <v>45395</v>
      </c>
      <c r="BK850" s="26">
        <f t="shared" ca="1" si="149"/>
        <v>0.10273509511479884</v>
      </c>
      <c r="BL850" s="29">
        <v>0</v>
      </c>
      <c r="BN850" s="22">
        <v>45395</v>
      </c>
      <c r="BO850" s="26">
        <f t="shared" ca="1" si="150"/>
        <v>0.3520600700673403</v>
      </c>
      <c r="BP850" s="29">
        <v>0</v>
      </c>
      <c r="BR850" s="22">
        <v>45395</v>
      </c>
      <c r="BS850" s="26">
        <f t="shared" ca="1" si="151"/>
        <v>0.9189801821349548</v>
      </c>
      <c r="BT850" s="29">
        <v>0</v>
      </c>
      <c r="BV850" s="22">
        <v>45395</v>
      </c>
      <c r="BW850" s="26">
        <f t="shared" ca="1" si="152"/>
        <v>0.76712265402837965</v>
      </c>
      <c r="BX850" s="29">
        <v>0</v>
      </c>
    </row>
    <row r="851" spans="2:76" ht="12.75" x14ac:dyDescent="0.2">
      <c r="B851" s="22">
        <v>45396</v>
      </c>
      <c r="C851" s="26">
        <f t="shared" ca="1" si="135"/>
        <v>0.1105187642908585</v>
      </c>
      <c r="D851" s="29">
        <v>0</v>
      </c>
      <c r="F851" s="22"/>
      <c r="G851" s="26">
        <f t="shared" ca="1" si="136"/>
        <v>0.6215469069750349</v>
      </c>
      <c r="H851" s="29">
        <v>0</v>
      </c>
      <c r="J851" s="22">
        <v>45396</v>
      </c>
      <c r="K851" s="26">
        <f t="shared" ca="1" si="137"/>
        <v>0.99360008035027347</v>
      </c>
      <c r="L851" s="29">
        <v>0</v>
      </c>
      <c r="N851" s="22">
        <v>45396</v>
      </c>
      <c r="O851" s="26">
        <f t="shared" ca="1" si="138"/>
        <v>0.75593784725975133</v>
      </c>
      <c r="P851" s="29">
        <v>0</v>
      </c>
      <c r="R851" s="22">
        <v>45396</v>
      </c>
      <c r="S851" s="26">
        <f t="shared" ca="1" si="139"/>
        <v>0.92702571773677667</v>
      </c>
      <c r="T851" s="29">
        <v>0</v>
      </c>
      <c r="V851" s="22">
        <v>45396</v>
      </c>
      <c r="W851" s="26">
        <f t="shared" ca="1" si="140"/>
        <v>6.1394863099867969E-2</v>
      </c>
      <c r="X851" s="29">
        <v>0</v>
      </c>
      <c r="Z851" s="22">
        <v>45396</v>
      </c>
      <c r="AA851" s="26">
        <f t="shared" ca="1" si="141"/>
        <v>0.83080512990247612</v>
      </c>
      <c r="AB851" s="29">
        <v>0</v>
      </c>
      <c r="AC851"/>
      <c r="AD851" s="25"/>
      <c r="AF851" s="22">
        <v>45396</v>
      </c>
      <c r="AG851" s="26">
        <f t="shared" ca="1" si="142"/>
        <v>0.48881539124223905</v>
      </c>
      <c r="AH851" s="29">
        <v>0</v>
      </c>
      <c r="AJ851" s="22">
        <v>45396</v>
      </c>
      <c r="AK851" s="26">
        <f t="shared" ca="1" si="143"/>
        <v>0.42066391661557379</v>
      </c>
      <c r="AL851" s="29">
        <v>0</v>
      </c>
      <c r="AN851" s="22">
        <v>45396</v>
      </c>
      <c r="AO851" s="26">
        <f t="shared" ca="1" si="144"/>
        <v>0.6863007286855588</v>
      </c>
      <c r="AP851" s="29">
        <v>0</v>
      </c>
      <c r="AR851" s="22">
        <v>45396</v>
      </c>
      <c r="AS851" s="26">
        <f t="shared" ca="1" si="145"/>
        <v>1.5056132825380653E-2</v>
      </c>
      <c r="AT851" s="29">
        <v>0</v>
      </c>
      <c r="AV851" s="22">
        <v>45396</v>
      </c>
      <c r="AW851" s="26">
        <f t="shared" ca="1" si="146"/>
        <v>0.15709718825282248</v>
      </c>
      <c r="AX851" s="29">
        <v>0</v>
      </c>
      <c r="AZ851" s="22">
        <v>45396</v>
      </c>
      <c r="BA851" s="26">
        <f t="shared" ca="1" si="147"/>
        <v>0.33233973217311918</v>
      </c>
      <c r="BB851" s="29">
        <v>0</v>
      </c>
      <c r="BC851"/>
      <c r="BD851" s="25"/>
      <c r="BF851" s="22">
        <v>45396</v>
      </c>
      <c r="BG851" s="26">
        <f t="shared" ca="1" si="148"/>
        <v>0.96512847628389964</v>
      </c>
      <c r="BH851" s="29">
        <v>0</v>
      </c>
      <c r="BJ851" s="22">
        <v>45396</v>
      </c>
      <c r="BK851" s="26">
        <f t="shared" ca="1" si="149"/>
        <v>0.20802431391344955</v>
      </c>
      <c r="BL851" s="29">
        <v>0</v>
      </c>
      <c r="BN851" s="22">
        <v>45396</v>
      </c>
      <c r="BO851" s="26">
        <f t="shared" ca="1" si="150"/>
        <v>0.3711716767303882</v>
      </c>
      <c r="BP851" s="29">
        <v>0</v>
      </c>
      <c r="BR851" s="22">
        <v>45396</v>
      </c>
      <c r="BS851" s="26">
        <f t="shared" ca="1" si="151"/>
        <v>0.77406115900535832</v>
      </c>
      <c r="BT851" s="29">
        <v>0</v>
      </c>
      <c r="BV851" s="22">
        <v>45396</v>
      </c>
      <c r="BW851" s="26">
        <f t="shared" ca="1" si="152"/>
        <v>0.5050897009971097</v>
      </c>
      <c r="BX851" s="29">
        <v>0</v>
      </c>
    </row>
    <row r="852" spans="2:76" ht="12.75" x14ac:dyDescent="0.2">
      <c r="B852" s="22">
        <v>45397</v>
      </c>
      <c r="C852" s="26">
        <f t="shared" ca="1" si="135"/>
        <v>0.93713317688650066</v>
      </c>
      <c r="D852" s="29">
        <v>0</v>
      </c>
      <c r="F852" s="22"/>
      <c r="G852" s="26">
        <f t="shared" ca="1" si="136"/>
        <v>0.37462510340085964</v>
      </c>
      <c r="H852" s="29">
        <v>0</v>
      </c>
      <c r="J852" s="22">
        <v>45397</v>
      </c>
      <c r="K852" s="26">
        <f t="shared" ca="1" si="137"/>
        <v>0.53934487597486003</v>
      </c>
      <c r="L852" s="29">
        <v>0</v>
      </c>
      <c r="N852" s="22">
        <v>45397</v>
      </c>
      <c r="O852" s="26">
        <f t="shared" ca="1" si="138"/>
        <v>0.32629424576768729</v>
      </c>
      <c r="P852" s="29">
        <v>0</v>
      </c>
      <c r="R852" s="22">
        <v>45397</v>
      </c>
      <c r="S852" s="26">
        <f t="shared" ca="1" si="139"/>
        <v>0.30152867535909889</v>
      </c>
      <c r="T852" s="29">
        <v>0</v>
      </c>
      <c r="V852" s="22">
        <v>45397</v>
      </c>
      <c r="W852" s="26">
        <f t="shared" ca="1" si="140"/>
        <v>0.66957953157832795</v>
      </c>
      <c r="X852" s="29">
        <v>0</v>
      </c>
      <c r="Z852" s="22">
        <v>45397</v>
      </c>
      <c r="AA852" s="26">
        <f t="shared" ca="1" si="141"/>
        <v>0.76490479163601077</v>
      </c>
      <c r="AB852" s="29">
        <v>0</v>
      </c>
      <c r="AC852"/>
      <c r="AD852" s="25"/>
      <c r="AF852" s="22">
        <v>45397</v>
      </c>
      <c r="AG852" s="26">
        <f t="shared" ca="1" si="142"/>
        <v>0.52477086753251845</v>
      </c>
      <c r="AH852" s="29">
        <v>0</v>
      </c>
      <c r="AJ852" s="22">
        <v>45397</v>
      </c>
      <c r="AK852" s="26">
        <f t="shared" ca="1" si="143"/>
        <v>0.75222858140453264</v>
      </c>
      <c r="AL852" s="29">
        <v>0</v>
      </c>
      <c r="AN852" s="22">
        <v>45397</v>
      </c>
      <c r="AO852" s="26">
        <f t="shared" ca="1" si="144"/>
        <v>0.17482781315801232</v>
      </c>
      <c r="AP852" s="29">
        <v>0</v>
      </c>
      <c r="AR852" s="22">
        <v>45397</v>
      </c>
      <c r="AS852" s="26">
        <f t="shared" ca="1" si="145"/>
        <v>0.89440013247003547</v>
      </c>
      <c r="AT852" s="29">
        <v>0</v>
      </c>
      <c r="AV852" s="22">
        <v>45397</v>
      </c>
      <c r="AW852" s="26">
        <f t="shared" ca="1" si="146"/>
        <v>0.30784959164158321</v>
      </c>
      <c r="AX852" s="29">
        <v>0</v>
      </c>
      <c r="AZ852" s="22">
        <v>45397</v>
      </c>
      <c r="BA852" s="26">
        <f t="shared" ca="1" si="147"/>
        <v>0.79477429950907319</v>
      </c>
      <c r="BB852" s="29">
        <v>0</v>
      </c>
      <c r="BC852"/>
      <c r="BD852" s="25"/>
      <c r="BF852" s="22">
        <v>45397</v>
      </c>
      <c r="BG852" s="26">
        <f t="shared" ca="1" si="148"/>
        <v>0.96983799647510549</v>
      </c>
      <c r="BH852" s="29">
        <v>0</v>
      </c>
      <c r="BJ852" s="22">
        <v>45397</v>
      </c>
      <c r="BK852" s="26">
        <f t="shared" ca="1" si="149"/>
        <v>0.33706573819038754</v>
      </c>
      <c r="BL852" s="29">
        <v>0</v>
      </c>
      <c r="BN852" s="22">
        <v>45397</v>
      </c>
      <c r="BO852" s="26">
        <f t="shared" ca="1" si="150"/>
        <v>0.52215673404430507</v>
      </c>
      <c r="BP852" s="29">
        <v>0</v>
      </c>
      <c r="BR852" s="22">
        <v>45397</v>
      </c>
      <c r="BS852" s="26">
        <f t="shared" ca="1" si="151"/>
        <v>3.3415151280801525E-2</v>
      </c>
      <c r="BT852" s="29">
        <v>0</v>
      </c>
      <c r="BV852" s="22">
        <v>45397</v>
      </c>
      <c r="BW852" s="26">
        <f t="shared" ca="1" si="152"/>
        <v>0.49920223760680393</v>
      </c>
      <c r="BX852" s="29">
        <v>0</v>
      </c>
    </row>
    <row r="853" spans="2:76" ht="12.75" x14ac:dyDescent="0.2">
      <c r="B853" s="22">
        <v>45398</v>
      </c>
      <c r="C853" s="26">
        <f t="shared" ca="1" si="135"/>
        <v>0.49370340489085995</v>
      </c>
      <c r="D853" s="29">
        <v>0</v>
      </c>
      <c r="F853" s="22"/>
      <c r="G853" s="26">
        <f t="shared" ca="1" si="136"/>
        <v>0.10057590372817682</v>
      </c>
      <c r="H853" s="29">
        <v>0</v>
      </c>
      <c r="J853" s="22">
        <v>45398</v>
      </c>
      <c r="K853" s="26">
        <f t="shared" ca="1" si="137"/>
        <v>0.23560579618422617</v>
      </c>
      <c r="L853" s="29">
        <v>0</v>
      </c>
      <c r="N853" s="22">
        <v>45398</v>
      </c>
      <c r="O853" s="26">
        <f t="shared" ca="1" si="138"/>
        <v>0.7988039051878405</v>
      </c>
      <c r="P853" s="29">
        <v>0</v>
      </c>
      <c r="R853" s="22">
        <v>45398</v>
      </c>
      <c r="S853" s="26">
        <f t="shared" ca="1" si="139"/>
        <v>0.54772683386968535</v>
      </c>
      <c r="T853" s="29">
        <v>0</v>
      </c>
      <c r="V853" s="22">
        <v>45398</v>
      </c>
      <c r="W853" s="26">
        <f t="shared" ca="1" si="140"/>
        <v>0.8331291362204476</v>
      </c>
      <c r="X853" s="29">
        <v>0</v>
      </c>
      <c r="Z853" s="22">
        <v>45398</v>
      </c>
      <c r="AA853" s="26">
        <f t="shared" ca="1" si="141"/>
        <v>0.61636354420458572</v>
      </c>
      <c r="AB853" s="29">
        <v>0</v>
      </c>
      <c r="AC853"/>
      <c r="AD853" s="25"/>
      <c r="AF853" s="22">
        <v>45398</v>
      </c>
      <c r="AG853" s="26">
        <f t="shared" ca="1" si="142"/>
        <v>0.49032391896960226</v>
      </c>
      <c r="AH853" s="29">
        <v>0</v>
      </c>
      <c r="AJ853" s="22">
        <v>45398</v>
      </c>
      <c r="AK853" s="26">
        <f t="shared" ca="1" si="143"/>
        <v>2.6554238566331989E-3</v>
      </c>
      <c r="AL853" s="29">
        <v>0</v>
      </c>
      <c r="AN853" s="22">
        <v>45398</v>
      </c>
      <c r="AO853" s="26">
        <f t="shared" ca="1" si="144"/>
        <v>1.5202517479170008E-2</v>
      </c>
      <c r="AP853" s="29">
        <v>0</v>
      </c>
      <c r="AR853" s="22">
        <v>45398</v>
      </c>
      <c r="AS853" s="26">
        <f t="shared" ca="1" si="145"/>
        <v>0.60799282496601603</v>
      </c>
      <c r="AT853" s="29">
        <v>0</v>
      </c>
      <c r="AV853" s="22">
        <v>45398</v>
      </c>
      <c r="AW853" s="26">
        <f t="shared" ca="1" si="146"/>
        <v>0.24128251142851564</v>
      </c>
      <c r="AX853" s="29">
        <v>0</v>
      </c>
      <c r="AZ853" s="22">
        <v>45398</v>
      </c>
      <c r="BA853" s="26">
        <f t="shared" ca="1" si="147"/>
        <v>0.81341329489461356</v>
      </c>
      <c r="BB853" s="29">
        <v>0</v>
      </c>
      <c r="BC853"/>
      <c r="BD853" s="25"/>
      <c r="BF853" s="22">
        <v>45398</v>
      </c>
      <c r="BG853" s="26">
        <f t="shared" ca="1" si="148"/>
        <v>0.42587054933265989</v>
      </c>
      <c r="BH853" s="29">
        <v>0</v>
      </c>
      <c r="BJ853" s="22">
        <v>45398</v>
      </c>
      <c r="BK853" s="26">
        <f t="shared" ca="1" si="149"/>
        <v>0.28349770874265268</v>
      </c>
      <c r="BL853" s="29">
        <v>0</v>
      </c>
      <c r="BN853" s="22">
        <v>45398</v>
      </c>
      <c r="BO853" s="26">
        <f t="shared" ca="1" si="150"/>
        <v>0.45417911442556391</v>
      </c>
      <c r="BP853" s="29">
        <v>0</v>
      </c>
      <c r="BR853" s="22">
        <v>45398</v>
      </c>
      <c r="BS853" s="26">
        <f t="shared" ca="1" si="151"/>
        <v>0.37115304718510056</v>
      </c>
      <c r="BT853" s="29">
        <v>0</v>
      </c>
      <c r="BV853" s="22">
        <v>45398</v>
      </c>
      <c r="BW853" s="26">
        <f t="shared" ca="1" si="152"/>
        <v>0.49846439828704459</v>
      </c>
      <c r="BX853" s="29">
        <v>0</v>
      </c>
    </row>
    <row r="854" spans="2:76" ht="12.75" x14ac:dyDescent="0.2">
      <c r="B854" s="22">
        <v>45399</v>
      </c>
      <c r="C854" s="26">
        <f t="shared" ca="1" si="135"/>
        <v>0.21185952165857935</v>
      </c>
      <c r="D854" s="29">
        <v>0</v>
      </c>
      <c r="F854" s="22"/>
      <c r="G854" s="26">
        <f t="shared" ca="1" si="136"/>
        <v>0.34980970270636647</v>
      </c>
      <c r="H854" s="29">
        <v>0</v>
      </c>
      <c r="J854" s="22">
        <v>45399</v>
      </c>
      <c r="K854" s="26">
        <f t="shared" ca="1" si="137"/>
        <v>0.28833173793770239</v>
      </c>
      <c r="L854" s="29">
        <v>0</v>
      </c>
      <c r="N854" s="22">
        <v>45399</v>
      </c>
      <c r="O854" s="26">
        <f t="shared" ca="1" si="138"/>
        <v>0.94726759051208731</v>
      </c>
      <c r="P854" s="29">
        <v>0</v>
      </c>
      <c r="R854" s="22">
        <v>45399</v>
      </c>
      <c r="S854" s="26">
        <f t="shared" ca="1" si="139"/>
        <v>0.1704539639950976</v>
      </c>
      <c r="T854" s="29">
        <v>0</v>
      </c>
      <c r="V854" s="22">
        <v>45399</v>
      </c>
      <c r="W854" s="26">
        <f t="shared" ca="1" si="140"/>
        <v>0.96880032479994194</v>
      </c>
      <c r="X854" s="29">
        <v>0</v>
      </c>
      <c r="Z854" s="22">
        <v>45399</v>
      </c>
      <c r="AA854" s="26">
        <f t="shared" ca="1" si="141"/>
        <v>0.43638204902997912</v>
      </c>
      <c r="AB854" s="29">
        <v>0</v>
      </c>
      <c r="AC854"/>
      <c r="AD854" s="25"/>
      <c r="AF854" s="22">
        <v>45399</v>
      </c>
      <c r="AG854" s="26">
        <f t="shared" ca="1" si="142"/>
        <v>0.48223683164322495</v>
      </c>
      <c r="AH854" s="29">
        <v>0</v>
      </c>
      <c r="AJ854" s="22">
        <v>45399</v>
      </c>
      <c r="AK854" s="26">
        <f t="shared" ca="1" si="143"/>
        <v>0.12098049669245392</v>
      </c>
      <c r="AL854" s="29">
        <v>0</v>
      </c>
      <c r="AN854" s="22">
        <v>45399</v>
      </c>
      <c r="AO854" s="26">
        <f t="shared" ca="1" si="144"/>
        <v>0.88611296362057834</v>
      </c>
      <c r="AP854" s="29">
        <v>0</v>
      </c>
      <c r="AR854" s="22">
        <v>45399</v>
      </c>
      <c r="AS854" s="26">
        <f t="shared" ca="1" si="145"/>
        <v>0.65724949470937089</v>
      </c>
      <c r="AT854" s="29">
        <v>0</v>
      </c>
      <c r="AV854" s="22">
        <v>45399</v>
      </c>
      <c r="AW854" s="26">
        <f t="shared" ca="1" si="146"/>
        <v>0.11117432120992055</v>
      </c>
      <c r="AX854" s="29">
        <v>0</v>
      </c>
      <c r="AZ854" s="22">
        <v>45399</v>
      </c>
      <c r="BA854" s="26">
        <f t="shared" ca="1" si="147"/>
        <v>0.9369698149851875</v>
      </c>
      <c r="BB854" s="29">
        <v>0</v>
      </c>
      <c r="BC854"/>
      <c r="BD854" s="25"/>
      <c r="BF854" s="22">
        <v>45399</v>
      </c>
      <c r="BG854" s="26">
        <f t="shared" ca="1" si="148"/>
        <v>0.71019467299440664</v>
      </c>
      <c r="BH854" s="29">
        <v>0</v>
      </c>
      <c r="BJ854" s="22">
        <v>45399</v>
      </c>
      <c r="BK854" s="26">
        <f t="shared" ca="1" si="149"/>
        <v>0.59783506380308482</v>
      </c>
      <c r="BL854" s="29">
        <v>0</v>
      </c>
      <c r="BN854" s="22">
        <v>45399</v>
      </c>
      <c r="BO854" s="26">
        <f t="shared" ca="1" si="150"/>
        <v>0.21685033264606079</v>
      </c>
      <c r="BP854" s="29">
        <v>0</v>
      </c>
      <c r="BR854" s="22">
        <v>45399</v>
      </c>
      <c r="BS854" s="26">
        <f t="shared" ca="1" si="151"/>
        <v>0.56592144254863219</v>
      </c>
      <c r="BT854" s="29">
        <v>0</v>
      </c>
      <c r="BV854" s="22">
        <v>45399</v>
      </c>
      <c r="BW854" s="26">
        <f t="shared" ca="1" si="152"/>
        <v>0.68691837550995327</v>
      </c>
      <c r="BX854" s="29">
        <v>0</v>
      </c>
    </row>
    <row r="855" spans="2:76" ht="12.75" x14ac:dyDescent="0.2">
      <c r="B855" s="22">
        <v>45400</v>
      </c>
      <c r="C855" s="26">
        <f t="shared" ca="1" si="135"/>
        <v>0.58577382162697811</v>
      </c>
      <c r="D855" s="29">
        <f t="shared" ref="D855:D913" ca="1" si="187">ROUNDUP(_xlfn.NORM.INV(C855,C$10,C$12),0)</f>
        <v>80</v>
      </c>
      <c r="F855" s="22"/>
      <c r="G855" s="26">
        <f t="shared" ca="1" si="136"/>
        <v>0.83623735337082461</v>
      </c>
      <c r="H855" s="29">
        <f t="shared" ref="H855:H918" ca="1" si="188">ROUNDUP(_xlfn.NORM.INV(G855,G$10,G$12),0)</f>
        <v>230</v>
      </c>
      <c r="J855" s="22">
        <v>45400</v>
      </c>
      <c r="K855" s="26">
        <f t="shared" ca="1" si="137"/>
        <v>0.89280408158877156</v>
      </c>
      <c r="L855" s="29">
        <f t="shared" ref="L855:L918" ca="1" si="189">ROUNDUP(_xlfn.NORM.INV(K855,K$10,K$12),0)</f>
        <v>163</v>
      </c>
      <c r="N855" s="22">
        <v>45400</v>
      </c>
      <c r="O855" s="26">
        <f t="shared" ca="1" si="138"/>
        <v>0.70242977456950439</v>
      </c>
      <c r="P855" s="29">
        <f t="shared" ref="P855:P918" ca="1" si="190">ROUNDUP(_xlfn.NORM.INV(O855,O$10,O$12),0)</f>
        <v>238</v>
      </c>
      <c r="R855" s="22">
        <v>45400</v>
      </c>
      <c r="S855" s="26">
        <f t="shared" ca="1" si="139"/>
        <v>0.92991901110556341</v>
      </c>
      <c r="T855" s="29">
        <f t="shared" ref="T855:T918" ca="1" si="191">ROUNDUP(_xlfn.NORM.INV(S855,S$10,S$12),0)</f>
        <v>153</v>
      </c>
      <c r="V855" s="22">
        <v>45400</v>
      </c>
      <c r="W855" s="26">
        <f t="shared" ca="1" si="140"/>
        <v>0.3237411007347577</v>
      </c>
      <c r="X855" s="29">
        <f t="shared" ref="X855:X918" ca="1" si="192">ROUNDUP(_xlfn.NORM.INV(W855,W$10,W$12),0)</f>
        <v>219</v>
      </c>
      <c r="Z855" s="22">
        <v>45400</v>
      </c>
      <c r="AA855" s="26">
        <f t="shared" ca="1" si="141"/>
        <v>0.95219322610450796</v>
      </c>
      <c r="AB855" s="29">
        <f t="shared" ref="AB855:AB918" ca="1" si="193">ROUNDUP(_xlfn.NORM.INV(AA855,AA$10,AA$12),0)</f>
        <v>300</v>
      </c>
      <c r="AC855"/>
      <c r="AD855" s="25"/>
      <c r="AF855" s="22">
        <v>45400</v>
      </c>
      <c r="AG855" s="26">
        <f t="shared" ca="1" si="142"/>
        <v>3.5331709336295147E-2</v>
      </c>
      <c r="AH855" s="29">
        <f t="shared" ref="AH855:AH918" ca="1" si="194">ROUNDUP(_xlfn.NORM.INV(AG855,AG$10,AG$12),0)</f>
        <v>170</v>
      </c>
      <c r="AJ855" s="22">
        <v>45400</v>
      </c>
      <c r="AK855" s="26">
        <f t="shared" ca="1" si="143"/>
        <v>0.35283398193150217</v>
      </c>
      <c r="AL855" s="29">
        <f t="shared" ref="AL855:AL918" ca="1" si="195">ROUNDUP(_xlfn.NORM.INV(AK855,AK$10,AK$12),0)</f>
        <v>154</v>
      </c>
      <c r="AN855" s="22">
        <v>45400</v>
      </c>
      <c r="AO855" s="26">
        <f t="shared" ca="1" si="144"/>
        <v>0.77914775310565421</v>
      </c>
      <c r="AP855" s="29">
        <f t="shared" ref="AP855:AP918" ca="1" si="196">ROUNDUP(_xlfn.NORM.INV(AO855,AO$10,AO$12),0)</f>
        <v>280</v>
      </c>
      <c r="AR855" s="22">
        <v>45400</v>
      </c>
      <c r="AS855" s="26">
        <f t="shared" ca="1" si="145"/>
        <v>0.92662492322770906</v>
      </c>
      <c r="AT855" s="29">
        <f t="shared" ref="AT855:AT918" ca="1" si="197">ROUNDUP(_xlfn.NORM.INV(AS855,AS$10,AS$12),0)</f>
        <v>275</v>
      </c>
      <c r="AV855" s="22">
        <v>45400</v>
      </c>
      <c r="AW855" s="26">
        <f t="shared" ca="1" si="146"/>
        <v>0.33214665281322964</v>
      </c>
      <c r="AX855" s="29">
        <f t="shared" ref="AX855:AX918" ca="1" si="198">ROUNDUP(_xlfn.NORM.INV(AW855,AW$10,AW$12),0)</f>
        <v>182</v>
      </c>
      <c r="AZ855" s="22">
        <v>45400</v>
      </c>
      <c r="BA855" s="26">
        <f t="shared" ca="1" si="147"/>
        <v>7.2899867905604321E-2</v>
      </c>
      <c r="BB855" s="29">
        <f t="shared" ref="BB855:BB918" ca="1" si="199">ROUNDUP(_xlfn.NORM.INV(BA855,BA$10,BA$12),0)</f>
        <v>143</v>
      </c>
      <c r="BC855"/>
      <c r="BD855" s="25"/>
      <c r="BF855" s="22">
        <v>45400</v>
      </c>
      <c r="BG855" s="26">
        <f t="shared" ca="1" si="148"/>
        <v>0.78908205908613449</v>
      </c>
      <c r="BH855" s="29">
        <f t="shared" ref="BH855:BH918" ca="1" si="200">ROUNDUP(_xlfn.NORM.INV(BG855,BG$10,BG$12),0)</f>
        <v>244</v>
      </c>
      <c r="BJ855" s="22">
        <v>45400</v>
      </c>
      <c r="BK855" s="26">
        <f t="shared" ca="1" si="149"/>
        <v>0.11730459911682656</v>
      </c>
      <c r="BL855" s="29">
        <f t="shared" ref="BL855:BL918" ca="1" si="201">ROUNDUP(_xlfn.NORM.INV(BK855,BK$10,BK$12),0)</f>
        <v>116</v>
      </c>
      <c r="BN855" s="22">
        <v>45400</v>
      </c>
      <c r="BO855" s="26">
        <f t="shared" ca="1" si="150"/>
        <v>0.67063959084648128</v>
      </c>
      <c r="BP855" s="29">
        <f t="shared" ref="BP855:BP918" ca="1" si="202">ROUNDUP(_xlfn.NORM.INV(BO855,BO$10,BO$12),0)</f>
        <v>242</v>
      </c>
      <c r="BR855" s="22">
        <v>45400</v>
      </c>
      <c r="BS855" s="26">
        <f t="shared" ca="1" si="151"/>
        <v>0.79339534110377052</v>
      </c>
      <c r="BT855" s="29">
        <f t="shared" ref="BT855:BT918" ca="1" si="203">ROUNDUP(_xlfn.NORM.INV(BS855,BS$10,BS$12),0)</f>
        <v>196</v>
      </c>
      <c r="BV855" s="22">
        <v>45400</v>
      </c>
      <c r="BW855" s="26">
        <f t="shared" ca="1" si="152"/>
        <v>0.25511556988294204</v>
      </c>
      <c r="BX855" s="29">
        <f t="shared" ref="BX855:BX918" ca="1" si="204">ROUNDUP(_xlfn.NORM.INV(BW855,BW$10,BW$12),0)</f>
        <v>181</v>
      </c>
    </row>
    <row r="856" spans="2:76" ht="12.75" x14ac:dyDescent="0.2">
      <c r="B856" s="22">
        <v>45401</v>
      </c>
      <c r="C856" s="26">
        <f t="shared" ca="1" si="135"/>
        <v>0.7645661260639135</v>
      </c>
      <c r="D856" s="29">
        <f t="shared" ca="1" si="187"/>
        <v>90</v>
      </c>
      <c r="F856" s="22"/>
      <c r="G856" s="26">
        <f t="shared" ca="1" si="136"/>
        <v>0.82597107088175314</v>
      </c>
      <c r="H856" s="29">
        <f t="shared" ca="1" si="188"/>
        <v>229</v>
      </c>
      <c r="J856" s="22">
        <v>45401</v>
      </c>
      <c r="K856" s="26">
        <f t="shared" ca="1" si="137"/>
        <v>0.24140196804129144</v>
      </c>
      <c r="L856" s="29">
        <f t="shared" ca="1" si="189"/>
        <v>143</v>
      </c>
      <c r="N856" s="22">
        <v>45401</v>
      </c>
      <c r="O856" s="26">
        <f t="shared" ca="1" si="138"/>
        <v>0.90867392913574063</v>
      </c>
      <c r="P856" s="29">
        <f t="shared" ca="1" si="190"/>
        <v>250</v>
      </c>
      <c r="R856" s="22">
        <v>45401</v>
      </c>
      <c r="S856" s="26">
        <f t="shared" ca="1" si="139"/>
        <v>0.59149208091055616</v>
      </c>
      <c r="T856" s="29">
        <f t="shared" ca="1" si="191"/>
        <v>141</v>
      </c>
      <c r="V856" s="22">
        <v>45401</v>
      </c>
      <c r="W856" s="26">
        <f t="shared" ca="1" si="140"/>
        <v>3.5362318912629531E-2</v>
      </c>
      <c r="X856" s="29">
        <f t="shared" ca="1" si="192"/>
        <v>198</v>
      </c>
      <c r="Z856" s="22">
        <v>45401</v>
      </c>
      <c r="AA856" s="26">
        <f t="shared" ca="1" si="141"/>
        <v>0.51924040918060688</v>
      </c>
      <c r="AB856" s="29">
        <f t="shared" ca="1" si="193"/>
        <v>271</v>
      </c>
      <c r="AC856"/>
      <c r="AD856" s="25"/>
      <c r="AF856" s="22">
        <v>45401</v>
      </c>
      <c r="AG856" s="26">
        <f t="shared" ca="1" si="142"/>
        <v>0.32479409544876015</v>
      </c>
      <c r="AH856" s="29">
        <f t="shared" ca="1" si="194"/>
        <v>288</v>
      </c>
      <c r="AJ856" s="22">
        <v>45401</v>
      </c>
      <c r="AK856" s="26">
        <f t="shared" ca="1" si="143"/>
        <v>0.22935332465082947</v>
      </c>
      <c r="AL856" s="29">
        <f t="shared" ca="1" si="195"/>
        <v>137</v>
      </c>
      <c r="AN856" s="22">
        <v>45401</v>
      </c>
      <c r="AO856" s="26">
        <f t="shared" ca="1" si="144"/>
        <v>0.95503454724089609</v>
      </c>
      <c r="AP856" s="29">
        <f t="shared" ca="1" si="196"/>
        <v>337</v>
      </c>
      <c r="AR856" s="22">
        <v>45401</v>
      </c>
      <c r="AS856" s="26">
        <f t="shared" ca="1" si="145"/>
        <v>0.53098730449526721</v>
      </c>
      <c r="AT856" s="29">
        <f t="shared" ca="1" si="197"/>
        <v>203</v>
      </c>
      <c r="AV856" s="22">
        <v>45401</v>
      </c>
      <c r="AW856" s="26">
        <f t="shared" ca="1" si="146"/>
        <v>0.39452113011153012</v>
      </c>
      <c r="AX856" s="29">
        <f t="shared" ca="1" si="198"/>
        <v>191</v>
      </c>
      <c r="AZ856" s="22">
        <v>45401</v>
      </c>
      <c r="BA856" s="26">
        <f t="shared" ca="1" si="147"/>
        <v>0.65456888841583849</v>
      </c>
      <c r="BB856" s="29">
        <f t="shared" ca="1" si="199"/>
        <v>259</v>
      </c>
      <c r="BC856"/>
      <c r="BD856" s="25"/>
      <c r="BF856" s="22">
        <v>45401</v>
      </c>
      <c r="BG856" s="26">
        <f t="shared" ca="1" si="148"/>
        <v>0.15577824014829755</v>
      </c>
      <c r="BH856" s="29">
        <f t="shared" ca="1" si="200"/>
        <v>147</v>
      </c>
      <c r="BJ856" s="22">
        <v>45401</v>
      </c>
      <c r="BK856" s="26">
        <f t="shared" ca="1" si="149"/>
        <v>1.7032132760461338E-2</v>
      </c>
      <c r="BL856" s="29">
        <f t="shared" ca="1" si="201"/>
        <v>74</v>
      </c>
      <c r="BN856" s="22">
        <v>45401</v>
      </c>
      <c r="BO856" s="26">
        <f t="shared" ca="1" si="150"/>
        <v>0.29117014717952727</v>
      </c>
      <c r="BP856" s="29">
        <f t="shared" ca="1" si="202"/>
        <v>185</v>
      </c>
      <c r="BR856" s="22">
        <v>45401</v>
      </c>
      <c r="BS856" s="26">
        <f t="shared" ca="1" si="151"/>
        <v>0.24410916041602881</v>
      </c>
      <c r="BT856" s="29">
        <f t="shared" ca="1" si="203"/>
        <v>131</v>
      </c>
      <c r="BV856" s="22">
        <v>45401</v>
      </c>
      <c r="BW856" s="26">
        <f t="shared" ca="1" si="152"/>
        <v>0.20936652392930388</v>
      </c>
      <c r="BX856" s="29">
        <f t="shared" ca="1" si="204"/>
        <v>173</v>
      </c>
    </row>
    <row r="857" spans="2:76" ht="12.75" x14ac:dyDescent="0.2">
      <c r="B857" s="22">
        <v>45402</v>
      </c>
      <c r="C857" s="26">
        <f t="shared" ca="1" si="135"/>
        <v>0.63295063603539392</v>
      </c>
      <c r="D857" s="29">
        <f t="shared" ca="1" si="187"/>
        <v>82</v>
      </c>
      <c r="F857" s="22"/>
      <c r="G857" s="26">
        <f t="shared" ca="1" si="136"/>
        <v>0.27930616368715711</v>
      </c>
      <c r="H857" s="29">
        <f t="shared" ca="1" si="188"/>
        <v>208</v>
      </c>
      <c r="J857" s="22">
        <v>45402</v>
      </c>
      <c r="K857" s="26">
        <f t="shared" ca="1" si="137"/>
        <v>0.1248665417167828</v>
      </c>
      <c r="L857" s="29">
        <f t="shared" ca="1" si="189"/>
        <v>139</v>
      </c>
      <c r="N857" s="22">
        <v>45402</v>
      </c>
      <c r="O857" s="26">
        <f t="shared" ca="1" si="138"/>
        <v>0.39371955285139482</v>
      </c>
      <c r="P857" s="29">
        <f t="shared" ca="1" si="190"/>
        <v>226</v>
      </c>
      <c r="R857" s="22">
        <v>45402</v>
      </c>
      <c r="S857" s="26">
        <f t="shared" ca="1" si="139"/>
        <v>0.66087086901877135</v>
      </c>
      <c r="T857" s="29">
        <f t="shared" ca="1" si="191"/>
        <v>143</v>
      </c>
      <c r="V857" s="22">
        <v>45402</v>
      </c>
      <c r="W857" s="26">
        <f t="shared" ca="1" si="140"/>
        <v>0.36389840114680305</v>
      </c>
      <c r="X857" s="29">
        <f t="shared" ca="1" si="192"/>
        <v>220</v>
      </c>
      <c r="Z857" s="22">
        <v>45402</v>
      </c>
      <c r="AA857" s="26">
        <f t="shared" ca="1" si="141"/>
        <v>0.60133898869300739</v>
      </c>
      <c r="AB857" s="29">
        <f t="shared" ca="1" si="193"/>
        <v>275</v>
      </c>
      <c r="AC857"/>
      <c r="AD857" s="25"/>
      <c r="AF857" s="22">
        <v>45402</v>
      </c>
      <c r="AG857" s="26">
        <f t="shared" ca="1" si="142"/>
        <v>6.2884011623243086E-2</v>
      </c>
      <c r="AH857" s="29">
        <f t="shared" ca="1" si="194"/>
        <v>194</v>
      </c>
      <c r="AJ857" s="22">
        <v>45402</v>
      </c>
      <c r="AK857" s="26">
        <f t="shared" ca="1" si="143"/>
        <v>0.63324361254914729</v>
      </c>
      <c r="AL857" s="29">
        <f t="shared" ca="1" si="195"/>
        <v>186</v>
      </c>
      <c r="AN857" s="22">
        <v>45402</v>
      </c>
      <c r="AO857" s="26">
        <f t="shared" ca="1" si="144"/>
        <v>0.43532176709326065</v>
      </c>
      <c r="AP857" s="29">
        <f t="shared" ca="1" si="196"/>
        <v>222</v>
      </c>
      <c r="AR857" s="22">
        <v>45402</v>
      </c>
      <c r="AS857" s="26">
        <f t="shared" ca="1" si="145"/>
        <v>0.16204941131821604</v>
      </c>
      <c r="AT857" s="29">
        <f t="shared" ca="1" si="197"/>
        <v>146</v>
      </c>
      <c r="AV857" s="22">
        <v>45402</v>
      </c>
      <c r="AW857" s="26">
        <f t="shared" ca="1" si="146"/>
        <v>0.33756949505181022</v>
      </c>
      <c r="AX857" s="29">
        <f t="shared" ca="1" si="198"/>
        <v>183</v>
      </c>
      <c r="AZ857" s="22">
        <v>45402</v>
      </c>
      <c r="BA857" s="26">
        <f t="shared" ca="1" si="147"/>
        <v>0.76389947400075842</v>
      </c>
      <c r="BB857" s="29">
        <f t="shared" ca="1" si="199"/>
        <v>279</v>
      </c>
      <c r="BC857"/>
      <c r="BD857" s="25"/>
      <c r="BF857" s="22">
        <v>45402</v>
      </c>
      <c r="BG857" s="26">
        <f t="shared" ca="1" si="148"/>
        <v>0.96074130607318053</v>
      </c>
      <c r="BH857" s="29">
        <f t="shared" ca="1" si="200"/>
        <v>295</v>
      </c>
      <c r="BJ857" s="22">
        <v>45402</v>
      </c>
      <c r="BK857" s="26">
        <f t="shared" ca="1" si="149"/>
        <v>0.13198838865051477</v>
      </c>
      <c r="BL857" s="29">
        <f t="shared" ca="1" si="201"/>
        <v>119</v>
      </c>
      <c r="BN857" s="22">
        <v>45402</v>
      </c>
      <c r="BO857" s="26">
        <f t="shared" ca="1" si="150"/>
        <v>0.37801081792109037</v>
      </c>
      <c r="BP857" s="29">
        <f t="shared" ca="1" si="202"/>
        <v>198</v>
      </c>
      <c r="BR857" s="22">
        <v>45402</v>
      </c>
      <c r="BS857" s="26">
        <f t="shared" ca="1" si="151"/>
        <v>0.88369154847067888</v>
      </c>
      <c r="BT857" s="29">
        <f t="shared" ca="1" si="203"/>
        <v>212</v>
      </c>
      <c r="BV857" s="22">
        <v>45402</v>
      </c>
      <c r="BW857" s="26">
        <f t="shared" ca="1" si="152"/>
        <v>0.46251268895991959</v>
      </c>
      <c r="BX857" s="29">
        <f t="shared" ca="1" si="204"/>
        <v>214</v>
      </c>
    </row>
    <row r="858" spans="2:76" ht="12.75" x14ac:dyDescent="0.2">
      <c r="B858" s="22">
        <v>45403</v>
      </c>
      <c r="C858" s="26">
        <f t="shared" ca="1" si="135"/>
        <v>3.9406400086930859E-2</v>
      </c>
      <c r="D858" s="29">
        <f t="shared" ca="1" si="187"/>
        <v>40</v>
      </c>
      <c r="F858" s="22"/>
      <c r="G858" s="26">
        <f t="shared" ca="1" si="136"/>
        <v>0.71341140523673896</v>
      </c>
      <c r="H858" s="29">
        <f t="shared" ca="1" si="188"/>
        <v>224</v>
      </c>
      <c r="J858" s="22">
        <v>45403</v>
      </c>
      <c r="K858" s="26">
        <f t="shared" ca="1" si="137"/>
        <v>5.9519624596586107E-2</v>
      </c>
      <c r="L858" s="29">
        <f t="shared" ca="1" si="189"/>
        <v>135</v>
      </c>
      <c r="N858" s="22">
        <v>45403</v>
      </c>
      <c r="O858" s="26">
        <f t="shared" ca="1" si="138"/>
        <v>0.19296025674099637</v>
      </c>
      <c r="P858" s="29">
        <f t="shared" ca="1" si="190"/>
        <v>217</v>
      </c>
      <c r="R858" s="22">
        <v>45403</v>
      </c>
      <c r="S858" s="26">
        <f t="shared" ca="1" si="139"/>
        <v>0.32504263352008489</v>
      </c>
      <c r="T858" s="29">
        <f t="shared" ca="1" si="191"/>
        <v>135</v>
      </c>
      <c r="V858" s="22">
        <v>45403</v>
      </c>
      <c r="W858" s="26">
        <f t="shared" ca="1" si="140"/>
        <v>0.718558754938047</v>
      </c>
      <c r="X858" s="29">
        <f t="shared" ca="1" si="192"/>
        <v>234</v>
      </c>
      <c r="Z858" s="22">
        <v>45403</v>
      </c>
      <c r="AA858" s="26">
        <f t="shared" ca="1" si="141"/>
        <v>5.3202241071301892E-2</v>
      </c>
      <c r="AB858" s="29">
        <f t="shared" ca="1" si="193"/>
        <v>241</v>
      </c>
      <c r="AC858"/>
      <c r="AD858" s="25"/>
      <c r="AF858" s="22">
        <v>45403</v>
      </c>
      <c r="AG858" s="26">
        <f t="shared" ca="1" si="142"/>
        <v>0.49121323105594994</v>
      </c>
      <c r="AH858" s="29">
        <f t="shared" ca="1" si="194"/>
        <v>326</v>
      </c>
      <c r="AJ858" s="22">
        <v>45403</v>
      </c>
      <c r="AK858" s="26">
        <f t="shared" ca="1" si="143"/>
        <v>0.418079486768273</v>
      </c>
      <c r="AL858" s="29">
        <f t="shared" ca="1" si="195"/>
        <v>162</v>
      </c>
      <c r="AN858" s="22">
        <v>45403</v>
      </c>
      <c r="AO858" s="26">
        <f t="shared" ca="1" si="144"/>
        <v>0.70657435430924131</v>
      </c>
      <c r="AP858" s="29">
        <f t="shared" ca="1" si="196"/>
        <v>266</v>
      </c>
      <c r="AR858" s="22">
        <v>45403</v>
      </c>
      <c r="AS858" s="26">
        <f t="shared" ca="1" si="145"/>
        <v>0.39905330968132036</v>
      </c>
      <c r="AT858" s="29">
        <f t="shared" ca="1" si="197"/>
        <v>185</v>
      </c>
      <c r="AV858" s="22">
        <v>45403</v>
      </c>
      <c r="AW858" s="26">
        <f t="shared" ca="1" si="146"/>
        <v>0.44436295719341545</v>
      </c>
      <c r="AX858" s="29">
        <f t="shared" ca="1" si="198"/>
        <v>198</v>
      </c>
      <c r="AZ858" s="22">
        <v>45403</v>
      </c>
      <c r="BA858" s="26">
        <f t="shared" ca="1" si="147"/>
        <v>0.49659390562211858</v>
      </c>
      <c r="BB858" s="29">
        <f t="shared" ca="1" si="199"/>
        <v>234</v>
      </c>
      <c r="BC858"/>
      <c r="BD858" s="25"/>
      <c r="BF858" s="22">
        <v>45403</v>
      </c>
      <c r="BG858" s="26">
        <f t="shared" ca="1" si="148"/>
        <v>0.56486242346737614</v>
      </c>
      <c r="BH858" s="29">
        <f t="shared" ca="1" si="200"/>
        <v>210</v>
      </c>
      <c r="BJ858" s="22">
        <v>45403</v>
      </c>
      <c r="BK858" s="26">
        <f t="shared" ca="1" si="149"/>
        <v>0.8343475433450197</v>
      </c>
      <c r="BL858" s="29">
        <f t="shared" ca="1" si="201"/>
        <v>213</v>
      </c>
      <c r="BN858" s="22">
        <v>45403</v>
      </c>
      <c r="BO858" s="26">
        <f t="shared" ca="1" si="150"/>
        <v>0.63196728479316799</v>
      </c>
      <c r="BP858" s="29">
        <f t="shared" ca="1" si="202"/>
        <v>236</v>
      </c>
      <c r="BR858" s="22">
        <v>45403</v>
      </c>
      <c r="BS858" s="26">
        <f t="shared" ca="1" si="151"/>
        <v>0.14402189279893762</v>
      </c>
      <c r="BT858" s="29">
        <f t="shared" ca="1" si="203"/>
        <v>116</v>
      </c>
      <c r="BV858" s="22">
        <v>45403</v>
      </c>
      <c r="BW858" s="26">
        <f t="shared" ca="1" si="152"/>
        <v>0.54988818656601035</v>
      </c>
      <c r="BX858" s="29">
        <f t="shared" ca="1" si="204"/>
        <v>227</v>
      </c>
    </row>
    <row r="859" spans="2:76" ht="12.75" x14ac:dyDescent="0.2">
      <c r="B859" s="22">
        <v>45404</v>
      </c>
      <c r="C859" s="26">
        <f t="shared" ca="1" si="135"/>
        <v>0.94540950239431554</v>
      </c>
      <c r="D859" s="29">
        <f t="shared" ca="1" si="187"/>
        <v>108</v>
      </c>
      <c r="F859" s="22"/>
      <c r="G859" s="26">
        <f t="shared" ca="1" si="136"/>
        <v>0.83364232097000934</v>
      </c>
      <c r="H859" s="29">
        <f t="shared" ca="1" si="188"/>
        <v>230</v>
      </c>
      <c r="J859" s="22">
        <v>45404</v>
      </c>
      <c r="K859" s="26">
        <f t="shared" ca="1" si="137"/>
        <v>0.4130616197785405</v>
      </c>
      <c r="L859" s="29">
        <f t="shared" ca="1" si="189"/>
        <v>148</v>
      </c>
      <c r="N859" s="22">
        <v>45404</v>
      </c>
      <c r="O859" s="26">
        <f t="shared" ca="1" si="138"/>
        <v>0.35237457552834039</v>
      </c>
      <c r="P859" s="29">
        <f t="shared" ca="1" si="190"/>
        <v>224</v>
      </c>
      <c r="R859" s="22">
        <v>45404</v>
      </c>
      <c r="S859" s="26">
        <f t="shared" ca="1" si="139"/>
        <v>0.82874576180922521</v>
      </c>
      <c r="T859" s="29">
        <f t="shared" ca="1" si="191"/>
        <v>148</v>
      </c>
      <c r="V859" s="22">
        <v>45404</v>
      </c>
      <c r="W859" s="26">
        <f t="shared" ca="1" si="140"/>
        <v>0.8949302654903416</v>
      </c>
      <c r="X859" s="29">
        <f t="shared" ca="1" si="192"/>
        <v>244</v>
      </c>
      <c r="Z859" s="22">
        <v>45404</v>
      </c>
      <c r="AA859" s="26">
        <f t="shared" ca="1" si="141"/>
        <v>0.83157112342515294</v>
      </c>
      <c r="AB859" s="29">
        <f t="shared" ca="1" si="193"/>
        <v>288</v>
      </c>
      <c r="AC859"/>
      <c r="AD859" s="25"/>
      <c r="AF859" s="22">
        <v>45404</v>
      </c>
      <c r="AG859" s="26">
        <f t="shared" ca="1" si="142"/>
        <v>0.61708977345783989</v>
      </c>
      <c r="AH859" s="29">
        <f t="shared" ca="1" si="194"/>
        <v>353</v>
      </c>
      <c r="AJ859" s="22">
        <v>45404</v>
      </c>
      <c r="AK859" s="26">
        <f t="shared" ca="1" si="143"/>
        <v>0.29769249928924213</v>
      </c>
      <c r="AL859" s="29">
        <f t="shared" ca="1" si="195"/>
        <v>147</v>
      </c>
      <c r="AN859" s="22">
        <v>45404</v>
      </c>
      <c r="AO859" s="26">
        <f t="shared" ca="1" si="144"/>
        <v>0.36562236979564788</v>
      </c>
      <c r="AP859" s="29">
        <f t="shared" ca="1" si="196"/>
        <v>211</v>
      </c>
      <c r="AR859" s="22">
        <v>45404</v>
      </c>
      <c r="AS859" s="26">
        <f t="shared" ca="1" si="145"/>
        <v>0.54035900504373724</v>
      </c>
      <c r="AT859" s="29">
        <f t="shared" ca="1" si="197"/>
        <v>204</v>
      </c>
      <c r="AV859" s="22">
        <v>45404</v>
      </c>
      <c r="AW859" s="26">
        <f t="shared" ca="1" si="146"/>
        <v>0.82802496889676258</v>
      </c>
      <c r="AX859" s="29">
        <f t="shared" ca="1" si="198"/>
        <v>258</v>
      </c>
      <c r="AZ859" s="22">
        <v>45404</v>
      </c>
      <c r="BA859" s="26">
        <f t="shared" ca="1" si="147"/>
        <v>0.66976307507190747</v>
      </c>
      <c r="BB859" s="29">
        <f t="shared" ca="1" si="199"/>
        <v>261</v>
      </c>
      <c r="BC859"/>
      <c r="BD859" s="25"/>
      <c r="BF859" s="22">
        <v>45404</v>
      </c>
      <c r="BG859" s="26">
        <f t="shared" ca="1" si="148"/>
        <v>0.94056513927937857</v>
      </c>
      <c r="BH859" s="29">
        <f t="shared" ca="1" si="200"/>
        <v>284</v>
      </c>
      <c r="BJ859" s="22">
        <v>45404</v>
      </c>
      <c r="BK859" s="26">
        <f t="shared" ca="1" si="149"/>
        <v>0.47433215583806432</v>
      </c>
      <c r="BL859" s="29">
        <f t="shared" ca="1" si="201"/>
        <v>166</v>
      </c>
      <c r="BN859" s="22">
        <v>45404</v>
      </c>
      <c r="BO859" s="26">
        <f t="shared" ca="1" si="150"/>
        <v>0.25825007657432764</v>
      </c>
      <c r="BP859" s="29">
        <f t="shared" ca="1" si="202"/>
        <v>179</v>
      </c>
      <c r="BR859" s="22">
        <v>45404</v>
      </c>
      <c r="BS859" s="26">
        <f t="shared" ca="1" si="151"/>
        <v>0.69743059978006983</v>
      </c>
      <c r="BT859" s="29">
        <f t="shared" ca="1" si="203"/>
        <v>183</v>
      </c>
      <c r="BV859" s="22">
        <v>45404</v>
      </c>
      <c r="BW859" s="26">
        <f t="shared" ca="1" si="152"/>
        <v>0.87161660361977467</v>
      </c>
      <c r="BX859" s="29">
        <f t="shared" ca="1" si="204"/>
        <v>286</v>
      </c>
    </row>
    <row r="860" spans="2:76" ht="12.75" x14ac:dyDescent="0.2">
      <c r="B860" s="22">
        <v>45405</v>
      </c>
      <c r="C860" s="26">
        <f t="shared" ca="1" si="135"/>
        <v>0.87183727736133287</v>
      </c>
      <c r="D860" s="29">
        <f t="shared" ca="1" si="187"/>
        <v>98</v>
      </c>
      <c r="F860" s="22"/>
      <c r="G860" s="26">
        <f t="shared" ca="1" si="136"/>
        <v>0.35758814294337704</v>
      </c>
      <c r="H860" s="29">
        <f t="shared" ca="1" si="188"/>
        <v>211</v>
      </c>
      <c r="J860" s="22">
        <v>45405</v>
      </c>
      <c r="K860" s="26">
        <f t="shared" ca="1" si="137"/>
        <v>0.78285071003349049</v>
      </c>
      <c r="L860" s="29">
        <f t="shared" ca="1" si="189"/>
        <v>158</v>
      </c>
      <c r="N860" s="22">
        <v>45405</v>
      </c>
      <c r="O860" s="26">
        <f t="shared" ca="1" si="138"/>
        <v>0.12514616513105414</v>
      </c>
      <c r="P860" s="29">
        <f t="shared" ca="1" si="190"/>
        <v>212</v>
      </c>
      <c r="R860" s="22">
        <v>45405</v>
      </c>
      <c r="S860" s="26">
        <f t="shared" ca="1" si="139"/>
        <v>0.19831984150650861</v>
      </c>
      <c r="T860" s="29">
        <f t="shared" ca="1" si="191"/>
        <v>131</v>
      </c>
      <c r="V860" s="22">
        <v>45405</v>
      </c>
      <c r="W860" s="26">
        <f t="shared" ca="1" si="140"/>
        <v>0.24880736269667225</v>
      </c>
      <c r="X860" s="29">
        <f t="shared" ca="1" si="192"/>
        <v>215</v>
      </c>
      <c r="Z860" s="22">
        <v>45405</v>
      </c>
      <c r="AA860" s="26">
        <f t="shared" ca="1" si="141"/>
        <v>0.55253260403597504</v>
      </c>
      <c r="AB860" s="29">
        <f t="shared" ca="1" si="193"/>
        <v>273</v>
      </c>
      <c r="AC860"/>
      <c r="AD860" s="25"/>
      <c r="AF860" s="22">
        <v>45405</v>
      </c>
      <c r="AG860" s="26">
        <f t="shared" ca="1" si="142"/>
        <v>0.76220637658526558</v>
      </c>
      <c r="AH860" s="29">
        <f t="shared" ca="1" si="194"/>
        <v>390</v>
      </c>
      <c r="AJ860" s="22">
        <v>45405</v>
      </c>
      <c r="AK860" s="26">
        <f t="shared" ca="1" si="143"/>
        <v>0.80624585600311094</v>
      </c>
      <c r="AL860" s="29">
        <f t="shared" ca="1" si="195"/>
        <v>210</v>
      </c>
      <c r="AN860" s="22">
        <v>45405</v>
      </c>
      <c r="AO860" s="26">
        <f t="shared" ca="1" si="144"/>
        <v>0.68629163202783683</v>
      </c>
      <c r="AP860" s="29">
        <f t="shared" ca="1" si="196"/>
        <v>263</v>
      </c>
      <c r="AR860" s="22">
        <v>45405</v>
      </c>
      <c r="AS860" s="26">
        <f t="shared" ca="1" si="145"/>
        <v>8.2138683630396225E-2</v>
      </c>
      <c r="AT860" s="29">
        <f t="shared" ca="1" si="197"/>
        <v>125</v>
      </c>
      <c r="AV860" s="22">
        <v>45405</v>
      </c>
      <c r="AW860" s="26">
        <f t="shared" ca="1" si="146"/>
        <v>0.62599014212937421</v>
      </c>
      <c r="AX860" s="29">
        <f t="shared" ca="1" si="198"/>
        <v>224</v>
      </c>
      <c r="AZ860" s="22">
        <v>45405</v>
      </c>
      <c r="BA860" s="26">
        <f t="shared" ca="1" si="147"/>
        <v>0.57957399554576527</v>
      </c>
      <c r="BB860" s="29">
        <f t="shared" ca="1" si="199"/>
        <v>247</v>
      </c>
      <c r="BC860"/>
      <c r="BD860" s="25"/>
      <c r="BF860" s="22">
        <v>45405</v>
      </c>
      <c r="BG860" s="26">
        <f t="shared" ca="1" si="148"/>
        <v>0.25849312761669008</v>
      </c>
      <c r="BH860" s="29">
        <f t="shared" ca="1" si="200"/>
        <v>166</v>
      </c>
      <c r="BJ860" s="22">
        <v>45405</v>
      </c>
      <c r="BK860" s="26">
        <f t="shared" ca="1" si="149"/>
        <v>0.34028159943044745</v>
      </c>
      <c r="BL860" s="29">
        <f t="shared" ca="1" si="201"/>
        <v>151</v>
      </c>
      <c r="BN860" s="22">
        <v>45405</v>
      </c>
      <c r="BO860" s="26">
        <f t="shared" ca="1" si="150"/>
        <v>0.82971438423638388</v>
      </c>
      <c r="BP860" s="29">
        <f t="shared" ca="1" si="202"/>
        <v>271</v>
      </c>
      <c r="BR860" s="22">
        <v>45405</v>
      </c>
      <c r="BS860" s="26">
        <f t="shared" ca="1" si="151"/>
        <v>0.18570339767855404</v>
      </c>
      <c r="BT860" s="29">
        <f t="shared" ca="1" si="203"/>
        <v>123</v>
      </c>
      <c r="BV860" s="22">
        <v>45405</v>
      </c>
      <c r="BW860" s="26">
        <f t="shared" ca="1" si="152"/>
        <v>0.9565059350009073</v>
      </c>
      <c r="BX860" s="29">
        <f t="shared" ca="1" si="204"/>
        <v>320</v>
      </c>
    </row>
    <row r="861" spans="2:76" ht="12.75" x14ac:dyDescent="0.2">
      <c r="B861" s="22">
        <v>45406</v>
      </c>
      <c r="C861" s="26">
        <f t="shared" ref="C861:C979" ca="1" si="205">RAND()</f>
        <v>0.98354897225157967</v>
      </c>
      <c r="D861" s="29">
        <f t="shared" ca="1" si="187"/>
        <v>118</v>
      </c>
      <c r="F861" s="22"/>
      <c r="G861" s="26">
        <f t="shared" ca="1" si="136"/>
        <v>0.23516363619391434</v>
      </c>
      <c r="H861" s="29">
        <f t="shared" ca="1" si="188"/>
        <v>206</v>
      </c>
      <c r="J861" s="22">
        <v>45406</v>
      </c>
      <c r="K861" s="26">
        <f t="shared" ca="1" si="137"/>
        <v>0.57076639141719965</v>
      </c>
      <c r="L861" s="29">
        <f t="shared" ca="1" si="189"/>
        <v>152</v>
      </c>
      <c r="N861" s="22">
        <v>45406</v>
      </c>
      <c r="O861" s="26">
        <f t="shared" ca="1" si="138"/>
        <v>0.1414450504048852</v>
      </c>
      <c r="P861" s="29">
        <f t="shared" ca="1" si="190"/>
        <v>213</v>
      </c>
      <c r="R861" s="22">
        <v>45406</v>
      </c>
      <c r="S861" s="26">
        <f t="shared" ca="1" si="139"/>
        <v>0.79521336631303174</v>
      </c>
      <c r="T861" s="29">
        <f t="shared" ca="1" si="191"/>
        <v>147</v>
      </c>
      <c r="V861" s="22">
        <v>45406</v>
      </c>
      <c r="W861" s="26">
        <f t="shared" ca="1" si="140"/>
        <v>0.99284482305592747</v>
      </c>
      <c r="X861" s="29">
        <f t="shared" ca="1" si="192"/>
        <v>262</v>
      </c>
      <c r="Z861" s="22">
        <v>45406</v>
      </c>
      <c r="AA861" s="26">
        <f t="shared" ca="1" si="141"/>
        <v>0.6925717553626638</v>
      </c>
      <c r="AB861" s="29">
        <f t="shared" ca="1" si="193"/>
        <v>280</v>
      </c>
      <c r="AC861"/>
      <c r="AD861" s="25"/>
      <c r="AF861" s="22">
        <v>45406</v>
      </c>
      <c r="AG861" s="26">
        <f t="shared" ca="1" si="142"/>
        <v>0.4171896367686414</v>
      </c>
      <c r="AH861" s="29">
        <f t="shared" ca="1" si="194"/>
        <v>309</v>
      </c>
      <c r="AJ861" s="22">
        <v>45406</v>
      </c>
      <c r="AK861" s="26">
        <f t="shared" ca="1" si="143"/>
        <v>0.83109226763905075</v>
      </c>
      <c r="AL861" s="29">
        <f t="shared" ca="1" si="195"/>
        <v>214</v>
      </c>
      <c r="AN861" s="22">
        <v>45406</v>
      </c>
      <c r="AO861" s="26">
        <f t="shared" ca="1" si="144"/>
        <v>0.16786638835389434</v>
      </c>
      <c r="AP861" s="29">
        <f t="shared" ca="1" si="196"/>
        <v>173</v>
      </c>
      <c r="AR861" s="22">
        <v>45406</v>
      </c>
      <c r="AS861" s="26">
        <f t="shared" ca="1" si="145"/>
        <v>0.47771319733638573</v>
      </c>
      <c r="AT861" s="29">
        <f t="shared" ca="1" si="197"/>
        <v>196</v>
      </c>
      <c r="AV861" s="22">
        <v>45406</v>
      </c>
      <c r="AW861" s="26">
        <f t="shared" ca="1" si="146"/>
        <v>0.15889355354490575</v>
      </c>
      <c r="AX861" s="29">
        <f t="shared" ca="1" si="198"/>
        <v>151</v>
      </c>
      <c r="AZ861" s="22">
        <v>45406</v>
      </c>
      <c r="BA861" s="26">
        <f t="shared" ca="1" si="147"/>
        <v>0.19558427689387969</v>
      </c>
      <c r="BB861" s="29">
        <f t="shared" ca="1" si="199"/>
        <v>181</v>
      </c>
      <c r="BC861"/>
      <c r="BD861" s="25"/>
      <c r="BF861" s="22">
        <v>45406</v>
      </c>
      <c r="BG861" s="26">
        <f t="shared" ca="1" si="148"/>
        <v>0.65956501436051129</v>
      </c>
      <c r="BH861" s="29">
        <f t="shared" ca="1" si="200"/>
        <v>223</v>
      </c>
      <c r="BJ861" s="22">
        <v>45406</v>
      </c>
      <c r="BK861" s="26">
        <f t="shared" ca="1" si="149"/>
        <v>0.1041447048127575</v>
      </c>
      <c r="BL861" s="29">
        <f t="shared" ca="1" si="201"/>
        <v>113</v>
      </c>
      <c r="BN861" s="22">
        <v>45406</v>
      </c>
      <c r="BO861" s="26">
        <f t="shared" ca="1" si="150"/>
        <v>0.64316870359617284</v>
      </c>
      <c r="BP861" s="29">
        <f t="shared" ca="1" si="202"/>
        <v>237</v>
      </c>
      <c r="BR861" s="22">
        <v>45406</v>
      </c>
      <c r="BS861" s="26">
        <f t="shared" ca="1" si="151"/>
        <v>7.8648589515391887E-2</v>
      </c>
      <c r="BT861" s="29">
        <f t="shared" ca="1" si="203"/>
        <v>101</v>
      </c>
      <c r="BV861" s="22">
        <v>45406</v>
      </c>
      <c r="BW861" s="26">
        <f t="shared" ca="1" si="152"/>
        <v>0.5085277725662366</v>
      </c>
      <c r="BX861" s="29">
        <f t="shared" ca="1" si="204"/>
        <v>221</v>
      </c>
    </row>
    <row r="862" spans="2:76" ht="12.75" x14ac:dyDescent="0.2">
      <c r="B862" s="22">
        <v>45407</v>
      </c>
      <c r="C862" s="26">
        <f t="shared" ca="1" si="205"/>
        <v>0.22735982637158125</v>
      </c>
      <c r="D862" s="29">
        <f t="shared" ca="1" si="187"/>
        <v>61</v>
      </c>
      <c r="F862" s="22"/>
      <c r="G862" s="26">
        <f t="shared" ca="1" si="136"/>
        <v>0.68261414231839312</v>
      </c>
      <c r="H862" s="29">
        <f t="shared" ca="1" si="188"/>
        <v>223</v>
      </c>
      <c r="J862" s="22">
        <v>45407</v>
      </c>
      <c r="K862" s="26">
        <f t="shared" ca="1" si="137"/>
        <v>0.71605139351532299</v>
      </c>
      <c r="L862" s="29">
        <f t="shared" ca="1" si="189"/>
        <v>156</v>
      </c>
      <c r="N862" s="22">
        <v>45407</v>
      </c>
      <c r="O862" s="26">
        <f t="shared" ca="1" si="138"/>
        <v>0.68459916886296335</v>
      </c>
      <c r="P862" s="29">
        <f t="shared" ca="1" si="190"/>
        <v>237</v>
      </c>
      <c r="R862" s="22">
        <v>45407</v>
      </c>
      <c r="S862" s="26">
        <f t="shared" ca="1" si="139"/>
        <v>0.41100700645888</v>
      </c>
      <c r="T862" s="29">
        <f t="shared" ca="1" si="191"/>
        <v>137</v>
      </c>
      <c r="V862" s="22">
        <v>45407</v>
      </c>
      <c r="W862" s="26">
        <f t="shared" ca="1" si="140"/>
        <v>0.22988207054097831</v>
      </c>
      <c r="X862" s="29">
        <f t="shared" ca="1" si="192"/>
        <v>214</v>
      </c>
      <c r="Z862" s="22">
        <v>45407</v>
      </c>
      <c r="AA862" s="26">
        <f t="shared" ca="1" si="141"/>
        <v>0.96579059336510087</v>
      </c>
      <c r="AB862" s="29">
        <f t="shared" ca="1" si="193"/>
        <v>303</v>
      </c>
      <c r="AC862"/>
      <c r="AD862" s="25"/>
      <c r="AF862" s="22">
        <v>45407</v>
      </c>
      <c r="AG862" s="26">
        <f t="shared" ca="1" si="142"/>
        <v>0.10737482235963813</v>
      </c>
      <c r="AH862" s="29">
        <f t="shared" ca="1" si="194"/>
        <v>219</v>
      </c>
      <c r="AJ862" s="22">
        <v>45407</v>
      </c>
      <c r="AK862" s="26">
        <f t="shared" ca="1" si="143"/>
        <v>5.55088039473004E-2</v>
      </c>
      <c r="AL862" s="29">
        <f t="shared" ca="1" si="195"/>
        <v>98</v>
      </c>
      <c r="AN862" s="22">
        <v>45407</v>
      </c>
      <c r="AO862" s="26">
        <f t="shared" ca="1" si="144"/>
        <v>3.4742768747095032E-2</v>
      </c>
      <c r="AP862" s="29">
        <f t="shared" ca="1" si="196"/>
        <v>120</v>
      </c>
      <c r="AR862" s="22">
        <v>45407</v>
      </c>
      <c r="AS862" s="26">
        <f t="shared" ca="1" si="145"/>
        <v>0.48871793279894593</v>
      </c>
      <c r="AT862" s="29">
        <f t="shared" ca="1" si="197"/>
        <v>197</v>
      </c>
      <c r="AV862" s="22">
        <v>45407</v>
      </c>
      <c r="AW862" s="26">
        <f t="shared" ca="1" si="146"/>
        <v>0.98885329456186277</v>
      </c>
      <c r="AX862" s="29">
        <f t="shared" ca="1" si="198"/>
        <v>331</v>
      </c>
      <c r="AZ862" s="22">
        <v>45407</v>
      </c>
      <c r="BA862" s="26">
        <f t="shared" ca="1" si="147"/>
        <v>0.15230139821497646</v>
      </c>
      <c r="BB862" s="29">
        <f t="shared" ca="1" si="199"/>
        <v>170</v>
      </c>
      <c r="BC862"/>
      <c r="BD862" s="25"/>
      <c r="BF862" s="22">
        <v>45407</v>
      </c>
      <c r="BG862" s="26">
        <f t="shared" ca="1" si="148"/>
        <v>0.20504342818804289</v>
      </c>
      <c r="BH862" s="29">
        <f t="shared" ca="1" si="200"/>
        <v>157</v>
      </c>
      <c r="BJ862" s="22">
        <v>45407</v>
      </c>
      <c r="BK862" s="26">
        <f t="shared" ca="1" si="149"/>
        <v>7.7558281656200379E-2</v>
      </c>
      <c r="BL862" s="29">
        <f t="shared" ca="1" si="201"/>
        <v>105</v>
      </c>
      <c r="BN862" s="22">
        <v>45407</v>
      </c>
      <c r="BO862" s="26">
        <f t="shared" ca="1" si="150"/>
        <v>0.18214944659499988</v>
      </c>
      <c r="BP862" s="29">
        <f t="shared" ca="1" si="202"/>
        <v>164</v>
      </c>
      <c r="BR862" s="22">
        <v>45407</v>
      </c>
      <c r="BS862" s="26">
        <f t="shared" ca="1" si="151"/>
        <v>0.27625468594176683</v>
      </c>
      <c r="BT862" s="29">
        <f t="shared" ca="1" si="203"/>
        <v>136</v>
      </c>
      <c r="BV862" s="22">
        <v>45407</v>
      </c>
      <c r="BW862" s="26">
        <f t="shared" ca="1" si="152"/>
        <v>0.11540832355761277</v>
      </c>
      <c r="BX862" s="29">
        <f t="shared" ca="1" si="204"/>
        <v>150</v>
      </c>
    </row>
    <row r="863" spans="2:76" ht="12.75" x14ac:dyDescent="0.2">
      <c r="B863" s="22">
        <v>45408</v>
      </c>
      <c r="C863" s="26">
        <f t="shared" ca="1" si="205"/>
        <v>0.92484859172212719</v>
      </c>
      <c r="D863" s="29">
        <f t="shared" ca="1" si="187"/>
        <v>104</v>
      </c>
      <c r="F863" s="22"/>
      <c r="G863" s="26">
        <f t="shared" ca="1" si="136"/>
        <v>0.89435422457348612</v>
      </c>
      <c r="H863" s="29">
        <f t="shared" ca="1" si="188"/>
        <v>234</v>
      </c>
      <c r="J863" s="22">
        <v>45408</v>
      </c>
      <c r="K863" s="26">
        <f t="shared" ca="1" si="137"/>
        <v>0.18767635722671505</v>
      </c>
      <c r="L863" s="29">
        <f t="shared" ca="1" si="189"/>
        <v>142</v>
      </c>
      <c r="N863" s="22">
        <v>45408</v>
      </c>
      <c r="O863" s="26">
        <f t="shared" ca="1" si="138"/>
        <v>0.97654077765203062</v>
      </c>
      <c r="P863" s="29">
        <f t="shared" ca="1" si="190"/>
        <v>260</v>
      </c>
      <c r="R863" s="22">
        <v>45408</v>
      </c>
      <c r="S863" s="26">
        <f t="shared" ca="1" si="139"/>
        <v>0.46666699597859174</v>
      </c>
      <c r="T863" s="29">
        <f t="shared" ca="1" si="191"/>
        <v>138</v>
      </c>
      <c r="V863" s="22">
        <v>45408</v>
      </c>
      <c r="W863" s="26">
        <f t="shared" ca="1" si="140"/>
        <v>0.22498214617525081</v>
      </c>
      <c r="X863" s="29">
        <f t="shared" ca="1" si="192"/>
        <v>214</v>
      </c>
      <c r="Z863" s="22">
        <v>45408</v>
      </c>
      <c r="AA863" s="26">
        <f t="shared" ca="1" si="141"/>
        <v>0.97179801731359605</v>
      </c>
      <c r="AB863" s="29">
        <f t="shared" ca="1" si="193"/>
        <v>305</v>
      </c>
      <c r="AC863"/>
      <c r="AD863" s="25"/>
      <c r="AF863" s="22">
        <v>45408</v>
      </c>
      <c r="AG863" s="26">
        <f t="shared" ca="1" si="142"/>
        <v>0.75690646092280078</v>
      </c>
      <c r="AH863" s="29">
        <f t="shared" ca="1" si="194"/>
        <v>388</v>
      </c>
      <c r="AJ863" s="22">
        <v>45408</v>
      </c>
      <c r="AK863" s="26">
        <f t="shared" ca="1" si="143"/>
        <v>0.73231398467917164</v>
      </c>
      <c r="AL863" s="29">
        <f t="shared" ca="1" si="195"/>
        <v>199</v>
      </c>
      <c r="AN863" s="22">
        <v>45408</v>
      </c>
      <c r="AO863" s="26">
        <f t="shared" ca="1" si="144"/>
        <v>1.1821664413638189E-3</v>
      </c>
      <c r="AP863" s="29">
        <f t="shared" ca="1" si="196"/>
        <v>44</v>
      </c>
      <c r="AR863" s="22">
        <v>45408</v>
      </c>
      <c r="AS863" s="26">
        <f t="shared" ca="1" si="145"/>
        <v>0.94795588373181328</v>
      </c>
      <c r="AT863" s="29">
        <f t="shared" ca="1" si="197"/>
        <v>284</v>
      </c>
      <c r="AV863" s="22">
        <v>45408</v>
      </c>
      <c r="AW863" s="26">
        <f t="shared" ca="1" si="146"/>
        <v>0.96737685696124731</v>
      </c>
      <c r="AX863" s="29">
        <f t="shared" ca="1" si="198"/>
        <v>307</v>
      </c>
      <c r="AZ863" s="22">
        <v>45408</v>
      </c>
      <c r="BA863" s="26">
        <f t="shared" ca="1" si="147"/>
        <v>0.58014383388293977</v>
      </c>
      <c r="BB863" s="29">
        <f t="shared" ca="1" si="199"/>
        <v>247</v>
      </c>
      <c r="BC863"/>
      <c r="BD863" s="25"/>
      <c r="BF863" s="22">
        <v>45408</v>
      </c>
      <c r="BG863" s="26">
        <f t="shared" ca="1" si="148"/>
        <v>0.2997836854944872</v>
      </c>
      <c r="BH863" s="29">
        <f t="shared" ca="1" si="200"/>
        <v>173</v>
      </c>
      <c r="BJ863" s="22">
        <v>45408</v>
      </c>
      <c r="BK863" s="26">
        <f t="shared" ca="1" si="149"/>
        <v>0.27081109591154817</v>
      </c>
      <c r="BL863" s="29">
        <f t="shared" ca="1" si="201"/>
        <v>142</v>
      </c>
      <c r="BN863" s="22">
        <v>45408</v>
      </c>
      <c r="BO863" s="26">
        <f t="shared" ca="1" si="150"/>
        <v>0.51972292240271933</v>
      </c>
      <c r="BP863" s="29">
        <f t="shared" ca="1" si="202"/>
        <v>219</v>
      </c>
      <c r="BR863" s="22">
        <v>45408</v>
      </c>
      <c r="BS863" s="26">
        <f t="shared" ca="1" si="151"/>
        <v>0.54452244933000205</v>
      </c>
      <c r="BT863" s="29">
        <f t="shared" ca="1" si="203"/>
        <v>166</v>
      </c>
      <c r="BV863" s="22">
        <v>45408</v>
      </c>
      <c r="BW863" s="26">
        <f t="shared" ca="1" si="152"/>
        <v>0.82139866620696145</v>
      </c>
      <c r="BX863" s="29">
        <f t="shared" ca="1" si="204"/>
        <v>274</v>
      </c>
    </row>
    <row r="864" spans="2:76" ht="12.75" x14ac:dyDescent="0.2">
      <c r="B864" s="22">
        <v>45409</v>
      </c>
      <c r="C864" s="26">
        <f t="shared" ca="1" si="205"/>
        <v>3.9889670006080236E-3</v>
      </c>
      <c r="D864" s="29">
        <f t="shared" ca="1" si="187"/>
        <v>22</v>
      </c>
      <c r="F864" s="22"/>
      <c r="G864" s="26">
        <f t="shared" ca="1" si="136"/>
        <v>0.67124727432682085</v>
      </c>
      <c r="H864" s="29">
        <f t="shared" ca="1" si="188"/>
        <v>222</v>
      </c>
      <c r="J864" s="22">
        <v>45409</v>
      </c>
      <c r="K864" s="26">
        <f t="shared" ca="1" si="137"/>
        <v>0.84160110994517368</v>
      </c>
      <c r="L864" s="29">
        <f t="shared" ca="1" si="189"/>
        <v>161</v>
      </c>
      <c r="N864" s="22">
        <v>45409</v>
      </c>
      <c r="O864" s="26">
        <f t="shared" ca="1" si="138"/>
        <v>0.87379149340602524</v>
      </c>
      <c r="P864" s="29">
        <f t="shared" ca="1" si="190"/>
        <v>247</v>
      </c>
      <c r="R864" s="22">
        <v>45409</v>
      </c>
      <c r="S864" s="26">
        <f t="shared" ca="1" si="139"/>
        <v>9.1426401849949213E-2</v>
      </c>
      <c r="T864" s="29">
        <f t="shared" ca="1" si="191"/>
        <v>127</v>
      </c>
      <c r="V864" s="22">
        <v>45409</v>
      </c>
      <c r="W864" s="26">
        <f t="shared" ca="1" si="140"/>
        <v>0.45579640509724539</v>
      </c>
      <c r="X864" s="29">
        <f t="shared" ca="1" si="192"/>
        <v>224</v>
      </c>
      <c r="Z864" s="22">
        <v>45409</v>
      </c>
      <c r="AA864" s="26">
        <f t="shared" ca="1" si="141"/>
        <v>0.31947825014849474</v>
      </c>
      <c r="AB864" s="29">
        <f t="shared" ca="1" si="193"/>
        <v>262</v>
      </c>
      <c r="AC864"/>
      <c r="AD864" s="25"/>
      <c r="AF864" s="22">
        <v>45409</v>
      </c>
      <c r="AG864" s="26">
        <f t="shared" ca="1" si="142"/>
        <v>6.407889832480651E-2</v>
      </c>
      <c r="AH864" s="29">
        <f t="shared" ca="1" si="194"/>
        <v>195</v>
      </c>
      <c r="AJ864" s="22">
        <v>45409</v>
      </c>
      <c r="AK864" s="26">
        <f t="shared" ca="1" si="143"/>
        <v>0.59642798347002779</v>
      </c>
      <c r="AL864" s="29">
        <f t="shared" ca="1" si="195"/>
        <v>182</v>
      </c>
      <c r="AN864" s="22">
        <v>45409</v>
      </c>
      <c r="AO864" s="26">
        <f t="shared" ca="1" si="144"/>
        <v>0.81015111894145875</v>
      </c>
      <c r="AP864" s="29">
        <f t="shared" ca="1" si="196"/>
        <v>287</v>
      </c>
      <c r="AR864" s="22">
        <v>45409</v>
      </c>
      <c r="AS864" s="26">
        <f t="shared" ca="1" si="145"/>
        <v>0.73552169840887827</v>
      </c>
      <c r="AT864" s="29">
        <f t="shared" ca="1" si="197"/>
        <v>232</v>
      </c>
      <c r="AV864" s="22">
        <v>45409</v>
      </c>
      <c r="AW864" s="26">
        <f t="shared" ca="1" si="146"/>
        <v>0.24171125444331132</v>
      </c>
      <c r="AX864" s="29">
        <f t="shared" ca="1" si="198"/>
        <v>168</v>
      </c>
      <c r="AZ864" s="22">
        <v>45409</v>
      </c>
      <c r="BA864" s="26">
        <f t="shared" ca="1" si="147"/>
        <v>0.38998746738369028</v>
      </c>
      <c r="BB864" s="29">
        <f t="shared" ca="1" si="199"/>
        <v>217</v>
      </c>
      <c r="BC864"/>
      <c r="BD864" s="25"/>
      <c r="BF864" s="22">
        <v>45409</v>
      </c>
      <c r="BG864" s="26">
        <f t="shared" ca="1" si="148"/>
        <v>0.67527346605304628</v>
      </c>
      <c r="BH864" s="29">
        <f t="shared" ca="1" si="200"/>
        <v>225</v>
      </c>
      <c r="BJ864" s="22">
        <v>45409</v>
      </c>
      <c r="BK864" s="26">
        <f t="shared" ca="1" si="149"/>
        <v>0.17208260022263255</v>
      </c>
      <c r="BL864" s="29">
        <f t="shared" ca="1" si="201"/>
        <v>127</v>
      </c>
      <c r="BN864" s="22">
        <v>45409</v>
      </c>
      <c r="BO864" s="26">
        <f t="shared" ca="1" si="150"/>
        <v>0.39622317609163704</v>
      </c>
      <c r="BP864" s="29">
        <f t="shared" ca="1" si="202"/>
        <v>201</v>
      </c>
      <c r="BR864" s="22">
        <v>45409</v>
      </c>
      <c r="BS864" s="26">
        <f t="shared" ca="1" si="151"/>
        <v>0.62095926068486873</v>
      </c>
      <c r="BT864" s="29">
        <f t="shared" ca="1" si="203"/>
        <v>174</v>
      </c>
      <c r="BV864" s="22">
        <v>45409</v>
      </c>
      <c r="BW864" s="26">
        <f t="shared" ca="1" si="152"/>
        <v>0.47280810354830405</v>
      </c>
      <c r="BX864" s="29">
        <f t="shared" ca="1" si="204"/>
        <v>216</v>
      </c>
    </row>
    <row r="865" spans="2:77" ht="12.75" x14ac:dyDescent="0.2">
      <c r="B865" s="22">
        <v>45410</v>
      </c>
      <c r="C865" s="26">
        <f t="shared" ca="1" si="205"/>
        <v>0.15739960818606658</v>
      </c>
      <c r="D865" s="29">
        <f t="shared" ca="1" si="187"/>
        <v>55</v>
      </c>
      <c r="F865" s="22"/>
      <c r="G865" s="26">
        <f t="shared" ca="1" si="136"/>
        <v>0.59378152059665668</v>
      </c>
      <c r="H865" s="29">
        <f t="shared" ca="1" si="188"/>
        <v>219</v>
      </c>
      <c r="J865" s="22">
        <v>45410</v>
      </c>
      <c r="K865" s="26">
        <f t="shared" ca="1" si="137"/>
        <v>0.58799946042676499</v>
      </c>
      <c r="L865" s="29">
        <f t="shared" ca="1" si="189"/>
        <v>153</v>
      </c>
      <c r="N865" s="22">
        <v>45410</v>
      </c>
      <c r="O865" s="26">
        <f t="shared" ca="1" si="138"/>
        <v>0.91854330992446076</v>
      </c>
      <c r="P865" s="29">
        <f t="shared" ca="1" si="190"/>
        <v>251</v>
      </c>
      <c r="R865" s="22">
        <v>45410</v>
      </c>
      <c r="S865" s="26">
        <f t="shared" ca="1" si="139"/>
        <v>0.42460242682069627</v>
      </c>
      <c r="T865" s="29">
        <f t="shared" ca="1" si="191"/>
        <v>137</v>
      </c>
      <c r="V865" s="22">
        <v>45410</v>
      </c>
      <c r="W865" s="26">
        <f t="shared" ca="1" si="140"/>
        <v>0.82697791627400474</v>
      </c>
      <c r="X865" s="29">
        <f t="shared" ca="1" si="192"/>
        <v>240</v>
      </c>
      <c r="Z865" s="22">
        <v>45410</v>
      </c>
      <c r="AA865" s="26">
        <f t="shared" ca="1" si="141"/>
        <v>0.20674544329969546</v>
      </c>
      <c r="AB865" s="29">
        <f t="shared" ca="1" si="193"/>
        <v>256</v>
      </c>
      <c r="AC865"/>
      <c r="AD865" s="25"/>
      <c r="AF865" s="22">
        <v>45410</v>
      </c>
      <c r="AG865" s="26">
        <f t="shared" ca="1" si="142"/>
        <v>0.1150146369579006</v>
      </c>
      <c r="AH865" s="29">
        <f t="shared" ca="1" si="194"/>
        <v>223</v>
      </c>
      <c r="AJ865" s="22">
        <v>45410</v>
      </c>
      <c r="AK865" s="26">
        <f t="shared" ca="1" si="143"/>
        <v>0.72538928187895246</v>
      </c>
      <c r="AL865" s="29">
        <f t="shared" ca="1" si="195"/>
        <v>198</v>
      </c>
      <c r="AN865" s="22">
        <v>45410</v>
      </c>
      <c r="AO865" s="26">
        <f t="shared" ca="1" si="144"/>
        <v>0.53509623633259051</v>
      </c>
      <c r="AP865" s="29">
        <f t="shared" ca="1" si="196"/>
        <v>238</v>
      </c>
      <c r="AR865" s="22">
        <v>45410</v>
      </c>
      <c r="AS865" s="26">
        <f t="shared" ca="1" si="145"/>
        <v>0.87836395489281727</v>
      </c>
      <c r="AT865" s="29">
        <f t="shared" ca="1" si="197"/>
        <v>260</v>
      </c>
      <c r="AV865" s="22">
        <v>45410</v>
      </c>
      <c r="AW865" s="26">
        <f t="shared" ca="1" si="146"/>
        <v>0.28510044329550122</v>
      </c>
      <c r="AX865" s="29">
        <f t="shared" ca="1" si="198"/>
        <v>175</v>
      </c>
      <c r="AZ865" s="22">
        <v>45410</v>
      </c>
      <c r="BA865" s="26">
        <f t="shared" ca="1" si="147"/>
        <v>0.45457702548354173</v>
      </c>
      <c r="BB865" s="29">
        <f t="shared" ca="1" si="199"/>
        <v>227</v>
      </c>
      <c r="BC865"/>
      <c r="BD865" s="25"/>
      <c r="BF865" s="22">
        <v>45410</v>
      </c>
      <c r="BG865" s="26">
        <f t="shared" ca="1" si="148"/>
        <v>0.27848131660239417</v>
      </c>
      <c r="BH865" s="29">
        <f t="shared" ca="1" si="200"/>
        <v>170</v>
      </c>
      <c r="BJ865" s="22">
        <v>45410</v>
      </c>
      <c r="BK865" s="26">
        <f t="shared" ca="1" si="149"/>
        <v>0.16365256048731136</v>
      </c>
      <c r="BL865" s="29">
        <f t="shared" ca="1" si="201"/>
        <v>125</v>
      </c>
      <c r="BN865" s="22">
        <v>45410</v>
      </c>
      <c r="BO865" s="26">
        <f t="shared" ca="1" si="150"/>
        <v>0.49035948318491496</v>
      </c>
      <c r="BP865" s="29">
        <f t="shared" ca="1" si="202"/>
        <v>215</v>
      </c>
      <c r="BR865" s="22">
        <v>45410</v>
      </c>
      <c r="BS865" s="26">
        <f t="shared" ca="1" si="151"/>
        <v>0.83874262041469549</v>
      </c>
      <c r="BT865" s="29">
        <f t="shared" ca="1" si="203"/>
        <v>204</v>
      </c>
      <c r="BV865" s="22">
        <v>45410</v>
      </c>
      <c r="BW865" s="26">
        <f t="shared" ca="1" si="152"/>
        <v>0.50899417888771969</v>
      </c>
      <c r="BX865" s="29">
        <f t="shared" ca="1" si="204"/>
        <v>221</v>
      </c>
    </row>
    <row r="866" spans="2:77" ht="12.75" x14ac:dyDescent="0.2">
      <c r="B866" s="22">
        <v>45411</v>
      </c>
      <c r="C866" s="26">
        <f t="shared" ca="1" si="205"/>
        <v>0.86955062883492451</v>
      </c>
      <c r="D866" s="29">
        <f t="shared" ca="1" si="187"/>
        <v>98</v>
      </c>
      <c r="F866" s="22"/>
      <c r="G866" s="26">
        <f t="shared" ca="1" si="136"/>
        <v>0.74879978574877282</v>
      </c>
      <c r="H866" s="29">
        <f t="shared" ca="1" si="188"/>
        <v>226</v>
      </c>
      <c r="J866" s="22">
        <v>45411</v>
      </c>
      <c r="K866" s="26">
        <f t="shared" ca="1" si="137"/>
        <v>0.98295058466060636</v>
      </c>
      <c r="L866" s="29">
        <f t="shared" ca="1" si="189"/>
        <v>172</v>
      </c>
      <c r="N866" s="22">
        <v>45411</v>
      </c>
      <c r="O866" s="26">
        <f t="shared" ca="1" si="138"/>
        <v>0.48817951509563573</v>
      </c>
      <c r="P866" s="29">
        <f t="shared" ca="1" si="190"/>
        <v>229</v>
      </c>
      <c r="R866" s="22">
        <v>45411</v>
      </c>
      <c r="S866" s="26">
        <f t="shared" ca="1" si="139"/>
        <v>0.37840172839467878</v>
      </c>
      <c r="T866" s="29">
        <f t="shared" ca="1" si="191"/>
        <v>136</v>
      </c>
      <c r="V866" s="22">
        <v>45411</v>
      </c>
      <c r="W866" s="26">
        <f t="shared" ca="1" si="140"/>
        <v>6.5308967682487062E-2</v>
      </c>
      <c r="X866" s="29">
        <f t="shared" ca="1" si="192"/>
        <v>203</v>
      </c>
      <c r="Z866" s="22">
        <v>45411</v>
      </c>
      <c r="AA866" s="26">
        <f t="shared" ca="1" si="141"/>
        <v>0.95128471092362887</v>
      </c>
      <c r="AB866" s="29">
        <f t="shared" ca="1" si="193"/>
        <v>300</v>
      </c>
      <c r="AC866"/>
      <c r="AD866" s="25"/>
      <c r="AF866" s="22">
        <v>45411</v>
      </c>
      <c r="AG866" s="26">
        <f t="shared" ca="1" si="142"/>
        <v>0.34456750112527479</v>
      </c>
      <c r="AH866" s="29">
        <f t="shared" ca="1" si="194"/>
        <v>293</v>
      </c>
      <c r="AJ866" s="22">
        <v>45411</v>
      </c>
      <c r="AK866" s="26">
        <f t="shared" ca="1" si="143"/>
        <v>0.14773146366340784</v>
      </c>
      <c r="AL866" s="29">
        <f t="shared" ca="1" si="195"/>
        <v>123</v>
      </c>
      <c r="AN866" s="22">
        <v>45411</v>
      </c>
      <c r="AO866" s="26">
        <f t="shared" ca="1" si="144"/>
        <v>0.23484072741858519</v>
      </c>
      <c r="AP866" s="29">
        <f t="shared" ca="1" si="196"/>
        <v>188</v>
      </c>
      <c r="AR866" s="22">
        <v>45411</v>
      </c>
      <c r="AS866" s="26">
        <f t="shared" ca="1" si="145"/>
        <v>5.595652022203923E-2</v>
      </c>
      <c r="AT866" s="29">
        <f t="shared" ca="1" si="197"/>
        <v>115</v>
      </c>
      <c r="AV866" s="22">
        <v>45411</v>
      </c>
      <c r="AW866" s="26">
        <f t="shared" ca="1" si="146"/>
        <v>0.3964935781447112</v>
      </c>
      <c r="AX866" s="29">
        <f t="shared" ca="1" si="198"/>
        <v>192</v>
      </c>
      <c r="AZ866" s="22">
        <v>45411</v>
      </c>
      <c r="BA866" s="26">
        <f t="shared" ca="1" si="147"/>
        <v>0.75461471108345102</v>
      </c>
      <c r="BB866" s="29">
        <f t="shared" ca="1" si="199"/>
        <v>277</v>
      </c>
      <c r="BC866"/>
      <c r="BD866" s="25"/>
      <c r="BF866" s="22">
        <v>45411</v>
      </c>
      <c r="BG866" s="26">
        <f t="shared" ca="1" si="148"/>
        <v>0.35721300633589925</v>
      </c>
      <c r="BH866" s="29">
        <f t="shared" ca="1" si="200"/>
        <v>181</v>
      </c>
      <c r="BJ866" s="22">
        <v>45411</v>
      </c>
      <c r="BK866" s="26">
        <f t="shared" ca="1" si="149"/>
        <v>0.49838412055111514</v>
      </c>
      <c r="BL866" s="29">
        <f t="shared" ca="1" si="201"/>
        <v>169</v>
      </c>
      <c r="BN866" s="22">
        <v>45411</v>
      </c>
      <c r="BO866" s="26">
        <f t="shared" ca="1" si="150"/>
        <v>0.67313216998745606</v>
      </c>
      <c r="BP866" s="29">
        <f t="shared" ca="1" si="202"/>
        <v>242</v>
      </c>
      <c r="BR866" s="22">
        <v>45411</v>
      </c>
      <c r="BS866" s="26">
        <f t="shared" ca="1" si="151"/>
        <v>0.88119223644778721</v>
      </c>
      <c r="BT866" s="29">
        <f t="shared" ca="1" si="203"/>
        <v>212</v>
      </c>
      <c r="BV866" s="22">
        <v>45411</v>
      </c>
      <c r="BW866" s="26">
        <f t="shared" ca="1" si="152"/>
        <v>0.47625501996869812</v>
      </c>
      <c r="BX866" s="29">
        <f t="shared" ca="1" si="204"/>
        <v>216</v>
      </c>
    </row>
    <row r="867" spans="2:77" ht="12.75" x14ac:dyDescent="0.2">
      <c r="B867" s="22">
        <v>45412</v>
      </c>
      <c r="C867" s="26">
        <f t="shared" ca="1" si="205"/>
        <v>0.21448854947331419</v>
      </c>
      <c r="D867" s="29">
        <f t="shared" ca="1" si="187"/>
        <v>60</v>
      </c>
      <c r="E867">
        <v>1597</v>
      </c>
      <c r="F867" s="22"/>
      <c r="G867" s="26">
        <f t="shared" ca="1" si="136"/>
        <v>0.28791153678939452</v>
      </c>
      <c r="H867" s="29">
        <f t="shared" ca="1" si="188"/>
        <v>208</v>
      </c>
      <c r="I867">
        <v>1538</v>
      </c>
      <c r="J867" s="22">
        <v>45412</v>
      </c>
      <c r="K867" s="26">
        <f t="shared" ca="1" si="137"/>
        <v>0.8145039590846237</v>
      </c>
      <c r="L867" s="29">
        <f t="shared" ca="1" si="189"/>
        <v>159</v>
      </c>
      <c r="M867">
        <v>3201</v>
      </c>
      <c r="N867" s="22">
        <v>45412</v>
      </c>
      <c r="O867" s="26">
        <f t="shared" ca="1" si="138"/>
        <v>0.90002086016311023</v>
      </c>
      <c r="P867" s="29">
        <f t="shared" ca="1" si="190"/>
        <v>249</v>
      </c>
      <c r="Q867">
        <v>4879</v>
      </c>
      <c r="R867" s="22">
        <v>45412</v>
      </c>
      <c r="S867" s="26">
        <f t="shared" ca="1" si="139"/>
        <v>0.11180387432651151</v>
      </c>
      <c r="T867" s="29">
        <f t="shared" ca="1" si="191"/>
        <v>128</v>
      </c>
      <c r="U867">
        <v>2952</v>
      </c>
      <c r="V867" s="22">
        <v>45412</v>
      </c>
      <c r="W867" s="26">
        <f t="shared" ca="1" si="140"/>
        <v>0.73881453512927209</v>
      </c>
      <c r="X867" s="29">
        <f t="shared" ca="1" si="192"/>
        <v>235</v>
      </c>
      <c r="Y867">
        <v>4641</v>
      </c>
      <c r="Z867" s="22">
        <v>45412</v>
      </c>
      <c r="AA867" s="26">
        <f t="shared" ca="1" si="141"/>
        <v>0.45359778604687839</v>
      </c>
      <c r="AB867" s="29">
        <f t="shared" ca="1" si="193"/>
        <v>268</v>
      </c>
      <c r="AC867">
        <v>5654</v>
      </c>
      <c r="AD867" s="25"/>
      <c r="AF867" s="22">
        <v>45412</v>
      </c>
      <c r="AG867" s="26">
        <f t="shared" ca="1" si="142"/>
        <v>0.2565363310398644</v>
      </c>
      <c r="AH867" s="29">
        <f t="shared" ca="1" si="194"/>
        <v>270</v>
      </c>
      <c r="AI867">
        <v>6903</v>
      </c>
      <c r="AJ867" s="22">
        <v>45412</v>
      </c>
      <c r="AK867" s="26">
        <f t="shared" ca="1" si="143"/>
        <v>0.92300534795686151</v>
      </c>
      <c r="AL867" s="29">
        <f t="shared" ca="1" si="195"/>
        <v>236</v>
      </c>
      <c r="AM867">
        <v>3813</v>
      </c>
      <c r="AN867" s="22">
        <v>45412</v>
      </c>
      <c r="AO867" s="26">
        <f t="shared" ca="1" si="144"/>
        <v>0.93448094691316708</v>
      </c>
      <c r="AP867" s="29">
        <f t="shared" ca="1" si="196"/>
        <v>326</v>
      </c>
      <c r="AQ867">
        <v>3060</v>
      </c>
      <c r="AR867" s="22">
        <v>45412</v>
      </c>
      <c r="AS867" s="26">
        <f t="shared" ca="1" si="145"/>
        <v>0.51094980869911588</v>
      </c>
      <c r="AT867" s="29">
        <f t="shared" ca="1" si="197"/>
        <v>200</v>
      </c>
      <c r="AU867">
        <v>4383</v>
      </c>
      <c r="AV867" s="22">
        <v>45412</v>
      </c>
      <c r="AW867" s="26">
        <f t="shared" ca="1" si="146"/>
        <v>0.5278017166064497</v>
      </c>
      <c r="AX867" s="29">
        <f t="shared" ca="1" si="198"/>
        <v>210</v>
      </c>
      <c r="AY867">
        <v>3864</v>
      </c>
      <c r="AZ867" s="22">
        <v>45412</v>
      </c>
      <c r="BA867" s="26">
        <f t="shared" ca="1" si="147"/>
        <v>0.3142987027984564</v>
      </c>
      <c r="BB867" s="29">
        <f t="shared" ca="1" si="199"/>
        <v>204</v>
      </c>
      <c r="BC867">
        <v>3872</v>
      </c>
      <c r="BD867" s="25"/>
      <c r="BF867" s="22">
        <v>45412</v>
      </c>
      <c r="BG867" s="26">
        <f t="shared" ca="1" si="148"/>
        <v>0.47546344124241768</v>
      </c>
      <c r="BH867" s="29">
        <f t="shared" ca="1" si="200"/>
        <v>198</v>
      </c>
      <c r="BI867">
        <v>3429</v>
      </c>
      <c r="BJ867" s="22">
        <v>45412</v>
      </c>
      <c r="BK867" s="26">
        <f t="shared" ca="1" si="149"/>
        <v>1.9703007885991886E-2</v>
      </c>
      <c r="BL867" s="29">
        <f t="shared" ca="1" si="201"/>
        <v>76</v>
      </c>
      <c r="BM867">
        <v>3339</v>
      </c>
      <c r="BN867" s="22">
        <v>45412</v>
      </c>
      <c r="BO867" s="26">
        <f t="shared" ca="1" si="150"/>
        <v>0.18457429121794733</v>
      </c>
      <c r="BP867" s="29">
        <f t="shared" ca="1" si="202"/>
        <v>165</v>
      </c>
      <c r="BQ867">
        <v>2989</v>
      </c>
      <c r="BR867" s="22">
        <v>45412</v>
      </c>
      <c r="BS867" s="26">
        <f t="shared" ca="1" si="151"/>
        <v>0.33471934722209928</v>
      </c>
      <c r="BT867" s="29">
        <f t="shared" ca="1" si="203"/>
        <v>143</v>
      </c>
      <c r="BU867">
        <v>3503</v>
      </c>
      <c r="BV867" s="22">
        <v>45412</v>
      </c>
      <c r="BW867" s="26">
        <f t="shared" ca="1" si="152"/>
        <v>0.43484233490229462</v>
      </c>
      <c r="BX867" s="29">
        <f t="shared" ca="1" si="204"/>
        <v>210</v>
      </c>
      <c r="BY867">
        <v>3714</v>
      </c>
    </row>
    <row r="868" spans="2:77" ht="12.75" x14ac:dyDescent="0.2">
      <c r="B868" s="22">
        <v>45413</v>
      </c>
      <c r="C868" s="26">
        <f t="shared" ca="1" si="205"/>
        <v>0.36600502010334246</v>
      </c>
      <c r="D868" s="29">
        <f ca="1">ROUNDUP(_xlfn.NORM.INV(C867,C$10,C$12),0)</f>
        <v>60</v>
      </c>
      <c r="F868" s="22"/>
      <c r="G868" s="26">
        <f t="shared" ca="1" si="136"/>
        <v>0.38107640505236062</v>
      </c>
      <c r="H868" s="29">
        <f ca="1">ROUNDUP(_xlfn.NORM.INV(G867,G$10,G$12),0)</f>
        <v>208</v>
      </c>
      <c r="I868">
        <v>0</v>
      </c>
      <c r="J868" s="22">
        <v>45413</v>
      </c>
      <c r="K868" s="26">
        <f t="shared" ca="1" si="137"/>
        <v>0.22119838863203634</v>
      </c>
      <c r="L868" s="29">
        <f ca="1">ROUNDUP(_xlfn.NORM.INV(K867,K$10,K$12),0)</f>
        <v>159</v>
      </c>
      <c r="N868" s="22">
        <v>45413</v>
      </c>
      <c r="O868" s="26">
        <f t="shared" ca="1" si="138"/>
        <v>0.46233874869339187</v>
      </c>
      <c r="P868" s="29">
        <f ca="1">ROUNDUP(_xlfn.NORM.INV(O867,O$10,O$12),0)</f>
        <v>249</v>
      </c>
      <c r="R868" s="22">
        <v>45413</v>
      </c>
      <c r="S868" s="26">
        <f t="shared" ca="1" si="139"/>
        <v>0.20947670692993781</v>
      </c>
      <c r="T868" s="29">
        <f ca="1">ROUNDUP(_xlfn.NORM.INV(S867,S$10,S$12),0)</f>
        <v>128</v>
      </c>
      <c r="V868" s="22">
        <v>45413</v>
      </c>
      <c r="W868" s="26">
        <f t="shared" ca="1" si="140"/>
        <v>0.22697242399859119</v>
      </c>
      <c r="X868" s="29">
        <f ca="1">ROUNDUP(_xlfn.NORM.INV(W867,W$10,W$12),0)</f>
        <v>235</v>
      </c>
      <c r="Z868" s="22">
        <v>45413</v>
      </c>
      <c r="AA868" s="26">
        <f t="shared" ca="1" si="141"/>
        <v>0.8254153842727654</v>
      </c>
      <c r="AB868" s="29">
        <f ca="1">ROUNDUP(_xlfn.NORM.INV(AA867,AA$10,AA$12),0)</f>
        <v>268</v>
      </c>
      <c r="AC868"/>
      <c r="AD868" s="25"/>
      <c r="AF868" s="22">
        <v>45413</v>
      </c>
      <c r="AG868" s="26">
        <f t="shared" ca="1" si="142"/>
        <v>0.24303872902130952</v>
      </c>
      <c r="AH868" s="29">
        <f ca="1">ROUNDUP(_xlfn.NORM.INV(AG867,AG$10,AG$12),0)</f>
        <v>270</v>
      </c>
      <c r="AJ868" s="22">
        <v>45413</v>
      </c>
      <c r="AK868" s="26">
        <f t="shared" ca="1" si="143"/>
        <v>0.87755014396592157</v>
      </c>
      <c r="AL868" s="29">
        <f ca="1">ROUNDUP(_xlfn.NORM.INV(AK867,AK$10,AK$12),0)</f>
        <v>236</v>
      </c>
      <c r="AN868" s="22">
        <v>45413</v>
      </c>
      <c r="AO868" s="26">
        <f t="shared" ca="1" si="144"/>
        <v>0.103432128963309</v>
      </c>
      <c r="AP868" s="29">
        <f ca="1">ROUNDUP(_xlfn.NORM.INV(AO867,AO$10,AO$12),0)</f>
        <v>326</v>
      </c>
      <c r="AR868" s="22">
        <v>45413</v>
      </c>
      <c r="AS868" s="26">
        <f t="shared" ca="1" si="145"/>
        <v>0.36730197846112056</v>
      </c>
      <c r="AT868" s="29">
        <f ca="1">ROUNDUP(_xlfn.NORM.INV(AS867,AS$10,AS$12),0)</f>
        <v>200</v>
      </c>
      <c r="AV868" s="22">
        <v>45413</v>
      </c>
      <c r="AW868" s="26">
        <f t="shared" ca="1" si="146"/>
        <v>3.2632630357279035E-2</v>
      </c>
      <c r="AX868" s="29">
        <f ca="1">ROUNDUP(_xlfn.NORM.INV(AW867,AW$10,AW$12),0)</f>
        <v>210</v>
      </c>
      <c r="AZ868" s="22">
        <v>45413</v>
      </c>
      <c r="BA868" s="26">
        <f t="shared" ca="1" si="147"/>
        <v>0.6576505258845855</v>
      </c>
      <c r="BB868" s="29">
        <f ca="1">ROUNDUP(_xlfn.NORM.INV(BA867,BA$10,BA$12),0)</f>
        <v>204</v>
      </c>
      <c r="BC868"/>
      <c r="BD868" s="25"/>
      <c r="BF868" s="22">
        <v>45413</v>
      </c>
      <c r="BG868" s="26">
        <f t="shared" ca="1" si="148"/>
        <v>0.93984823900265335</v>
      </c>
      <c r="BH868" s="29">
        <f ca="1">ROUNDUP(_xlfn.NORM.INV(BG867,BG$10,BG$12),0)</f>
        <v>198</v>
      </c>
      <c r="BJ868" s="22">
        <v>45413</v>
      </c>
      <c r="BK868" s="26">
        <f t="shared" ca="1" si="149"/>
        <v>0.92477397918835791</v>
      </c>
      <c r="BL868" s="29">
        <f ca="1">ROUNDUP(_xlfn.NORM.INV(BK867,BK$10,BK$12),0)</f>
        <v>76</v>
      </c>
      <c r="BN868" s="22">
        <v>45413</v>
      </c>
      <c r="BO868" s="26">
        <f t="shared" ca="1" si="150"/>
        <v>0.65602279598466351</v>
      </c>
      <c r="BP868" s="29">
        <f ca="1">ROUNDUP(_xlfn.NORM.INV(BO867,BO$10,BO$12),0)</f>
        <v>165</v>
      </c>
      <c r="BR868" s="22">
        <v>45413</v>
      </c>
      <c r="BS868" s="26">
        <f t="shared" ca="1" si="151"/>
        <v>0.15477819000408266</v>
      </c>
      <c r="BT868" s="29">
        <f ca="1">ROUNDUP(_xlfn.NORM.INV(BS867,BS$10,BS$12),0)</f>
        <v>143</v>
      </c>
      <c r="BV868" s="22">
        <v>45413</v>
      </c>
      <c r="BW868" s="26">
        <f t="shared" ca="1" si="152"/>
        <v>0.10559791764333915</v>
      </c>
      <c r="BX868" s="29">
        <f ca="1">ROUNDUP(_xlfn.NORM.INV(BW867,BW$10,BW$12),0)</f>
        <v>210</v>
      </c>
    </row>
    <row r="869" spans="2:77" ht="12.75" x14ac:dyDescent="0.2">
      <c r="B869" s="22">
        <v>45414</v>
      </c>
      <c r="C869" s="26">
        <f t="shared" ca="1" si="205"/>
        <v>0.98489372148363608</v>
      </c>
      <c r="D869" s="29">
        <f t="shared" ca="1" si="187"/>
        <v>119</v>
      </c>
      <c r="F869" s="22"/>
      <c r="G869" s="26">
        <f t="shared" ca="1" si="136"/>
        <v>0.62328052281442103</v>
      </c>
      <c r="H869" s="29">
        <f t="shared" ca="1" si="188"/>
        <v>220</v>
      </c>
      <c r="J869" s="22">
        <v>45414</v>
      </c>
      <c r="K869" s="26">
        <f t="shared" ca="1" si="137"/>
        <v>0.70466404620350831</v>
      </c>
      <c r="L869" s="29">
        <f t="shared" ca="1" si="189"/>
        <v>156</v>
      </c>
      <c r="N869" s="22">
        <v>45414</v>
      </c>
      <c r="O869" s="26">
        <f t="shared" ca="1" si="138"/>
        <v>0.56689044354444496</v>
      </c>
      <c r="P869" s="29">
        <f t="shared" ca="1" si="190"/>
        <v>232</v>
      </c>
      <c r="R869" s="22">
        <v>45414</v>
      </c>
      <c r="S869" s="26">
        <f t="shared" ca="1" si="139"/>
        <v>0.22615279385930465</v>
      </c>
      <c r="T869" s="29">
        <f t="shared" ca="1" si="191"/>
        <v>132</v>
      </c>
      <c r="V869" s="22">
        <v>45414</v>
      </c>
      <c r="W869" s="26">
        <f t="shared" ca="1" si="140"/>
        <v>0.82479187328417014</v>
      </c>
      <c r="X869" s="29">
        <f t="shared" ca="1" si="192"/>
        <v>240</v>
      </c>
      <c r="Z869" s="22">
        <v>45414</v>
      </c>
      <c r="AA869" s="26">
        <f t="shared" ca="1" si="141"/>
        <v>6.7698037361937358E-3</v>
      </c>
      <c r="AB869" s="29">
        <f t="shared" ca="1" si="193"/>
        <v>226</v>
      </c>
      <c r="AC869"/>
      <c r="AD869" s="25"/>
      <c r="AF869" s="22">
        <v>45414</v>
      </c>
      <c r="AG869" s="26">
        <f t="shared" ca="1" si="142"/>
        <v>0.20721976363010708</v>
      </c>
      <c r="AH869" s="29">
        <f t="shared" ca="1" si="194"/>
        <v>256</v>
      </c>
      <c r="AJ869" s="22">
        <v>45414</v>
      </c>
      <c r="AK869" s="26">
        <f t="shared" ca="1" si="143"/>
        <v>0.49814295958160659</v>
      </c>
      <c r="AL869" s="29">
        <f t="shared" ca="1" si="195"/>
        <v>171</v>
      </c>
      <c r="AN869" s="22">
        <v>45414</v>
      </c>
      <c r="AO869" s="26">
        <f t="shared" ca="1" si="144"/>
        <v>0.89076492474835534</v>
      </c>
      <c r="AP869" s="29">
        <f t="shared" ca="1" si="196"/>
        <v>309</v>
      </c>
      <c r="AR869" s="22">
        <v>45414</v>
      </c>
      <c r="AS869" s="26">
        <f t="shared" ca="1" si="145"/>
        <v>6.4352042266387577E-2</v>
      </c>
      <c r="AT869" s="29">
        <f t="shared" ca="1" si="197"/>
        <v>118</v>
      </c>
      <c r="AV869" s="22">
        <v>45414</v>
      </c>
      <c r="AW869" s="26">
        <f t="shared" ca="1" si="146"/>
        <v>0.76677694553696041</v>
      </c>
      <c r="AX869" s="29">
        <f t="shared" ca="1" si="198"/>
        <v>246</v>
      </c>
      <c r="AZ869" s="22">
        <v>45414</v>
      </c>
      <c r="BA869" s="26">
        <f t="shared" ca="1" si="147"/>
        <v>0.45181805252627172</v>
      </c>
      <c r="BB869" s="29">
        <f t="shared" ca="1" si="199"/>
        <v>227</v>
      </c>
      <c r="BC869"/>
      <c r="BD869" s="25"/>
      <c r="BF869" s="22">
        <v>45414</v>
      </c>
      <c r="BG869" s="26">
        <f t="shared" ca="1" si="148"/>
        <v>0.77253071326535816</v>
      </c>
      <c r="BH869" s="29">
        <f t="shared" ca="1" si="200"/>
        <v>241</v>
      </c>
      <c r="BJ869" s="22">
        <v>45414</v>
      </c>
      <c r="BK869" s="26">
        <f t="shared" ca="1" si="149"/>
        <v>0.92085805334089299</v>
      </c>
      <c r="BL869" s="29">
        <f t="shared" ca="1" si="201"/>
        <v>233</v>
      </c>
      <c r="BN869" s="22">
        <v>45414</v>
      </c>
      <c r="BO869" s="26">
        <f t="shared" ca="1" si="150"/>
        <v>0.43369264401709029</v>
      </c>
      <c r="BP869" s="29">
        <f t="shared" ca="1" si="202"/>
        <v>207</v>
      </c>
      <c r="BR869" s="22">
        <v>45414</v>
      </c>
      <c r="BS869" s="26">
        <f t="shared" ca="1" si="151"/>
        <v>0.74914367441320706</v>
      </c>
      <c r="BT869" s="29">
        <f t="shared" ca="1" si="203"/>
        <v>190</v>
      </c>
      <c r="BV869" s="22">
        <v>45414</v>
      </c>
      <c r="BW869" s="26">
        <f t="shared" ca="1" si="152"/>
        <v>0.96919458658305435</v>
      </c>
      <c r="BX869" s="29">
        <f t="shared" ca="1" si="204"/>
        <v>329</v>
      </c>
    </row>
    <row r="870" spans="2:77" ht="12.75" x14ac:dyDescent="0.2">
      <c r="B870" s="22">
        <v>45415</v>
      </c>
      <c r="C870" s="26">
        <f t="shared" ca="1" si="205"/>
        <v>0.49094561460946429</v>
      </c>
      <c r="D870" s="29">
        <f t="shared" ca="1" si="187"/>
        <v>75</v>
      </c>
      <c r="F870" s="22"/>
      <c r="G870" s="26">
        <f t="shared" ca="1" si="136"/>
        <v>0.77130966056190209</v>
      </c>
      <c r="H870" s="29">
        <f t="shared" ca="1" si="188"/>
        <v>227</v>
      </c>
      <c r="J870" s="22">
        <v>45415</v>
      </c>
      <c r="K870" s="26">
        <f t="shared" ca="1" si="137"/>
        <v>0.27303675466225563</v>
      </c>
      <c r="L870" s="29">
        <f t="shared" ca="1" si="189"/>
        <v>144</v>
      </c>
      <c r="N870" s="22">
        <v>45415</v>
      </c>
      <c r="O870" s="26">
        <f t="shared" ca="1" si="138"/>
        <v>0.40060442974051658</v>
      </c>
      <c r="P870" s="29">
        <f t="shared" ca="1" si="190"/>
        <v>226</v>
      </c>
      <c r="R870" s="22">
        <v>45415</v>
      </c>
      <c r="S870" s="26">
        <f t="shared" ca="1" si="139"/>
        <v>0.35505263668107334</v>
      </c>
      <c r="T870" s="29">
        <f t="shared" ca="1" si="191"/>
        <v>136</v>
      </c>
      <c r="V870" s="22">
        <v>45415</v>
      </c>
      <c r="W870" s="26">
        <f t="shared" ca="1" si="140"/>
        <v>0.29800576266407264</v>
      </c>
      <c r="X870" s="29">
        <f t="shared" ca="1" si="192"/>
        <v>218</v>
      </c>
      <c r="Z870" s="22">
        <v>45415</v>
      </c>
      <c r="AA870" s="26">
        <f t="shared" ca="1" si="141"/>
        <v>0.30878863685173707</v>
      </c>
      <c r="AB870" s="29">
        <f t="shared" ca="1" si="193"/>
        <v>262</v>
      </c>
      <c r="AC870"/>
      <c r="AD870" s="25"/>
      <c r="AF870" s="22">
        <v>45415</v>
      </c>
      <c r="AG870" s="26">
        <f t="shared" ca="1" si="142"/>
        <v>0.72803085473839102</v>
      </c>
      <c r="AH870" s="29">
        <f t="shared" ca="1" si="194"/>
        <v>380</v>
      </c>
      <c r="AJ870" s="22">
        <v>45415</v>
      </c>
      <c r="AK870" s="26">
        <f t="shared" ca="1" si="143"/>
        <v>0.83500026311472886</v>
      </c>
      <c r="AL870" s="29">
        <f t="shared" ca="1" si="195"/>
        <v>215</v>
      </c>
      <c r="AN870" s="22">
        <v>45415</v>
      </c>
      <c r="AO870" s="26">
        <f t="shared" ca="1" si="144"/>
        <v>0.2157247321424377</v>
      </c>
      <c r="AP870" s="29">
        <f t="shared" ca="1" si="196"/>
        <v>184</v>
      </c>
      <c r="AR870" s="22">
        <v>45415</v>
      </c>
      <c r="AS870" s="26">
        <f t="shared" ca="1" si="145"/>
        <v>0.8565894328198228</v>
      </c>
      <c r="AT870" s="29">
        <f t="shared" ca="1" si="197"/>
        <v>255</v>
      </c>
      <c r="AV870" s="22">
        <v>45415</v>
      </c>
      <c r="AW870" s="26">
        <f t="shared" ca="1" si="146"/>
        <v>0.74509338326614494</v>
      </c>
      <c r="AX870" s="29">
        <f t="shared" ca="1" si="198"/>
        <v>242</v>
      </c>
      <c r="AZ870" s="22">
        <v>45415</v>
      </c>
      <c r="BA870" s="26">
        <f t="shared" ca="1" si="147"/>
        <v>0.58479738978632412</v>
      </c>
      <c r="BB870" s="29">
        <f t="shared" ca="1" si="199"/>
        <v>247</v>
      </c>
      <c r="BC870"/>
      <c r="BD870" s="25"/>
      <c r="BF870" s="22">
        <v>45415</v>
      </c>
      <c r="BG870" s="26">
        <f t="shared" ca="1" si="148"/>
        <v>0.1018367085263322</v>
      </c>
      <c r="BH870" s="29">
        <f t="shared" ca="1" si="200"/>
        <v>133</v>
      </c>
      <c r="BJ870" s="22">
        <v>45415</v>
      </c>
      <c r="BK870" s="26">
        <f t="shared" ca="1" si="149"/>
        <v>0.66395302096552578</v>
      </c>
      <c r="BL870" s="29">
        <f t="shared" ca="1" si="201"/>
        <v>188</v>
      </c>
      <c r="BN870" s="22">
        <v>45415</v>
      </c>
      <c r="BO870" s="26">
        <f t="shared" ca="1" si="150"/>
        <v>0.48231389132737135</v>
      </c>
      <c r="BP870" s="29">
        <f t="shared" ca="1" si="202"/>
        <v>214</v>
      </c>
      <c r="BR870" s="22">
        <v>45415</v>
      </c>
      <c r="BS870" s="26">
        <f t="shared" ca="1" si="151"/>
        <v>0.54267635648496848</v>
      </c>
      <c r="BT870" s="29">
        <f t="shared" ca="1" si="203"/>
        <v>166</v>
      </c>
      <c r="BV870" s="22">
        <v>45415</v>
      </c>
      <c r="BW870" s="26">
        <f t="shared" ca="1" si="152"/>
        <v>0.42707065152236234</v>
      </c>
      <c r="BX870" s="29">
        <f t="shared" ca="1" si="204"/>
        <v>209</v>
      </c>
    </row>
    <row r="871" spans="2:77" ht="12.75" x14ac:dyDescent="0.2">
      <c r="B871" s="22">
        <v>45416</v>
      </c>
      <c r="C871" s="26">
        <f t="shared" ca="1" si="205"/>
        <v>0.93369208907459089</v>
      </c>
      <c r="D871" s="29">
        <f t="shared" ca="1" si="187"/>
        <v>106</v>
      </c>
      <c r="F871" s="22"/>
      <c r="G871" s="26">
        <f t="shared" ca="1" si="136"/>
        <v>0.52829244807442788</v>
      </c>
      <c r="H871" s="29">
        <f t="shared" ca="1" si="188"/>
        <v>217</v>
      </c>
      <c r="J871" s="22">
        <v>45416</v>
      </c>
      <c r="K871" s="26">
        <f t="shared" ca="1" si="137"/>
        <v>0.57386438056899958</v>
      </c>
      <c r="L871" s="29">
        <f t="shared" ca="1" si="189"/>
        <v>152</v>
      </c>
      <c r="N871" s="22">
        <v>45416</v>
      </c>
      <c r="O871" s="26">
        <f t="shared" ca="1" si="138"/>
        <v>0.38030106129592978</v>
      </c>
      <c r="P871" s="29">
        <f t="shared" ca="1" si="190"/>
        <v>225</v>
      </c>
      <c r="R871" s="22">
        <v>45416</v>
      </c>
      <c r="S871" s="26">
        <f t="shared" ca="1" si="139"/>
        <v>0.2758478896564619</v>
      </c>
      <c r="T871" s="29">
        <f t="shared" ca="1" si="191"/>
        <v>134</v>
      </c>
      <c r="V871" s="22">
        <v>45416</v>
      </c>
      <c r="W871" s="26">
        <f t="shared" ca="1" si="140"/>
        <v>0.83581447032765477</v>
      </c>
      <c r="X871" s="29">
        <f t="shared" ca="1" si="192"/>
        <v>240</v>
      </c>
      <c r="Z871" s="22">
        <v>45416</v>
      </c>
      <c r="AA871" s="26">
        <f t="shared" ca="1" si="141"/>
        <v>0.56361261649406458</v>
      </c>
      <c r="AB871" s="29">
        <f t="shared" ca="1" si="193"/>
        <v>273</v>
      </c>
      <c r="AC871"/>
      <c r="AD871" s="25"/>
      <c r="AF871" s="22">
        <v>45416</v>
      </c>
      <c r="AG871" s="26">
        <f t="shared" ca="1" si="142"/>
        <v>0.98483557397452981</v>
      </c>
      <c r="AH871" s="29">
        <f t="shared" ca="1" si="194"/>
        <v>516</v>
      </c>
      <c r="AJ871" s="22">
        <v>45416</v>
      </c>
      <c r="AK871" s="26">
        <f t="shared" ca="1" si="143"/>
        <v>0.44790191826983505</v>
      </c>
      <c r="AL871" s="29">
        <f t="shared" ca="1" si="195"/>
        <v>165</v>
      </c>
      <c r="AN871" s="22">
        <v>45416</v>
      </c>
      <c r="AO871" s="26">
        <f t="shared" ca="1" si="144"/>
        <v>0.94289130837856983</v>
      </c>
      <c r="AP871" s="29">
        <f t="shared" ca="1" si="196"/>
        <v>330</v>
      </c>
      <c r="AR871" s="22">
        <v>45416</v>
      </c>
      <c r="AS871" s="26">
        <f t="shared" ca="1" si="145"/>
        <v>0.52314922570512912</v>
      </c>
      <c r="AT871" s="29">
        <f t="shared" ca="1" si="197"/>
        <v>202</v>
      </c>
      <c r="AV871" s="22">
        <v>45416</v>
      </c>
      <c r="AW871" s="26">
        <f t="shared" ca="1" si="146"/>
        <v>0.65697103313507621</v>
      </c>
      <c r="AX871" s="29">
        <f t="shared" ca="1" si="198"/>
        <v>228</v>
      </c>
      <c r="AZ871" s="22">
        <v>45416</v>
      </c>
      <c r="BA871" s="26">
        <f t="shared" ca="1" si="147"/>
        <v>0.93445965440388912</v>
      </c>
      <c r="BB871" s="29">
        <f t="shared" ca="1" si="199"/>
        <v>328</v>
      </c>
      <c r="BC871"/>
      <c r="BD871" s="25"/>
      <c r="BF871" s="22">
        <v>45416</v>
      </c>
      <c r="BG871" s="26">
        <f t="shared" ca="1" si="148"/>
        <v>0.78672799682554084</v>
      </c>
      <c r="BH871" s="29">
        <f t="shared" ca="1" si="200"/>
        <v>244</v>
      </c>
      <c r="BJ871" s="22">
        <v>45416</v>
      </c>
      <c r="BK871" s="26">
        <f t="shared" ca="1" si="149"/>
        <v>0.51989246891641305</v>
      </c>
      <c r="BL871" s="29">
        <f t="shared" ca="1" si="201"/>
        <v>171</v>
      </c>
      <c r="BN871" s="22">
        <v>45416</v>
      </c>
      <c r="BO871" s="26">
        <f t="shared" ca="1" si="150"/>
        <v>0.97027543538181826</v>
      </c>
      <c r="BP871" s="29">
        <f t="shared" ca="1" si="202"/>
        <v>325</v>
      </c>
      <c r="BR871" s="22">
        <v>45416</v>
      </c>
      <c r="BS871" s="26">
        <f t="shared" ca="1" si="151"/>
        <v>0.49214131720330523</v>
      </c>
      <c r="BT871" s="29">
        <f t="shared" ca="1" si="203"/>
        <v>160</v>
      </c>
      <c r="BV871" s="22">
        <v>45416</v>
      </c>
      <c r="BW871" s="26">
        <f t="shared" ca="1" si="152"/>
        <v>2.102553382185246E-2</v>
      </c>
      <c r="BX871" s="29">
        <f t="shared" ca="1" si="204"/>
        <v>101</v>
      </c>
    </row>
    <row r="872" spans="2:77" ht="12.75" x14ac:dyDescent="0.2">
      <c r="B872" s="22">
        <v>45417</v>
      </c>
      <c r="C872" s="26">
        <f t="shared" ca="1" si="205"/>
        <v>0.84684941514194489</v>
      </c>
      <c r="D872" s="29">
        <f t="shared" ca="1" si="187"/>
        <v>96</v>
      </c>
      <c r="F872" s="22"/>
      <c r="G872" s="26">
        <f t="shared" ca="1" si="136"/>
        <v>0.48526402161883531</v>
      </c>
      <c r="H872" s="29">
        <f t="shared" ca="1" si="188"/>
        <v>215</v>
      </c>
      <c r="J872" s="22">
        <v>45417</v>
      </c>
      <c r="K872" s="26">
        <f t="shared" ca="1" si="137"/>
        <v>0.90693766228336337</v>
      </c>
      <c r="L872" s="29">
        <f t="shared" ca="1" si="189"/>
        <v>164</v>
      </c>
      <c r="N872" s="22">
        <v>45417</v>
      </c>
      <c r="O872" s="26">
        <f t="shared" ca="1" si="138"/>
        <v>6.8413055232411479E-2</v>
      </c>
      <c r="P872" s="29">
        <f t="shared" ca="1" si="190"/>
        <v>207</v>
      </c>
      <c r="R872" s="22">
        <v>45417</v>
      </c>
      <c r="S872" s="26">
        <f t="shared" ca="1" si="139"/>
        <v>0.72466985928595473</v>
      </c>
      <c r="T872" s="29">
        <f t="shared" ca="1" si="191"/>
        <v>145</v>
      </c>
      <c r="V872" s="22">
        <v>45417</v>
      </c>
      <c r="W872" s="26">
        <f t="shared" ca="1" si="140"/>
        <v>0.77955382860610445</v>
      </c>
      <c r="X872" s="29">
        <f t="shared" ca="1" si="192"/>
        <v>237</v>
      </c>
      <c r="Z872" s="22">
        <v>45417</v>
      </c>
      <c r="AA872" s="26">
        <f t="shared" ca="1" si="141"/>
        <v>0.9347940903900761</v>
      </c>
      <c r="AB872" s="29">
        <f t="shared" ca="1" si="193"/>
        <v>298</v>
      </c>
      <c r="AC872"/>
      <c r="AD872" s="25"/>
      <c r="AF872" s="22">
        <v>45417</v>
      </c>
      <c r="AG872" s="26">
        <f t="shared" ca="1" si="142"/>
        <v>0.26443132966379834</v>
      </c>
      <c r="AH872" s="29">
        <f t="shared" ca="1" si="194"/>
        <v>273</v>
      </c>
      <c r="AJ872" s="22">
        <v>45417</v>
      </c>
      <c r="AK872" s="26">
        <f t="shared" ca="1" si="143"/>
        <v>0.80051779351228958</v>
      </c>
      <c r="AL872" s="29">
        <f t="shared" ca="1" si="195"/>
        <v>209</v>
      </c>
      <c r="AN872" s="22">
        <v>45417</v>
      </c>
      <c r="AO872" s="26">
        <f t="shared" ca="1" si="144"/>
        <v>0.93387170339285841</v>
      </c>
      <c r="AP872" s="29">
        <f t="shared" ca="1" si="196"/>
        <v>326</v>
      </c>
      <c r="AR872" s="22">
        <v>45417</v>
      </c>
      <c r="AS872" s="26">
        <f t="shared" ca="1" si="145"/>
        <v>0.31481165758629615</v>
      </c>
      <c r="AT872" s="29">
        <f t="shared" ca="1" si="197"/>
        <v>173</v>
      </c>
      <c r="AV872" s="22">
        <v>45417</v>
      </c>
      <c r="AW872" s="26">
        <f t="shared" ca="1" si="146"/>
        <v>0.72807699534186265</v>
      </c>
      <c r="AX872" s="29">
        <f t="shared" ca="1" si="198"/>
        <v>239</v>
      </c>
      <c r="AZ872" s="22">
        <v>45417</v>
      </c>
      <c r="BA872" s="26">
        <f t="shared" ca="1" si="147"/>
        <v>0.17763621493953996</v>
      </c>
      <c r="BB872" s="29">
        <f t="shared" ca="1" si="199"/>
        <v>176</v>
      </c>
      <c r="BC872"/>
      <c r="BD872" s="25"/>
      <c r="BF872" s="22">
        <v>45417</v>
      </c>
      <c r="BG872" s="26">
        <f t="shared" ca="1" si="148"/>
        <v>0.34574888420929406</v>
      </c>
      <c r="BH872" s="29">
        <f t="shared" ca="1" si="200"/>
        <v>180</v>
      </c>
      <c r="BJ872" s="22">
        <v>45417</v>
      </c>
      <c r="BK872" s="26">
        <f t="shared" ca="1" si="149"/>
        <v>0.29195998744229301</v>
      </c>
      <c r="BL872" s="29">
        <f t="shared" ca="1" si="201"/>
        <v>144</v>
      </c>
      <c r="BN872" s="22">
        <v>45417</v>
      </c>
      <c r="BO872" s="26">
        <f t="shared" ca="1" si="150"/>
        <v>0.85002857351885619</v>
      </c>
      <c r="BP872" s="29">
        <f t="shared" ca="1" si="202"/>
        <v>276</v>
      </c>
      <c r="BR872" s="22">
        <v>45417</v>
      </c>
      <c r="BS872" s="26">
        <f t="shared" ca="1" si="151"/>
        <v>0.12480656781459243</v>
      </c>
      <c r="BT872" s="29">
        <f t="shared" ca="1" si="203"/>
        <v>112</v>
      </c>
      <c r="BV872" s="22">
        <v>45417</v>
      </c>
      <c r="BW872" s="26">
        <f t="shared" ca="1" si="152"/>
        <v>0.62411108548853456</v>
      </c>
      <c r="BX872" s="29">
        <f t="shared" ca="1" si="204"/>
        <v>238</v>
      </c>
    </row>
    <row r="873" spans="2:77" ht="12.75" x14ac:dyDescent="0.2">
      <c r="B873" s="22">
        <v>45418</v>
      </c>
      <c r="C873" s="26">
        <f t="shared" ca="1" si="205"/>
        <v>0.84023220746476768</v>
      </c>
      <c r="D873" s="29">
        <f t="shared" ca="1" si="187"/>
        <v>95</v>
      </c>
      <c r="F873" s="22"/>
      <c r="G873" s="26">
        <f t="shared" ca="1" si="136"/>
        <v>0.6902110705643586</v>
      </c>
      <c r="H873" s="29">
        <f t="shared" ca="1" si="188"/>
        <v>223</v>
      </c>
      <c r="J873" s="22">
        <v>45418</v>
      </c>
      <c r="K873" s="26">
        <f t="shared" ca="1" si="137"/>
        <v>0.68270928551636323</v>
      </c>
      <c r="L873" s="29">
        <f t="shared" ca="1" si="189"/>
        <v>155</v>
      </c>
      <c r="N873" s="22">
        <v>45418</v>
      </c>
      <c r="O873" s="26">
        <f t="shared" ca="1" si="138"/>
        <v>0.43308313925969399</v>
      </c>
      <c r="P873" s="29">
        <f t="shared" ca="1" si="190"/>
        <v>227</v>
      </c>
      <c r="R873" s="22">
        <v>45418</v>
      </c>
      <c r="S873" s="26">
        <f t="shared" ca="1" si="139"/>
        <v>0.71687346126779561</v>
      </c>
      <c r="T873" s="29">
        <f t="shared" ca="1" si="191"/>
        <v>145</v>
      </c>
      <c r="V873" s="22">
        <v>45418</v>
      </c>
      <c r="W873" s="26">
        <f t="shared" ca="1" si="140"/>
        <v>0.11337188764791262</v>
      </c>
      <c r="X873" s="29">
        <f t="shared" ca="1" si="192"/>
        <v>207</v>
      </c>
      <c r="Z873" s="22">
        <v>45418</v>
      </c>
      <c r="AA873" s="26">
        <f t="shared" ca="1" si="141"/>
        <v>0.88602121196995431</v>
      </c>
      <c r="AB873" s="29">
        <f t="shared" ca="1" si="193"/>
        <v>292</v>
      </c>
      <c r="AC873"/>
      <c r="AD873" s="25"/>
      <c r="AF873" s="22">
        <v>45418</v>
      </c>
      <c r="AG873" s="26">
        <f t="shared" ca="1" si="142"/>
        <v>5.5451283992218436E-2</v>
      </c>
      <c r="AH873" s="29">
        <f t="shared" ca="1" si="194"/>
        <v>188</v>
      </c>
      <c r="AJ873" s="22">
        <v>45418</v>
      </c>
      <c r="AK873" s="26">
        <f t="shared" ca="1" si="143"/>
        <v>0.32700159153437747</v>
      </c>
      <c r="AL873" s="29">
        <f t="shared" ca="1" si="195"/>
        <v>151</v>
      </c>
      <c r="AN873" s="22">
        <v>45418</v>
      </c>
      <c r="AO873" s="26">
        <f t="shared" ca="1" si="144"/>
        <v>0.59907179071480421</v>
      </c>
      <c r="AP873" s="29">
        <f t="shared" ca="1" si="196"/>
        <v>248</v>
      </c>
      <c r="AR873" s="22">
        <v>45418</v>
      </c>
      <c r="AS873" s="26">
        <f t="shared" ca="1" si="145"/>
        <v>0.76814298460099784</v>
      </c>
      <c r="AT873" s="29">
        <f t="shared" ca="1" si="197"/>
        <v>237</v>
      </c>
      <c r="AV873" s="22">
        <v>45418</v>
      </c>
      <c r="AW873" s="26">
        <f t="shared" ca="1" si="146"/>
        <v>0.51349494312087773</v>
      </c>
      <c r="AX873" s="29">
        <f t="shared" ca="1" si="198"/>
        <v>208</v>
      </c>
      <c r="AZ873" s="22">
        <v>45418</v>
      </c>
      <c r="BA873" s="26">
        <f t="shared" ca="1" si="147"/>
        <v>0.33842089961506139</v>
      </c>
      <c r="BB873" s="29">
        <f t="shared" ca="1" si="199"/>
        <v>208</v>
      </c>
      <c r="BC873"/>
      <c r="BD873" s="25"/>
      <c r="BF873" s="22">
        <v>45418</v>
      </c>
      <c r="BG873" s="26">
        <f t="shared" ca="1" si="148"/>
        <v>0.74785086142381041</v>
      </c>
      <c r="BH873" s="29">
        <f t="shared" ca="1" si="200"/>
        <v>237</v>
      </c>
      <c r="BJ873" s="22">
        <v>45418</v>
      </c>
      <c r="BK873" s="26">
        <f t="shared" ca="1" si="149"/>
        <v>0.97187020191865192</v>
      </c>
      <c r="BL873" s="29">
        <f t="shared" ca="1" si="201"/>
        <v>255</v>
      </c>
      <c r="BN873" s="22">
        <v>45418</v>
      </c>
      <c r="BO873" s="26">
        <f t="shared" ca="1" si="150"/>
        <v>0.33223049205828903</v>
      </c>
      <c r="BP873" s="29">
        <f t="shared" ca="1" si="202"/>
        <v>191</v>
      </c>
      <c r="BR873" s="22">
        <v>45418</v>
      </c>
      <c r="BS873" s="26">
        <f t="shared" ca="1" si="151"/>
        <v>0.66396609833865616</v>
      </c>
      <c r="BT873" s="29">
        <f t="shared" ca="1" si="203"/>
        <v>179</v>
      </c>
      <c r="BV873" s="22">
        <v>45418</v>
      </c>
      <c r="BW873" s="26">
        <f t="shared" ca="1" si="152"/>
        <v>0.93697112851224573</v>
      </c>
      <c r="BX873" s="29">
        <f t="shared" ca="1" si="204"/>
        <v>309</v>
      </c>
    </row>
    <row r="874" spans="2:77" ht="12.75" x14ac:dyDescent="0.2">
      <c r="B874" s="22">
        <v>45419</v>
      </c>
      <c r="C874" s="26">
        <f t="shared" ca="1" si="205"/>
        <v>0.66000891602383738</v>
      </c>
      <c r="D874" s="29">
        <f t="shared" ca="1" si="187"/>
        <v>84</v>
      </c>
      <c r="F874" s="22"/>
      <c r="G874" s="26">
        <f t="shared" ca="1" si="136"/>
        <v>0.16334066774033151</v>
      </c>
      <c r="H874" s="29">
        <f t="shared" ca="1" si="188"/>
        <v>202</v>
      </c>
      <c r="J874" s="22">
        <v>45419</v>
      </c>
      <c r="K874" s="26">
        <f t="shared" ca="1" si="137"/>
        <v>0.68140625738968919</v>
      </c>
      <c r="L874" s="29">
        <f t="shared" ca="1" si="189"/>
        <v>155</v>
      </c>
      <c r="N874" s="22">
        <v>45419</v>
      </c>
      <c r="O874" s="26">
        <f t="shared" ca="1" si="138"/>
        <v>0.15710285963148751</v>
      </c>
      <c r="P874" s="29">
        <f t="shared" ca="1" si="190"/>
        <v>214</v>
      </c>
      <c r="R874" s="22">
        <v>45419</v>
      </c>
      <c r="S874" s="26">
        <f t="shared" ca="1" si="139"/>
        <v>0.73320406647286984</v>
      </c>
      <c r="T874" s="29">
        <f t="shared" ca="1" si="191"/>
        <v>145</v>
      </c>
      <c r="V874" s="22">
        <v>45419</v>
      </c>
      <c r="W874" s="26">
        <f t="shared" ca="1" si="140"/>
        <v>2.4818242587680839E-2</v>
      </c>
      <c r="X874" s="29">
        <f t="shared" ca="1" si="192"/>
        <v>196</v>
      </c>
      <c r="Z874" s="22">
        <v>45419</v>
      </c>
      <c r="AA874" s="26">
        <f t="shared" ca="1" si="141"/>
        <v>0.5098040448038722</v>
      </c>
      <c r="AB874" s="29">
        <f t="shared" ca="1" si="193"/>
        <v>271</v>
      </c>
      <c r="AC874"/>
      <c r="AD874" s="25"/>
      <c r="AF874" s="22">
        <v>45419</v>
      </c>
      <c r="AG874" s="26">
        <f t="shared" ca="1" si="142"/>
        <v>0.4364288910886408</v>
      </c>
      <c r="AH874" s="29">
        <f t="shared" ca="1" si="194"/>
        <v>314</v>
      </c>
      <c r="AJ874" s="22">
        <v>45419</v>
      </c>
      <c r="AK874" s="26">
        <f t="shared" ca="1" si="143"/>
        <v>4.4380613138052527E-2</v>
      </c>
      <c r="AL874" s="29">
        <f t="shared" ca="1" si="195"/>
        <v>94</v>
      </c>
      <c r="AN874" s="22">
        <v>45419</v>
      </c>
      <c r="AO874" s="26">
        <f t="shared" ca="1" si="144"/>
        <v>0.23408085876497264</v>
      </c>
      <c r="AP874" s="29">
        <f t="shared" ca="1" si="196"/>
        <v>188</v>
      </c>
      <c r="AR874" s="22">
        <v>45419</v>
      </c>
      <c r="AS874" s="26">
        <f t="shared" ca="1" si="145"/>
        <v>0.64537368312709797</v>
      </c>
      <c r="AT874" s="29">
        <f t="shared" ca="1" si="197"/>
        <v>218</v>
      </c>
      <c r="AV874" s="22">
        <v>45419</v>
      </c>
      <c r="AW874" s="26">
        <f t="shared" ca="1" si="146"/>
        <v>0.63078686764756853</v>
      </c>
      <c r="AX874" s="29">
        <f t="shared" ca="1" si="198"/>
        <v>224</v>
      </c>
      <c r="AZ874" s="22">
        <v>45419</v>
      </c>
      <c r="BA874" s="26">
        <f t="shared" ca="1" si="147"/>
        <v>0.62048496061178759</v>
      </c>
      <c r="BB874" s="29">
        <f t="shared" ca="1" si="199"/>
        <v>253</v>
      </c>
      <c r="BC874"/>
      <c r="BD874" s="25"/>
      <c r="BF874" s="22">
        <v>45419</v>
      </c>
      <c r="BG874" s="26">
        <f t="shared" ca="1" si="148"/>
        <v>0.35163031619887775</v>
      </c>
      <c r="BH874" s="29">
        <f t="shared" ca="1" si="200"/>
        <v>181</v>
      </c>
      <c r="BJ874" s="22">
        <v>45419</v>
      </c>
      <c r="BK874" s="26">
        <f t="shared" ca="1" si="149"/>
        <v>0.20602522939480994</v>
      </c>
      <c r="BL874" s="29">
        <f t="shared" ca="1" si="201"/>
        <v>132</v>
      </c>
      <c r="BN874" s="22">
        <v>45419</v>
      </c>
      <c r="BO874" s="26">
        <f t="shared" ca="1" si="150"/>
        <v>0.29651941041544538</v>
      </c>
      <c r="BP874" s="29">
        <f t="shared" ca="1" si="202"/>
        <v>185</v>
      </c>
      <c r="BR874" s="22">
        <v>45419</v>
      </c>
      <c r="BS874" s="26">
        <f t="shared" ca="1" si="151"/>
        <v>1.4700883210051474E-3</v>
      </c>
      <c r="BT874" s="29">
        <f t="shared" ca="1" si="203"/>
        <v>34</v>
      </c>
      <c r="BV874" s="22">
        <v>45419</v>
      </c>
      <c r="BW874" s="26">
        <f t="shared" ca="1" si="152"/>
        <v>0.9936450775739446</v>
      </c>
      <c r="BX874" s="29">
        <f t="shared" ca="1" si="204"/>
        <v>366</v>
      </c>
    </row>
    <row r="875" spans="2:77" ht="12.75" x14ac:dyDescent="0.2">
      <c r="B875" s="22">
        <v>45420</v>
      </c>
      <c r="C875" s="26">
        <f t="shared" ca="1" si="205"/>
        <v>0.41032601900945365</v>
      </c>
      <c r="D875" s="29">
        <f t="shared" ca="1" si="187"/>
        <v>71</v>
      </c>
      <c r="F875" s="22"/>
      <c r="G875" s="26">
        <f t="shared" ref="G875:G993" ca="1" si="206">RAND()</f>
        <v>0.13624046163249692</v>
      </c>
      <c r="H875" s="29">
        <f t="shared" ca="1" si="188"/>
        <v>200</v>
      </c>
      <c r="J875" s="22">
        <v>45420</v>
      </c>
      <c r="K875" s="26">
        <f t="shared" ref="K875:K993" ca="1" si="207">RAND()</f>
        <v>0.53698477512367859</v>
      </c>
      <c r="L875" s="29">
        <f t="shared" ca="1" si="189"/>
        <v>151</v>
      </c>
      <c r="N875" s="22">
        <v>45420</v>
      </c>
      <c r="O875" s="26">
        <f t="shared" ref="O875:O993" ca="1" si="208">RAND()</f>
        <v>0.64117232227459287</v>
      </c>
      <c r="P875" s="29">
        <f t="shared" ca="1" si="190"/>
        <v>235</v>
      </c>
      <c r="R875" s="22">
        <v>45420</v>
      </c>
      <c r="S875" s="26">
        <f t="shared" ref="S875:S993" ca="1" si="209">RAND()</f>
        <v>0.41849867404291752</v>
      </c>
      <c r="T875" s="29">
        <f t="shared" ca="1" si="191"/>
        <v>137</v>
      </c>
      <c r="V875" s="22">
        <v>45420</v>
      </c>
      <c r="W875" s="26">
        <f t="shared" ref="W875:W993" ca="1" si="210">RAND()</f>
        <v>0.30651975366801321</v>
      </c>
      <c r="X875" s="29">
        <f t="shared" ca="1" si="192"/>
        <v>218</v>
      </c>
      <c r="Z875" s="22">
        <v>45420</v>
      </c>
      <c r="AA875" s="26">
        <f t="shared" ref="AA875:AA993" ca="1" si="211">RAND()</f>
        <v>0.77523611275082305</v>
      </c>
      <c r="AB875" s="29">
        <f t="shared" ca="1" si="193"/>
        <v>284</v>
      </c>
      <c r="AC875"/>
      <c r="AD875" s="25"/>
      <c r="AF875" s="22">
        <v>45420</v>
      </c>
      <c r="AG875" s="26">
        <f t="shared" ref="AG875:AG993" ca="1" si="212">RAND()</f>
        <v>0.33648467664043968</v>
      </c>
      <c r="AH875" s="29">
        <f t="shared" ca="1" si="194"/>
        <v>291</v>
      </c>
      <c r="AJ875" s="22">
        <v>45420</v>
      </c>
      <c r="AK875" s="26">
        <f t="shared" ref="AK875:AK993" ca="1" si="213">RAND()</f>
        <v>0.63036285207963716</v>
      </c>
      <c r="AL875" s="29">
        <f t="shared" ca="1" si="195"/>
        <v>186</v>
      </c>
      <c r="AN875" s="22">
        <v>45420</v>
      </c>
      <c r="AO875" s="26">
        <f t="shared" ref="AO875:AO993" ca="1" si="214">RAND()</f>
        <v>0.35798228496381379</v>
      </c>
      <c r="AP875" s="29">
        <f t="shared" ca="1" si="196"/>
        <v>210</v>
      </c>
      <c r="AR875" s="22">
        <v>45420</v>
      </c>
      <c r="AS875" s="26">
        <f t="shared" ref="AS875:AS993" ca="1" si="215">RAND()</f>
        <v>0.26512339315495304</v>
      </c>
      <c r="AT875" s="29">
        <f t="shared" ca="1" si="197"/>
        <v>165</v>
      </c>
      <c r="AV875" s="22">
        <v>45420</v>
      </c>
      <c r="AW875" s="26">
        <f t="shared" ref="AW875:AW993" ca="1" si="216">RAND()</f>
        <v>0.58039208493384464</v>
      </c>
      <c r="AX875" s="29">
        <f t="shared" ca="1" si="198"/>
        <v>217</v>
      </c>
      <c r="AZ875" s="22">
        <v>45420</v>
      </c>
      <c r="BA875" s="26">
        <f t="shared" ref="BA875:BA993" ca="1" si="217">RAND()</f>
        <v>0.21159877965924123</v>
      </c>
      <c r="BB875" s="29">
        <f t="shared" ca="1" si="199"/>
        <v>184</v>
      </c>
      <c r="BC875"/>
      <c r="BD875" s="25"/>
      <c r="BF875" s="22">
        <v>45420</v>
      </c>
      <c r="BG875" s="26">
        <f t="shared" ref="BG875:BG993" ca="1" si="218">RAND()</f>
        <v>0.45453999846023307</v>
      </c>
      <c r="BH875" s="29">
        <f t="shared" ca="1" si="200"/>
        <v>195</v>
      </c>
      <c r="BJ875" s="22">
        <v>45420</v>
      </c>
      <c r="BK875" s="26">
        <f t="shared" ref="BK875:BK993" ca="1" si="219">RAND()</f>
        <v>0.61298168744071468</v>
      </c>
      <c r="BL875" s="29">
        <f t="shared" ca="1" si="201"/>
        <v>182</v>
      </c>
      <c r="BN875" s="22">
        <v>45420</v>
      </c>
      <c r="BO875" s="26">
        <f t="shared" ref="BO875:BO993" ca="1" si="220">RAND()</f>
        <v>0.53307773729439512</v>
      </c>
      <c r="BP875" s="29">
        <f t="shared" ca="1" si="202"/>
        <v>221</v>
      </c>
      <c r="BR875" s="22">
        <v>45420</v>
      </c>
      <c r="BS875" s="26">
        <f t="shared" ref="BS875:BS993" ca="1" si="221">RAND()</f>
        <v>0.14412237752835422</v>
      </c>
      <c r="BT875" s="29">
        <f t="shared" ca="1" si="203"/>
        <v>116</v>
      </c>
      <c r="BV875" s="22">
        <v>45420</v>
      </c>
      <c r="BW875" s="26">
        <f t="shared" ref="BW875:BW993" ca="1" si="222">RAND()</f>
        <v>0.10134188952074374</v>
      </c>
      <c r="BX875" s="29">
        <f t="shared" ca="1" si="204"/>
        <v>145</v>
      </c>
    </row>
    <row r="876" spans="2:77" ht="12.75" x14ac:dyDescent="0.2">
      <c r="B876" s="22">
        <v>45421</v>
      </c>
      <c r="C876" s="26">
        <f t="shared" ca="1" si="205"/>
        <v>0.13800341217047563</v>
      </c>
      <c r="D876" s="29">
        <f t="shared" ca="1" si="187"/>
        <v>54</v>
      </c>
      <c r="F876" s="22"/>
      <c r="G876" s="26">
        <f t="shared" ca="1" si="206"/>
        <v>1.3748149659129294E-2</v>
      </c>
      <c r="H876" s="29">
        <f t="shared" ca="1" si="188"/>
        <v>184</v>
      </c>
      <c r="J876" s="22">
        <v>45421</v>
      </c>
      <c r="K876" s="26">
        <f t="shared" ca="1" si="207"/>
        <v>0.38946803147131204</v>
      </c>
      <c r="L876" s="29">
        <f t="shared" ca="1" si="189"/>
        <v>148</v>
      </c>
      <c r="N876" s="22">
        <v>45421</v>
      </c>
      <c r="O876" s="26">
        <f t="shared" ca="1" si="208"/>
        <v>0.41438757542551607</v>
      </c>
      <c r="P876" s="29">
        <f t="shared" ca="1" si="190"/>
        <v>227</v>
      </c>
      <c r="R876" s="22">
        <v>45421</v>
      </c>
      <c r="S876" s="26">
        <f t="shared" ca="1" si="209"/>
        <v>0.37186904432853729</v>
      </c>
      <c r="T876" s="29">
        <f t="shared" ca="1" si="191"/>
        <v>136</v>
      </c>
      <c r="V876" s="22">
        <v>45421</v>
      </c>
      <c r="W876" s="26">
        <f t="shared" ca="1" si="210"/>
        <v>0.91436494665409351</v>
      </c>
      <c r="X876" s="29">
        <f t="shared" ca="1" si="192"/>
        <v>246</v>
      </c>
      <c r="Z876" s="22">
        <v>45421</v>
      </c>
      <c r="AA876" s="26">
        <f t="shared" ca="1" si="211"/>
        <v>1.3633492936347413E-2</v>
      </c>
      <c r="AB876" s="29">
        <f t="shared" ca="1" si="193"/>
        <v>231</v>
      </c>
      <c r="AC876"/>
      <c r="AD876" s="25"/>
      <c r="AF876" s="22">
        <v>45421</v>
      </c>
      <c r="AG876" s="26">
        <f t="shared" ca="1" si="212"/>
        <v>0.93326173168327509</v>
      </c>
      <c r="AH876" s="29">
        <f t="shared" ca="1" si="194"/>
        <v>458</v>
      </c>
      <c r="AJ876" s="22">
        <v>45421</v>
      </c>
      <c r="AK876" s="26">
        <f t="shared" ca="1" si="213"/>
        <v>4.3493074276061972E-3</v>
      </c>
      <c r="AL876" s="29">
        <f t="shared" ca="1" si="195"/>
        <v>52</v>
      </c>
      <c r="AN876" s="22">
        <v>45421</v>
      </c>
      <c r="AO876" s="26">
        <f t="shared" ca="1" si="214"/>
        <v>0.62567388747857955</v>
      </c>
      <c r="AP876" s="29">
        <f t="shared" ca="1" si="196"/>
        <v>252</v>
      </c>
      <c r="AR876" s="22">
        <v>45421</v>
      </c>
      <c r="AS876" s="26">
        <f t="shared" ca="1" si="215"/>
        <v>0.64695151858249966</v>
      </c>
      <c r="AT876" s="29">
        <f t="shared" ca="1" si="197"/>
        <v>218</v>
      </c>
      <c r="AV876" s="22">
        <v>45421</v>
      </c>
      <c r="AW876" s="26">
        <f t="shared" ca="1" si="216"/>
        <v>0.2796794689378036</v>
      </c>
      <c r="AX876" s="29">
        <f t="shared" ca="1" si="198"/>
        <v>174</v>
      </c>
      <c r="AZ876" s="22">
        <v>45421</v>
      </c>
      <c r="BA876" s="26">
        <f t="shared" ca="1" si="217"/>
        <v>0.71893828902602963</v>
      </c>
      <c r="BB876" s="29">
        <f t="shared" ca="1" si="199"/>
        <v>270</v>
      </c>
      <c r="BC876"/>
      <c r="BD876" s="25"/>
      <c r="BF876" s="22">
        <v>45421</v>
      </c>
      <c r="BG876" s="26">
        <f t="shared" ca="1" si="218"/>
        <v>0.73064800997999657</v>
      </c>
      <c r="BH876" s="29">
        <f t="shared" ca="1" si="200"/>
        <v>234</v>
      </c>
      <c r="BJ876" s="22">
        <v>45421</v>
      </c>
      <c r="BK876" s="26">
        <f t="shared" ca="1" si="219"/>
        <v>0.56643865464581711</v>
      </c>
      <c r="BL876" s="29">
        <f t="shared" ca="1" si="201"/>
        <v>177</v>
      </c>
      <c r="BN876" s="22">
        <v>45421</v>
      </c>
      <c r="BO876" s="26">
        <f t="shared" ca="1" si="220"/>
        <v>0.26855117138962903</v>
      </c>
      <c r="BP876" s="29">
        <f t="shared" ca="1" si="202"/>
        <v>181</v>
      </c>
      <c r="BR876" s="22">
        <v>45421</v>
      </c>
      <c r="BS876" s="26">
        <f t="shared" ca="1" si="221"/>
        <v>0.36945609888514575</v>
      </c>
      <c r="BT876" s="29">
        <f t="shared" ca="1" si="203"/>
        <v>147</v>
      </c>
      <c r="BV876" s="22">
        <v>45421</v>
      </c>
      <c r="BW876" s="26">
        <f t="shared" ca="1" si="222"/>
        <v>0.89954959577448912</v>
      </c>
      <c r="BX876" s="29">
        <f t="shared" ca="1" si="204"/>
        <v>295</v>
      </c>
    </row>
    <row r="877" spans="2:77" ht="12.75" x14ac:dyDescent="0.2">
      <c r="B877" s="22">
        <v>45422</v>
      </c>
      <c r="C877" s="26">
        <f t="shared" ca="1" si="205"/>
        <v>0.23014445855856946</v>
      </c>
      <c r="D877" s="29">
        <f t="shared" ca="1" si="187"/>
        <v>61</v>
      </c>
      <c r="F877" s="22"/>
      <c r="G877" s="26">
        <f t="shared" ca="1" si="206"/>
        <v>0.28217459189610217</v>
      </c>
      <c r="H877" s="29">
        <f t="shared" ca="1" si="188"/>
        <v>208</v>
      </c>
      <c r="J877" s="22">
        <v>45422</v>
      </c>
      <c r="K877" s="26">
        <f t="shared" ca="1" si="207"/>
        <v>0.88468060107779556</v>
      </c>
      <c r="L877" s="29">
        <f t="shared" ca="1" si="189"/>
        <v>162</v>
      </c>
      <c r="N877" s="22">
        <v>45422</v>
      </c>
      <c r="O877" s="26">
        <f t="shared" ca="1" si="208"/>
        <v>6.7595081287037062E-2</v>
      </c>
      <c r="P877" s="29">
        <f t="shared" ca="1" si="190"/>
        <v>207</v>
      </c>
      <c r="R877" s="22">
        <v>45422</v>
      </c>
      <c r="S877" s="26">
        <f t="shared" ca="1" si="209"/>
        <v>0.39451274147530002</v>
      </c>
      <c r="T877" s="29">
        <f t="shared" ca="1" si="191"/>
        <v>137</v>
      </c>
      <c r="V877" s="22">
        <v>45422</v>
      </c>
      <c r="W877" s="26">
        <f t="shared" ca="1" si="210"/>
        <v>0.97665231347653469</v>
      </c>
      <c r="X877" s="29">
        <f t="shared" ca="1" si="192"/>
        <v>255</v>
      </c>
      <c r="Z877" s="22">
        <v>45422</v>
      </c>
      <c r="AA877" s="26">
        <f t="shared" ca="1" si="211"/>
        <v>0.27051636059317441</v>
      </c>
      <c r="AB877" s="29">
        <f t="shared" ca="1" si="193"/>
        <v>259</v>
      </c>
      <c r="AC877"/>
      <c r="AD877" s="25"/>
      <c r="AF877" s="22">
        <v>45422</v>
      </c>
      <c r="AG877" s="26">
        <f t="shared" ca="1" si="212"/>
        <v>0.74863865890626557</v>
      </c>
      <c r="AH877" s="29">
        <f t="shared" ca="1" si="194"/>
        <v>386</v>
      </c>
      <c r="AJ877" s="22">
        <v>45422</v>
      </c>
      <c r="AK877" s="26">
        <f t="shared" ca="1" si="213"/>
        <v>0.22816525900448381</v>
      </c>
      <c r="AL877" s="29">
        <f t="shared" ca="1" si="195"/>
        <v>137</v>
      </c>
      <c r="AN877" s="22">
        <v>45422</v>
      </c>
      <c r="AO877" s="26">
        <f t="shared" ca="1" si="214"/>
        <v>0.86528217837987864</v>
      </c>
      <c r="AP877" s="29">
        <f t="shared" ca="1" si="196"/>
        <v>301</v>
      </c>
      <c r="AR877" s="22">
        <v>45422</v>
      </c>
      <c r="AS877" s="26">
        <f t="shared" ca="1" si="215"/>
        <v>0.60572870165709058</v>
      </c>
      <c r="AT877" s="29">
        <f t="shared" ca="1" si="197"/>
        <v>213</v>
      </c>
      <c r="AV877" s="22">
        <v>45422</v>
      </c>
      <c r="AW877" s="26">
        <f t="shared" ca="1" si="216"/>
        <v>0.19660664914329029</v>
      </c>
      <c r="AX877" s="29">
        <f t="shared" ca="1" si="198"/>
        <v>159</v>
      </c>
      <c r="AZ877" s="22">
        <v>45422</v>
      </c>
      <c r="BA877" s="26">
        <f t="shared" ca="1" si="217"/>
        <v>0.98554108502921567</v>
      </c>
      <c r="BB877" s="29">
        <f t="shared" ca="1" si="199"/>
        <v>370</v>
      </c>
      <c r="BC877"/>
      <c r="BD877" s="25"/>
      <c r="BF877" s="22">
        <v>45422</v>
      </c>
      <c r="BG877" s="26">
        <f t="shared" ca="1" si="218"/>
        <v>0.39003775240165139</v>
      </c>
      <c r="BH877" s="29">
        <f t="shared" ca="1" si="200"/>
        <v>186</v>
      </c>
      <c r="BJ877" s="22">
        <v>45422</v>
      </c>
      <c r="BK877" s="26">
        <f t="shared" ca="1" si="219"/>
        <v>0.8445095862590245</v>
      </c>
      <c r="BL877" s="29">
        <f t="shared" ca="1" si="201"/>
        <v>215</v>
      </c>
      <c r="BN877" s="22">
        <v>45422</v>
      </c>
      <c r="BO877" s="26">
        <f t="shared" ca="1" si="220"/>
        <v>0.45041446605982449</v>
      </c>
      <c r="BP877" s="29">
        <f t="shared" ca="1" si="202"/>
        <v>209</v>
      </c>
      <c r="BR877" s="22">
        <v>45422</v>
      </c>
      <c r="BS877" s="26">
        <f t="shared" ca="1" si="221"/>
        <v>0.42866122718082822</v>
      </c>
      <c r="BT877" s="29">
        <f t="shared" ca="1" si="203"/>
        <v>153</v>
      </c>
      <c r="BV877" s="22">
        <v>45422</v>
      </c>
      <c r="BW877" s="26">
        <f t="shared" ca="1" si="222"/>
        <v>0.82422453011510521</v>
      </c>
      <c r="BX877" s="29">
        <f t="shared" ca="1" si="204"/>
        <v>274</v>
      </c>
    </row>
    <row r="878" spans="2:77" ht="12.75" x14ac:dyDescent="0.2">
      <c r="B878" s="22">
        <v>45423</v>
      </c>
      <c r="C878" s="26">
        <f t="shared" ca="1" si="205"/>
        <v>0.69908722280685631</v>
      </c>
      <c r="D878" s="29">
        <f t="shared" ca="1" si="187"/>
        <v>86</v>
      </c>
      <c r="F878" s="22"/>
      <c r="G878" s="26">
        <f t="shared" ca="1" si="206"/>
        <v>0.88519502813305895</v>
      </c>
      <c r="H878" s="29">
        <f t="shared" ca="1" si="188"/>
        <v>233</v>
      </c>
      <c r="J878" s="22">
        <v>45423</v>
      </c>
      <c r="K878" s="26">
        <f t="shared" ca="1" si="207"/>
        <v>0.85535388132848922</v>
      </c>
      <c r="L878" s="29">
        <f t="shared" ca="1" si="189"/>
        <v>161</v>
      </c>
      <c r="N878" s="22">
        <v>45423</v>
      </c>
      <c r="O878" s="26">
        <f t="shared" ca="1" si="208"/>
        <v>0.53318670718885108</v>
      </c>
      <c r="P878" s="29">
        <f t="shared" ca="1" si="190"/>
        <v>231</v>
      </c>
      <c r="R878" s="22">
        <v>45423</v>
      </c>
      <c r="S878" s="26">
        <f t="shared" ca="1" si="209"/>
        <v>0.76648588001853568</v>
      </c>
      <c r="T878" s="29">
        <f t="shared" ca="1" si="191"/>
        <v>146</v>
      </c>
      <c r="V878" s="22">
        <v>45423</v>
      </c>
      <c r="W878" s="26">
        <f t="shared" ca="1" si="210"/>
        <v>0.69694907175629439</v>
      </c>
      <c r="X878" s="29">
        <f t="shared" ca="1" si="192"/>
        <v>233</v>
      </c>
      <c r="Z878" s="22">
        <v>45423</v>
      </c>
      <c r="AA878" s="26">
        <f t="shared" ca="1" si="211"/>
        <v>0.52796070042064625</v>
      </c>
      <c r="AB878" s="29">
        <f t="shared" ca="1" si="193"/>
        <v>272</v>
      </c>
      <c r="AC878"/>
      <c r="AD878" s="25"/>
      <c r="AF878" s="22">
        <v>45423</v>
      </c>
      <c r="AG878" s="26">
        <f t="shared" ca="1" si="212"/>
        <v>0.7768415865236955</v>
      </c>
      <c r="AH878" s="29">
        <f t="shared" ca="1" si="194"/>
        <v>394</v>
      </c>
      <c r="AJ878" s="22">
        <v>45423</v>
      </c>
      <c r="AK878" s="26">
        <f t="shared" ca="1" si="213"/>
        <v>0.17890407138235798</v>
      </c>
      <c r="AL878" s="29">
        <f t="shared" ca="1" si="195"/>
        <v>129</v>
      </c>
      <c r="AN878" s="22">
        <v>45423</v>
      </c>
      <c r="AO878" s="26">
        <f t="shared" ca="1" si="214"/>
        <v>0.7107597536191369</v>
      </c>
      <c r="AP878" s="29">
        <f t="shared" ca="1" si="196"/>
        <v>267</v>
      </c>
      <c r="AR878" s="22">
        <v>45423</v>
      </c>
      <c r="AS878" s="26">
        <f t="shared" ca="1" si="215"/>
        <v>3.6549509720475437E-2</v>
      </c>
      <c r="AT878" s="29">
        <f t="shared" ca="1" si="197"/>
        <v>104</v>
      </c>
      <c r="AV878" s="22">
        <v>45423</v>
      </c>
      <c r="AW878" s="26">
        <f t="shared" ca="1" si="216"/>
        <v>0.94502291388128046</v>
      </c>
      <c r="AX878" s="29">
        <f t="shared" ca="1" si="198"/>
        <v>294</v>
      </c>
      <c r="AZ878" s="22">
        <v>45423</v>
      </c>
      <c r="BA878" s="26">
        <f t="shared" ca="1" si="217"/>
        <v>0.246981289259954</v>
      </c>
      <c r="BB878" s="29">
        <f t="shared" ca="1" si="199"/>
        <v>191</v>
      </c>
      <c r="BC878"/>
      <c r="BD878" s="25"/>
      <c r="BF878" s="22">
        <v>45423</v>
      </c>
      <c r="BG878" s="26">
        <f t="shared" ca="1" si="218"/>
        <v>0.92220057367319164</v>
      </c>
      <c r="BH878" s="29">
        <f t="shared" ca="1" si="200"/>
        <v>277</v>
      </c>
      <c r="BJ878" s="22">
        <v>45423</v>
      </c>
      <c r="BK878" s="26">
        <f t="shared" ca="1" si="219"/>
        <v>0.569347555837454</v>
      </c>
      <c r="BL878" s="29">
        <f t="shared" ca="1" si="201"/>
        <v>177</v>
      </c>
      <c r="BN878" s="22">
        <v>45423</v>
      </c>
      <c r="BO878" s="26">
        <f t="shared" ca="1" si="220"/>
        <v>0.42570838994914539</v>
      </c>
      <c r="BP878" s="29">
        <f t="shared" ca="1" si="202"/>
        <v>205</v>
      </c>
      <c r="BR878" s="22">
        <v>45423</v>
      </c>
      <c r="BS878" s="26">
        <f t="shared" ca="1" si="221"/>
        <v>0.37961845508654823</v>
      </c>
      <c r="BT878" s="29">
        <f t="shared" ca="1" si="203"/>
        <v>148</v>
      </c>
      <c r="BV878" s="22">
        <v>45423</v>
      </c>
      <c r="BW878" s="26">
        <f t="shared" ca="1" si="222"/>
        <v>0.93113640544606491</v>
      </c>
      <c r="BX878" s="29">
        <f t="shared" ca="1" si="204"/>
        <v>307</v>
      </c>
    </row>
    <row r="879" spans="2:77" ht="12.75" x14ac:dyDescent="0.2">
      <c r="B879" s="22">
        <v>45424</v>
      </c>
      <c r="C879" s="26">
        <f t="shared" ca="1" si="205"/>
        <v>0.92629241029063836</v>
      </c>
      <c r="D879" s="29">
        <f t="shared" ca="1" si="187"/>
        <v>104</v>
      </c>
      <c r="F879" s="22"/>
      <c r="G879" s="26">
        <f t="shared" ca="1" si="206"/>
        <v>0.85018936056391081</v>
      </c>
      <c r="H879" s="29">
        <f t="shared" ca="1" si="188"/>
        <v>231</v>
      </c>
      <c r="J879" s="22">
        <v>45424</v>
      </c>
      <c r="K879" s="26">
        <f t="shared" ca="1" si="207"/>
        <v>0.17674328785204207</v>
      </c>
      <c r="L879" s="29">
        <f t="shared" ca="1" si="189"/>
        <v>141</v>
      </c>
      <c r="N879" s="22">
        <v>45424</v>
      </c>
      <c r="O879" s="26">
        <f t="shared" ca="1" si="208"/>
        <v>0.21912358017277034</v>
      </c>
      <c r="P879" s="29">
        <f t="shared" ca="1" si="190"/>
        <v>218</v>
      </c>
      <c r="R879" s="22">
        <v>45424</v>
      </c>
      <c r="S879" s="26">
        <f t="shared" ca="1" si="209"/>
        <v>0.7766755590028217</v>
      </c>
      <c r="T879" s="29">
        <f t="shared" ca="1" si="191"/>
        <v>146</v>
      </c>
      <c r="V879" s="22">
        <v>45424</v>
      </c>
      <c r="W879" s="26">
        <f t="shared" ca="1" si="210"/>
        <v>0.53680784006286164</v>
      </c>
      <c r="X879" s="29">
        <f t="shared" ca="1" si="192"/>
        <v>227</v>
      </c>
      <c r="Z879" s="22">
        <v>45424</v>
      </c>
      <c r="AA879" s="26">
        <f t="shared" ca="1" si="211"/>
        <v>2.6184470756507094E-2</v>
      </c>
      <c r="AB879" s="29">
        <f t="shared" ca="1" si="193"/>
        <v>236</v>
      </c>
      <c r="AC879"/>
      <c r="AD879" s="25"/>
      <c r="AF879" s="22">
        <v>45424</v>
      </c>
      <c r="AG879" s="26">
        <f t="shared" ca="1" si="212"/>
        <v>0.71266404459933663</v>
      </c>
      <c r="AH879" s="29">
        <f t="shared" ca="1" si="194"/>
        <v>376</v>
      </c>
      <c r="AJ879" s="22">
        <v>45424</v>
      </c>
      <c r="AK879" s="26">
        <f t="shared" ca="1" si="213"/>
        <v>0.93021200225274869</v>
      </c>
      <c r="AL879" s="29">
        <f t="shared" ca="1" si="195"/>
        <v>238</v>
      </c>
      <c r="AN879" s="22">
        <v>45424</v>
      </c>
      <c r="AO879" s="26">
        <f t="shared" ca="1" si="214"/>
        <v>0.91984388140158491</v>
      </c>
      <c r="AP879" s="29">
        <f t="shared" ca="1" si="196"/>
        <v>319</v>
      </c>
      <c r="AR879" s="22">
        <v>45424</v>
      </c>
      <c r="AS879" s="26">
        <f t="shared" ca="1" si="215"/>
        <v>0.43734955694865585</v>
      </c>
      <c r="AT879" s="29">
        <f t="shared" ca="1" si="197"/>
        <v>190</v>
      </c>
      <c r="AV879" s="22">
        <v>45424</v>
      </c>
      <c r="AW879" s="26">
        <f t="shared" ca="1" si="216"/>
        <v>0.39210583355016015</v>
      </c>
      <c r="AX879" s="29">
        <f t="shared" ca="1" si="198"/>
        <v>191</v>
      </c>
      <c r="AZ879" s="22">
        <v>45424</v>
      </c>
      <c r="BA879" s="26">
        <f t="shared" ca="1" si="217"/>
        <v>0.30909778091058926</v>
      </c>
      <c r="BB879" s="29">
        <f t="shared" ca="1" si="199"/>
        <v>203</v>
      </c>
      <c r="BC879"/>
      <c r="BD879" s="25"/>
      <c r="BF879" s="22">
        <v>45424</v>
      </c>
      <c r="BG879" s="26">
        <f t="shared" ca="1" si="218"/>
        <v>0.22176768997403573</v>
      </c>
      <c r="BH879" s="29">
        <f t="shared" ca="1" si="200"/>
        <v>160</v>
      </c>
      <c r="BJ879" s="22">
        <v>45424</v>
      </c>
      <c r="BK879" s="26">
        <f t="shared" ca="1" si="219"/>
        <v>0.65841591577039293</v>
      </c>
      <c r="BL879" s="29">
        <f t="shared" ca="1" si="201"/>
        <v>187</v>
      </c>
      <c r="BN879" s="22">
        <v>45424</v>
      </c>
      <c r="BO879" s="26">
        <f t="shared" ca="1" si="220"/>
        <v>0.22517708074779941</v>
      </c>
      <c r="BP879" s="29">
        <f t="shared" ca="1" si="202"/>
        <v>173</v>
      </c>
      <c r="BR879" s="22">
        <v>45424</v>
      </c>
      <c r="BS879" s="26">
        <f t="shared" ca="1" si="221"/>
        <v>0.53240741640624689</v>
      </c>
      <c r="BT879" s="29">
        <f t="shared" ca="1" si="203"/>
        <v>165</v>
      </c>
      <c r="BV879" s="22">
        <v>45424</v>
      </c>
      <c r="BW879" s="26">
        <f t="shared" ca="1" si="222"/>
        <v>0.29571209668557907</v>
      </c>
      <c r="BX879" s="29">
        <f t="shared" ca="1" si="204"/>
        <v>188</v>
      </c>
    </row>
    <row r="880" spans="2:77" ht="12.75" x14ac:dyDescent="0.2">
      <c r="B880" s="22">
        <v>45425</v>
      </c>
      <c r="C880" s="26">
        <f t="shared" ca="1" si="205"/>
        <v>0.88334288414179618</v>
      </c>
      <c r="D880" s="29">
        <f t="shared" ca="1" si="187"/>
        <v>99</v>
      </c>
      <c r="F880" s="22"/>
      <c r="G880" s="26">
        <f t="shared" ca="1" si="206"/>
        <v>0.47504468841640701</v>
      </c>
      <c r="H880" s="29">
        <f t="shared" ca="1" si="188"/>
        <v>215</v>
      </c>
      <c r="J880" s="22">
        <v>45425</v>
      </c>
      <c r="K880" s="26">
        <f t="shared" ca="1" si="207"/>
        <v>9.8282912811810119E-3</v>
      </c>
      <c r="L880" s="29">
        <f t="shared" ca="1" si="189"/>
        <v>127</v>
      </c>
      <c r="N880" s="22">
        <v>45425</v>
      </c>
      <c r="O880" s="26">
        <f t="shared" ca="1" si="208"/>
        <v>0.60325877753322232</v>
      </c>
      <c r="P880" s="29">
        <f t="shared" ca="1" si="190"/>
        <v>234</v>
      </c>
      <c r="R880" s="22">
        <v>45425</v>
      </c>
      <c r="S880" s="26">
        <f t="shared" ca="1" si="209"/>
        <v>0.73933456301333411</v>
      </c>
      <c r="T880" s="29">
        <f t="shared" ca="1" si="191"/>
        <v>145</v>
      </c>
      <c r="V880" s="22">
        <v>45425</v>
      </c>
      <c r="W880" s="26">
        <f t="shared" ca="1" si="210"/>
        <v>0.35210166440111745</v>
      </c>
      <c r="X880" s="29">
        <f t="shared" ca="1" si="192"/>
        <v>220</v>
      </c>
      <c r="Z880" s="22">
        <v>45425</v>
      </c>
      <c r="AA880" s="26">
        <f t="shared" ca="1" si="211"/>
        <v>0.85786954080328937</v>
      </c>
      <c r="AB880" s="29">
        <f t="shared" ca="1" si="193"/>
        <v>290</v>
      </c>
      <c r="AC880"/>
      <c r="AD880" s="25"/>
      <c r="AF880" s="22">
        <v>45425</v>
      </c>
      <c r="AG880" s="26">
        <f t="shared" ca="1" si="212"/>
        <v>0.3719605403981302</v>
      </c>
      <c r="AH880" s="29">
        <f t="shared" ca="1" si="194"/>
        <v>299</v>
      </c>
      <c r="AJ880" s="22">
        <v>45425</v>
      </c>
      <c r="AK880" s="26">
        <f t="shared" ca="1" si="213"/>
        <v>0.14494784413105899</v>
      </c>
      <c r="AL880" s="29">
        <f t="shared" ca="1" si="195"/>
        <v>123</v>
      </c>
      <c r="AN880" s="22">
        <v>45425</v>
      </c>
      <c r="AO880" s="26">
        <f t="shared" ca="1" si="214"/>
        <v>0.56663832305412576</v>
      </c>
      <c r="AP880" s="29">
        <f t="shared" ca="1" si="196"/>
        <v>243</v>
      </c>
      <c r="AR880" s="22">
        <v>45425</v>
      </c>
      <c r="AS880" s="26">
        <f t="shared" ca="1" si="215"/>
        <v>9.6658066490276306E-2</v>
      </c>
      <c r="AT880" s="29">
        <f t="shared" ca="1" si="197"/>
        <v>130</v>
      </c>
      <c r="AV880" s="22">
        <v>45425</v>
      </c>
      <c r="AW880" s="26">
        <f t="shared" ca="1" si="216"/>
        <v>0.83295167886743482</v>
      </c>
      <c r="AX880" s="29">
        <f t="shared" ca="1" si="198"/>
        <v>259</v>
      </c>
      <c r="AZ880" s="22">
        <v>45425</v>
      </c>
      <c r="BA880" s="26">
        <f t="shared" ca="1" si="217"/>
        <v>0.33160895937692558</v>
      </c>
      <c r="BB880" s="29">
        <f t="shared" ca="1" si="199"/>
        <v>207</v>
      </c>
      <c r="BC880"/>
      <c r="BD880" s="25"/>
      <c r="BF880" s="22">
        <v>45425</v>
      </c>
      <c r="BG880" s="26">
        <f t="shared" ca="1" si="218"/>
        <v>0.25713200220835364</v>
      </c>
      <c r="BH880" s="29">
        <f t="shared" ca="1" si="200"/>
        <v>166</v>
      </c>
      <c r="BJ880" s="22">
        <v>45425</v>
      </c>
      <c r="BK880" s="26">
        <f t="shared" ca="1" si="219"/>
        <v>0.81798541626313725</v>
      </c>
      <c r="BL880" s="29">
        <f t="shared" ca="1" si="201"/>
        <v>210</v>
      </c>
      <c r="BN880" s="22">
        <v>45425</v>
      </c>
      <c r="BO880" s="26">
        <f t="shared" ca="1" si="220"/>
        <v>0.70748581304659697</v>
      </c>
      <c r="BP880" s="29">
        <f t="shared" ca="1" si="202"/>
        <v>248</v>
      </c>
      <c r="BR880" s="22">
        <v>45425</v>
      </c>
      <c r="BS880" s="26">
        <f t="shared" ca="1" si="221"/>
        <v>0.92594219624300889</v>
      </c>
      <c r="BT880" s="29">
        <f t="shared" ca="1" si="203"/>
        <v>223</v>
      </c>
      <c r="BV880" s="22">
        <v>45425</v>
      </c>
      <c r="BW880" s="26">
        <f t="shared" ca="1" si="222"/>
        <v>0.36326415886770613</v>
      </c>
      <c r="BX880" s="29">
        <f t="shared" ca="1" si="204"/>
        <v>199</v>
      </c>
    </row>
    <row r="881" spans="2:76" ht="12.75" x14ac:dyDescent="0.2">
      <c r="B881" s="22">
        <v>45426</v>
      </c>
      <c r="C881" s="26">
        <f t="shared" ca="1" si="205"/>
        <v>0.14769276485450822</v>
      </c>
      <c r="D881" s="29">
        <f t="shared" ca="1" si="187"/>
        <v>55</v>
      </c>
      <c r="F881" s="22"/>
      <c r="G881" s="26">
        <f t="shared" ca="1" si="206"/>
        <v>0.56964218960845237</v>
      </c>
      <c r="H881" s="29">
        <f t="shared" ca="1" si="188"/>
        <v>218</v>
      </c>
      <c r="J881" s="22">
        <v>45426</v>
      </c>
      <c r="K881" s="26">
        <f t="shared" ca="1" si="207"/>
        <v>0.98050494636539476</v>
      </c>
      <c r="L881" s="29">
        <f t="shared" ca="1" si="189"/>
        <v>171</v>
      </c>
      <c r="N881" s="22">
        <v>45426</v>
      </c>
      <c r="O881" s="26">
        <f t="shared" ca="1" si="208"/>
        <v>5.808289071054662E-2</v>
      </c>
      <c r="P881" s="29">
        <f t="shared" ca="1" si="190"/>
        <v>206</v>
      </c>
      <c r="R881" s="22">
        <v>45426</v>
      </c>
      <c r="S881" s="26">
        <f t="shared" ca="1" si="209"/>
        <v>0.89550480980911795</v>
      </c>
      <c r="T881" s="29">
        <f t="shared" ca="1" si="191"/>
        <v>151</v>
      </c>
      <c r="V881" s="22">
        <v>45426</v>
      </c>
      <c r="W881" s="26">
        <f t="shared" ca="1" si="210"/>
        <v>0.9492679798804684</v>
      </c>
      <c r="X881" s="29">
        <f t="shared" ca="1" si="192"/>
        <v>250</v>
      </c>
      <c r="Z881" s="22">
        <v>45426</v>
      </c>
      <c r="AA881" s="26">
        <f t="shared" ca="1" si="211"/>
        <v>0.3557105016232649</v>
      </c>
      <c r="AB881" s="29">
        <f t="shared" ca="1" si="193"/>
        <v>264</v>
      </c>
      <c r="AC881"/>
      <c r="AD881" s="25"/>
      <c r="AF881" s="22">
        <v>45426</v>
      </c>
      <c r="AG881" s="26">
        <f t="shared" ca="1" si="212"/>
        <v>1.7214245484486135E-2</v>
      </c>
      <c r="AH881" s="29">
        <f t="shared" ca="1" si="194"/>
        <v>143</v>
      </c>
      <c r="AJ881" s="22">
        <v>45426</v>
      </c>
      <c r="AK881" s="26">
        <f t="shared" ca="1" si="213"/>
        <v>0.77481615996971653</v>
      </c>
      <c r="AL881" s="29">
        <f t="shared" ca="1" si="195"/>
        <v>205</v>
      </c>
      <c r="AN881" s="22">
        <v>45426</v>
      </c>
      <c r="AO881" s="26">
        <f t="shared" ca="1" si="214"/>
        <v>0.78362555259558953</v>
      </c>
      <c r="AP881" s="29">
        <f t="shared" ca="1" si="196"/>
        <v>281</v>
      </c>
      <c r="AR881" s="22">
        <v>45426</v>
      </c>
      <c r="AS881" s="26">
        <f t="shared" ca="1" si="215"/>
        <v>1.6239703803023198E-2</v>
      </c>
      <c r="AT881" s="29">
        <f t="shared" ca="1" si="197"/>
        <v>86</v>
      </c>
      <c r="AV881" s="22">
        <v>45426</v>
      </c>
      <c r="AW881" s="26">
        <f t="shared" ca="1" si="216"/>
        <v>6.0337002603491618E-2</v>
      </c>
      <c r="AX881" s="29">
        <f t="shared" ca="1" si="198"/>
        <v>121</v>
      </c>
      <c r="AZ881" s="22">
        <v>45426</v>
      </c>
      <c r="BA881" s="26">
        <f t="shared" ca="1" si="217"/>
        <v>0.94859437840846328</v>
      </c>
      <c r="BB881" s="29">
        <f t="shared" ca="1" si="199"/>
        <v>336</v>
      </c>
      <c r="BC881"/>
      <c r="BD881" s="25"/>
      <c r="BF881" s="22">
        <v>45426</v>
      </c>
      <c r="BG881" s="26">
        <f t="shared" ca="1" si="218"/>
        <v>0.30414569450394913</v>
      </c>
      <c r="BH881" s="29">
        <f t="shared" ca="1" si="200"/>
        <v>174</v>
      </c>
      <c r="BJ881" s="22">
        <v>45426</v>
      </c>
      <c r="BK881" s="26">
        <f t="shared" ca="1" si="219"/>
        <v>0.24107775107458784</v>
      </c>
      <c r="BL881" s="29">
        <f t="shared" ca="1" si="201"/>
        <v>138</v>
      </c>
      <c r="BN881" s="22">
        <v>45426</v>
      </c>
      <c r="BO881" s="26">
        <f t="shared" ca="1" si="220"/>
        <v>0.30364829562803486</v>
      </c>
      <c r="BP881" s="29">
        <f t="shared" ca="1" si="202"/>
        <v>187</v>
      </c>
      <c r="BR881" s="22">
        <v>45426</v>
      </c>
      <c r="BS881" s="26">
        <f t="shared" ca="1" si="221"/>
        <v>0.98124735443376909</v>
      </c>
      <c r="BT881" s="29">
        <f t="shared" ca="1" si="203"/>
        <v>250</v>
      </c>
      <c r="BV881" s="22">
        <v>45426</v>
      </c>
      <c r="BW881" s="26">
        <f t="shared" ca="1" si="222"/>
        <v>0.44270367870864868</v>
      </c>
      <c r="BX881" s="29">
        <f t="shared" ca="1" si="204"/>
        <v>211</v>
      </c>
    </row>
    <row r="882" spans="2:76" ht="12.75" x14ac:dyDescent="0.2">
      <c r="B882" s="22">
        <v>45427</v>
      </c>
      <c r="C882" s="26">
        <f t="shared" ca="1" si="205"/>
        <v>0.76367282641055845</v>
      </c>
      <c r="D882" s="29">
        <f t="shared" ca="1" si="187"/>
        <v>90</v>
      </c>
      <c r="F882" s="22"/>
      <c r="G882" s="26">
        <f t="shared" ca="1" si="206"/>
        <v>0.19789106167523873</v>
      </c>
      <c r="H882" s="29">
        <f t="shared" ca="1" si="188"/>
        <v>204</v>
      </c>
      <c r="J882" s="22">
        <v>45427</v>
      </c>
      <c r="K882" s="26">
        <f t="shared" ca="1" si="207"/>
        <v>0.40349530734973149</v>
      </c>
      <c r="L882" s="29">
        <f t="shared" ca="1" si="189"/>
        <v>148</v>
      </c>
      <c r="N882" s="22">
        <v>45427</v>
      </c>
      <c r="O882" s="26">
        <f t="shared" ca="1" si="208"/>
        <v>0.10871489128584311</v>
      </c>
      <c r="P882" s="29">
        <f t="shared" ca="1" si="190"/>
        <v>211</v>
      </c>
      <c r="R882" s="22">
        <v>45427</v>
      </c>
      <c r="S882" s="26">
        <f t="shared" ca="1" si="209"/>
        <v>0.49497900813228113</v>
      </c>
      <c r="T882" s="29">
        <f t="shared" ca="1" si="191"/>
        <v>139</v>
      </c>
      <c r="V882" s="22">
        <v>45427</v>
      </c>
      <c r="W882" s="26">
        <f t="shared" ca="1" si="210"/>
        <v>0.47662246570373901</v>
      </c>
      <c r="X882" s="29">
        <f t="shared" ca="1" si="192"/>
        <v>225</v>
      </c>
      <c r="Z882" s="22">
        <v>45427</v>
      </c>
      <c r="AA882" s="26">
        <f t="shared" ca="1" si="211"/>
        <v>0.50552383991489358</v>
      </c>
      <c r="AB882" s="29">
        <f t="shared" ca="1" si="193"/>
        <v>271</v>
      </c>
      <c r="AC882"/>
      <c r="AD882" s="25"/>
      <c r="AF882" s="22">
        <v>45427</v>
      </c>
      <c r="AG882" s="26">
        <f t="shared" ca="1" si="212"/>
        <v>0.34290320105145866</v>
      </c>
      <c r="AH882" s="29">
        <f t="shared" ca="1" si="194"/>
        <v>292</v>
      </c>
      <c r="AJ882" s="22">
        <v>45427</v>
      </c>
      <c r="AK882" s="26">
        <f t="shared" ca="1" si="213"/>
        <v>0.72441001255897386</v>
      </c>
      <c r="AL882" s="29">
        <f t="shared" ca="1" si="195"/>
        <v>198</v>
      </c>
      <c r="AN882" s="22">
        <v>45427</v>
      </c>
      <c r="AO882" s="26">
        <f t="shared" ca="1" si="214"/>
        <v>9.6957875283815942E-2</v>
      </c>
      <c r="AP882" s="29">
        <f t="shared" ca="1" si="196"/>
        <v>152</v>
      </c>
      <c r="AR882" s="22">
        <v>45427</v>
      </c>
      <c r="AS882" s="26">
        <f t="shared" ca="1" si="215"/>
        <v>0.88960976074627574</v>
      </c>
      <c r="AT882" s="29">
        <f t="shared" ca="1" si="197"/>
        <v>263</v>
      </c>
      <c r="AV882" s="22">
        <v>45427</v>
      </c>
      <c r="AW882" s="26">
        <f t="shared" ca="1" si="216"/>
        <v>0.48292467472313794</v>
      </c>
      <c r="AX882" s="29">
        <f t="shared" ca="1" si="198"/>
        <v>204</v>
      </c>
      <c r="AZ882" s="22">
        <v>45427</v>
      </c>
      <c r="BA882" s="26">
        <f t="shared" ca="1" si="217"/>
        <v>0.17622156022959468</v>
      </c>
      <c r="BB882" s="29">
        <f t="shared" ca="1" si="199"/>
        <v>176</v>
      </c>
      <c r="BC882"/>
      <c r="BD882" s="25"/>
      <c r="BF882" s="22">
        <v>45427</v>
      </c>
      <c r="BG882" s="26">
        <f t="shared" ca="1" si="218"/>
        <v>0.67316671267970429</v>
      </c>
      <c r="BH882" s="29">
        <f t="shared" ca="1" si="200"/>
        <v>225</v>
      </c>
      <c r="BJ882" s="22">
        <v>45427</v>
      </c>
      <c r="BK882" s="26">
        <f t="shared" ca="1" si="219"/>
        <v>0.20026345855481298</v>
      </c>
      <c r="BL882" s="29">
        <f t="shared" ca="1" si="201"/>
        <v>131</v>
      </c>
      <c r="BN882" s="22">
        <v>45427</v>
      </c>
      <c r="BO882" s="26">
        <f t="shared" ca="1" si="220"/>
        <v>0.83558332549016956</v>
      </c>
      <c r="BP882" s="29">
        <f t="shared" ca="1" si="202"/>
        <v>272</v>
      </c>
      <c r="BR882" s="22">
        <v>45427</v>
      </c>
      <c r="BS882" s="26">
        <f t="shared" ca="1" si="221"/>
        <v>0.6396900806482988</v>
      </c>
      <c r="BT882" s="29">
        <f t="shared" ca="1" si="203"/>
        <v>176</v>
      </c>
      <c r="BV882" s="22">
        <v>45427</v>
      </c>
      <c r="BW882" s="26">
        <f t="shared" ca="1" si="222"/>
        <v>0.69404825794670344</v>
      </c>
      <c r="BX882" s="29">
        <f t="shared" ca="1" si="204"/>
        <v>249</v>
      </c>
    </row>
    <row r="883" spans="2:76" ht="12.75" x14ac:dyDescent="0.2">
      <c r="B883" s="22">
        <v>45428</v>
      </c>
      <c r="C883" s="26">
        <f t="shared" ca="1" si="205"/>
        <v>0.49331297191653201</v>
      </c>
      <c r="D883" s="29">
        <f t="shared" ca="1" si="187"/>
        <v>75</v>
      </c>
      <c r="F883" s="22"/>
      <c r="G883" s="26">
        <f t="shared" ca="1" si="206"/>
        <v>0.24844907924293669</v>
      </c>
      <c r="H883" s="29">
        <f t="shared" ca="1" si="188"/>
        <v>206</v>
      </c>
      <c r="J883" s="22">
        <v>45428</v>
      </c>
      <c r="K883" s="26">
        <f t="shared" ca="1" si="207"/>
        <v>0.29206403928431535</v>
      </c>
      <c r="L883" s="29">
        <f t="shared" ca="1" si="189"/>
        <v>145</v>
      </c>
      <c r="N883" s="22">
        <v>45428</v>
      </c>
      <c r="O883" s="26">
        <f t="shared" ca="1" si="208"/>
        <v>0.82601256217374286</v>
      </c>
      <c r="P883" s="29">
        <f t="shared" ca="1" si="190"/>
        <v>244</v>
      </c>
      <c r="R883" s="22">
        <v>45428</v>
      </c>
      <c r="S883" s="26">
        <f t="shared" ca="1" si="209"/>
        <v>0.81026514746573441</v>
      </c>
      <c r="T883" s="29">
        <f t="shared" ca="1" si="191"/>
        <v>147</v>
      </c>
      <c r="V883" s="22">
        <v>45428</v>
      </c>
      <c r="W883" s="26">
        <f t="shared" ca="1" si="210"/>
        <v>5.5602738931898044E-3</v>
      </c>
      <c r="X883" s="29">
        <f t="shared" ca="1" si="192"/>
        <v>187</v>
      </c>
      <c r="Z883" s="22">
        <v>45428</v>
      </c>
      <c r="AA883" s="26">
        <f t="shared" ca="1" si="211"/>
        <v>0.43616063217679502</v>
      </c>
      <c r="AB883" s="29">
        <f t="shared" ca="1" si="193"/>
        <v>268</v>
      </c>
      <c r="AC883"/>
      <c r="AD883" s="25"/>
      <c r="AF883" s="22">
        <v>45428</v>
      </c>
      <c r="AG883" s="26">
        <f t="shared" ca="1" si="212"/>
        <v>0.18376155246533155</v>
      </c>
      <c r="AH883" s="29">
        <f t="shared" ca="1" si="194"/>
        <v>249</v>
      </c>
      <c r="AJ883" s="22">
        <v>45428</v>
      </c>
      <c r="AK883" s="26">
        <f t="shared" ca="1" si="213"/>
        <v>0.47330376220434422</v>
      </c>
      <c r="AL883" s="29">
        <f t="shared" ca="1" si="195"/>
        <v>168</v>
      </c>
      <c r="AN883" s="22">
        <v>45428</v>
      </c>
      <c r="AO883" s="26">
        <f t="shared" ca="1" si="214"/>
        <v>0.40043899792858917</v>
      </c>
      <c r="AP883" s="29">
        <f t="shared" ca="1" si="196"/>
        <v>217</v>
      </c>
      <c r="AR883" s="22">
        <v>45428</v>
      </c>
      <c r="AS883" s="26">
        <f t="shared" ca="1" si="215"/>
        <v>0.11783828267785357</v>
      </c>
      <c r="AT883" s="29">
        <f t="shared" ca="1" si="197"/>
        <v>136</v>
      </c>
      <c r="AV883" s="22">
        <v>45428</v>
      </c>
      <c r="AW883" s="26">
        <f t="shared" ca="1" si="216"/>
        <v>0.32273605662132898</v>
      </c>
      <c r="AX883" s="29">
        <f t="shared" ca="1" si="198"/>
        <v>181</v>
      </c>
      <c r="AZ883" s="22">
        <v>45428</v>
      </c>
      <c r="BA883" s="26">
        <f t="shared" ca="1" si="217"/>
        <v>0.21229098791765422</v>
      </c>
      <c r="BB883" s="29">
        <f t="shared" ca="1" si="199"/>
        <v>184</v>
      </c>
      <c r="BC883"/>
      <c r="BD883" s="25"/>
      <c r="BF883" s="22">
        <v>45428</v>
      </c>
      <c r="BG883" s="26">
        <f t="shared" ca="1" si="218"/>
        <v>0.49320725607979932</v>
      </c>
      <c r="BH883" s="29">
        <f t="shared" ca="1" si="200"/>
        <v>200</v>
      </c>
      <c r="BJ883" s="22">
        <v>45428</v>
      </c>
      <c r="BK883" s="26">
        <f t="shared" ca="1" si="219"/>
        <v>0.5839930143885641</v>
      </c>
      <c r="BL883" s="29">
        <f t="shared" ca="1" si="201"/>
        <v>179</v>
      </c>
      <c r="BN883" s="22">
        <v>45428</v>
      </c>
      <c r="BO883" s="26">
        <f t="shared" ca="1" si="220"/>
        <v>0.64919833816938088</v>
      </c>
      <c r="BP883" s="29">
        <f t="shared" ca="1" si="202"/>
        <v>238</v>
      </c>
      <c r="BR883" s="22">
        <v>45428</v>
      </c>
      <c r="BS883" s="26">
        <f t="shared" ca="1" si="221"/>
        <v>0.36214111364608814</v>
      </c>
      <c r="BT883" s="29">
        <f t="shared" ca="1" si="203"/>
        <v>146</v>
      </c>
      <c r="BV883" s="22">
        <v>45428</v>
      </c>
      <c r="BW883" s="26">
        <f t="shared" ca="1" si="222"/>
        <v>0.74535296486469937</v>
      </c>
      <c r="BX883" s="29">
        <f t="shared" ca="1" si="204"/>
        <v>258</v>
      </c>
    </row>
    <row r="884" spans="2:76" ht="12.75" x14ac:dyDescent="0.2">
      <c r="B884" s="22">
        <v>45429</v>
      </c>
      <c r="C884" s="26">
        <f t="shared" ca="1" si="205"/>
        <v>0.26239513365079081</v>
      </c>
      <c r="D884" s="29">
        <f t="shared" ca="1" si="187"/>
        <v>63</v>
      </c>
      <c r="F884" s="22"/>
      <c r="G884" s="26">
        <f t="shared" ca="1" si="206"/>
        <v>0.71595981480930471</v>
      </c>
      <c r="H884" s="29">
        <f t="shared" ca="1" si="188"/>
        <v>224</v>
      </c>
      <c r="J884" s="22">
        <v>45429</v>
      </c>
      <c r="K884" s="26">
        <f t="shared" ca="1" si="207"/>
        <v>0.40581540803062932</v>
      </c>
      <c r="L884" s="29">
        <f t="shared" ca="1" si="189"/>
        <v>148</v>
      </c>
      <c r="N884" s="22">
        <v>45429</v>
      </c>
      <c r="O884" s="26">
        <f t="shared" ca="1" si="208"/>
        <v>0.79472713475876178</v>
      </c>
      <c r="P884" s="29">
        <f t="shared" ca="1" si="190"/>
        <v>242</v>
      </c>
      <c r="R884" s="22">
        <v>45429</v>
      </c>
      <c r="S884" s="26">
        <f t="shared" ca="1" si="209"/>
        <v>0.65000577351060917</v>
      </c>
      <c r="T884" s="29">
        <f t="shared" ca="1" si="191"/>
        <v>143</v>
      </c>
      <c r="V884" s="22">
        <v>45429</v>
      </c>
      <c r="W884" s="26">
        <f t="shared" ca="1" si="210"/>
        <v>0.60514044643831655</v>
      </c>
      <c r="X884" s="29">
        <f t="shared" ca="1" si="192"/>
        <v>230</v>
      </c>
      <c r="Z884" s="22">
        <v>45429</v>
      </c>
      <c r="AA884" s="26">
        <f t="shared" ca="1" si="211"/>
        <v>0.136802012098864</v>
      </c>
      <c r="AB884" s="29">
        <f t="shared" ca="1" si="193"/>
        <v>251</v>
      </c>
      <c r="AC884"/>
      <c r="AD884" s="25"/>
      <c r="AF884" s="22">
        <v>45429</v>
      </c>
      <c r="AG884" s="26">
        <f t="shared" ca="1" si="212"/>
        <v>0.76556004204971162</v>
      </c>
      <c r="AH884" s="29">
        <f t="shared" ca="1" si="194"/>
        <v>391</v>
      </c>
      <c r="AJ884" s="22">
        <v>45429</v>
      </c>
      <c r="AK884" s="26">
        <f t="shared" ca="1" si="213"/>
        <v>0.54439917094688783</v>
      </c>
      <c r="AL884" s="29">
        <f t="shared" ca="1" si="195"/>
        <v>176</v>
      </c>
      <c r="AN884" s="22">
        <v>45429</v>
      </c>
      <c r="AO884" s="26">
        <f t="shared" ca="1" si="214"/>
        <v>0.85924252127193324</v>
      </c>
      <c r="AP884" s="29">
        <f t="shared" ca="1" si="196"/>
        <v>299</v>
      </c>
      <c r="AR884" s="22">
        <v>45429</v>
      </c>
      <c r="AS884" s="26">
        <f t="shared" ca="1" si="215"/>
        <v>7.1960270348615074E-2</v>
      </c>
      <c r="AT884" s="29">
        <f t="shared" ca="1" si="197"/>
        <v>121</v>
      </c>
      <c r="AV884" s="22">
        <v>45429</v>
      </c>
      <c r="AW884" s="26">
        <f t="shared" ca="1" si="216"/>
        <v>1.9343375762902237E-2</v>
      </c>
      <c r="AX884" s="29">
        <f t="shared" ca="1" si="198"/>
        <v>93</v>
      </c>
      <c r="AZ884" s="22">
        <v>45429</v>
      </c>
      <c r="BA884" s="26">
        <f t="shared" ca="1" si="217"/>
        <v>0.25811953936660581</v>
      </c>
      <c r="BB884" s="29">
        <f t="shared" ca="1" si="199"/>
        <v>194</v>
      </c>
      <c r="BC884"/>
      <c r="BD884" s="25"/>
      <c r="BF884" s="22">
        <v>45429</v>
      </c>
      <c r="BG884" s="26">
        <f t="shared" ca="1" si="218"/>
        <v>0.67776409437274987</v>
      </c>
      <c r="BH884" s="29">
        <f t="shared" ca="1" si="200"/>
        <v>226</v>
      </c>
      <c r="BJ884" s="22">
        <v>45429</v>
      </c>
      <c r="BK884" s="26">
        <f t="shared" ca="1" si="219"/>
        <v>0.13975462461337662</v>
      </c>
      <c r="BL884" s="29">
        <f t="shared" ca="1" si="201"/>
        <v>120</v>
      </c>
      <c r="BN884" s="22">
        <v>45429</v>
      </c>
      <c r="BO884" s="26">
        <f t="shared" ca="1" si="220"/>
        <v>0.72912207614711244</v>
      </c>
      <c r="BP884" s="29">
        <f t="shared" ca="1" si="202"/>
        <v>251</v>
      </c>
      <c r="BR884" s="22">
        <v>45429</v>
      </c>
      <c r="BS884" s="26">
        <f t="shared" ca="1" si="221"/>
        <v>0.43631080275907252</v>
      </c>
      <c r="BT884" s="29">
        <f t="shared" ca="1" si="203"/>
        <v>154</v>
      </c>
      <c r="BV884" s="22">
        <v>45429</v>
      </c>
      <c r="BW884" s="26">
        <f t="shared" ca="1" si="222"/>
        <v>0.54887835205838253</v>
      </c>
      <c r="BX884" s="29">
        <f t="shared" ca="1" si="204"/>
        <v>227</v>
      </c>
    </row>
    <row r="885" spans="2:76" ht="12.75" x14ac:dyDescent="0.2">
      <c r="B885" s="22">
        <v>45430</v>
      </c>
      <c r="C885" s="26">
        <f t="shared" ca="1" si="205"/>
        <v>0.63567671918366364</v>
      </c>
      <c r="D885" s="29">
        <f t="shared" ca="1" si="187"/>
        <v>82</v>
      </c>
      <c r="F885" s="22"/>
      <c r="G885" s="26">
        <f t="shared" ca="1" si="206"/>
        <v>0.77779289550165065</v>
      </c>
      <c r="H885" s="29">
        <f t="shared" ca="1" si="188"/>
        <v>227</v>
      </c>
      <c r="J885" s="22">
        <v>45430</v>
      </c>
      <c r="K885" s="26">
        <f t="shared" ca="1" si="207"/>
        <v>0.73059458955695389</v>
      </c>
      <c r="L885" s="29">
        <f t="shared" ca="1" si="189"/>
        <v>157</v>
      </c>
      <c r="N885" s="22">
        <v>45430</v>
      </c>
      <c r="O885" s="26">
        <f t="shared" ca="1" si="208"/>
        <v>0.45024621146931376</v>
      </c>
      <c r="P885" s="29">
        <f t="shared" ca="1" si="190"/>
        <v>228</v>
      </c>
      <c r="R885" s="22">
        <v>45430</v>
      </c>
      <c r="S885" s="26">
        <f t="shared" ca="1" si="209"/>
        <v>0.22606810486219442</v>
      </c>
      <c r="T885" s="29">
        <f t="shared" ca="1" si="191"/>
        <v>132</v>
      </c>
      <c r="V885" s="22">
        <v>45430</v>
      </c>
      <c r="W885" s="26">
        <f t="shared" ca="1" si="210"/>
        <v>0.72414652384957401</v>
      </c>
      <c r="X885" s="29">
        <f t="shared" ca="1" si="192"/>
        <v>234</v>
      </c>
      <c r="Z885" s="22">
        <v>45430</v>
      </c>
      <c r="AA885" s="26">
        <f t="shared" ca="1" si="211"/>
        <v>0.99313365256929631</v>
      </c>
      <c r="AB885" s="29">
        <f t="shared" ca="1" si="193"/>
        <v>315</v>
      </c>
      <c r="AC885"/>
      <c r="AD885" s="25"/>
      <c r="AF885" s="22">
        <v>45430</v>
      </c>
      <c r="AG885" s="26">
        <f t="shared" ca="1" si="212"/>
        <v>0.43913915991590147</v>
      </c>
      <c r="AH885" s="29">
        <f t="shared" ca="1" si="194"/>
        <v>314</v>
      </c>
      <c r="AJ885" s="22">
        <v>45430</v>
      </c>
      <c r="AK885" s="26">
        <f t="shared" ca="1" si="213"/>
        <v>0.1504495303413117</v>
      </c>
      <c r="AL885" s="29">
        <f t="shared" ca="1" si="195"/>
        <v>124</v>
      </c>
      <c r="AN885" s="22">
        <v>45430</v>
      </c>
      <c r="AO885" s="26">
        <f t="shared" ca="1" si="214"/>
        <v>0.87914120202048107</v>
      </c>
      <c r="AP885" s="29">
        <f t="shared" ca="1" si="196"/>
        <v>305</v>
      </c>
      <c r="AR885" s="22">
        <v>45430</v>
      </c>
      <c r="AS885" s="26">
        <f t="shared" ca="1" si="215"/>
        <v>0.54889378770064057</v>
      </c>
      <c r="AT885" s="29">
        <f t="shared" ca="1" si="197"/>
        <v>205</v>
      </c>
      <c r="AV885" s="22">
        <v>45430</v>
      </c>
      <c r="AW885" s="26">
        <f t="shared" ca="1" si="216"/>
        <v>0.77838926253505192</v>
      </c>
      <c r="AX885" s="29">
        <f t="shared" ca="1" si="198"/>
        <v>248</v>
      </c>
      <c r="AZ885" s="22">
        <v>45430</v>
      </c>
      <c r="BA885" s="26">
        <f t="shared" ca="1" si="217"/>
        <v>0.8498239645749045</v>
      </c>
      <c r="BB885" s="29">
        <f t="shared" ca="1" si="199"/>
        <v>299</v>
      </c>
      <c r="BC885"/>
      <c r="BD885" s="25"/>
      <c r="BF885" s="22">
        <v>45430</v>
      </c>
      <c r="BG885" s="26">
        <f t="shared" ca="1" si="218"/>
        <v>0.10367944063201007</v>
      </c>
      <c r="BH885" s="29">
        <f t="shared" ca="1" si="200"/>
        <v>134</v>
      </c>
      <c r="BJ885" s="22">
        <v>45430</v>
      </c>
      <c r="BK885" s="26">
        <f t="shared" ca="1" si="219"/>
        <v>0.26375843353044459</v>
      </c>
      <c r="BL885" s="29">
        <f t="shared" ca="1" si="201"/>
        <v>141</v>
      </c>
      <c r="BN885" s="22">
        <v>45430</v>
      </c>
      <c r="BO885" s="26">
        <f t="shared" ca="1" si="220"/>
        <v>0.58603615211208171</v>
      </c>
      <c r="BP885" s="29">
        <f t="shared" ca="1" si="202"/>
        <v>229</v>
      </c>
      <c r="BR885" s="22">
        <v>45430</v>
      </c>
      <c r="BS885" s="26">
        <f t="shared" ca="1" si="221"/>
        <v>0.99153991074465686</v>
      </c>
      <c r="BT885" s="29">
        <f t="shared" ca="1" si="203"/>
        <v>263</v>
      </c>
      <c r="BV885" s="22">
        <v>45430</v>
      </c>
      <c r="BW885" s="26">
        <f t="shared" ca="1" si="222"/>
        <v>0.85016099040855386</v>
      </c>
      <c r="BX885" s="29">
        <f t="shared" ca="1" si="204"/>
        <v>280</v>
      </c>
    </row>
    <row r="886" spans="2:76" ht="12.75" x14ac:dyDescent="0.2">
      <c r="B886" s="22">
        <v>45431</v>
      </c>
      <c r="C886" s="26">
        <f t="shared" ca="1" si="205"/>
        <v>0.44339462427524456</v>
      </c>
      <c r="D886" s="29">
        <f t="shared" ca="1" si="187"/>
        <v>73</v>
      </c>
      <c r="F886" s="22"/>
      <c r="G886" s="26">
        <f t="shared" ca="1" si="206"/>
        <v>0.20858594457958757</v>
      </c>
      <c r="H886" s="29">
        <f t="shared" ca="1" si="188"/>
        <v>204</v>
      </c>
      <c r="J886" s="22">
        <v>45431</v>
      </c>
      <c r="K886" s="26">
        <f t="shared" ca="1" si="207"/>
        <v>0.46238866353304198</v>
      </c>
      <c r="L886" s="29">
        <f t="shared" ca="1" si="189"/>
        <v>150</v>
      </c>
      <c r="N886" s="22">
        <v>45431</v>
      </c>
      <c r="O886" s="26">
        <f t="shared" ca="1" si="208"/>
        <v>2.8789117947182419E-2</v>
      </c>
      <c r="P886" s="29">
        <f t="shared" ca="1" si="190"/>
        <v>201</v>
      </c>
      <c r="R886" s="22">
        <v>45431</v>
      </c>
      <c r="S886" s="26">
        <f t="shared" ca="1" si="209"/>
        <v>0.67671764990858674</v>
      </c>
      <c r="T886" s="29">
        <f t="shared" ca="1" si="191"/>
        <v>143</v>
      </c>
      <c r="V886" s="22">
        <v>45431</v>
      </c>
      <c r="W886" s="26">
        <f t="shared" ca="1" si="210"/>
        <v>0.59089348657247165</v>
      </c>
      <c r="X886" s="29">
        <f t="shared" ca="1" si="192"/>
        <v>229</v>
      </c>
      <c r="Z886" s="22">
        <v>45431</v>
      </c>
      <c r="AA886" s="26">
        <f t="shared" ca="1" si="211"/>
        <v>0.46010937105242589</v>
      </c>
      <c r="AB886" s="29">
        <f t="shared" ca="1" si="193"/>
        <v>269</v>
      </c>
      <c r="AC886"/>
      <c r="AD886" s="25"/>
      <c r="AF886" s="22">
        <v>45431</v>
      </c>
      <c r="AG886" s="26">
        <f t="shared" ca="1" si="212"/>
        <v>0.4352751555370461</v>
      </c>
      <c r="AH886" s="29">
        <f t="shared" ca="1" si="194"/>
        <v>313</v>
      </c>
      <c r="AJ886" s="22">
        <v>45431</v>
      </c>
      <c r="AK886" s="26">
        <f t="shared" ca="1" si="213"/>
        <v>0.48439531461243623</v>
      </c>
      <c r="AL886" s="29">
        <f t="shared" ca="1" si="195"/>
        <v>169</v>
      </c>
      <c r="AN886" s="22">
        <v>45431</v>
      </c>
      <c r="AO886" s="26">
        <f t="shared" ca="1" si="214"/>
        <v>0.7964848344481501</v>
      </c>
      <c r="AP886" s="29">
        <f t="shared" ca="1" si="196"/>
        <v>284</v>
      </c>
      <c r="AR886" s="22">
        <v>45431</v>
      </c>
      <c r="AS886" s="26">
        <f t="shared" ca="1" si="215"/>
        <v>0.7518505378484841</v>
      </c>
      <c r="AT886" s="29">
        <f t="shared" ca="1" si="197"/>
        <v>234</v>
      </c>
      <c r="AV886" s="22">
        <v>45431</v>
      </c>
      <c r="AW886" s="26">
        <f t="shared" ca="1" si="216"/>
        <v>0.14193407180506956</v>
      </c>
      <c r="AX886" s="29">
        <f t="shared" ca="1" si="198"/>
        <v>147</v>
      </c>
      <c r="AZ886" s="22">
        <v>45431</v>
      </c>
      <c r="BA886" s="26">
        <f t="shared" ca="1" si="217"/>
        <v>0.73846009816316982</v>
      </c>
      <c r="BB886" s="29">
        <f t="shared" ca="1" si="199"/>
        <v>274</v>
      </c>
      <c r="BC886"/>
      <c r="BD886" s="25"/>
      <c r="BF886" s="22">
        <v>45431</v>
      </c>
      <c r="BG886" s="26">
        <f t="shared" ca="1" si="218"/>
        <v>0.59733850482432072</v>
      </c>
      <c r="BH886" s="29">
        <f t="shared" ca="1" si="200"/>
        <v>214</v>
      </c>
      <c r="BJ886" s="22">
        <v>45431</v>
      </c>
      <c r="BK886" s="26">
        <f t="shared" ca="1" si="219"/>
        <v>0.79612646088470029</v>
      </c>
      <c r="BL886" s="29">
        <f t="shared" ca="1" si="201"/>
        <v>206</v>
      </c>
      <c r="BN886" s="22">
        <v>45431</v>
      </c>
      <c r="BO886" s="26">
        <f t="shared" ca="1" si="220"/>
        <v>0.60594236915339938</v>
      </c>
      <c r="BP886" s="29">
        <f t="shared" ca="1" si="202"/>
        <v>232</v>
      </c>
      <c r="BR886" s="22">
        <v>45431</v>
      </c>
      <c r="BS886" s="26">
        <f t="shared" ca="1" si="221"/>
        <v>0.51516693959366278</v>
      </c>
      <c r="BT886" s="29">
        <f t="shared" ca="1" si="203"/>
        <v>163</v>
      </c>
      <c r="BV886" s="22">
        <v>45431</v>
      </c>
      <c r="BW886" s="26">
        <f t="shared" ca="1" si="222"/>
        <v>0.86151386428149479</v>
      </c>
      <c r="BX886" s="29">
        <f t="shared" ca="1" si="204"/>
        <v>283</v>
      </c>
    </row>
    <row r="887" spans="2:76" ht="12.75" x14ac:dyDescent="0.2">
      <c r="B887" s="22">
        <v>45432</v>
      </c>
      <c r="C887" s="26">
        <f t="shared" ca="1" si="205"/>
        <v>4.377213617228104E-2</v>
      </c>
      <c r="D887" s="29">
        <f t="shared" ca="1" si="187"/>
        <v>41</v>
      </c>
      <c r="F887" s="22"/>
      <c r="G887" s="26">
        <f t="shared" ca="1" si="206"/>
        <v>0.32892236393008534</v>
      </c>
      <c r="H887" s="29">
        <f t="shared" ca="1" si="188"/>
        <v>210</v>
      </c>
      <c r="J887" s="22">
        <v>45432</v>
      </c>
      <c r="K887" s="26">
        <f t="shared" ca="1" si="207"/>
        <v>0.48476783813470203</v>
      </c>
      <c r="L887" s="29">
        <f t="shared" ca="1" si="189"/>
        <v>150</v>
      </c>
      <c r="N887" s="22">
        <v>45432</v>
      </c>
      <c r="O887" s="26">
        <f t="shared" ca="1" si="208"/>
        <v>5.436829760974049E-2</v>
      </c>
      <c r="P887" s="29">
        <f t="shared" ca="1" si="190"/>
        <v>205</v>
      </c>
      <c r="R887" s="22">
        <v>45432</v>
      </c>
      <c r="S887" s="26">
        <f t="shared" ca="1" si="209"/>
        <v>0.79701975023490024</v>
      </c>
      <c r="T887" s="29">
        <f t="shared" ca="1" si="191"/>
        <v>147</v>
      </c>
      <c r="V887" s="22">
        <v>45432</v>
      </c>
      <c r="W887" s="26">
        <f t="shared" ca="1" si="210"/>
        <v>0.21197598060980782</v>
      </c>
      <c r="X887" s="29">
        <f t="shared" ca="1" si="192"/>
        <v>214</v>
      </c>
      <c r="Z887" s="22">
        <v>45432</v>
      </c>
      <c r="AA887" s="26">
        <f t="shared" ca="1" si="211"/>
        <v>0.93984883032188637</v>
      </c>
      <c r="AB887" s="29">
        <f t="shared" ca="1" si="193"/>
        <v>298</v>
      </c>
      <c r="AC887"/>
      <c r="AD887" s="25"/>
      <c r="AF887" s="22">
        <v>45432</v>
      </c>
      <c r="AG887" s="26">
        <f t="shared" ca="1" si="212"/>
        <v>0.54347151343850286</v>
      </c>
      <c r="AH887" s="29">
        <f t="shared" ca="1" si="194"/>
        <v>337</v>
      </c>
      <c r="AJ887" s="22">
        <v>45432</v>
      </c>
      <c r="AK887" s="26">
        <f t="shared" ca="1" si="213"/>
        <v>0.64313893544551748</v>
      </c>
      <c r="AL887" s="29">
        <f t="shared" ca="1" si="195"/>
        <v>188</v>
      </c>
      <c r="AN887" s="22">
        <v>45432</v>
      </c>
      <c r="AO887" s="26">
        <f t="shared" ca="1" si="214"/>
        <v>0.63247699277186586</v>
      </c>
      <c r="AP887" s="29">
        <f t="shared" ca="1" si="196"/>
        <v>253</v>
      </c>
      <c r="AR887" s="22">
        <v>45432</v>
      </c>
      <c r="AS887" s="26">
        <f t="shared" ca="1" si="215"/>
        <v>0.382647537045533</v>
      </c>
      <c r="AT887" s="29">
        <f t="shared" ca="1" si="197"/>
        <v>183</v>
      </c>
      <c r="AV887" s="22">
        <v>45432</v>
      </c>
      <c r="AW887" s="26">
        <f t="shared" ca="1" si="216"/>
        <v>0.7347936593829103</v>
      </c>
      <c r="AX887" s="29">
        <f t="shared" ca="1" si="198"/>
        <v>240</v>
      </c>
      <c r="AZ887" s="22">
        <v>45432</v>
      </c>
      <c r="BA887" s="26">
        <f t="shared" ca="1" si="217"/>
        <v>2.2527115407176002E-3</v>
      </c>
      <c r="BB887" s="29">
        <f t="shared" ca="1" si="199"/>
        <v>57</v>
      </c>
      <c r="BC887"/>
      <c r="BD887" s="25"/>
      <c r="BF887" s="22">
        <v>45432</v>
      </c>
      <c r="BG887" s="26">
        <f t="shared" ca="1" si="218"/>
        <v>0.82033516838682163</v>
      </c>
      <c r="BH887" s="29">
        <f t="shared" ca="1" si="200"/>
        <v>250</v>
      </c>
      <c r="BJ887" s="22">
        <v>45432</v>
      </c>
      <c r="BK887" s="26">
        <f t="shared" ca="1" si="219"/>
        <v>2.2962219920420468E-2</v>
      </c>
      <c r="BL887" s="29">
        <f t="shared" ca="1" si="201"/>
        <v>79</v>
      </c>
      <c r="BN887" s="22">
        <v>45432</v>
      </c>
      <c r="BO887" s="26">
        <f t="shared" ca="1" si="220"/>
        <v>0.20658355326555256</v>
      </c>
      <c r="BP887" s="29">
        <f t="shared" ca="1" si="202"/>
        <v>169</v>
      </c>
      <c r="BR887" s="22">
        <v>45432</v>
      </c>
      <c r="BS887" s="26">
        <f t="shared" ca="1" si="221"/>
        <v>0.77420466501667839</v>
      </c>
      <c r="BT887" s="29">
        <f t="shared" ca="1" si="203"/>
        <v>193</v>
      </c>
      <c r="BV887" s="22">
        <v>45432</v>
      </c>
      <c r="BW887" s="26">
        <f t="shared" ca="1" si="222"/>
        <v>0.50935538744411979</v>
      </c>
      <c r="BX887" s="29">
        <f t="shared" ca="1" si="204"/>
        <v>221</v>
      </c>
    </row>
    <row r="888" spans="2:76" ht="12.75" x14ac:dyDescent="0.2">
      <c r="B888" s="22">
        <v>45433</v>
      </c>
      <c r="C888" s="26">
        <f t="shared" ca="1" si="205"/>
        <v>0.42274696836442693</v>
      </c>
      <c r="D888" s="29">
        <f t="shared" ca="1" si="187"/>
        <v>72</v>
      </c>
      <c r="F888" s="22"/>
      <c r="G888" s="26">
        <f t="shared" ca="1" si="206"/>
        <v>0.84125204224333283</v>
      </c>
      <c r="H888" s="29">
        <f t="shared" ca="1" si="188"/>
        <v>230</v>
      </c>
      <c r="J888" s="22">
        <v>45433</v>
      </c>
      <c r="K888" s="26">
        <f t="shared" ca="1" si="207"/>
        <v>0.85936005473406618</v>
      </c>
      <c r="L888" s="29">
        <f t="shared" ca="1" si="189"/>
        <v>161</v>
      </c>
      <c r="N888" s="22">
        <v>45433</v>
      </c>
      <c r="O888" s="26">
        <f t="shared" ca="1" si="208"/>
        <v>0.85724001371831815</v>
      </c>
      <c r="P888" s="29">
        <f t="shared" ca="1" si="190"/>
        <v>246</v>
      </c>
      <c r="R888" s="22">
        <v>45433</v>
      </c>
      <c r="S888" s="26">
        <f t="shared" ca="1" si="209"/>
        <v>0.47080078131283021</v>
      </c>
      <c r="T888" s="29">
        <f t="shared" ca="1" si="191"/>
        <v>139</v>
      </c>
      <c r="V888" s="22">
        <v>45433</v>
      </c>
      <c r="W888" s="26">
        <f t="shared" ca="1" si="210"/>
        <v>0.61921201311068352</v>
      </c>
      <c r="X888" s="29">
        <f t="shared" ca="1" si="192"/>
        <v>230</v>
      </c>
      <c r="Z888" s="22">
        <v>45433</v>
      </c>
      <c r="AA888" s="26">
        <f t="shared" ca="1" si="211"/>
        <v>0.19705355058419893</v>
      </c>
      <c r="AB888" s="29">
        <f t="shared" ca="1" si="193"/>
        <v>255</v>
      </c>
      <c r="AC888"/>
      <c r="AD888" s="25"/>
      <c r="AF888" s="22">
        <v>45433</v>
      </c>
      <c r="AG888" s="26">
        <f t="shared" ca="1" si="212"/>
        <v>3.2587075484742267E-2</v>
      </c>
      <c r="AH888" s="29">
        <f t="shared" ca="1" si="194"/>
        <v>167</v>
      </c>
      <c r="AJ888" s="22">
        <v>45433</v>
      </c>
      <c r="AK888" s="26">
        <f t="shared" ca="1" si="213"/>
        <v>0.49026007039179265</v>
      </c>
      <c r="AL888" s="29">
        <f t="shared" ca="1" si="195"/>
        <v>170</v>
      </c>
      <c r="AN888" s="22">
        <v>45433</v>
      </c>
      <c r="AO888" s="26">
        <f t="shared" ca="1" si="214"/>
        <v>0.60668037446601997</v>
      </c>
      <c r="AP888" s="29">
        <f t="shared" ca="1" si="196"/>
        <v>249</v>
      </c>
      <c r="AR888" s="22">
        <v>45433</v>
      </c>
      <c r="AS888" s="26">
        <f t="shared" ca="1" si="215"/>
        <v>0.29503797971268952</v>
      </c>
      <c r="AT888" s="29">
        <f t="shared" ca="1" si="197"/>
        <v>170</v>
      </c>
      <c r="AV888" s="22">
        <v>45433</v>
      </c>
      <c r="AW888" s="26">
        <f t="shared" ca="1" si="216"/>
        <v>0.36799694017333395</v>
      </c>
      <c r="AX888" s="29">
        <f t="shared" ca="1" si="198"/>
        <v>188</v>
      </c>
      <c r="AZ888" s="22">
        <v>45433</v>
      </c>
      <c r="BA888" s="26">
        <f t="shared" ca="1" si="217"/>
        <v>0.22570187742538805</v>
      </c>
      <c r="BB888" s="29">
        <f t="shared" ca="1" si="199"/>
        <v>187</v>
      </c>
      <c r="BC888"/>
      <c r="BD888" s="25"/>
      <c r="BF888" s="22">
        <v>45433</v>
      </c>
      <c r="BG888" s="26">
        <f t="shared" ca="1" si="218"/>
        <v>5.4003232347550667E-2</v>
      </c>
      <c r="BH888" s="29">
        <f t="shared" ca="1" si="200"/>
        <v>115</v>
      </c>
      <c r="BJ888" s="22">
        <v>45433</v>
      </c>
      <c r="BK888" s="26">
        <f t="shared" ca="1" si="219"/>
        <v>0.47150983550893677</v>
      </c>
      <c r="BL888" s="29">
        <f t="shared" ca="1" si="201"/>
        <v>166</v>
      </c>
      <c r="BN888" s="22">
        <v>45433</v>
      </c>
      <c r="BO888" s="26">
        <f t="shared" ca="1" si="220"/>
        <v>0.24130629921938807</v>
      </c>
      <c r="BP888" s="29">
        <f t="shared" ca="1" si="202"/>
        <v>176</v>
      </c>
      <c r="BR888" s="22">
        <v>45433</v>
      </c>
      <c r="BS888" s="26">
        <f t="shared" ca="1" si="221"/>
        <v>0.17612770348479201</v>
      </c>
      <c r="BT888" s="29">
        <f t="shared" ca="1" si="203"/>
        <v>121</v>
      </c>
      <c r="BV888" s="22">
        <v>45433</v>
      </c>
      <c r="BW888" s="26">
        <f t="shared" ca="1" si="222"/>
        <v>7.3869248584927383E-2</v>
      </c>
      <c r="BX888" s="29">
        <f t="shared" ca="1" si="204"/>
        <v>135</v>
      </c>
    </row>
    <row r="889" spans="2:76" ht="12.75" x14ac:dyDescent="0.2">
      <c r="B889" s="22">
        <v>45434</v>
      </c>
      <c r="C889" s="26">
        <f t="shared" ca="1" si="205"/>
        <v>0.27638351497192637</v>
      </c>
      <c r="D889" s="29">
        <f t="shared" ca="1" si="187"/>
        <v>64</v>
      </c>
      <c r="F889" s="22"/>
      <c r="G889" s="26">
        <f t="shared" ca="1" si="206"/>
        <v>0.26451540141974017</v>
      </c>
      <c r="H889" s="29">
        <f t="shared" ca="1" si="188"/>
        <v>207</v>
      </c>
      <c r="J889" s="22">
        <v>45434</v>
      </c>
      <c r="K889" s="26">
        <f t="shared" ca="1" si="207"/>
        <v>0.15288744396687948</v>
      </c>
      <c r="L889" s="29">
        <f t="shared" ca="1" si="189"/>
        <v>140</v>
      </c>
      <c r="N889" s="22">
        <v>45434</v>
      </c>
      <c r="O889" s="26">
        <f t="shared" ca="1" si="208"/>
        <v>0.31294552307161139</v>
      </c>
      <c r="P889" s="29">
        <f t="shared" ca="1" si="190"/>
        <v>222</v>
      </c>
      <c r="R889" s="22">
        <v>45434</v>
      </c>
      <c r="S889" s="26">
        <f t="shared" ca="1" si="209"/>
        <v>3.003367407108215E-2</v>
      </c>
      <c r="T889" s="29">
        <f t="shared" ca="1" si="191"/>
        <v>122</v>
      </c>
      <c r="V889" s="22">
        <v>45434</v>
      </c>
      <c r="W889" s="26">
        <f t="shared" ca="1" si="210"/>
        <v>0.95669284471721094</v>
      </c>
      <c r="X889" s="29">
        <f t="shared" ca="1" si="192"/>
        <v>251</v>
      </c>
      <c r="Z889" s="22">
        <v>45434</v>
      </c>
      <c r="AA889" s="26">
        <f t="shared" ca="1" si="211"/>
        <v>0.54845819936656481</v>
      </c>
      <c r="AB889" s="29">
        <f t="shared" ca="1" si="193"/>
        <v>273</v>
      </c>
      <c r="AC889"/>
      <c r="AD889" s="25"/>
      <c r="AF889" s="22">
        <v>45434</v>
      </c>
      <c r="AG889" s="26">
        <f t="shared" ca="1" si="212"/>
        <v>0.80601853396330514</v>
      </c>
      <c r="AH889" s="29">
        <f t="shared" ca="1" si="194"/>
        <v>403</v>
      </c>
      <c r="AJ889" s="22">
        <v>45434</v>
      </c>
      <c r="AK889" s="26">
        <f t="shared" ca="1" si="213"/>
        <v>4.3840524361427602E-2</v>
      </c>
      <c r="AL889" s="29">
        <f t="shared" ca="1" si="195"/>
        <v>93</v>
      </c>
      <c r="AN889" s="22">
        <v>45434</v>
      </c>
      <c r="AO889" s="26">
        <f t="shared" ca="1" si="214"/>
        <v>8.3612162235429888E-2</v>
      </c>
      <c r="AP889" s="29">
        <f t="shared" ca="1" si="196"/>
        <v>147</v>
      </c>
      <c r="AR889" s="22">
        <v>45434</v>
      </c>
      <c r="AS889" s="26">
        <f t="shared" ca="1" si="215"/>
        <v>5.6594221964588409E-2</v>
      </c>
      <c r="AT889" s="29">
        <f t="shared" ca="1" si="197"/>
        <v>115</v>
      </c>
      <c r="AV889" s="22">
        <v>45434</v>
      </c>
      <c r="AW889" s="26">
        <f t="shared" ca="1" si="216"/>
        <v>0.53011739002655733</v>
      </c>
      <c r="AX889" s="29">
        <f t="shared" ca="1" si="198"/>
        <v>210</v>
      </c>
      <c r="AZ889" s="22">
        <v>45434</v>
      </c>
      <c r="BA889" s="26">
        <f t="shared" ca="1" si="217"/>
        <v>0.65705326857309088</v>
      </c>
      <c r="BB889" s="29">
        <f t="shared" ca="1" si="199"/>
        <v>259</v>
      </c>
      <c r="BC889"/>
      <c r="BD889" s="25"/>
      <c r="BF889" s="22">
        <v>45434</v>
      </c>
      <c r="BG889" s="26">
        <f t="shared" ca="1" si="218"/>
        <v>0.37763371097925957</v>
      </c>
      <c r="BH889" s="29">
        <f t="shared" ca="1" si="200"/>
        <v>184</v>
      </c>
      <c r="BJ889" s="22">
        <v>45434</v>
      </c>
      <c r="BK889" s="26">
        <f t="shared" ca="1" si="219"/>
        <v>0.9520864959696469</v>
      </c>
      <c r="BL889" s="29">
        <f t="shared" ca="1" si="201"/>
        <v>244</v>
      </c>
      <c r="BN889" s="22">
        <v>45434</v>
      </c>
      <c r="BO889" s="26">
        <f t="shared" ca="1" si="220"/>
        <v>0.61049138890023713</v>
      </c>
      <c r="BP889" s="29">
        <f t="shared" ca="1" si="202"/>
        <v>232</v>
      </c>
      <c r="BR889" s="22">
        <v>45434</v>
      </c>
      <c r="BS889" s="26">
        <f t="shared" ca="1" si="221"/>
        <v>0.74362920802019561</v>
      </c>
      <c r="BT889" s="29">
        <f t="shared" ca="1" si="203"/>
        <v>189</v>
      </c>
      <c r="BV889" s="22">
        <v>45434</v>
      </c>
      <c r="BW889" s="26">
        <f t="shared" ca="1" si="222"/>
        <v>0.72036695517051874</v>
      </c>
      <c r="BX889" s="29">
        <f t="shared" ca="1" si="204"/>
        <v>254</v>
      </c>
    </row>
    <row r="890" spans="2:76" ht="12.75" x14ac:dyDescent="0.2">
      <c r="B890" s="22">
        <v>45435</v>
      </c>
      <c r="C890" s="26">
        <f t="shared" ca="1" si="205"/>
        <v>0.81645958268561536</v>
      </c>
      <c r="D890" s="29">
        <f t="shared" ca="1" si="187"/>
        <v>94</v>
      </c>
      <c r="F890" s="22"/>
      <c r="G890" s="26">
        <f t="shared" ca="1" si="206"/>
        <v>0.4275832754920319</v>
      </c>
      <c r="H890" s="29">
        <f t="shared" ca="1" si="188"/>
        <v>213</v>
      </c>
      <c r="J890" s="22">
        <v>45435</v>
      </c>
      <c r="K890" s="26">
        <f t="shared" ca="1" si="207"/>
        <v>4.3877294796156319E-3</v>
      </c>
      <c r="L890" s="29">
        <f t="shared" ca="1" si="189"/>
        <v>124</v>
      </c>
      <c r="N890" s="22">
        <v>45435</v>
      </c>
      <c r="O890" s="26">
        <f t="shared" ca="1" si="208"/>
        <v>0.10094008704229229</v>
      </c>
      <c r="P890" s="29">
        <f t="shared" ca="1" si="190"/>
        <v>210</v>
      </c>
      <c r="R890" s="22">
        <v>45435</v>
      </c>
      <c r="S890" s="26">
        <f t="shared" ca="1" si="209"/>
        <v>0.7370579087024649</v>
      </c>
      <c r="T890" s="29">
        <f t="shared" ca="1" si="191"/>
        <v>145</v>
      </c>
      <c r="V890" s="22">
        <v>45435</v>
      </c>
      <c r="W890" s="26">
        <f t="shared" ca="1" si="210"/>
        <v>0.15105982219961556</v>
      </c>
      <c r="X890" s="29">
        <f t="shared" ca="1" si="192"/>
        <v>210</v>
      </c>
      <c r="Z890" s="22">
        <v>45435</v>
      </c>
      <c r="AA890" s="26">
        <f t="shared" ca="1" si="211"/>
        <v>0.11518717966285164</v>
      </c>
      <c r="AB890" s="29">
        <f t="shared" ca="1" si="193"/>
        <v>249</v>
      </c>
      <c r="AC890"/>
      <c r="AD890" s="25"/>
      <c r="AF890" s="22">
        <v>45435</v>
      </c>
      <c r="AG890" s="26">
        <f t="shared" ca="1" si="212"/>
        <v>1.9745322241143115E-2</v>
      </c>
      <c r="AH890" s="29">
        <f t="shared" ca="1" si="194"/>
        <v>148</v>
      </c>
      <c r="AJ890" s="22">
        <v>45435</v>
      </c>
      <c r="AK890" s="26">
        <f t="shared" ca="1" si="213"/>
        <v>1.0765078728769528E-2</v>
      </c>
      <c r="AL890" s="29">
        <f t="shared" ca="1" si="195"/>
        <v>66</v>
      </c>
      <c r="AN890" s="22">
        <v>45435</v>
      </c>
      <c r="AO890" s="26">
        <f t="shared" ca="1" si="214"/>
        <v>0.42920161323678296</v>
      </c>
      <c r="AP890" s="29">
        <f t="shared" ca="1" si="196"/>
        <v>222</v>
      </c>
      <c r="AR890" s="22">
        <v>45435</v>
      </c>
      <c r="AS890" s="26">
        <f t="shared" ca="1" si="215"/>
        <v>0.84599031628772481</v>
      </c>
      <c r="AT890" s="29">
        <f t="shared" ca="1" si="197"/>
        <v>252</v>
      </c>
      <c r="AV890" s="22">
        <v>45435</v>
      </c>
      <c r="AW890" s="26">
        <f t="shared" ca="1" si="216"/>
        <v>3.855561084366399E-2</v>
      </c>
      <c r="AX890" s="29">
        <f t="shared" ca="1" si="198"/>
        <v>109</v>
      </c>
      <c r="AZ890" s="22">
        <v>45435</v>
      </c>
      <c r="BA890" s="26">
        <f t="shared" ca="1" si="217"/>
        <v>6.6577649172525399E-2</v>
      </c>
      <c r="BB890" s="29">
        <f t="shared" ca="1" si="199"/>
        <v>141</v>
      </c>
      <c r="BC890"/>
      <c r="BD890" s="25"/>
      <c r="BF890" s="22">
        <v>45435</v>
      </c>
      <c r="BG890" s="26">
        <f t="shared" ca="1" si="218"/>
        <v>0.99852995583900017</v>
      </c>
      <c r="BH890" s="29">
        <f t="shared" ca="1" si="200"/>
        <v>360</v>
      </c>
      <c r="BJ890" s="22">
        <v>45435</v>
      </c>
      <c r="BK890" s="26">
        <f t="shared" ca="1" si="219"/>
        <v>0.40310890159167811</v>
      </c>
      <c r="BL890" s="29">
        <f t="shared" ca="1" si="201"/>
        <v>158</v>
      </c>
      <c r="BN890" s="22">
        <v>45435</v>
      </c>
      <c r="BO890" s="26">
        <f t="shared" ca="1" si="220"/>
        <v>0.72681687702368103</v>
      </c>
      <c r="BP890" s="29">
        <f t="shared" ca="1" si="202"/>
        <v>251</v>
      </c>
      <c r="BR890" s="22">
        <v>45435</v>
      </c>
      <c r="BS890" s="26">
        <f t="shared" ca="1" si="221"/>
        <v>0.11610779042499608</v>
      </c>
      <c r="BT890" s="29">
        <f t="shared" ca="1" si="203"/>
        <v>110</v>
      </c>
      <c r="BV890" s="22">
        <v>45435</v>
      </c>
      <c r="BW890" s="26">
        <f t="shared" ca="1" si="222"/>
        <v>0.90323892028869579</v>
      </c>
      <c r="BX890" s="29">
        <f t="shared" ca="1" si="204"/>
        <v>296</v>
      </c>
    </row>
    <row r="891" spans="2:76" ht="12.75" x14ac:dyDescent="0.2">
      <c r="B891" s="22">
        <v>45436</v>
      </c>
      <c r="C891" s="26">
        <f t="shared" ca="1" si="205"/>
        <v>0.4727552191041634</v>
      </c>
      <c r="D891" s="29">
        <f t="shared" ca="1" si="187"/>
        <v>74</v>
      </c>
      <c r="F891" s="22"/>
      <c r="G891" s="26">
        <f t="shared" ca="1" si="206"/>
        <v>8.954113777251238E-2</v>
      </c>
      <c r="H891" s="29">
        <f t="shared" ca="1" si="188"/>
        <v>197</v>
      </c>
      <c r="J891" s="22">
        <v>45436</v>
      </c>
      <c r="K891" s="26">
        <f t="shared" ca="1" si="207"/>
        <v>0.58581248078242232</v>
      </c>
      <c r="L891" s="29">
        <f t="shared" ca="1" si="189"/>
        <v>153</v>
      </c>
      <c r="N891" s="22">
        <v>45436</v>
      </c>
      <c r="O891" s="26">
        <f t="shared" ca="1" si="208"/>
        <v>0.49303477626940095</v>
      </c>
      <c r="P891" s="29">
        <f t="shared" ca="1" si="190"/>
        <v>230</v>
      </c>
      <c r="R891" s="22">
        <v>45436</v>
      </c>
      <c r="S891" s="26">
        <f t="shared" ca="1" si="209"/>
        <v>0.53928072697126683</v>
      </c>
      <c r="T891" s="29">
        <f t="shared" ca="1" si="191"/>
        <v>140</v>
      </c>
      <c r="V891" s="22">
        <v>45436</v>
      </c>
      <c r="W891" s="26">
        <f t="shared" ca="1" si="210"/>
        <v>0.99284848245165747</v>
      </c>
      <c r="X891" s="29">
        <f t="shared" ca="1" si="192"/>
        <v>262</v>
      </c>
      <c r="Z891" s="22">
        <v>45436</v>
      </c>
      <c r="AA891" s="26">
        <f t="shared" ca="1" si="211"/>
        <v>0.4201472764192149</v>
      </c>
      <c r="AB891" s="29">
        <f t="shared" ca="1" si="193"/>
        <v>267</v>
      </c>
      <c r="AC891"/>
      <c r="AD891" s="25"/>
      <c r="AF891" s="22">
        <v>45436</v>
      </c>
      <c r="AG891" s="26">
        <f t="shared" ca="1" si="212"/>
        <v>0.23698080258487453</v>
      </c>
      <c r="AH891" s="29">
        <f t="shared" ca="1" si="194"/>
        <v>265</v>
      </c>
      <c r="AJ891" s="22">
        <v>45436</v>
      </c>
      <c r="AK891" s="26">
        <f t="shared" ca="1" si="213"/>
        <v>0.70011059166130052</v>
      </c>
      <c r="AL891" s="29">
        <f t="shared" ca="1" si="195"/>
        <v>195</v>
      </c>
      <c r="AN891" s="22">
        <v>45436</v>
      </c>
      <c r="AO891" s="26">
        <f t="shared" ca="1" si="214"/>
        <v>0.39029517508212497</v>
      </c>
      <c r="AP891" s="29">
        <f t="shared" ca="1" si="196"/>
        <v>215</v>
      </c>
      <c r="AR891" s="22">
        <v>45436</v>
      </c>
      <c r="AS891" s="26">
        <f t="shared" ca="1" si="215"/>
        <v>0.2855789683375145</v>
      </c>
      <c r="AT891" s="29">
        <f t="shared" ca="1" si="197"/>
        <v>169</v>
      </c>
      <c r="AV891" s="22">
        <v>45436</v>
      </c>
      <c r="AW891" s="26">
        <f t="shared" ca="1" si="216"/>
        <v>0.47198778117906748</v>
      </c>
      <c r="AX891" s="29">
        <f t="shared" ca="1" si="198"/>
        <v>202</v>
      </c>
      <c r="AZ891" s="22">
        <v>45436</v>
      </c>
      <c r="BA891" s="26">
        <f t="shared" ca="1" si="217"/>
        <v>0.10271125082371269</v>
      </c>
      <c r="BB891" s="29">
        <f t="shared" ca="1" si="199"/>
        <v>155</v>
      </c>
      <c r="BC891"/>
      <c r="BD891" s="25"/>
      <c r="BF891" s="22">
        <v>45436</v>
      </c>
      <c r="BG891" s="26">
        <f t="shared" ca="1" si="218"/>
        <v>3.8614692033208109E-2</v>
      </c>
      <c r="BH891" s="29">
        <f t="shared" ca="1" si="200"/>
        <v>107</v>
      </c>
      <c r="BJ891" s="22">
        <v>45436</v>
      </c>
      <c r="BK891" s="26">
        <f t="shared" ca="1" si="219"/>
        <v>0.46379745763705293</v>
      </c>
      <c r="BL891" s="29">
        <f t="shared" ca="1" si="201"/>
        <v>165</v>
      </c>
      <c r="BN891" s="22">
        <v>45436</v>
      </c>
      <c r="BO891" s="26">
        <f t="shared" ca="1" si="220"/>
        <v>0.4830809051115611</v>
      </c>
      <c r="BP891" s="29">
        <f t="shared" ca="1" si="202"/>
        <v>214</v>
      </c>
      <c r="BR891" s="22">
        <v>45436</v>
      </c>
      <c r="BS891" s="26">
        <f t="shared" ca="1" si="221"/>
        <v>0.12289786261875768</v>
      </c>
      <c r="BT891" s="29">
        <f t="shared" ca="1" si="203"/>
        <v>111</v>
      </c>
      <c r="BV891" s="22">
        <v>45436</v>
      </c>
      <c r="BW891" s="26">
        <f t="shared" ca="1" si="222"/>
        <v>0.34436095496186336</v>
      </c>
      <c r="BX891" s="29">
        <f t="shared" ca="1" si="204"/>
        <v>196</v>
      </c>
    </row>
    <row r="892" spans="2:76" ht="12.75" x14ac:dyDescent="0.2">
      <c r="B892" s="22">
        <v>45437</v>
      </c>
      <c r="C892" s="26">
        <f t="shared" ca="1" si="205"/>
        <v>0.17817318079804834</v>
      </c>
      <c r="D892" s="29">
        <f t="shared" ca="1" si="187"/>
        <v>57</v>
      </c>
      <c r="F892" s="22"/>
      <c r="G892" s="26">
        <f t="shared" ca="1" si="206"/>
        <v>0.1145295782100676</v>
      </c>
      <c r="H892" s="29">
        <f t="shared" ca="1" si="188"/>
        <v>199</v>
      </c>
      <c r="J892" s="22">
        <v>45437</v>
      </c>
      <c r="K892" s="26">
        <f t="shared" ca="1" si="207"/>
        <v>2.2266089610978423E-2</v>
      </c>
      <c r="L892" s="29">
        <f t="shared" ca="1" si="189"/>
        <v>130</v>
      </c>
      <c r="N892" s="22">
        <v>45437</v>
      </c>
      <c r="O892" s="26">
        <f t="shared" ca="1" si="208"/>
        <v>0.926886595964449</v>
      </c>
      <c r="P892" s="29">
        <f t="shared" ca="1" si="190"/>
        <v>252</v>
      </c>
      <c r="R892" s="22">
        <v>45437</v>
      </c>
      <c r="S892" s="26">
        <f t="shared" ca="1" si="209"/>
        <v>0.81755833846441117</v>
      </c>
      <c r="T892" s="29">
        <f t="shared" ca="1" si="191"/>
        <v>148</v>
      </c>
      <c r="V892" s="22">
        <v>45437</v>
      </c>
      <c r="W892" s="26">
        <f t="shared" ca="1" si="210"/>
        <v>0.28332743631877466</v>
      </c>
      <c r="X892" s="29">
        <f t="shared" ca="1" si="192"/>
        <v>217</v>
      </c>
      <c r="Z892" s="22">
        <v>45437</v>
      </c>
      <c r="AA892" s="26">
        <f t="shared" ca="1" si="211"/>
        <v>0.82546364897788682</v>
      </c>
      <c r="AB892" s="29">
        <f t="shared" ca="1" si="193"/>
        <v>287</v>
      </c>
      <c r="AC892"/>
      <c r="AD892" s="25"/>
      <c r="AF892" s="22">
        <v>45437</v>
      </c>
      <c r="AG892" s="26">
        <f t="shared" ca="1" si="212"/>
        <v>0.33675449209128172</v>
      </c>
      <c r="AH892" s="29">
        <f t="shared" ca="1" si="194"/>
        <v>291</v>
      </c>
      <c r="AJ892" s="22">
        <v>45437</v>
      </c>
      <c r="AK892" s="26">
        <f t="shared" ca="1" si="213"/>
        <v>0.89671129748705125</v>
      </c>
      <c r="AL892" s="29">
        <f t="shared" ca="1" si="195"/>
        <v>228</v>
      </c>
      <c r="AN892" s="22">
        <v>45437</v>
      </c>
      <c r="AO892" s="26">
        <f t="shared" ca="1" si="214"/>
        <v>0.22244482425272116</v>
      </c>
      <c r="AP892" s="29">
        <f t="shared" ca="1" si="196"/>
        <v>185</v>
      </c>
      <c r="AR892" s="22">
        <v>45437</v>
      </c>
      <c r="AS892" s="26">
        <f t="shared" ca="1" si="215"/>
        <v>0.99988602893105361</v>
      </c>
      <c r="AT892" s="29">
        <f t="shared" ca="1" si="197"/>
        <v>393</v>
      </c>
      <c r="AV892" s="22">
        <v>45437</v>
      </c>
      <c r="AW892" s="26">
        <f t="shared" ca="1" si="216"/>
        <v>0.72631442552833325</v>
      </c>
      <c r="AX892" s="29">
        <f t="shared" ca="1" si="198"/>
        <v>239</v>
      </c>
      <c r="AZ892" s="22">
        <v>45437</v>
      </c>
      <c r="BA892" s="26">
        <f t="shared" ca="1" si="217"/>
        <v>0.24674302487297262</v>
      </c>
      <c r="BB892" s="29">
        <f t="shared" ca="1" si="199"/>
        <v>191</v>
      </c>
      <c r="BC892"/>
      <c r="BD892" s="25"/>
      <c r="BF892" s="22">
        <v>45437</v>
      </c>
      <c r="BG892" s="26">
        <f t="shared" ca="1" si="218"/>
        <v>0.42304101219154466</v>
      </c>
      <c r="BH892" s="29">
        <f t="shared" ca="1" si="200"/>
        <v>191</v>
      </c>
      <c r="BJ892" s="22">
        <v>45437</v>
      </c>
      <c r="BK892" s="26">
        <f t="shared" ca="1" si="219"/>
        <v>0.66388626629827596</v>
      </c>
      <c r="BL892" s="29">
        <f t="shared" ca="1" si="201"/>
        <v>188</v>
      </c>
      <c r="BN892" s="22">
        <v>45437</v>
      </c>
      <c r="BO892" s="26">
        <f t="shared" ca="1" si="220"/>
        <v>0.14284736315247426</v>
      </c>
      <c r="BP892" s="29">
        <f t="shared" ca="1" si="202"/>
        <v>155</v>
      </c>
      <c r="BR892" s="22">
        <v>45437</v>
      </c>
      <c r="BS892" s="26">
        <f t="shared" ca="1" si="221"/>
        <v>0.61020015104085157</v>
      </c>
      <c r="BT892" s="29">
        <f t="shared" ca="1" si="203"/>
        <v>173</v>
      </c>
      <c r="BV892" s="22">
        <v>45437</v>
      </c>
      <c r="BW892" s="26">
        <f t="shared" ca="1" si="222"/>
        <v>0.82410302428519666</v>
      </c>
      <c r="BX892" s="29">
        <f t="shared" ca="1" si="204"/>
        <v>274</v>
      </c>
    </row>
    <row r="893" spans="2:76" ht="12.75" x14ac:dyDescent="0.2">
      <c r="B893" s="22">
        <v>45438</v>
      </c>
      <c r="C893" s="26">
        <f t="shared" ca="1" si="205"/>
        <v>0.43524118472362094</v>
      </c>
      <c r="D893" s="29">
        <f t="shared" ca="1" si="187"/>
        <v>72</v>
      </c>
      <c r="F893" s="22"/>
      <c r="G893" s="26">
        <f t="shared" ca="1" si="206"/>
        <v>0.7473405325943886</v>
      </c>
      <c r="H893" s="29">
        <f t="shared" ca="1" si="188"/>
        <v>225</v>
      </c>
      <c r="J893" s="22">
        <v>45438</v>
      </c>
      <c r="K893" s="26">
        <f t="shared" ca="1" si="207"/>
        <v>0.51578236404233258</v>
      </c>
      <c r="L893" s="29">
        <f t="shared" ca="1" si="189"/>
        <v>151</v>
      </c>
      <c r="N893" s="22">
        <v>45438</v>
      </c>
      <c r="O893" s="26">
        <f t="shared" ca="1" si="208"/>
        <v>0.4649983559434141</v>
      </c>
      <c r="P893" s="29">
        <f t="shared" ca="1" si="190"/>
        <v>229</v>
      </c>
      <c r="R893" s="22">
        <v>45438</v>
      </c>
      <c r="S893" s="26">
        <f t="shared" ca="1" si="209"/>
        <v>0.68283146286597907</v>
      </c>
      <c r="T893" s="29">
        <f t="shared" ca="1" si="191"/>
        <v>144</v>
      </c>
      <c r="V893" s="22">
        <v>45438</v>
      </c>
      <c r="W893" s="26">
        <f t="shared" ca="1" si="210"/>
        <v>0.80485175657653896</v>
      </c>
      <c r="X893" s="29">
        <f t="shared" ca="1" si="192"/>
        <v>238</v>
      </c>
      <c r="Z893" s="22">
        <v>45438</v>
      </c>
      <c r="AA893" s="26">
        <f t="shared" ca="1" si="211"/>
        <v>0.92166586218034119</v>
      </c>
      <c r="AB893" s="29">
        <f t="shared" ca="1" si="193"/>
        <v>296</v>
      </c>
      <c r="AC893"/>
      <c r="AD893" s="25"/>
      <c r="AF893" s="22">
        <v>45438</v>
      </c>
      <c r="AG893" s="26">
        <f t="shared" ca="1" si="212"/>
        <v>0.98405541319810941</v>
      </c>
      <c r="AH893" s="29">
        <f t="shared" ca="1" si="194"/>
        <v>515</v>
      </c>
      <c r="AJ893" s="22">
        <v>45438</v>
      </c>
      <c r="AK893" s="26">
        <f t="shared" ca="1" si="213"/>
        <v>0.28378634230774635</v>
      </c>
      <c r="AL893" s="29">
        <f t="shared" ca="1" si="195"/>
        <v>145</v>
      </c>
      <c r="AN893" s="22">
        <v>45438</v>
      </c>
      <c r="AO893" s="26">
        <f t="shared" ca="1" si="214"/>
        <v>0.81769621231718559</v>
      </c>
      <c r="AP893" s="29">
        <f t="shared" ca="1" si="196"/>
        <v>289</v>
      </c>
      <c r="AR893" s="22">
        <v>45438</v>
      </c>
      <c r="AS893" s="26">
        <f t="shared" ca="1" si="215"/>
        <v>0.75410306940417005</v>
      </c>
      <c r="AT893" s="29">
        <f t="shared" ca="1" si="197"/>
        <v>235</v>
      </c>
      <c r="AV893" s="22">
        <v>45438</v>
      </c>
      <c r="AW893" s="26">
        <f t="shared" ca="1" si="216"/>
        <v>0.24921426344593378</v>
      </c>
      <c r="AX893" s="29">
        <f t="shared" ca="1" si="198"/>
        <v>169</v>
      </c>
      <c r="AZ893" s="22">
        <v>45438</v>
      </c>
      <c r="BA893" s="26">
        <f t="shared" ca="1" si="217"/>
        <v>7.612410686568738E-2</v>
      </c>
      <c r="BB893" s="29">
        <f t="shared" ca="1" si="199"/>
        <v>145</v>
      </c>
      <c r="BC893"/>
      <c r="BD893" s="25"/>
      <c r="BF893" s="22">
        <v>45438</v>
      </c>
      <c r="BG893" s="26">
        <f t="shared" ca="1" si="218"/>
        <v>0.80792801458905905</v>
      </c>
      <c r="BH893" s="29">
        <f t="shared" ca="1" si="200"/>
        <v>248</v>
      </c>
      <c r="BJ893" s="22">
        <v>45438</v>
      </c>
      <c r="BK893" s="26">
        <f t="shared" ca="1" si="219"/>
        <v>0.78419564963539057</v>
      </c>
      <c r="BL893" s="29">
        <f t="shared" ca="1" si="201"/>
        <v>204</v>
      </c>
      <c r="BN893" s="22">
        <v>45438</v>
      </c>
      <c r="BO893" s="26">
        <f t="shared" ca="1" si="220"/>
        <v>0.3910091334024276</v>
      </c>
      <c r="BP893" s="29">
        <f t="shared" ca="1" si="202"/>
        <v>200</v>
      </c>
      <c r="BR893" s="22">
        <v>45438</v>
      </c>
      <c r="BS893" s="26">
        <f t="shared" ca="1" si="221"/>
        <v>0.7858028179771106</v>
      </c>
      <c r="BT893" s="29">
        <f t="shared" ca="1" si="203"/>
        <v>195</v>
      </c>
      <c r="BV893" s="22">
        <v>45438</v>
      </c>
      <c r="BW893" s="26">
        <f t="shared" ca="1" si="222"/>
        <v>0.35503753980613484</v>
      </c>
      <c r="BX893" s="29">
        <f t="shared" ca="1" si="204"/>
        <v>198</v>
      </c>
    </row>
    <row r="894" spans="2:76" ht="12.75" x14ac:dyDescent="0.2">
      <c r="B894" s="22">
        <v>45439</v>
      </c>
      <c r="C894" s="26">
        <f t="shared" ca="1" si="205"/>
        <v>0.55260585768543835</v>
      </c>
      <c r="D894" s="29">
        <f t="shared" ca="1" si="187"/>
        <v>78</v>
      </c>
      <c r="F894" s="22"/>
      <c r="G894" s="26">
        <f t="shared" ca="1" si="206"/>
        <v>0.44056388969875193</v>
      </c>
      <c r="H894" s="29">
        <f t="shared" ca="1" si="188"/>
        <v>214</v>
      </c>
      <c r="J894" s="22">
        <v>45439</v>
      </c>
      <c r="K894" s="26">
        <f t="shared" ca="1" si="207"/>
        <v>0.76480692331833311</v>
      </c>
      <c r="L894" s="29">
        <f t="shared" ca="1" si="189"/>
        <v>158</v>
      </c>
      <c r="N894" s="22">
        <v>45439</v>
      </c>
      <c r="O894" s="26">
        <f t="shared" ca="1" si="208"/>
        <v>0.14574322470483625</v>
      </c>
      <c r="P894" s="29">
        <f t="shared" ca="1" si="190"/>
        <v>214</v>
      </c>
      <c r="R894" s="22">
        <v>45439</v>
      </c>
      <c r="S894" s="26">
        <f t="shared" ca="1" si="209"/>
        <v>0.50235229261720704</v>
      </c>
      <c r="T894" s="29">
        <f t="shared" ca="1" si="191"/>
        <v>139</v>
      </c>
      <c r="V894" s="22">
        <v>45439</v>
      </c>
      <c r="W894" s="26">
        <f t="shared" ca="1" si="210"/>
        <v>0.66874544245811962</v>
      </c>
      <c r="X894" s="29">
        <f t="shared" ca="1" si="192"/>
        <v>232</v>
      </c>
      <c r="Z894" s="22">
        <v>45439</v>
      </c>
      <c r="AA894" s="26">
        <f t="shared" ca="1" si="211"/>
        <v>0.91501377365255576</v>
      </c>
      <c r="AB894" s="29">
        <f t="shared" ca="1" si="193"/>
        <v>295</v>
      </c>
      <c r="AC894"/>
      <c r="AD894" s="25"/>
      <c r="AF894" s="22">
        <v>45439</v>
      </c>
      <c r="AG894" s="26">
        <f t="shared" ca="1" si="212"/>
        <v>0.70505715527672075</v>
      </c>
      <c r="AH894" s="29">
        <f t="shared" ca="1" si="194"/>
        <v>375</v>
      </c>
      <c r="AJ894" s="22">
        <v>45439</v>
      </c>
      <c r="AK894" s="26">
        <f t="shared" ca="1" si="213"/>
        <v>0.50126663365621471</v>
      </c>
      <c r="AL894" s="29">
        <f t="shared" ca="1" si="195"/>
        <v>171</v>
      </c>
      <c r="AN894" s="22">
        <v>45439</v>
      </c>
      <c r="AO894" s="26">
        <f t="shared" ca="1" si="214"/>
        <v>0.37629496730598977</v>
      </c>
      <c r="AP894" s="29">
        <f t="shared" ca="1" si="196"/>
        <v>213</v>
      </c>
      <c r="AR894" s="22">
        <v>45439</v>
      </c>
      <c r="AS894" s="26">
        <f t="shared" ca="1" si="215"/>
        <v>4.8875728235667992E-2</v>
      </c>
      <c r="AT894" s="29">
        <f t="shared" ca="1" si="197"/>
        <v>111</v>
      </c>
      <c r="AV894" s="22">
        <v>45439</v>
      </c>
      <c r="AW894" s="26">
        <f t="shared" ca="1" si="216"/>
        <v>0.81481514416746481</v>
      </c>
      <c r="AX894" s="29">
        <f t="shared" ca="1" si="198"/>
        <v>255</v>
      </c>
      <c r="AZ894" s="22">
        <v>45439</v>
      </c>
      <c r="BA894" s="26">
        <f t="shared" ca="1" si="217"/>
        <v>0.62608059341913702</v>
      </c>
      <c r="BB894" s="29">
        <f t="shared" ca="1" si="199"/>
        <v>254</v>
      </c>
      <c r="BC894"/>
      <c r="BD894" s="25"/>
      <c r="BF894" s="22">
        <v>45439</v>
      </c>
      <c r="BG894" s="26">
        <f t="shared" ca="1" si="218"/>
        <v>1.9282536773552184E-2</v>
      </c>
      <c r="BH894" s="29">
        <f t="shared" ca="1" si="200"/>
        <v>90</v>
      </c>
      <c r="BJ894" s="22">
        <v>45439</v>
      </c>
      <c r="BK894" s="26">
        <f t="shared" ca="1" si="219"/>
        <v>0.85582727684808024</v>
      </c>
      <c r="BL894" s="29">
        <f t="shared" ca="1" si="201"/>
        <v>217</v>
      </c>
      <c r="BN894" s="22">
        <v>45439</v>
      </c>
      <c r="BO894" s="26">
        <f t="shared" ca="1" si="220"/>
        <v>0.30438665876160997</v>
      </c>
      <c r="BP894" s="29">
        <f t="shared" ca="1" si="202"/>
        <v>187</v>
      </c>
      <c r="BR894" s="22">
        <v>45439</v>
      </c>
      <c r="BS894" s="26">
        <f t="shared" ca="1" si="221"/>
        <v>0.89640597297975411</v>
      </c>
      <c r="BT894" s="29">
        <f t="shared" ca="1" si="203"/>
        <v>215</v>
      </c>
      <c r="BV894" s="22">
        <v>45439</v>
      </c>
      <c r="BW894" s="26">
        <f t="shared" ca="1" si="222"/>
        <v>0.68795907485093433</v>
      </c>
      <c r="BX894" s="29">
        <f t="shared" ca="1" si="204"/>
        <v>248</v>
      </c>
    </row>
    <row r="895" spans="2:76" ht="12.75" x14ac:dyDescent="0.2">
      <c r="B895" s="22">
        <v>45440</v>
      </c>
      <c r="C895" s="26">
        <f t="shared" ca="1" si="205"/>
        <v>0.92380263596681389</v>
      </c>
      <c r="D895" s="29">
        <f t="shared" ca="1" si="187"/>
        <v>104</v>
      </c>
      <c r="F895" s="22"/>
      <c r="G895" s="26">
        <f t="shared" ca="1" si="206"/>
        <v>4.6269802396393112E-2</v>
      </c>
      <c r="H895" s="29">
        <f t="shared" ca="1" si="188"/>
        <v>192</v>
      </c>
      <c r="J895" s="22">
        <v>45440</v>
      </c>
      <c r="K895" s="26">
        <f t="shared" ca="1" si="207"/>
        <v>0.52728644157899618</v>
      </c>
      <c r="L895" s="29">
        <f t="shared" ca="1" si="189"/>
        <v>151</v>
      </c>
      <c r="N895" s="22">
        <v>45440</v>
      </c>
      <c r="O895" s="26">
        <f t="shared" ca="1" si="208"/>
        <v>0.70186553511041561</v>
      </c>
      <c r="P895" s="29">
        <f t="shared" ca="1" si="190"/>
        <v>238</v>
      </c>
      <c r="R895" s="22">
        <v>45440</v>
      </c>
      <c r="S895" s="26">
        <f t="shared" ca="1" si="209"/>
        <v>0.19958180536093628</v>
      </c>
      <c r="T895" s="29">
        <f t="shared" ca="1" si="191"/>
        <v>131</v>
      </c>
      <c r="V895" s="22">
        <v>45440</v>
      </c>
      <c r="W895" s="26">
        <f t="shared" ca="1" si="210"/>
        <v>0.87453509599174217</v>
      </c>
      <c r="X895" s="29">
        <f t="shared" ca="1" si="192"/>
        <v>243</v>
      </c>
      <c r="Z895" s="22">
        <v>45440</v>
      </c>
      <c r="AA895" s="26">
        <f t="shared" ca="1" si="211"/>
        <v>0.26963728705260126</v>
      </c>
      <c r="AB895" s="29">
        <f t="shared" ca="1" si="193"/>
        <v>259</v>
      </c>
      <c r="AC895"/>
      <c r="AD895" s="25"/>
      <c r="AF895" s="22">
        <v>45440</v>
      </c>
      <c r="AG895" s="26">
        <f t="shared" ca="1" si="212"/>
        <v>0.20637113756932457</v>
      </c>
      <c r="AH895" s="29">
        <f t="shared" ca="1" si="194"/>
        <v>256</v>
      </c>
      <c r="AJ895" s="22">
        <v>45440</v>
      </c>
      <c r="AK895" s="26">
        <f t="shared" ca="1" si="213"/>
        <v>0.65242500745517473</v>
      </c>
      <c r="AL895" s="29">
        <f t="shared" ca="1" si="195"/>
        <v>189</v>
      </c>
      <c r="AN895" s="22">
        <v>45440</v>
      </c>
      <c r="AO895" s="26">
        <f t="shared" ca="1" si="214"/>
        <v>0.38430682456225218</v>
      </c>
      <c r="AP895" s="29">
        <f t="shared" ca="1" si="196"/>
        <v>214</v>
      </c>
      <c r="AR895" s="22">
        <v>45440</v>
      </c>
      <c r="AS895" s="26">
        <f t="shared" ca="1" si="215"/>
        <v>0.32274417099095498</v>
      </c>
      <c r="AT895" s="29">
        <f t="shared" ca="1" si="197"/>
        <v>174</v>
      </c>
      <c r="AV895" s="22">
        <v>45440</v>
      </c>
      <c r="AW895" s="26">
        <f t="shared" ca="1" si="216"/>
        <v>0.22680624354010326</v>
      </c>
      <c r="AX895" s="29">
        <f t="shared" ca="1" si="198"/>
        <v>165</v>
      </c>
      <c r="AZ895" s="22">
        <v>45440</v>
      </c>
      <c r="BA895" s="26">
        <f t="shared" ca="1" si="217"/>
        <v>0.69997133045086679</v>
      </c>
      <c r="BB895" s="29">
        <f t="shared" ca="1" si="199"/>
        <v>267</v>
      </c>
      <c r="BC895"/>
      <c r="BD895" s="25"/>
      <c r="BF895" s="22">
        <v>45440</v>
      </c>
      <c r="BG895" s="26">
        <f t="shared" ca="1" si="218"/>
        <v>0.87839200487323288</v>
      </c>
      <c r="BH895" s="29">
        <f t="shared" ca="1" si="200"/>
        <v>263</v>
      </c>
      <c r="BJ895" s="22">
        <v>45440</v>
      </c>
      <c r="BK895" s="26">
        <f t="shared" ca="1" si="219"/>
        <v>0.50626477465504172</v>
      </c>
      <c r="BL895" s="29">
        <f t="shared" ca="1" si="201"/>
        <v>170</v>
      </c>
      <c r="BN895" s="22">
        <v>45440</v>
      </c>
      <c r="BO895" s="26">
        <f t="shared" ca="1" si="220"/>
        <v>0.82150455457889171</v>
      </c>
      <c r="BP895" s="29">
        <f t="shared" ca="1" si="202"/>
        <v>269</v>
      </c>
      <c r="BR895" s="22">
        <v>45440</v>
      </c>
      <c r="BS895" s="26">
        <f t="shared" ca="1" si="221"/>
        <v>0.18299628373899646</v>
      </c>
      <c r="BT895" s="29">
        <f t="shared" ca="1" si="203"/>
        <v>122</v>
      </c>
      <c r="BV895" s="22">
        <v>45440</v>
      </c>
      <c r="BW895" s="26">
        <f t="shared" ca="1" si="222"/>
        <v>0.59849778260799646</v>
      </c>
      <c r="BX895" s="29">
        <f t="shared" ca="1" si="204"/>
        <v>234</v>
      </c>
    </row>
    <row r="896" spans="2:76" ht="12.75" x14ac:dyDescent="0.2">
      <c r="B896" s="22">
        <v>45441</v>
      </c>
      <c r="C896" s="26">
        <f t="shared" ca="1" si="205"/>
        <v>0.66060509940385737</v>
      </c>
      <c r="D896" s="29">
        <f t="shared" ca="1" si="187"/>
        <v>84</v>
      </c>
      <c r="F896" s="22"/>
      <c r="G896" s="26">
        <f t="shared" ca="1" si="206"/>
        <v>0.24011826534787384</v>
      </c>
      <c r="H896" s="29">
        <f t="shared" ca="1" si="188"/>
        <v>206</v>
      </c>
      <c r="J896" s="22">
        <v>45441</v>
      </c>
      <c r="K896" s="26">
        <f t="shared" ca="1" si="207"/>
        <v>0.99129107780773684</v>
      </c>
      <c r="L896" s="29">
        <f t="shared" ca="1" si="189"/>
        <v>174</v>
      </c>
      <c r="N896" s="22">
        <v>45441</v>
      </c>
      <c r="O896" s="26">
        <f t="shared" ca="1" si="208"/>
        <v>0.18160099262860652</v>
      </c>
      <c r="P896" s="29">
        <f t="shared" ca="1" si="190"/>
        <v>216</v>
      </c>
      <c r="R896" s="22">
        <v>45441</v>
      </c>
      <c r="S896" s="26">
        <f t="shared" ca="1" si="209"/>
        <v>0.70141000125408248</v>
      </c>
      <c r="T896" s="29">
        <f t="shared" ca="1" si="191"/>
        <v>144</v>
      </c>
      <c r="V896" s="22">
        <v>45441</v>
      </c>
      <c r="W896" s="26">
        <f t="shared" ca="1" si="210"/>
        <v>5.7213747602482878E-2</v>
      </c>
      <c r="X896" s="29">
        <f t="shared" ca="1" si="192"/>
        <v>202</v>
      </c>
      <c r="Z896" s="22">
        <v>45441</v>
      </c>
      <c r="AA896" s="26">
        <f t="shared" ca="1" si="211"/>
        <v>0.65257957174427927</v>
      </c>
      <c r="AB896" s="29">
        <f t="shared" ca="1" si="193"/>
        <v>278</v>
      </c>
      <c r="AC896"/>
      <c r="AD896" s="25"/>
      <c r="AF896" s="22">
        <v>45441</v>
      </c>
      <c r="AG896" s="26">
        <f t="shared" ca="1" si="212"/>
        <v>0.54479086146535749</v>
      </c>
      <c r="AH896" s="29">
        <f t="shared" ca="1" si="194"/>
        <v>337</v>
      </c>
      <c r="AJ896" s="22">
        <v>45441</v>
      </c>
      <c r="AK896" s="26">
        <f t="shared" ca="1" si="213"/>
        <v>0.73907514145735154</v>
      </c>
      <c r="AL896" s="29">
        <f t="shared" ca="1" si="195"/>
        <v>200</v>
      </c>
      <c r="AN896" s="22">
        <v>45441</v>
      </c>
      <c r="AO896" s="26">
        <f t="shared" ca="1" si="214"/>
        <v>0.58253418878942731</v>
      </c>
      <c r="AP896" s="29">
        <f t="shared" ca="1" si="196"/>
        <v>245</v>
      </c>
      <c r="AR896" s="22">
        <v>45441</v>
      </c>
      <c r="AS896" s="26">
        <f t="shared" ca="1" si="215"/>
        <v>0.56362287223764296</v>
      </c>
      <c r="AT896" s="29">
        <f t="shared" ca="1" si="197"/>
        <v>207</v>
      </c>
      <c r="AV896" s="22">
        <v>45441</v>
      </c>
      <c r="AW896" s="26">
        <f t="shared" ca="1" si="216"/>
        <v>0.39209312616405378</v>
      </c>
      <c r="AX896" s="29">
        <f t="shared" ca="1" si="198"/>
        <v>191</v>
      </c>
      <c r="AZ896" s="22">
        <v>45441</v>
      </c>
      <c r="BA896" s="26">
        <f t="shared" ca="1" si="217"/>
        <v>0.83606534270945931</v>
      </c>
      <c r="BB896" s="29">
        <f t="shared" ca="1" si="199"/>
        <v>295</v>
      </c>
      <c r="BC896"/>
      <c r="BD896" s="25"/>
      <c r="BF896" s="22">
        <v>45441</v>
      </c>
      <c r="BG896" s="26">
        <f t="shared" ca="1" si="218"/>
        <v>0.34275167034732934</v>
      </c>
      <c r="BH896" s="29">
        <f t="shared" ca="1" si="200"/>
        <v>179</v>
      </c>
      <c r="BJ896" s="22">
        <v>45441</v>
      </c>
      <c r="BK896" s="26">
        <f t="shared" ca="1" si="219"/>
        <v>0.78841501946090953</v>
      </c>
      <c r="BL896" s="29">
        <f t="shared" ca="1" si="201"/>
        <v>205</v>
      </c>
      <c r="BN896" s="22">
        <v>45441</v>
      </c>
      <c r="BO896" s="26">
        <f t="shared" ca="1" si="220"/>
        <v>0.2700663498135345</v>
      </c>
      <c r="BP896" s="29">
        <f t="shared" ca="1" si="202"/>
        <v>181</v>
      </c>
      <c r="BR896" s="22">
        <v>45441</v>
      </c>
      <c r="BS896" s="26">
        <f t="shared" ca="1" si="221"/>
        <v>0.28774674655164889</v>
      </c>
      <c r="BT896" s="29">
        <f t="shared" ca="1" si="203"/>
        <v>137</v>
      </c>
      <c r="BV896" s="22">
        <v>45441</v>
      </c>
      <c r="BW896" s="26">
        <f t="shared" ca="1" si="222"/>
        <v>0.62259127401367242</v>
      </c>
      <c r="BX896" s="29">
        <f t="shared" ca="1" si="204"/>
        <v>238</v>
      </c>
    </row>
    <row r="897" spans="2:77" ht="12.75" x14ac:dyDescent="0.2">
      <c r="B897" s="22">
        <v>45442</v>
      </c>
      <c r="C897" s="26">
        <f t="shared" ca="1" si="205"/>
        <v>0.18188608057625932</v>
      </c>
      <c r="D897" s="29">
        <f t="shared" ca="1" si="187"/>
        <v>57</v>
      </c>
      <c r="F897" s="22"/>
      <c r="G897" s="26">
        <f t="shared" ca="1" si="206"/>
        <v>0.46646665165721646</v>
      </c>
      <c r="H897" s="29">
        <f t="shared" ca="1" si="188"/>
        <v>215</v>
      </c>
      <c r="J897" s="22">
        <v>45442</v>
      </c>
      <c r="K897" s="26">
        <f t="shared" ca="1" si="207"/>
        <v>0.60404516288308452</v>
      </c>
      <c r="L897" s="29">
        <f t="shared" ca="1" si="189"/>
        <v>153</v>
      </c>
      <c r="N897" s="22">
        <v>45442</v>
      </c>
      <c r="O897" s="26">
        <f t="shared" ca="1" si="208"/>
        <v>0.43066010891936413</v>
      </c>
      <c r="P897" s="29">
        <f t="shared" ca="1" si="190"/>
        <v>227</v>
      </c>
      <c r="R897" s="22">
        <v>45442</v>
      </c>
      <c r="S897" s="26">
        <f t="shared" ca="1" si="209"/>
        <v>0.92211495929200116</v>
      </c>
      <c r="T897" s="29">
        <f t="shared" ca="1" si="191"/>
        <v>152</v>
      </c>
      <c r="V897" s="22">
        <v>45442</v>
      </c>
      <c r="W897" s="26">
        <f t="shared" ca="1" si="210"/>
        <v>0.52598626693874484</v>
      </c>
      <c r="X897" s="29">
        <f t="shared" ca="1" si="192"/>
        <v>226</v>
      </c>
      <c r="Z897" s="22">
        <v>45442</v>
      </c>
      <c r="AA897" s="26">
        <f t="shared" ca="1" si="211"/>
        <v>0.96969272761275283</v>
      </c>
      <c r="AB897" s="29">
        <f t="shared" ca="1" si="193"/>
        <v>304</v>
      </c>
      <c r="AC897"/>
      <c r="AD897" s="25"/>
      <c r="AF897" s="22">
        <v>45442</v>
      </c>
      <c r="AG897" s="26">
        <f t="shared" ca="1" si="212"/>
        <v>0.54059399001949526</v>
      </c>
      <c r="AH897" s="29">
        <f t="shared" ca="1" si="194"/>
        <v>336</v>
      </c>
      <c r="AJ897" s="22">
        <v>45442</v>
      </c>
      <c r="AK897" s="26">
        <f t="shared" ca="1" si="213"/>
        <v>0.81843818326910411</v>
      </c>
      <c r="AL897" s="29">
        <f t="shared" ca="1" si="195"/>
        <v>212</v>
      </c>
      <c r="AN897" s="22">
        <v>45442</v>
      </c>
      <c r="AO897" s="26">
        <f t="shared" ca="1" si="214"/>
        <v>0.43121176400007</v>
      </c>
      <c r="AP897" s="29">
        <f t="shared" ca="1" si="196"/>
        <v>222</v>
      </c>
      <c r="AR897" s="22">
        <v>45442</v>
      </c>
      <c r="AS897" s="26">
        <f t="shared" ca="1" si="215"/>
        <v>0.79594179929788744</v>
      </c>
      <c r="AT897" s="29">
        <f t="shared" ca="1" si="197"/>
        <v>242</v>
      </c>
      <c r="AV897" s="22">
        <v>45442</v>
      </c>
      <c r="AW897" s="26">
        <f t="shared" ca="1" si="216"/>
        <v>0.57603786478124253</v>
      </c>
      <c r="AX897" s="29">
        <f t="shared" ca="1" si="198"/>
        <v>217</v>
      </c>
      <c r="AZ897" s="22">
        <v>45442</v>
      </c>
      <c r="BA897" s="26">
        <f t="shared" ca="1" si="217"/>
        <v>0.67052623944371192</v>
      </c>
      <c r="BB897" s="29">
        <f t="shared" ca="1" si="199"/>
        <v>262</v>
      </c>
      <c r="BC897"/>
      <c r="BD897" s="25"/>
      <c r="BF897" s="22">
        <v>45442</v>
      </c>
      <c r="BG897" s="26">
        <f t="shared" ca="1" si="218"/>
        <v>0.73351455991467718</v>
      </c>
      <c r="BH897" s="29">
        <f t="shared" ca="1" si="200"/>
        <v>234</v>
      </c>
      <c r="BJ897" s="22">
        <v>45442</v>
      </c>
      <c r="BK897" s="26">
        <f t="shared" ca="1" si="219"/>
        <v>0.1332471926606873</v>
      </c>
      <c r="BL897" s="29">
        <f t="shared" ca="1" si="201"/>
        <v>119</v>
      </c>
      <c r="BN897" s="22">
        <v>45442</v>
      </c>
      <c r="BO897" s="26">
        <f t="shared" ca="1" si="220"/>
        <v>0.1389515061192117</v>
      </c>
      <c r="BP897" s="29">
        <f t="shared" ca="1" si="202"/>
        <v>154</v>
      </c>
      <c r="BR897" s="22">
        <v>45442</v>
      </c>
      <c r="BS897" s="26">
        <f t="shared" ca="1" si="221"/>
        <v>0.11166151949627501</v>
      </c>
      <c r="BT897" s="29">
        <f t="shared" ca="1" si="203"/>
        <v>109</v>
      </c>
      <c r="BV897" s="22">
        <v>45442</v>
      </c>
      <c r="BW897" s="26">
        <f t="shared" ca="1" si="222"/>
        <v>0.95067102008830151</v>
      </c>
      <c r="BX897" s="29">
        <f t="shared" ca="1" si="204"/>
        <v>316</v>
      </c>
    </row>
    <row r="898" spans="2:77" ht="12.75" x14ac:dyDescent="0.2">
      <c r="B898" s="22">
        <v>45443</v>
      </c>
      <c r="C898" s="26">
        <f t="shared" ca="1" si="205"/>
        <v>0.61644720662727592</v>
      </c>
      <c r="D898" s="29">
        <f t="shared" ca="1" si="187"/>
        <v>81</v>
      </c>
      <c r="E898">
        <v>2366</v>
      </c>
      <c r="F898" s="22"/>
      <c r="G898" s="26">
        <f t="shared" ca="1" si="206"/>
        <v>0.78732174451688341</v>
      </c>
      <c r="H898" s="29">
        <f t="shared" ca="1" si="188"/>
        <v>227</v>
      </c>
      <c r="I898">
        <v>2311</v>
      </c>
      <c r="J898" s="22">
        <v>45443</v>
      </c>
      <c r="K898" s="26">
        <f t="shared" ca="1" si="207"/>
        <v>0.97543757045182133</v>
      </c>
      <c r="L898" s="29">
        <f t="shared" ca="1" si="189"/>
        <v>170</v>
      </c>
      <c r="M898">
        <v>4611</v>
      </c>
      <c r="N898" s="22">
        <v>45443</v>
      </c>
      <c r="O898" s="26">
        <f t="shared" ca="1" si="208"/>
        <v>8.6205621212716133E-2</v>
      </c>
      <c r="P898" s="29">
        <f t="shared" ca="1" si="190"/>
        <v>209</v>
      </c>
      <c r="Q898">
        <v>7093</v>
      </c>
      <c r="R898" s="22">
        <v>45443</v>
      </c>
      <c r="S898" s="26">
        <f t="shared" ca="1" si="209"/>
        <v>5.4470671065974807E-2</v>
      </c>
      <c r="T898" s="29">
        <f t="shared" ca="1" si="191"/>
        <v>124</v>
      </c>
      <c r="U898">
        <v>4371</v>
      </c>
      <c r="V898" s="22">
        <v>45443</v>
      </c>
      <c r="W898" s="26">
        <f t="shared" ca="1" si="210"/>
        <v>0.56520747550095096</v>
      </c>
      <c r="X898" s="29">
        <f t="shared" ca="1" si="192"/>
        <v>228</v>
      </c>
      <c r="Y898">
        <v>6959</v>
      </c>
      <c r="Z898" s="22">
        <v>45443</v>
      </c>
      <c r="AA898" s="26">
        <f t="shared" ca="1" si="211"/>
        <v>0.46431809107305011</v>
      </c>
      <c r="AB898" s="29">
        <f t="shared" ca="1" si="193"/>
        <v>269</v>
      </c>
      <c r="AC898">
        <v>8412</v>
      </c>
      <c r="AD898" s="25"/>
      <c r="AF898" s="22">
        <v>45443</v>
      </c>
      <c r="AG898" s="26">
        <f t="shared" ca="1" si="212"/>
        <v>0.51867435443560084</v>
      </c>
      <c r="AH898" s="29">
        <f t="shared" ca="1" si="194"/>
        <v>332</v>
      </c>
      <c r="AI898">
        <v>11352</v>
      </c>
      <c r="AJ898" s="22">
        <v>45443</v>
      </c>
      <c r="AK898" s="26">
        <f t="shared" ca="1" si="213"/>
        <v>6.8561104465160061E-2</v>
      </c>
      <c r="AL898" s="29">
        <f t="shared" ca="1" si="195"/>
        <v>103</v>
      </c>
      <c r="AM898">
        <v>5911</v>
      </c>
      <c r="AN898" s="22">
        <v>45443</v>
      </c>
      <c r="AO898" s="26">
        <f t="shared" ca="1" si="214"/>
        <v>0.82156413632889724</v>
      </c>
      <c r="AP898" s="29">
        <f t="shared" ca="1" si="196"/>
        <v>290</v>
      </c>
      <c r="AQ898">
        <v>4756</v>
      </c>
      <c r="AR898" s="22">
        <v>45443</v>
      </c>
      <c r="AS898" s="26">
        <f t="shared" ca="1" si="215"/>
        <v>0.18462586310705675</v>
      </c>
      <c r="AT898" s="29">
        <f t="shared" ca="1" si="197"/>
        <v>151</v>
      </c>
      <c r="AU898">
        <v>6275</v>
      </c>
      <c r="AV898" s="22">
        <v>45443</v>
      </c>
      <c r="AW898" s="26">
        <f t="shared" ca="1" si="216"/>
        <v>0.6573217716637979</v>
      </c>
      <c r="AX898" s="29">
        <f t="shared" ca="1" si="198"/>
        <v>228</v>
      </c>
      <c r="AY898">
        <v>6063</v>
      </c>
      <c r="AZ898" s="22">
        <v>45443</v>
      </c>
      <c r="BA898" s="26">
        <f t="shared" ca="1" si="217"/>
        <v>0.3228747708771571</v>
      </c>
      <c r="BB898" s="29">
        <f t="shared" ca="1" si="199"/>
        <v>205</v>
      </c>
      <c r="BC898">
        <v>5540</v>
      </c>
      <c r="BD898" s="25"/>
      <c r="BF898" s="22">
        <v>45443</v>
      </c>
      <c r="BG898" s="26">
        <f t="shared" ca="1" si="218"/>
        <v>0.26281533236453758</v>
      </c>
      <c r="BH898" s="29">
        <f t="shared" ca="1" si="200"/>
        <v>167</v>
      </c>
      <c r="BI898">
        <v>4954</v>
      </c>
      <c r="BJ898" s="22">
        <v>45443</v>
      </c>
      <c r="BK898" s="26">
        <f t="shared" ca="1" si="219"/>
        <v>0.488768093977342</v>
      </c>
      <c r="BL898" s="29">
        <f t="shared" ca="1" si="201"/>
        <v>168</v>
      </c>
      <c r="BM898">
        <v>5222</v>
      </c>
      <c r="BN898" s="22">
        <v>45443</v>
      </c>
      <c r="BO898" s="26">
        <f t="shared" ca="1" si="220"/>
        <v>0.94684610764449528</v>
      </c>
      <c r="BP898" s="29">
        <f t="shared" ca="1" si="202"/>
        <v>309</v>
      </c>
      <c r="BQ898">
        <v>4462</v>
      </c>
      <c r="BR898" s="22">
        <v>45443</v>
      </c>
      <c r="BS898" s="26">
        <f t="shared" ca="1" si="221"/>
        <v>0.8054980922762045</v>
      </c>
      <c r="BT898" s="29">
        <f t="shared" ca="1" si="203"/>
        <v>198</v>
      </c>
      <c r="BU898">
        <v>5049</v>
      </c>
      <c r="BV898" s="22">
        <v>45443</v>
      </c>
      <c r="BW898" s="26">
        <f t="shared" ca="1" si="222"/>
        <v>0.18578548951659202</v>
      </c>
      <c r="BX898" s="29">
        <f t="shared" ca="1" si="204"/>
        <v>168</v>
      </c>
      <c r="BY898">
        <v>4887</v>
      </c>
    </row>
    <row r="899" spans="2:77" ht="12.75" x14ac:dyDescent="0.2">
      <c r="B899" s="22">
        <v>45444</v>
      </c>
      <c r="C899" s="26">
        <f t="shared" ca="1" si="205"/>
        <v>0.80733333581430389</v>
      </c>
      <c r="D899" s="29">
        <f ca="1">ROUNDUP(_xlfn.NORM.INV(C898,C$10,C$12),0)</f>
        <v>81</v>
      </c>
      <c r="F899" s="22"/>
      <c r="G899" s="26">
        <f t="shared" ca="1" si="206"/>
        <v>0.97927965625620617</v>
      </c>
      <c r="H899" s="29">
        <f ca="1">ROUNDUP(_xlfn.NORM.INV(G898,G$10,G$12),0)</f>
        <v>227</v>
      </c>
      <c r="I899">
        <v>0</v>
      </c>
      <c r="J899" s="22">
        <v>45444</v>
      </c>
      <c r="K899" s="26">
        <f t="shared" ca="1" si="207"/>
        <v>0.89726631871604468</v>
      </c>
      <c r="L899" s="29">
        <f ca="1">ROUNDUP(_xlfn.NORM.INV(K898,K$10,K$12),0)</f>
        <v>170</v>
      </c>
      <c r="N899" s="22">
        <v>45444</v>
      </c>
      <c r="O899" s="26">
        <f t="shared" ca="1" si="208"/>
        <v>0.37027879281595166</v>
      </c>
      <c r="P899" s="29">
        <f ca="1">ROUNDUP(_xlfn.NORM.INV(O898,O$10,O$12),0)</f>
        <v>209</v>
      </c>
      <c r="R899" s="22">
        <v>45444</v>
      </c>
      <c r="S899" s="26">
        <f t="shared" ca="1" si="209"/>
        <v>0.43863036745155781</v>
      </c>
      <c r="T899" s="29">
        <f ca="1">ROUNDUP(_xlfn.NORM.INV(S898,S$10,S$12),0)</f>
        <v>124</v>
      </c>
      <c r="V899" s="22">
        <v>45444</v>
      </c>
      <c r="W899" s="26">
        <f t="shared" ca="1" si="210"/>
        <v>0.36427868155558496</v>
      </c>
      <c r="X899" s="29">
        <f ca="1">ROUNDUP(_xlfn.NORM.INV(W898,W$10,W$12),0)</f>
        <v>228</v>
      </c>
      <c r="Z899" s="22">
        <v>45444</v>
      </c>
      <c r="AA899" s="26">
        <f t="shared" ca="1" si="211"/>
        <v>0.15201244793581681</v>
      </c>
      <c r="AB899" s="29">
        <f ca="1">ROUNDUP(_xlfn.NORM.INV(AA898,AA$10,AA$12),0)</f>
        <v>269</v>
      </c>
      <c r="AC899"/>
      <c r="AD899" s="25"/>
      <c r="AF899" s="22">
        <v>45444</v>
      </c>
      <c r="AG899" s="26">
        <f t="shared" ca="1" si="212"/>
        <v>0.80171600206292559</v>
      </c>
      <c r="AH899" s="29">
        <f ca="1">ROUNDUP(_xlfn.NORM.INV(AG898,AG$10,AG$12),0)</f>
        <v>332</v>
      </c>
      <c r="AJ899" s="22">
        <v>45444</v>
      </c>
      <c r="AK899" s="26">
        <f t="shared" ca="1" si="213"/>
        <v>0.73677092709014935</v>
      </c>
      <c r="AL899" s="29">
        <f ca="1">ROUNDUP(_xlfn.NORM.INV(AK898,AK$10,AK$12),0)</f>
        <v>103</v>
      </c>
      <c r="AN899" s="22">
        <v>45444</v>
      </c>
      <c r="AO899" s="26">
        <f t="shared" ca="1" si="214"/>
        <v>0.28314366491676768</v>
      </c>
      <c r="AP899" s="29">
        <f ca="1">ROUNDUP(_xlfn.NORM.INV(AO898,AO$10,AO$12),0)</f>
        <v>290</v>
      </c>
      <c r="AR899" s="22">
        <v>45444</v>
      </c>
      <c r="AS899" s="26">
        <f t="shared" ca="1" si="215"/>
        <v>0.56589750305481701</v>
      </c>
      <c r="AT899" s="29">
        <f ca="1">ROUNDUP(_xlfn.NORM.INV(AS898,AS$10,AS$12),0)</f>
        <v>151</v>
      </c>
      <c r="AV899" s="22">
        <v>45444</v>
      </c>
      <c r="AW899" s="26">
        <f t="shared" ca="1" si="216"/>
        <v>0.65420558526049799</v>
      </c>
      <c r="AX899" s="29">
        <f ca="1">ROUNDUP(_xlfn.NORM.INV(AW898,AW$10,AW$12),0)</f>
        <v>228</v>
      </c>
      <c r="AZ899" s="22">
        <v>45444</v>
      </c>
      <c r="BA899" s="26">
        <f t="shared" ca="1" si="217"/>
        <v>0.90007412731907266</v>
      </c>
      <c r="BB899" s="29">
        <f ca="1">ROUNDUP(_xlfn.NORM.INV(BA898,BA$10,BA$12),0)</f>
        <v>205</v>
      </c>
      <c r="BC899"/>
      <c r="BD899" s="25"/>
      <c r="BF899" s="22">
        <v>45444</v>
      </c>
      <c r="BG899" s="26">
        <f t="shared" ca="1" si="218"/>
        <v>0.44373310657773746</v>
      </c>
      <c r="BH899" s="29">
        <f ca="1">ROUNDUP(_xlfn.NORM.INV(BG898,BG$10,BG$12),0)</f>
        <v>167</v>
      </c>
      <c r="BJ899" s="22">
        <v>45444</v>
      </c>
      <c r="BK899" s="26">
        <f t="shared" ca="1" si="219"/>
        <v>0.16709389372947403</v>
      </c>
      <c r="BL899" s="29">
        <f ca="1">ROUNDUP(_xlfn.NORM.INV(BK898,BK$10,BK$12),0)</f>
        <v>168</v>
      </c>
      <c r="BN899" s="22">
        <v>45444</v>
      </c>
      <c r="BO899" s="26">
        <f t="shared" ca="1" si="220"/>
        <v>0.23591754236694462</v>
      </c>
      <c r="BP899" s="29">
        <f ca="1">ROUNDUP(_xlfn.NORM.INV(BO898,BO$10,BO$12),0)</f>
        <v>309</v>
      </c>
      <c r="BR899" s="22">
        <v>45444</v>
      </c>
      <c r="BS899" s="26">
        <f t="shared" ca="1" si="221"/>
        <v>0.97197612355415763</v>
      </c>
      <c r="BT899" s="29">
        <f ca="1">ROUNDUP(_xlfn.NORM.INV(BS898,BS$10,BS$12),0)</f>
        <v>198</v>
      </c>
      <c r="BV899" s="22">
        <v>45444</v>
      </c>
      <c r="BW899" s="26">
        <f t="shared" ca="1" si="222"/>
        <v>0.74649257614047093</v>
      </c>
      <c r="BX899" s="29">
        <f ca="1">ROUNDUP(_xlfn.NORM.INV(BW898,BW$10,BW$12),0)</f>
        <v>168</v>
      </c>
    </row>
    <row r="900" spans="2:77" ht="12.75" x14ac:dyDescent="0.2">
      <c r="B900" s="22">
        <v>45445</v>
      </c>
      <c r="C900" s="26">
        <f t="shared" ca="1" si="205"/>
        <v>0.8014183663148311</v>
      </c>
      <c r="D900" s="29">
        <f t="shared" ca="1" si="187"/>
        <v>92</v>
      </c>
      <c r="F900" s="22"/>
      <c r="G900" s="26">
        <f t="shared" ca="1" si="206"/>
        <v>0.39292539473110444</v>
      </c>
      <c r="H900" s="29">
        <f t="shared" ca="1" si="188"/>
        <v>212</v>
      </c>
      <c r="J900" s="22">
        <v>45445</v>
      </c>
      <c r="K900" s="26">
        <f t="shared" ca="1" si="207"/>
        <v>0.27459858306547313</v>
      </c>
      <c r="L900" s="29">
        <f t="shared" ca="1" si="189"/>
        <v>145</v>
      </c>
      <c r="N900" s="22">
        <v>45445</v>
      </c>
      <c r="O900" s="26">
        <f t="shared" ca="1" si="208"/>
        <v>0.42185340717332531</v>
      </c>
      <c r="P900" s="29">
        <f t="shared" ca="1" si="190"/>
        <v>227</v>
      </c>
      <c r="R900" s="22">
        <v>45445</v>
      </c>
      <c r="S900" s="26">
        <f t="shared" ca="1" si="209"/>
        <v>0.35116369042321827</v>
      </c>
      <c r="T900" s="29">
        <f t="shared" ca="1" si="191"/>
        <v>136</v>
      </c>
      <c r="V900" s="22">
        <v>45445</v>
      </c>
      <c r="W900" s="26">
        <f t="shared" ca="1" si="210"/>
        <v>0.97772208526237558</v>
      </c>
      <c r="X900" s="29">
        <f t="shared" ca="1" si="192"/>
        <v>256</v>
      </c>
      <c r="Z900" s="22">
        <v>45445</v>
      </c>
      <c r="AA900" s="26">
        <f t="shared" ca="1" si="211"/>
        <v>0.97892717838695853</v>
      </c>
      <c r="AB900" s="29">
        <f t="shared" ca="1" si="193"/>
        <v>307</v>
      </c>
      <c r="AC900"/>
      <c r="AD900" s="25"/>
      <c r="AF900" s="22">
        <v>45445</v>
      </c>
      <c r="AG900" s="26">
        <f t="shared" ca="1" si="212"/>
        <v>0.99210784439108524</v>
      </c>
      <c r="AH900" s="29">
        <f t="shared" ca="1" si="194"/>
        <v>538</v>
      </c>
      <c r="AJ900" s="22">
        <v>45445</v>
      </c>
      <c r="AK900" s="26">
        <f t="shared" ca="1" si="213"/>
        <v>0.93708027830522267</v>
      </c>
      <c r="AL900" s="29">
        <f t="shared" ca="1" si="195"/>
        <v>240</v>
      </c>
      <c r="AN900" s="22">
        <v>45445</v>
      </c>
      <c r="AO900" s="26">
        <f t="shared" ca="1" si="214"/>
        <v>0.18965910000134822</v>
      </c>
      <c r="AP900" s="29">
        <f t="shared" ca="1" si="196"/>
        <v>178</v>
      </c>
      <c r="AR900" s="22">
        <v>45445</v>
      </c>
      <c r="AS900" s="26">
        <f t="shared" ca="1" si="215"/>
        <v>0.48395612733280191</v>
      </c>
      <c r="AT900" s="29">
        <f t="shared" ca="1" si="197"/>
        <v>196</v>
      </c>
      <c r="AV900" s="22">
        <v>45445</v>
      </c>
      <c r="AW900" s="26">
        <f t="shared" ca="1" si="216"/>
        <v>0.33121835161578617</v>
      </c>
      <c r="AX900" s="29">
        <f t="shared" ca="1" si="198"/>
        <v>182</v>
      </c>
      <c r="AZ900" s="22">
        <v>45445</v>
      </c>
      <c r="BA900" s="26">
        <f t="shared" ca="1" si="217"/>
        <v>0.21314223222871542</v>
      </c>
      <c r="BB900" s="29">
        <f t="shared" ca="1" si="199"/>
        <v>185</v>
      </c>
      <c r="BC900"/>
      <c r="BD900" s="25"/>
      <c r="BF900" s="22">
        <v>45445</v>
      </c>
      <c r="BG900" s="26">
        <f t="shared" ca="1" si="218"/>
        <v>0.69929495023031918</v>
      </c>
      <c r="BH900" s="29">
        <f t="shared" ca="1" si="200"/>
        <v>229</v>
      </c>
      <c r="BJ900" s="22">
        <v>45445</v>
      </c>
      <c r="BK900" s="26">
        <f t="shared" ca="1" si="219"/>
        <v>0.46830524054294587</v>
      </c>
      <c r="BL900" s="29">
        <f t="shared" ca="1" si="201"/>
        <v>166</v>
      </c>
      <c r="BN900" s="22">
        <v>45445</v>
      </c>
      <c r="BO900" s="26">
        <f t="shared" ca="1" si="220"/>
        <v>0.66305805726231748</v>
      </c>
      <c r="BP900" s="29">
        <f t="shared" ca="1" si="202"/>
        <v>240</v>
      </c>
      <c r="BR900" s="22">
        <v>45445</v>
      </c>
      <c r="BS900" s="26">
        <f t="shared" ca="1" si="221"/>
        <v>0.41618859920414109</v>
      </c>
      <c r="BT900" s="29">
        <f t="shared" ca="1" si="203"/>
        <v>152</v>
      </c>
      <c r="BV900" s="22">
        <v>45445</v>
      </c>
      <c r="BW900" s="26">
        <f t="shared" ca="1" si="222"/>
        <v>0.36075558460001766</v>
      </c>
      <c r="BX900" s="29">
        <f t="shared" ca="1" si="204"/>
        <v>199</v>
      </c>
    </row>
    <row r="901" spans="2:77" ht="12.75" x14ac:dyDescent="0.2">
      <c r="B901" s="22">
        <v>45446</v>
      </c>
      <c r="C901" s="26">
        <f t="shared" ca="1" si="205"/>
        <v>0.69358080610606365</v>
      </c>
      <c r="D901" s="29">
        <f t="shared" ca="1" si="187"/>
        <v>86</v>
      </c>
      <c r="F901" s="22"/>
      <c r="G901" s="26">
        <f t="shared" ca="1" si="206"/>
        <v>6.8901828888187855E-2</v>
      </c>
      <c r="H901" s="29">
        <f t="shared" ca="1" si="188"/>
        <v>195</v>
      </c>
      <c r="J901" s="22">
        <v>45446</v>
      </c>
      <c r="K901" s="26">
        <f t="shared" ca="1" si="207"/>
        <v>0.86492490521993237</v>
      </c>
      <c r="L901" s="29">
        <f t="shared" ca="1" si="189"/>
        <v>162</v>
      </c>
      <c r="N901" s="22">
        <v>45446</v>
      </c>
      <c r="O901" s="26">
        <f t="shared" ca="1" si="208"/>
        <v>6.8809854613880783E-2</v>
      </c>
      <c r="P901" s="29">
        <f t="shared" ca="1" si="190"/>
        <v>207</v>
      </c>
      <c r="R901" s="22">
        <v>45446</v>
      </c>
      <c r="S901" s="26">
        <f t="shared" ca="1" si="209"/>
        <v>0.50508700348772539</v>
      </c>
      <c r="T901" s="29">
        <f t="shared" ca="1" si="191"/>
        <v>139</v>
      </c>
      <c r="V901" s="22">
        <v>45446</v>
      </c>
      <c r="W901" s="26">
        <f t="shared" ca="1" si="210"/>
        <v>0.8478256090537134</v>
      </c>
      <c r="X901" s="29">
        <f t="shared" ca="1" si="192"/>
        <v>241</v>
      </c>
      <c r="Z901" s="22">
        <v>45446</v>
      </c>
      <c r="AA901" s="26">
        <f t="shared" ca="1" si="211"/>
        <v>0.60625060042474599</v>
      </c>
      <c r="AB901" s="29">
        <f t="shared" ca="1" si="193"/>
        <v>275</v>
      </c>
      <c r="AC901"/>
      <c r="AD901" s="25"/>
      <c r="AF901" s="22">
        <v>45446</v>
      </c>
      <c r="AG901" s="26">
        <f t="shared" ca="1" si="212"/>
        <v>0.8113009984629439</v>
      </c>
      <c r="AH901" s="29">
        <f t="shared" ca="1" si="194"/>
        <v>404</v>
      </c>
      <c r="AJ901" s="22">
        <v>45446</v>
      </c>
      <c r="AK901" s="26">
        <f t="shared" ca="1" si="213"/>
        <v>0.38234495264874302</v>
      </c>
      <c r="AL901" s="29">
        <f t="shared" ca="1" si="195"/>
        <v>157</v>
      </c>
      <c r="AN901" s="22">
        <v>45446</v>
      </c>
      <c r="AO901" s="26">
        <f t="shared" ca="1" si="214"/>
        <v>0.55100286271983201</v>
      </c>
      <c r="AP901" s="29">
        <f t="shared" ca="1" si="196"/>
        <v>240</v>
      </c>
      <c r="AR901" s="22">
        <v>45446</v>
      </c>
      <c r="AS901" s="26">
        <f t="shared" ca="1" si="215"/>
        <v>0.5770248424684904</v>
      </c>
      <c r="AT901" s="29">
        <f t="shared" ca="1" si="197"/>
        <v>209</v>
      </c>
      <c r="AV901" s="22">
        <v>45446</v>
      </c>
      <c r="AW901" s="26">
        <f t="shared" ca="1" si="216"/>
        <v>0.15394559496945626</v>
      </c>
      <c r="AX901" s="29">
        <f t="shared" ca="1" si="198"/>
        <v>150</v>
      </c>
      <c r="AZ901" s="22">
        <v>45446</v>
      </c>
      <c r="BA901" s="26">
        <f t="shared" ca="1" si="217"/>
        <v>0.49173325153454717</v>
      </c>
      <c r="BB901" s="29">
        <f t="shared" ca="1" si="199"/>
        <v>233</v>
      </c>
      <c r="BC901"/>
      <c r="BD901" s="25"/>
      <c r="BF901" s="22">
        <v>45446</v>
      </c>
      <c r="BG901" s="26">
        <f t="shared" ca="1" si="218"/>
        <v>0.74040331920624414</v>
      </c>
      <c r="BH901" s="29">
        <f t="shared" ca="1" si="200"/>
        <v>236</v>
      </c>
      <c r="BJ901" s="22">
        <v>45446</v>
      </c>
      <c r="BK901" s="26">
        <f t="shared" ca="1" si="219"/>
        <v>0.38595210626002829</v>
      </c>
      <c r="BL901" s="29">
        <f t="shared" ca="1" si="201"/>
        <v>156</v>
      </c>
      <c r="BN901" s="22">
        <v>45446</v>
      </c>
      <c r="BO901" s="26">
        <f t="shared" ca="1" si="220"/>
        <v>0.69632444851754605</v>
      </c>
      <c r="BP901" s="29">
        <f t="shared" ca="1" si="202"/>
        <v>246</v>
      </c>
      <c r="BR901" s="22">
        <v>45446</v>
      </c>
      <c r="BS901" s="26">
        <f t="shared" ca="1" si="221"/>
        <v>0.47115378268571473</v>
      </c>
      <c r="BT901" s="29">
        <f t="shared" ca="1" si="203"/>
        <v>158</v>
      </c>
      <c r="BV901" s="22">
        <v>45446</v>
      </c>
      <c r="BW901" s="26">
        <f t="shared" ca="1" si="222"/>
        <v>0.63891358308863455</v>
      </c>
      <c r="BX901" s="29">
        <f t="shared" ca="1" si="204"/>
        <v>241</v>
      </c>
    </row>
    <row r="902" spans="2:77" ht="12.75" x14ac:dyDescent="0.2">
      <c r="B902" s="22">
        <v>45447</v>
      </c>
      <c r="C902" s="26">
        <f t="shared" ca="1" si="205"/>
        <v>0.85453816064996602</v>
      </c>
      <c r="D902" s="29">
        <f t="shared" ca="1" si="187"/>
        <v>97</v>
      </c>
      <c r="F902" s="22"/>
      <c r="G902" s="26">
        <f t="shared" ca="1" si="206"/>
        <v>0.62503071132802768</v>
      </c>
      <c r="H902" s="29">
        <f t="shared" ca="1" si="188"/>
        <v>220</v>
      </c>
      <c r="J902" s="22">
        <v>45447</v>
      </c>
      <c r="K902" s="26">
        <f t="shared" ca="1" si="207"/>
        <v>0.9489296473357739</v>
      </c>
      <c r="L902" s="29">
        <f t="shared" ca="1" si="189"/>
        <v>167</v>
      </c>
      <c r="N902" s="22">
        <v>45447</v>
      </c>
      <c r="O902" s="26">
        <f t="shared" ca="1" si="208"/>
        <v>0.17814911685933277</v>
      </c>
      <c r="P902" s="29">
        <f t="shared" ca="1" si="190"/>
        <v>216</v>
      </c>
      <c r="R902" s="22">
        <v>45447</v>
      </c>
      <c r="S902" s="26">
        <f t="shared" ca="1" si="209"/>
        <v>0.56152081722650993</v>
      </c>
      <c r="T902" s="29">
        <f t="shared" ca="1" si="191"/>
        <v>141</v>
      </c>
      <c r="V902" s="22">
        <v>45447</v>
      </c>
      <c r="W902" s="26">
        <f t="shared" ca="1" si="210"/>
        <v>0.78820579252498746</v>
      </c>
      <c r="X902" s="29">
        <f t="shared" ca="1" si="192"/>
        <v>238</v>
      </c>
      <c r="Z902" s="22">
        <v>45447</v>
      </c>
      <c r="AA902" s="26">
        <f t="shared" ca="1" si="211"/>
        <v>0.85926446967136783</v>
      </c>
      <c r="AB902" s="29">
        <f t="shared" ca="1" si="193"/>
        <v>290</v>
      </c>
      <c r="AC902"/>
      <c r="AD902" s="25"/>
      <c r="AF902" s="22">
        <v>45447</v>
      </c>
      <c r="AG902" s="26">
        <f t="shared" ca="1" si="212"/>
        <v>0.9623482565690431</v>
      </c>
      <c r="AH902" s="29">
        <f t="shared" ca="1" si="194"/>
        <v>483</v>
      </c>
      <c r="AJ902" s="22">
        <v>45447</v>
      </c>
      <c r="AK902" s="26">
        <f t="shared" ca="1" si="213"/>
        <v>0.60709299037127296</v>
      </c>
      <c r="AL902" s="29">
        <f t="shared" ca="1" si="195"/>
        <v>183</v>
      </c>
      <c r="AN902" s="22">
        <v>45447</v>
      </c>
      <c r="AO902" s="26">
        <f t="shared" ca="1" si="214"/>
        <v>0.66393143667479404</v>
      </c>
      <c r="AP902" s="29">
        <f t="shared" ca="1" si="196"/>
        <v>259</v>
      </c>
      <c r="AR902" s="22">
        <v>45447</v>
      </c>
      <c r="AS902" s="26">
        <f t="shared" ca="1" si="215"/>
        <v>0.62233826489089894</v>
      </c>
      <c r="AT902" s="29">
        <f t="shared" ca="1" si="197"/>
        <v>215</v>
      </c>
      <c r="AV902" s="22">
        <v>45447</v>
      </c>
      <c r="AW902" s="26">
        <f t="shared" ca="1" si="216"/>
        <v>0.7639131855061132</v>
      </c>
      <c r="AX902" s="29">
        <f t="shared" ca="1" si="198"/>
        <v>245</v>
      </c>
      <c r="AZ902" s="22">
        <v>45447</v>
      </c>
      <c r="BA902" s="26">
        <f t="shared" ca="1" si="217"/>
        <v>0.4563542758115452</v>
      </c>
      <c r="BB902" s="29">
        <f t="shared" ca="1" si="199"/>
        <v>227</v>
      </c>
      <c r="BC902"/>
      <c r="BD902" s="25"/>
      <c r="BF902" s="22">
        <v>45447</v>
      </c>
      <c r="BG902" s="26">
        <f t="shared" ca="1" si="218"/>
        <v>0.11960271302879866</v>
      </c>
      <c r="BH902" s="29">
        <f t="shared" ca="1" si="200"/>
        <v>138</v>
      </c>
      <c r="BJ902" s="22">
        <v>45447</v>
      </c>
      <c r="BK902" s="26">
        <f t="shared" ca="1" si="219"/>
        <v>0.18747651345589378</v>
      </c>
      <c r="BL902" s="29">
        <f t="shared" ca="1" si="201"/>
        <v>129</v>
      </c>
      <c r="BN902" s="22">
        <v>45447</v>
      </c>
      <c r="BO902" s="26">
        <f t="shared" ca="1" si="220"/>
        <v>0.52109920196505233</v>
      </c>
      <c r="BP902" s="29">
        <f t="shared" ca="1" si="202"/>
        <v>219</v>
      </c>
      <c r="BR902" s="22">
        <v>45447</v>
      </c>
      <c r="BS902" s="26">
        <f t="shared" ca="1" si="221"/>
        <v>0.79855409033330826</v>
      </c>
      <c r="BT902" s="29">
        <f t="shared" ca="1" si="203"/>
        <v>197</v>
      </c>
      <c r="BV902" s="22">
        <v>45447</v>
      </c>
      <c r="BW902" s="26">
        <f t="shared" ca="1" si="222"/>
        <v>0.27235929010657434</v>
      </c>
      <c r="BX902" s="29">
        <f t="shared" ca="1" si="204"/>
        <v>184</v>
      </c>
    </row>
    <row r="903" spans="2:77" ht="12.75" x14ac:dyDescent="0.2">
      <c r="B903" s="22">
        <v>45448</v>
      </c>
      <c r="C903" s="26">
        <f t="shared" ca="1" si="205"/>
        <v>0.24201646740406513</v>
      </c>
      <c r="D903" s="29">
        <f t="shared" ca="1" si="187"/>
        <v>62</v>
      </c>
      <c r="F903" s="22"/>
      <c r="G903" s="26">
        <f t="shared" ca="1" si="206"/>
        <v>0.63058559987121166</v>
      </c>
      <c r="H903" s="29">
        <f t="shared" ca="1" si="188"/>
        <v>221</v>
      </c>
      <c r="J903" s="22">
        <v>45448</v>
      </c>
      <c r="K903" s="26">
        <f t="shared" ca="1" si="207"/>
        <v>4.0996784163471744E-3</v>
      </c>
      <c r="L903" s="29">
        <f t="shared" ca="1" si="189"/>
        <v>124</v>
      </c>
      <c r="N903" s="22">
        <v>45448</v>
      </c>
      <c r="O903" s="26">
        <f t="shared" ca="1" si="208"/>
        <v>0.39569066776644379</v>
      </c>
      <c r="P903" s="29">
        <f t="shared" ca="1" si="190"/>
        <v>226</v>
      </c>
      <c r="R903" s="22">
        <v>45448</v>
      </c>
      <c r="S903" s="26">
        <f t="shared" ca="1" si="209"/>
        <v>0.37805334019104841</v>
      </c>
      <c r="T903" s="29">
        <f t="shared" ca="1" si="191"/>
        <v>136</v>
      </c>
      <c r="V903" s="22">
        <v>45448</v>
      </c>
      <c r="W903" s="26">
        <f t="shared" ca="1" si="210"/>
        <v>0.89082012702605295</v>
      </c>
      <c r="X903" s="29">
        <f t="shared" ca="1" si="192"/>
        <v>244</v>
      </c>
      <c r="Z903" s="22">
        <v>45448</v>
      </c>
      <c r="AA903" s="26">
        <f t="shared" ca="1" si="211"/>
        <v>0.12840906747255687</v>
      </c>
      <c r="AB903" s="29">
        <f t="shared" ca="1" si="193"/>
        <v>250</v>
      </c>
      <c r="AC903"/>
      <c r="AD903" s="25"/>
      <c r="AF903" s="22">
        <v>45448</v>
      </c>
      <c r="AG903" s="26">
        <f t="shared" ca="1" si="212"/>
        <v>0.70126736926299749</v>
      </c>
      <c r="AH903" s="29">
        <f t="shared" ca="1" si="194"/>
        <v>374</v>
      </c>
      <c r="AJ903" s="22">
        <v>45448</v>
      </c>
      <c r="AK903" s="26">
        <f t="shared" ca="1" si="213"/>
        <v>0.36969610166820666</v>
      </c>
      <c r="AL903" s="29">
        <f t="shared" ca="1" si="195"/>
        <v>156</v>
      </c>
      <c r="AN903" s="22">
        <v>45448</v>
      </c>
      <c r="AO903" s="26">
        <f t="shared" ca="1" si="214"/>
        <v>0.90937768581200196</v>
      </c>
      <c r="AP903" s="29">
        <f t="shared" ca="1" si="196"/>
        <v>315</v>
      </c>
      <c r="AR903" s="22">
        <v>45448</v>
      </c>
      <c r="AS903" s="26">
        <f t="shared" ca="1" si="215"/>
        <v>3.9479047311902105E-2</v>
      </c>
      <c r="AT903" s="29">
        <f t="shared" ca="1" si="197"/>
        <v>106</v>
      </c>
      <c r="AV903" s="22">
        <v>45448</v>
      </c>
      <c r="AW903" s="26">
        <f t="shared" ca="1" si="216"/>
        <v>0.81537837024804893</v>
      </c>
      <c r="AX903" s="29">
        <f t="shared" ca="1" si="198"/>
        <v>255</v>
      </c>
      <c r="AZ903" s="22">
        <v>45448</v>
      </c>
      <c r="BA903" s="26">
        <f t="shared" ca="1" si="217"/>
        <v>6.8461252455849886E-2</v>
      </c>
      <c r="BB903" s="29">
        <f t="shared" ca="1" si="199"/>
        <v>141</v>
      </c>
      <c r="BC903"/>
      <c r="BD903" s="25"/>
      <c r="BF903" s="22">
        <v>45448</v>
      </c>
      <c r="BG903" s="26">
        <f t="shared" ca="1" si="218"/>
        <v>0.69146005836175983</v>
      </c>
      <c r="BH903" s="29">
        <f t="shared" ca="1" si="200"/>
        <v>228</v>
      </c>
      <c r="BJ903" s="22">
        <v>45448</v>
      </c>
      <c r="BK903" s="26">
        <f t="shared" ca="1" si="219"/>
        <v>0.90881031567155068</v>
      </c>
      <c r="BL903" s="29">
        <f t="shared" ca="1" si="201"/>
        <v>229</v>
      </c>
      <c r="BN903" s="22">
        <v>45448</v>
      </c>
      <c r="BO903" s="26">
        <f t="shared" ca="1" si="220"/>
        <v>0.13816275655780896</v>
      </c>
      <c r="BP903" s="29">
        <f t="shared" ca="1" si="202"/>
        <v>154</v>
      </c>
      <c r="BR903" s="22">
        <v>45448</v>
      </c>
      <c r="BS903" s="26">
        <f t="shared" ca="1" si="221"/>
        <v>0.16883666978875178</v>
      </c>
      <c r="BT903" s="29">
        <f t="shared" ca="1" si="203"/>
        <v>120</v>
      </c>
      <c r="BV903" s="22">
        <v>45448</v>
      </c>
      <c r="BW903" s="26">
        <f t="shared" ca="1" si="222"/>
        <v>0.15568104825589235</v>
      </c>
      <c r="BX903" s="29">
        <f t="shared" ca="1" si="204"/>
        <v>161</v>
      </c>
    </row>
    <row r="904" spans="2:77" ht="12.75" x14ac:dyDescent="0.2">
      <c r="B904" s="22">
        <v>45449</v>
      </c>
      <c r="C904" s="26">
        <f t="shared" ca="1" si="205"/>
        <v>0.53853195512015994</v>
      </c>
      <c r="D904" s="29">
        <f t="shared" ca="1" si="187"/>
        <v>77</v>
      </c>
      <c r="F904" s="22"/>
      <c r="G904" s="26">
        <f t="shared" ca="1" si="206"/>
        <v>0.33763971483925748</v>
      </c>
      <c r="H904" s="29">
        <f t="shared" ca="1" si="188"/>
        <v>210</v>
      </c>
      <c r="J904" s="22">
        <v>45449</v>
      </c>
      <c r="K904" s="26">
        <f t="shared" ca="1" si="207"/>
        <v>0.7207594567679253</v>
      </c>
      <c r="L904" s="29">
        <f t="shared" ca="1" si="189"/>
        <v>156</v>
      </c>
      <c r="N904" s="22">
        <v>45449</v>
      </c>
      <c r="O904" s="26">
        <f t="shared" ca="1" si="208"/>
        <v>0.22109867450338438</v>
      </c>
      <c r="P904" s="29">
        <f t="shared" ca="1" si="190"/>
        <v>218</v>
      </c>
      <c r="R904" s="22">
        <v>45449</v>
      </c>
      <c r="S904" s="26">
        <f t="shared" ca="1" si="209"/>
        <v>0.14810063716703215</v>
      </c>
      <c r="T904" s="29">
        <f t="shared" ca="1" si="191"/>
        <v>130</v>
      </c>
      <c r="V904" s="22">
        <v>45449</v>
      </c>
      <c r="W904" s="26">
        <f t="shared" ca="1" si="210"/>
        <v>0.30798898313495349</v>
      </c>
      <c r="X904" s="29">
        <f t="shared" ca="1" si="192"/>
        <v>218</v>
      </c>
      <c r="Z904" s="22">
        <v>45449</v>
      </c>
      <c r="AA904" s="26">
        <f t="shared" ca="1" si="211"/>
        <v>2.7685955988276723E-2</v>
      </c>
      <c r="AB904" s="29">
        <f t="shared" ca="1" si="193"/>
        <v>236</v>
      </c>
      <c r="AC904"/>
      <c r="AD904" s="25"/>
      <c r="AF904" s="22">
        <v>45449</v>
      </c>
      <c r="AG904" s="26">
        <f t="shared" ca="1" si="212"/>
        <v>0.52221853353870851</v>
      </c>
      <c r="AH904" s="29">
        <f t="shared" ca="1" si="194"/>
        <v>332</v>
      </c>
      <c r="AJ904" s="22">
        <v>45449</v>
      </c>
      <c r="AK904" s="26">
        <f t="shared" ca="1" si="213"/>
        <v>0.45739132308196206</v>
      </c>
      <c r="AL904" s="29">
        <f t="shared" ca="1" si="195"/>
        <v>166</v>
      </c>
      <c r="AN904" s="22">
        <v>45449</v>
      </c>
      <c r="AO904" s="26">
        <f t="shared" ca="1" si="214"/>
        <v>0.5558288142372968</v>
      </c>
      <c r="AP904" s="29">
        <f t="shared" ca="1" si="196"/>
        <v>241</v>
      </c>
      <c r="AR904" s="22">
        <v>45449</v>
      </c>
      <c r="AS904" s="26">
        <f t="shared" ca="1" si="215"/>
        <v>0.52779274257588304</v>
      </c>
      <c r="AT904" s="29">
        <f t="shared" ca="1" si="197"/>
        <v>202</v>
      </c>
      <c r="AV904" s="22">
        <v>45449</v>
      </c>
      <c r="AW904" s="26">
        <f t="shared" ca="1" si="216"/>
        <v>0.99771136129924254</v>
      </c>
      <c r="AX904" s="29">
        <f t="shared" ca="1" si="198"/>
        <v>361</v>
      </c>
      <c r="AZ904" s="22">
        <v>45449</v>
      </c>
      <c r="BA904" s="26">
        <f t="shared" ca="1" si="217"/>
        <v>1.8065126442090906E-2</v>
      </c>
      <c r="BB904" s="29">
        <f t="shared" ca="1" si="199"/>
        <v>104</v>
      </c>
      <c r="BC904"/>
      <c r="BD904" s="25"/>
      <c r="BF904" s="22">
        <v>45449</v>
      </c>
      <c r="BG904" s="26">
        <f t="shared" ca="1" si="218"/>
        <v>0.75021051008857875</v>
      </c>
      <c r="BH904" s="29">
        <f t="shared" ca="1" si="200"/>
        <v>237</v>
      </c>
      <c r="BJ904" s="22">
        <v>45449</v>
      </c>
      <c r="BK904" s="26">
        <f t="shared" ca="1" si="219"/>
        <v>0.62369250461931902</v>
      </c>
      <c r="BL904" s="29">
        <f t="shared" ca="1" si="201"/>
        <v>183</v>
      </c>
      <c r="BN904" s="22">
        <v>45449</v>
      </c>
      <c r="BO904" s="26">
        <f t="shared" ca="1" si="220"/>
        <v>0.97895602946582994</v>
      </c>
      <c r="BP904" s="29">
        <f t="shared" ca="1" si="202"/>
        <v>333</v>
      </c>
      <c r="BR904" s="22">
        <v>45449</v>
      </c>
      <c r="BS904" s="26">
        <f t="shared" ca="1" si="221"/>
        <v>0.17282739065106134</v>
      </c>
      <c r="BT904" s="29">
        <f t="shared" ca="1" si="203"/>
        <v>121</v>
      </c>
      <c r="BV904" s="22">
        <v>45449</v>
      </c>
      <c r="BW904" s="26">
        <f t="shared" ca="1" si="222"/>
        <v>0.92523643931123689</v>
      </c>
      <c r="BX904" s="29">
        <f t="shared" ca="1" si="204"/>
        <v>304</v>
      </c>
    </row>
    <row r="905" spans="2:77" ht="12.75" x14ac:dyDescent="0.2">
      <c r="B905" s="22">
        <v>45450</v>
      </c>
      <c r="C905" s="26">
        <f t="shared" ca="1" si="205"/>
        <v>0.9169841323920781</v>
      </c>
      <c r="D905" s="29">
        <f t="shared" ca="1" si="187"/>
        <v>103</v>
      </c>
      <c r="F905" s="22"/>
      <c r="G905" s="26">
        <f t="shared" ca="1" si="206"/>
        <v>0.66020990528840395</v>
      </c>
      <c r="H905" s="29">
        <f t="shared" ca="1" si="188"/>
        <v>222</v>
      </c>
      <c r="J905" s="22">
        <v>45450</v>
      </c>
      <c r="K905" s="26">
        <f t="shared" ca="1" si="207"/>
        <v>0.70356752856190663</v>
      </c>
      <c r="L905" s="29">
        <f t="shared" ca="1" si="189"/>
        <v>156</v>
      </c>
      <c r="N905" s="22">
        <v>45450</v>
      </c>
      <c r="O905" s="26">
        <f t="shared" ca="1" si="208"/>
        <v>0.61159601227610438</v>
      </c>
      <c r="P905" s="29">
        <f t="shared" ca="1" si="190"/>
        <v>234</v>
      </c>
      <c r="R905" s="22">
        <v>45450</v>
      </c>
      <c r="S905" s="26">
        <f t="shared" ca="1" si="209"/>
        <v>0.12546327734065699</v>
      </c>
      <c r="T905" s="29">
        <f t="shared" ca="1" si="191"/>
        <v>129</v>
      </c>
      <c r="V905" s="22">
        <v>45450</v>
      </c>
      <c r="W905" s="26">
        <f t="shared" ca="1" si="210"/>
        <v>0.31981746654916732</v>
      </c>
      <c r="X905" s="29">
        <f t="shared" ca="1" si="192"/>
        <v>218</v>
      </c>
      <c r="Z905" s="22">
        <v>45450</v>
      </c>
      <c r="AA905" s="26">
        <f t="shared" ca="1" si="211"/>
        <v>0.99541148596350781</v>
      </c>
      <c r="AB905" s="29">
        <f t="shared" ca="1" si="193"/>
        <v>317</v>
      </c>
      <c r="AC905"/>
      <c r="AD905" s="25"/>
      <c r="AF905" s="22">
        <v>45450</v>
      </c>
      <c r="AG905" s="26">
        <f t="shared" ca="1" si="212"/>
        <v>0.7043540075276743</v>
      </c>
      <c r="AH905" s="29">
        <f t="shared" ca="1" si="194"/>
        <v>374</v>
      </c>
      <c r="AJ905" s="22">
        <v>45450</v>
      </c>
      <c r="AK905" s="26">
        <f t="shared" ca="1" si="213"/>
        <v>0.77430704372167602</v>
      </c>
      <c r="AL905" s="29">
        <f t="shared" ca="1" si="195"/>
        <v>205</v>
      </c>
      <c r="AN905" s="22">
        <v>45450</v>
      </c>
      <c r="AO905" s="26">
        <f t="shared" ca="1" si="214"/>
        <v>0.78187600045746397</v>
      </c>
      <c r="AP905" s="29">
        <f t="shared" ca="1" si="196"/>
        <v>281</v>
      </c>
      <c r="AR905" s="22">
        <v>45450</v>
      </c>
      <c r="AS905" s="26">
        <f t="shared" ca="1" si="215"/>
        <v>0.31461814168045577</v>
      </c>
      <c r="AT905" s="29">
        <f t="shared" ca="1" si="197"/>
        <v>173</v>
      </c>
      <c r="AV905" s="22">
        <v>45450</v>
      </c>
      <c r="AW905" s="26">
        <f t="shared" ca="1" si="216"/>
        <v>0.54794477507096739</v>
      </c>
      <c r="AX905" s="29">
        <f t="shared" ca="1" si="198"/>
        <v>213</v>
      </c>
      <c r="AZ905" s="22">
        <v>45450</v>
      </c>
      <c r="BA905" s="26">
        <f t="shared" ca="1" si="217"/>
        <v>0.1201690257194965</v>
      </c>
      <c r="BB905" s="29">
        <f t="shared" ca="1" si="199"/>
        <v>161</v>
      </c>
      <c r="BC905"/>
      <c r="BD905" s="25"/>
      <c r="BF905" s="22">
        <v>45450</v>
      </c>
      <c r="BG905" s="26">
        <f t="shared" ca="1" si="218"/>
        <v>0.10780691916184182</v>
      </c>
      <c r="BH905" s="29">
        <f t="shared" ca="1" si="200"/>
        <v>135</v>
      </c>
      <c r="BJ905" s="22">
        <v>45450</v>
      </c>
      <c r="BK905" s="26">
        <f t="shared" ca="1" si="219"/>
        <v>0.51759642752653812</v>
      </c>
      <c r="BL905" s="29">
        <f t="shared" ca="1" si="201"/>
        <v>171</v>
      </c>
      <c r="BN905" s="22">
        <v>45450</v>
      </c>
      <c r="BO905" s="26">
        <f t="shared" ca="1" si="220"/>
        <v>0.67878132769086108</v>
      </c>
      <c r="BP905" s="29">
        <f t="shared" ca="1" si="202"/>
        <v>243</v>
      </c>
      <c r="BR905" s="22">
        <v>45450</v>
      </c>
      <c r="BS905" s="26">
        <f t="shared" ca="1" si="221"/>
        <v>0.89470866136314986</v>
      </c>
      <c r="BT905" s="29">
        <f t="shared" ca="1" si="203"/>
        <v>215</v>
      </c>
      <c r="BV905" s="22">
        <v>45450</v>
      </c>
      <c r="BW905" s="26">
        <f t="shared" ca="1" si="222"/>
        <v>0.59240418849693022</v>
      </c>
      <c r="BX905" s="29">
        <f t="shared" ca="1" si="204"/>
        <v>233</v>
      </c>
    </row>
    <row r="906" spans="2:77" ht="12.75" x14ac:dyDescent="0.2">
      <c r="B906" s="22">
        <v>45451</v>
      </c>
      <c r="C906" s="26">
        <f t="shared" ca="1" si="205"/>
        <v>0.43459275265854491</v>
      </c>
      <c r="D906" s="29">
        <f t="shared" ca="1" si="187"/>
        <v>72</v>
      </c>
      <c r="F906" s="22"/>
      <c r="G906" s="26">
        <f t="shared" ca="1" si="206"/>
        <v>2.04569015959013E-2</v>
      </c>
      <c r="H906" s="29">
        <f t="shared" ca="1" si="188"/>
        <v>187</v>
      </c>
      <c r="J906" s="22">
        <v>45451</v>
      </c>
      <c r="K906" s="26">
        <f t="shared" ca="1" si="207"/>
        <v>0.6909308254062001</v>
      </c>
      <c r="L906" s="29">
        <f t="shared" ca="1" si="189"/>
        <v>155</v>
      </c>
      <c r="N906" s="22">
        <v>45451</v>
      </c>
      <c r="O906" s="26">
        <f t="shared" ca="1" si="208"/>
        <v>0.39771954834059287</v>
      </c>
      <c r="P906" s="29">
        <f t="shared" ca="1" si="190"/>
        <v>226</v>
      </c>
      <c r="R906" s="22">
        <v>45451</v>
      </c>
      <c r="S906" s="26">
        <f t="shared" ca="1" si="209"/>
        <v>0.96604718275182422</v>
      </c>
      <c r="T906" s="29">
        <f t="shared" ca="1" si="191"/>
        <v>156</v>
      </c>
      <c r="V906" s="22">
        <v>45451</v>
      </c>
      <c r="W906" s="26">
        <f t="shared" ca="1" si="210"/>
        <v>0.60469250092997129</v>
      </c>
      <c r="X906" s="29">
        <f t="shared" ca="1" si="192"/>
        <v>229</v>
      </c>
      <c r="Z906" s="22">
        <v>45451</v>
      </c>
      <c r="AA906" s="26">
        <f t="shared" ca="1" si="211"/>
        <v>0.16711117482658466</v>
      </c>
      <c r="AB906" s="29">
        <f t="shared" ca="1" si="193"/>
        <v>253</v>
      </c>
      <c r="AC906"/>
      <c r="AD906" s="25"/>
      <c r="AF906" s="22">
        <v>45451</v>
      </c>
      <c r="AG906" s="26">
        <f t="shared" ca="1" si="212"/>
        <v>0.43819147444512985</v>
      </c>
      <c r="AH906" s="29">
        <f t="shared" ca="1" si="194"/>
        <v>314</v>
      </c>
      <c r="AJ906" s="22">
        <v>45451</v>
      </c>
      <c r="AK906" s="26">
        <f t="shared" ca="1" si="213"/>
        <v>0.32725263274391303</v>
      </c>
      <c r="AL906" s="29">
        <f t="shared" ca="1" si="195"/>
        <v>151</v>
      </c>
      <c r="AN906" s="22">
        <v>45451</v>
      </c>
      <c r="AO906" s="26">
        <f t="shared" ca="1" si="214"/>
        <v>0.95631222577651087</v>
      </c>
      <c r="AP906" s="29">
        <f t="shared" ca="1" si="196"/>
        <v>338</v>
      </c>
      <c r="AR906" s="22">
        <v>45451</v>
      </c>
      <c r="AS906" s="26">
        <f t="shared" ca="1" si="215"/>
        <v>1.2630982192026963E-2</v>
      </c>
      <c r="AT906" s="29">
        <f t="shared" ca="1" si="197"/>
        <v>80</v>
      </c>
      <c r="AV906" s="22">
        <v>45451</v>
      </c>
      <c r="AW906" s="26">
        <f t="shared" ca="1" si="216"/>
        <v>0.67028287848379786</v>
      </c>
      <c r="AX906" s="29">
        <f t="shared" ca="1" si="198"/>
        <v>230</v>
      </c>
      <c r="AZ906" s="22">
        <v>45451</v>
      </c>
      <c r="BA906" s="26">
        <f t="shared" ca="1" si="217"/>
        <v>0.42073354132727181</v>
      </c>
      <c r="BB906" s="29">
        <f t="shared" ca="1" si="199"/>
        <v>222</v>
      </c>
      <c r="BC906"/>
      <c r="BD906" s="25"/>
      <c r="BF906" s="22">
        <v>45451</v>
      </c>
      <c r="BG906" s="26">
        <f t="shared" ca="1" si="218"/>
        <v>0.10791692300195421</v>
      </c>
      <c r="BH906" s="29">
        <f t="shared" ca="1" si="200"/>
        <v>135</v>
      </c>
      <c r="BJ906" s="22">
        <v>45451</v>
      </c>
      <c r="BK906" s="26">
        <f t="shared" ca="1" si="219"/>
        <v>0.35428638065842077</v>
      </c>
      <c r="BL906" s="29">
        <f t="shared" ca="1" si="201"/>
        <v>152</v>
      </c>
      <c r="BN906" s="22">
        <v>45451</v>
      </c>
      <c r="BO906" s="26">
        <f t="shared" ca="1" si="220"/>
        <v>9.0611691839499242E-2</v>
      </c>
      <c r="BP906" s="29">
        <f t="shared" ca="1" si="202"/>
        <v>139</v>
      </c>
      <c r="BR906" s="22">
        <v>45451</v>
      </c>
      <c r="BS906" s="26">
        <f t="shared" ca="1" si="221"/>
        <v>4.5567355612629479E-2</v>
      </c>
      <c r="BT906" s="29">
        <f t="shared" ca="1" si="203"/>
        <v>89</v>
      </c>
      <c r="BV906" s="22">
        <v>45451</v>
      </c>
      <c r="BW906" s="26">
        <f t="shared" ca="1" si="222"/>
        <v>0.1690064047997657</v>
      </c>
      <c r="BX906" s="29">
        <f t="shared" ca="1" si="204"/>
        <v>164</v>
      </c>
    </row>
    <row r="907" spans="2:77" ht="12.75" x14ac:dyDescent="0.2">
      <c r="B907" s="22">
        <v>45452</v>
      </c>
      <c r="C907" s="26">
        <f t="shared" ca="1" si="205"/>
        <v>0.96201278981113347</v>
      </c>
      <c r="D907" s="29">
        <f t="shared" ca="1" si="187"/>
        <v>111</v>
      </c>
      <c r="F907" s="22"/>
      <c r="G907" s="26">
        <f t="shared" ca="1" si="206"/>
        <v>0.79206042059610526</v>
      </c>
      <c r="H907" s="29">
        <f t="shared" ca="1" si="188"/>
        <v>228</v>
      </c>
      <c r="J907" s="22">
        <v>45452</v>
      </c>
      <c r="K907" s="26">
        <f t="shared" ca="1" si="207"/>
        <v>0.50092982200493075</v>
      </c>
      <c r="L907" s="29">
        <f t="shared" ca="1" si="189"/>
        <v>151</v>
      </c>
      <c r="N907" s="22">
        <v>45452</v>
      </c>
      <c r="O907" s="26">
        <f t="shared" ca="1" si="208"/>
        <v>0.45742417796119239</v>
      </c>
      <c r="P907" s="29">
        <f t="shared" ca="1" si="190"/>
        <v>228</v>
      </c>
      <c r="R907" s="22">
        <v>45452</v>
      </c>
      <c r="S907" s="26">
        <f t="shared" ca="1" si="209"/>
        <v>0.43068882859087954</v>
      </c>
      <c r="T907" s="29">
        <f t="shared" ca="1" si="191"/>
        <v>138</v>
      </c>
      <c r="V907" s="22">
        <v>45452</v>
      </c>
      <c r="W907" s="26">
        <f t="shared" ca="1" si="210"/>
        <v>0.38723037293110396</v>
      </c>
      <c r="X907" s="29">
        <f t="shared" ca="1" si="192"/>
        <v>221</v>
      </c>
      <c r="Z907" s="22">
        <v>45452</v>
      </c>
      <c r="AA907" s="26">
        <f t="shared" ca="1" si="211"/>
        <v>0.98671009280964128</v>
      </c>
      <c r="AB907" s="29">
        <f t="shared" ca="1" si="193"/>
        <v>310</v>
      </c>
      <c r="AC907"/>
      <c r="AD907" s="25"/>
      <c r="AF907" s="22">
        <v>45452</v>
      </c>
      <c r="AG907" s="26">
        <f t="shared" ca="1" si="212"/>
        <v>0.38289416129157283</v>
      </c>
      <c r="AH907" s="29">
        <f t="shared" ca="1" si="194"/>
        <v>302</v>
      </c>
      <c r="AJ907" s="22">
        <v>45452</v>
      </c>
      <c r="AK907" s="26">
        <f t="shared" ca="1" si="213"/>
        <v>0.95570655781368563</v>
      </c>
      <c r="AL907" s="29">
        <f t="shared" ca="1" si="195"/>
        <v>248</v>
      </c>
      <c r="AN907" s="22">
        <v>45452</v>
      </c>
      <c r="AO907" s="26">
        <f t="shared" ca="1" si="214"/>
        <v>0.46713077738515685</v>
      </c>
      <c r="AP907" s="29">
        <f t="shared" ca="1" si="196"/>
        <v>227</v>
      </c>
      <c r="AR907" s="22">
        <v>45452</v>
      </c>
      <c r="AS907" s="26">
        <f t="shared" ca="1" si="215"/>
        <v>0.1458006440919466</v>
      </c>
      <c r="AT907" s="29">
        <f t="shared" ca="1" si="197"/>
        <v>143</v>
      </c>
      <c r="AV907" s="22">
        <v>45452</v>
      </c>
      <c r="AW907" s="26">
        <f t="shared" ca="1" si="216"/>
        <v>0.25907518914238692</v>
      </c>
      <c r="AX907" s="29">
        <f t="shared" ca="1" si="198"/>
        <v>171</v>
      </c>
      <c r="AZ907" s="22">
        <v>45452</v>
      </c>
      <c r="BA907" s="26">
        <f t="shared" ca="1" si="217"/>
        <v>0.88656540818470575</v>
      </c>
      <c r="BB907" s="29">
        <f t="shared" ca="1" si="199"/>
        <v>309</v>
      </c>
      <c r="BC907"/>
      <c r="BD907" s="25"/>
      <c r="BF907" s="22">
        <v>45452</v>
      </c>
      <c r="BG907" s="26">
        <f t="shared" ca="1" si="218"/>
        <v>6.8304857423119314E-3</v>
      </c>
      <c r="BH907" s="29">
        <f t="shared" ca="1" si="200"/>
        <v>69</v>
      </c>
      <c r="BJ907" s="22">
        <v>45452</v>
      </c>
      <c r="BK907" s="26">
        <f t="shared" ca="1" si="219"/>
        <v>0.22242345000616015</v>
      </c>
      <c r="BL907" s="29">
        <f t="shared" ca="1" si="201"/>
        <v>135</v>
      </c>
      <c r="BN907" s="22">
        <v>45452</v>
      </c>
      <c r="BO907" s="26">
        <f t="shared" ca="1" si="220"/>
        <v>0.64775957808630957</v>
      </c>
      <c r="BP907" s="29">
        <f t="shared" ca="1" si="202"/>
        <v>238</v>
      </c>
      <c r="BR907" s="22">
        <v>45452</v>
      </c>
      <c r="BS907" s="26">
        <f t="shared" ca="1" si="221"/>
        <v>0.46495893994441739</v>
      </c>
      <c r="BT907" s="29">
        <f t="shared" ca="1" si="203"/>
        <v>157</v>
      </c>
      <c r="BV907" s="22">
        <v>45452</v>
      </c>
      <c r="BW907" s="26">
        <f t="shared" ca="1" si="222"/>
        <v>0.46443265905866371</v>
      </c>
      <c r="BX907" s="29">
        <f t="shared" ca="1" si="204"/>
        <v>215</v>
      </c>
    </row>
    <row r="908" spans="2:77" ht="12.75" x14ac:dyDescent="0.2">
      <c r="B908" s="22">
        <v>45453</v>
      </c>
      <c r="C908" s="26">
        <f t="shared" ca="1" si="205"/>
        <v>0.674938662239286</v>
      </c>
      <c r="D908" s="29">
        <f t="shared" ca="1" si="187"/>
        <v>85</v>
      </c>
      <c r="F908" s="22"/>
      <c r="G908" s="26">
        <f t="shared" ca="1" si="206"/>
        <v>0.48137185488280021</v>
      </c>
      <c r="H908" s="29">
        <f t="shared" ca="1" si="188"/>
        <v>215</v>
      </c>
      <c r="J908" s="22">
        <v>45453</v>
      </c>
      <c r="K908" s="26">
        <f t="shared" ca="1" si="207"/>
        <v>0.59042546945508634</v>
      </c>
      <c r="L908" s="29">
        <f t="shared" ca="1" si="189"/>
        <v>153</v>
      </c>
      <c r="N908" s="22">
        <v>45453</v>
      </c>
      <c r="O908" s="26">
        <f t="shared" ca="1" si="208"/>
        <v>0.3228235166102128</v>
      </c>
      <c r="P908" s="29">
        <f t="shared" ca="1" si="190"/>
        <v>223</v>
      </c>
      <c r="R908" s="22">
        <v>45453</v>
      </c>
      <c r="S908" s="26">
        <f t="shared" ca="1" si="209"/>
        <v>0.48289009281106277</v>
      </c>
      <c r="T908" s="29">
        <f t="shared" ca="1" si="191"/>
        <v>139</v>
      </c>
      <c r="V908" s="22">
        <v>45453</v>
      </c>
      <c r="W908" s="26">
        <f t="shared" ca="1" si="210"/>
        <v>0.42264108023432345</v>
      </c>
      <c r="X908" s="29">
        <f t="shared" ca="1" si="192"/>
        <v>223</v>
      </c>
      <c r="Z908" s="22">
        <v>45453</v>
      </c>
      <c r="AA908" s="26">
        <f t="shared" ca="1" si="211"/>
        <v>0.31887582579261531</v>
      </c>
      <c r="AB908" s="29">
        <f t="shared" ca="1" si="193"/>
        <v>262</v>
      </c>
      <c r="AC908"/>
      <c r="AD908" s="25"/>
      <c r="AF908" s="22">
        <v>45453</v>
      </c>
      <c r="AG908" s="26">
        <f t="shared" ca="1" si="212"/>
        <v>0.10685061712288635</v>
      </c>
      <c r="AH908" s="29">
        <f t="shared" ca="1" si="194"/>
        <v>219</v>
      </c>
      <c r="AJ908" s="22">
        <v>45453</v>
      </c>
      <c r="AK908" s="26">
        <f t="shared" ca="1" si="213"/>
        <v>0.50250415100026224</v>
      </c>
      <c r="AL908" s="29">
        <f t="shared" ca="1" si="195"/>
        <v>171</v>
      </c>
      <c r="AN908" s="22">
        <v>45453</v>
      </c>
      <c r="AO908" s="26">
        <f t="shared" ca="1" si="214"/>
        <v>0.88555375390268298</v>
      </c>
      <c r="AP908" s="29">
        <f t="shared" ca="1" si="196"/>
        <v>307</v>
      </c>
      <c r="AR908" s="22">
        <v>45453</v>
      </c>
      <c r="AS908" s="26">
        <f t="shared" ca="1" si="215"/>
        <v>0.9541058451163309</v>
      </c>
      <c r="AT908" s="29">
        <f t="shared" ca="1" si="197"/>
        <v>288</v>
      </c>
      <c r="AV908" s="22">
        <v>45453</v>
      </c>
      <c r="AW908" s="26">
        <f t="shared" ca="1" si="216"/>
        <v>0.43331116456350649</v>
      </c>
      <c r="AX908" s="29">
        <f t="shared" ca="1" si="198"/>
        <v>197</v>
      </c>
      <c r="AZ908" s="22">
        <v>45453</v>
      </c>
      <c r="BA908" s="26">
        <f t="shared" ca="1" si="217"/>
        <v>0.11468527692407948</v>
      </c>
      <c r="BB908" s="29">
        <f t="shared" ca="1" si="199"/>
        <v>159</v>
      </c>
      <c r="BC908"/>
      <c r="BD908" s="25"/>
      <c r="BF908" s="22">
        <v>45453</v>
      </c>
      <c r="BG908" s="26">
        <f t="shared" ca="1" si="218"/>
        <v>6.0737008656645441E-2</v>
      </c>
      <c r="BH908" s="29">
        <f t="shared" ca="1" si="200"/>
        <v>118</v>
      </c>
      <c r="BJ908" s="22">
        <v>45453</v>
      </c>
      <c r="BK908" s="26">
        <f t="shared" ca="1" si="219"/>
        <v>0.89921693653274692</v>
      </c>
      <c r="BL908" s="29">
        <f t="shared" ca="1" si="201"/>
        <v>227</v>
      </c>
      <c r="BN908" s="22">
        <v>45453</v>
      </c>
      <c r="BO908" s="26">
        <f t="shared" ca="1" si="220"/>
        <v>0.4063332734069337</v>
      </c>
      <c r="BP908" s="29">
        <f t="shared" ca="1" si="202"/>
        <v>203</v>
      </c>
      <c r="BR908" s="22">
        <v>45453</v>
      </c>
      <c r="BS908" s="26">
        <f t="shared" ca="1" si="221"/>
        <v>0.71304186042514606</v>
      </c>
      <c r="BT908" s="29">
        <f t="shared" ca="1" si="203"/>
        <v>185</v>
      </c>
      <c r="BV908" s="22">
        <v>45453</v>
      </c>
      <c r="BW908" s="26">
        <f t="shared" ca="1" si="222"/>
        <v>1.0276255956752967E-2</v>
      </c>
      <c r="BX908" s="29">
        <f t="shared" ca="1" si="204"/>
        <v>84</v>
      </c>
    </row>
    <row r="909" spans="2:77" ht="12.75" x14ac:dyDescent="0.2">
      <c r="B909" s="22">
        <v>45454</v>
      </c>
      <c r="C909" s="26">
        <f t="shared" ca="1" si="205"/>
        <v>0.36603625601853984</v>
      </c>
      <c r="D909" s="29">
        <f t="shared" ca="1" si="187"/>
        <v>69</v>
      </c>
      <c r="F909" s="22"/>
      <c r="G909" s="26">
        <f t="shared" ca="1" si="206"/>
        <v>0.81546232938196717</v>
      </c>
      <c r="H909" s="29">
        <f t="shared" ca="1" si="188"/>
        <v>229</v>
      </c>
      <c r="J909" s="22">
        <v>45454</v>
      </c>
      <c r="K909" s="26">
        <f t="shared" ca="1" si="207"/>
        <v>0.50899439883841746</v>
      </c>
      <c r="L909" s="29">
        <f t="shared" ca="1" si="189"/>
        <v>151</v>
      </c>
      <c r="N909" s="22">
        <v>45454</v>
      </c>
      <c r="O909" s="26">
        <f t="shared" ca="1" si="208"/>
        <v>3.9991505686327256E-2</v>
      </c>
      <c r="P909" s="29">
        <f t="shared" ca="1" si="190"/>
        <v>203</v>
      </c>
      <c r="R909" s="22">
        <v>45454</v>
      </c>
      <c r="S909" s="26">
        <f t="shared" ca="1" si="209"/>
        <v>0.29211028654740023</v>
      </c>
      <c r="T909" s="29">
        <f t="shared" ca="1" si="191"/>
        <v>134</v>
      </c>
      <c r="V909" s="22">
        <v>45454</v>
      </c>
      <c r="W909" s="26">
        <f t="shared" ca="1" si="210"/>
        <v>0.64027005234483858</v>
      </c>
      <c r="X909" s="29">
        <f t="shared" ca="1" si="192"/>
        <v>231</v>
      </c>
      <c r="Z909" s="22">
        <v>45454</v>
      </c>
      <c r="AA909" s="26">
        <f t="shared" ca="1" si="211"/>
        <v>0.56551485379816502</v>
      </c>
      <c r="AB909" s="29">
        <f t="shared" ca="1" si="193"/>
        <v>273</v>
      </c>
      <c r="AC909"/>
      <c r="AD909" s="25"/>
      <c r="AF909" s="22">
        <v>45454</v>
      </c>
      <c r="AG909" s="26">
        <f t="shared" ca="1" si="212"/>
        <v>0.24883063387183424</v>
      </c>
      <c r="AH909" s="29">
        <f t="shared" ca="1" si="194"/>
        <v>268</v>
      </c>
      <c r="AJ909" s="22">
        <v>45454</v>
      </c>
      <c r="AK909" s="26">
        <f t="shared" ca="1" si="213"/>
        <v>0.68755900051218899</v>
      </c>
      <c r="AL909" s="29">
        <f t="shared" ca="1" si="195"/>
        <v>193</v>
      </c>
      <c r="AN909" s="22">
        <v>45454</v>
      </c>
      <c r="AO909" s="26">
        <f t="shared" ca="1" si="214"/>
        <v>0.71047865499017038</v>
      </c>
      <c r="AP909" s="29">
        <f t="shared" ca="1" si="196"/>
        <v>267</v>
      </c>
      <c r="AR909" s="22">
        <v>45454</v>
      </c>
      <c r="AS909" s="26">
        <f t="shared" ca="1" si="215"/>
        <v>0.82925553804188445</v>
      </c>
      <c r="AT909" s="29">
        <f t="shared" ca="1" si="197"/>
        <v>249</v>
      </c>
      <c r="AV909" s="22">
        <v>45454</v>
      </c>
      <c r="AW909" s="26">
        <f t="shared" ca="1" si="216"/>
        <v>0.2658679965038957</v>
      </c>
      <c r="AX909" s="29">
        <f t="shared" ca="1" si="198"/>
        <v>172</v>
      </c>
      <c r="AZ909" s="22">
        <v>45454</v>
      </c>
      <c r="BA909" s="26">
        <f t="shared" ca="1" si="217"/>
        <v>5.1994996714834762E-2</v>
      </c>
      <c r="BB909" s="29">
        <f t="shared" ca="1" si="199"/>
        <v>133</v>
      </c>
      <c r="BC909"/>
      <c r="BD909" s="25"/>
      <c r="BF909" s="22">
        <v>45454</v>
      </c>
      <c r="BG909" s="26">
        <f t="shared" ca="1" si="218"/>
        <v>0.7746311100839709</v>
      </c>
      <c r="BH909" s="29">
        <f t="shared" ca="1" si="200"/>
        <v>241</v>
      </c>
      <c r="BJ909" s="22">
        <v>45454</v>
      </c>
      <c r="BK909" s="26">
        <f t="shared" ca="1" si="219"/>
        <v>0.35318261057931832</v>
      </c>
      <c r="BL909" s="29">
        <f t="shared" ca="1" si="201"/>
        <v>152</v>
      </c>
      <c r="BN909" s="22">
        <v>45454</v>
      </c>
      <c r="BO909" s="26">
        <f t="shared" ca="1" si="220"/>
        <v>0.88044195150613014</v>
      </c>
      <c r="BP909" s="29">
        <f t="shared" ca="1" si="202"/>
        <v>284</v>
      </c>
      <c r="BR909" s="22">
        <v>45454</v>
      </c>
      <c r="BS909" s="26">
        <f t="shared" ca="1" si="221"/>
        <v>0.21466838163035151</v>
      </c>
      <c r="BT909" s="29">
        <f t="shared" ca="1" si="203"/>
        <v>127</v>
      </c>
      <c r="BV909" s="22">
        <v>45454</v>
      </c>
      <c r="BW909" s="26">
        <f t="shared" ca="1" si="222"/>
        <v>0.98087003450388288</v>
      </c>
      <c r="BX909" s="29">
        <f t="shared" ca="1" si="204"/>
        <v>341</v>
      </c>
    </row>
    <row r="910" spans="2:77" ht="12.75" x14ac:dyDescent="0.2">
      <c r="B910" s="22">
        <v>45455</v>
      </c>
      <c r="C910" s="26">
        <f t="shared" ca="1" si="205"/>
        <v>0.7881864737528006</v>
      </c>
      <c r="D910" s="29">
        <f t="shared" ca="1" si="187"/>
        <v>92</v>
      </c>
      <c r="F910" s="22"/>
      <c r="G910" s="26">
        <f t="shared" ca="1" si="206"/>
        <v>0.98654429714658698</v>
      </c>
      <c r="H910" s="29">
        <f t="shared" ca="1" si="188"/>
        <v>248</v>
      </c>
      <c r="J910" s="22">
        <v>45455</v>
      </c>
      <c r="K910" s="26">
        <f t="shared" ca="1" si="207"/>
        <v>0.14287085200538763</v>
      </c>
      <c r="L910" s="29">
        <f t="shared" ca="1" si="189"/>
        <v>140</v>
      </c>
      <c r="N910" s="22">
        <v>45455</v>
      </c>
      <c r="O910" s="26">
        <f t="shared" ca="1" si="208"/>
        <v>0.37439232291317237</v>
      </c>
      <c r="P910" s="29">
        <f t="shared" ca="1" si="190"/>
        <v>225</v>
      </c>
      <c r="R910" s="22">
        <v>45455</v>
      </c>
      <c r="S910" s="26">
        <f t="shared" ca="1" si="209"/>
        <v>0.27328466809312524</v>
      </c>
      <c r="T910" s="29">
        <f t="shared" ca="1" si="191"/>
        <v>134</v>
      </c>
      <c r="V910" s="22">
        <v>45455</v>
      </c>
      <c r="W910" s="26">
        <f t="shared" ca="1" si="210"/>
        <v>0.18033802374744801</v>
      </c>
      <c r="X910" s="29">
        <f t="shared" ca="1" si="192"/>
        <v>212</v>
      </c>
      <c r="Z910" s="22">
        <v>45455</v>
      </c>
      <c r="AA910" s="26">
        <f t="shared" ca="1" si="211"/>
        <v>0.83407166360766982</v>
      </c>
      <c r="AB910" s="29">
        <f t="shared" ca="1" si="193"/>
        <v>288</v>
      </c>
      <c r="AC910"/>
      <c r="AD910" s="25"/>
      <c r="AF910" s="22">
        <v>45455</v>
      </c>
      <c r="AG910" s="26">
        <f t="shared" ca="1" si="212"/>
        <v>0.79296370836294183</v>
      </c>
      <c r="AH910" s="29">
        <f t="shared" ca="1" si="194"/>
        <v>399</v>
      </c>
      <c r="AJ910" s="22">
        <v>45455</v>
      </c>
      <c r="AK910" s="26">
        <f t="shared" ca="1" si="213"/>
        <v>0.96286160867161952</v>
      </c>
      <c r="AL910" s="29">
        <f t="shared" ca="1" si="195"/>
        <v>252</v>
      </c>
      <c r="AN910" s="22">
        <v>45455</v>
      </c>
      <c r="AO910" s="26">
        <f t="shared" ca="1" si="214"/>
        <v>0.40118340821978771</v>
      </c>
      <c r="AP910" s="29">
        <f t="shared" ca="1" si="196"/>
        <v>217</v>
      </c>
      <c r="AR910" s="22">
        <v>45455</v>
      </c>
      <c r="AS910" s="26">
        <f t="shared" ca="1" si="215"/>
        <v>0.12366302788051453</v>
      </c>
      <c r="AT910" s="29">
        <f t="shared" ca="1" si="197"/>
        <v>137</v>
      </c>
      <c r="AV910" s="22">
        <v>45455</v>
      </c>
      <c r="AW910" s="26">
        <f t="shared" ca="1" si="216"/>
        <v>0.68232060108236081</v>
      </c>
      <c r="AX910" s="29">
        <f t="shared" ca="1" si="198"/>
        <v>232</v>
      </c>
      <c r="AZ910" s="22">
        <v>45455</v>
      </c>
      <c r="BA910" s="26">
        <f t="shared" ca="1" si="217"/>
        <v>0.88870022365702739</v>
      </c>
      <c r="BB910" s="29">
        <f t="shared" ca="1" si="199"/>
        <v>310</v>
      </c>
      <c r="BC910"/>
      <c r="BD910" s="25"/>
      <c r="BF910" s="22">
        <v>45455</v>
      </c>
      <c r="BG910" s="26">
        <f t="shared" ca="1" si="218"/>
        <v>0.358374789573638</v>
      </c>
      <c r="BH910" s="29">
        <f t="shared" ca="1" si="200"/>
        <v>182</v>
      </c>
      <c r="BJ910" s="22">
        <v>45455</v>
      </c>
      <c r="BK910" s="26">
        <f t="shared" ca="1" si="219"/>
        <v>0.49788908139931498</v>
      </c>
      <c r="BL910" s="29">
        <f t="shared" ca="1" si="201"/>
        <v>169</v>
      </c>
      <c r="BN910" s="22">
        <v>45455</v>
      </c>
      <c r="BO910" s="26">
        <f t="shared" ca="1" si="220"/>
        <v>0.48814362279689927</v>
      </c>
      <c r="BP910" s="29">
        <f t="shared" ca="1" si="202"/>
        <v>214</v>
      </c>
      <c r="BR910" s="22">
        <v>45455</v>
      </c>
      <c r="BS910" s="26">
        <f t="shared" ca="1" si="221"/>
        <v>0.2084640182906774</v>
      </c>
      <c r="BT910" s="29">
        <f t="shared" ca="1" si="203"/>
        <v>126</v>
      </c>
      <c r="BV910" s="22">
        <v>45455</v>
      </c>
      <c r="BW910" s="26">
        <f t="shared" ca="1" si="222"/>
        <v>0.19756686188885797</v>
      </c>
      <c r="BX910" s="29">
        <f t="shared" ca="1" si="204"/>
        <v>170</v>
      </c>
    </row>
    <row r="911" spans="2:77" ht="12.75" x14ac:dyDescent="0.2">
      <c r="B911" s="22">
        <v>45456</v>
      </c>
      <c r="C911" s="26">
        <f t="shared" ca="1" si="205"/>
        <v>0.71150159455733097</v>
      </c>
      <c r="D911" s="29">
        <f t="shared" ca="1" si="187"/>
        <v>87</v>
      </c>
      <c r="F911" s="22"/>
      <c r="G911" s="26">
        <f t="shared" ca="1" si="206"/>
        <v>0.15354449968782014</v>
      </c>
      <c r="H911" s="29">
        <f t="shared" ca="1" si="188"/>
        <v>201</v>
      </c>
      <c r="J911" s="22">
        <v>45456</v>
      </c>
      <c r="K911" s="26">
        <f t="shared" ca="1" si="207"/>
        <v>0.40761045330994428</v>
      </c>
      <c r="L911" s="29">
        <f t="shared" ca="1" si="189"/>
        <v>148</v>
      </c>
      <c r="N911" s="22">
        <v>45456</v>
      </c>
      <c r="O911" s="26">
        <f t="shared" ca="1" si="208"/>
        <v>0.30206548097326258</v>
      </c>
      <c r="P911" s="29">
        <f t="shared" ca="1" si="190"/>
        <v>222</v>
      </c>
      <c r="R911" s="22">
        <v>45456</v>
      </c>
      <c r="S911" s="26">
        <f t="shared" ca="1" si="209"/>
        <v>0.63120572766306193</v>
      </c>
      <c r="T911" s="29">
        <f t="shared" ca="1" si="191"/>
        <v>142</v>
      </c>
      <c r="V911" s="22">
        <v>45456</v>
      </c>
      <c r="W911" s="26">
        <f t="shared" ca="1" si="210"/>
        <v>0.43896981363307075</v>
      </c>
      <c r="X911" s="29">
        <f t="shared" ca="1" si="192"/>
        <v>223</v>
      </c>
      <c r="Z911" s="22">
        <v>45456</v>
      </c>
      <c r="AA911" s="26">
        <f t="shared" ca="1" si="211"/>
        <v>0.51381160192145336</v>
      </c>
      <c r="AB911" s="29">
        <f t="shared" ca="1" si="193"/>
        <v>271</v>
      </c>
      <c r="AC911"/>
      <c r="AD911" s="25"/>
      <c r="AF911" s="22">
        <v>45456</v>
      </c>
      <c r="AG911" s="26">
        <f t="shared" ca="1" si="212"/>
        <v>0.48805177379678977</v>
      </c>
      <c r="AH911" s="29">
        <f t="shared" ca="1" si="194"/>
        <v>325</v>
      </c>
      <c r="AJ911" s="22">
        <v>45456</v>
      </c>
      <c r="AK911" s="26">
        <f t="shared" ca="1" si="213"/>
        <v>0.18892009961880185</v>
      </c>
      <c r="AL911" s="29">
        <f t="shared" ca="1" si="195"/>
        <v>131</v>
      </c>
      <c r="AN911" s="22">
        <v>45456</v>
      </c>
      <c r="AO911" s="26">
        <f t="shared" ca="1" si="214"/>
        <v>0.33863760887635885</v>
      </c>
      <c r="AP911" s="29">
        <f t="shared" ca="1" si="196"/>
        <v>207</v>
      </c>
      <c r="AR911" s="22">
        <v>45456</v>
      </c>
      <c r="AS911" s="26">
        <f t="shared" ca="1" si="215"/>
        <v>0.9506504199696858</v>
      </c>
      <c r="AT911" s="29">
        <f t="shared" ca="1" si="197"/>
        <v>286</v>
      </c>
      <c r="AV911" s="22">
        <v>45456</v>
      </c>
      <c r="AW911" s="26">
        <f t="shared" ca="1" si="216"/>
        <v>0.32128717700332632</v>
      </c>
      <c r="AX911" s="29">
        <f t="shared" ca="1" si="198"/>
        <v>181</v>
      </c>
      <c r="AZ911" s="22">
        <v>45456</v>
      </c>
      <c r="BA911" s="26">
        <f t="shared" ca="1" si="217"/>
        <v>0.8776347913422522</v>
      </c>
      <c r="BB911" s="29">
        <f t="shared" ca="1" si="199"/>
        <v>306</v>
      </c>
      <c r="BC911"/>
      <c r="BD911" s="25"/>
      <c r="BF911" s="22">
        <v>45456</v>
      </c>
      <c r="BG911" s="26">
        <f t="shared" ca="1" si="218"/>
        <v>0.85979993266433119</v>
      </c>
      <c r="BH911" s="29">
        <f t="shared" ca="1" si="200"/>
        <v>259</v>
      </c>
      <c r="BJ911" s="22">
        <v>45456</v>
      </c>
      <c r="BK911" s="26">
        <f t="shared" ca="1" si="219"/>
        <v>0.6203571155133748</v>
      </c>
      <c r="BL911" s="29">
        <f t="shared" ca="1" si="201"/>
        <v>183</v>
      </c>
      <c r="BN911" s="22">
        <v>45456</v>
      </c>
      <c r="BO911" s="26">
        <f t="shared" ca="1" si="220"/>
        <v>0.54978300520165835</v>
      </c>
      <c r="BP911" s="29">
        <f t="shared" ca="1" si="202"/>
        <v>223</v>
      </c>
      <c r="BR911" s="22">
        <v>45456</v>
      </c>
      <c r="BS911" s="26">
        <f t="shared" ca="1" si="221"/>
        <v>1.2418244805440737E-2</v>
      </c>
      <c r="BT911" s="29">
        <f t="shared" ca="1" si="203"/>
        <v>65</v>
      </c>
      <c r="BV911" s="22">
        <v>45456</v>
      </c>
      <c r="BW911" s="26">
        <f t="shared" ca="1" si="222"/>
        <v>0.78921055529025685</v>
      </c>
      <c r="BX911" s="29">
        <f t="shared" ca="1" si="204"/>
        <v>267</v>
      </c>
    </row>
    <row r="912" spans="2:77" ht="12.75" x14ac:dyDescent="0.2">
      <c r="B912" s="22">
        <v>45457</v>
      </c>
      <c r="C912" s="26">
        <f t="shared" ca="1" si="205"/>
        <v>0.50427229348367886</v>
      </c>
      <c r="D912" s="29">
        <f t="shared" ca="1" si="187"/>
        <v>76</v>
      </c>
      <c r="F912" s="22"/>
      <c r="G912" s="26">
        <f t="shared" ca="1" si="206"/>
        <v>0.95548876220233203</v>
      </c>
      <c r="H912" s="29">
        <f t="shared" ca="1" si="188"/>
        <v>240</v>
      </c>
      <c r="J912" s="22">
        <v>45457</v>
      </c>
      <c r="K912" s="26">
        <f t="shared" ca="1" si="207"/>
        <v>0.37409636262908696</v>
      </c>
      <c r="L912" s="29">
        <f t="shared" ca="1" si="189"/>
        <v>147</v>
      </c>
      <c r="N912" s="22">
        <v>45457</v>
      </c>
      <c r="O912" s="26">
        <f t="shared" ca="1" si="208"/>
        <v>0.51160096551442735</v>
      </c>
      <c r="P912" s="29">
        <f t="shared" ca="1" si="190"/>
        <v>230</v>
      </c>
      <c r="R912" s="22">
        <v>45457</v>
      </c>
      <c r="S912" s="26">
        <f t="shared" ca="1" si="209"/>
        <v>0.68963638153749907</v>
      </c>
      <c r="T912" s="29">
        <f t="shared" ca="1" si="191"/>
        <v>144</v>
      </c>
      <c r="V912" s="22">
        <v>45457</v>
      </c>
      <c r="W912" s="26">
        <f t="shared" ca="1" si="210"/>
        <v>0.87246543673649024</v>
      </c>
      <c r="X912" s="29">
        <f t="shared" ca="1" si="192"/>
        <v>243</v>
      </c>
      <c r="Z912" s="22">
        <v>45457</v>
      </c>
      <c r="AA912" s="26">
        <f t="shared" ca="1" si="211"/>
        <v>0.9434827516225438</v>
      </c>
      <c r="AB912" s="29">
        <f t="shared" ca="1" si="193"/>
        <v>299</v>
      </c>
      <c r="AC912"/>
      <c r="AD912" s="25"/>
      <c r="AF912" s="22">
        <v>45457</v>
      </c>
      <c r="AG912" s="26">
        <f t="shared" ca="1" si="212"/>
        <v>0.90657620034882258</v>
      </c>
      <c r="AH912" s="29">
        <f t="shared" ca="1" si="194"/>
        <v>443</v>
      </c>
      <c r="AJ912" s="22">
        <v>45457</v>
      </c>
      <c r="AK912" s="26">
        <f t="shared" ca="1" si="213"/>
        <v>0.85940520855404778</v>
      </c>
      <c r="AL912" s="29">
        <f t="shared" ca="1" si="195"/>
        <v>220</v>
      </c>
      <c r="AN912" s="22">
        <v>45457</v>
      </c>
      <c r="AO912" s="26">
        <f t="shared" ca="1" si="214"/>
        <v>0.2771610011512351</v>
      </c>
      <c r="AP912" s="29">
        <f t="shared" ca="1" si="196"/>
        <v>196</v>
      </c>
      <c r="AR912" s="22">
        <v>45457</v>
      </c>
      <c r="AS912" s="26">
        <f t="shared" ca="1" si="215"/>
        <v>0.56234598938175484</v>
      </c>
      <c r="AT912" s="29">
        <f t="shared" ca="1" si="197"/>
        <v>207</v>
      </c>
      <c r="AV912" s="22">
        <v>45457</v>
      </c>
      <c r="AW912" s="26">
        <f t="shared" ca="1" si="216"/>
        <v>0.96354159827701047</v>
      </c>
      <c r="AX912" s="29">
        <f t="shared" ca="1" si="198"/>
        <v>304</v>
      </c>
      <c r="AZ912" s="22">
        <v>45457</v>
      </c>
      <c r="BA912" s="26">
        <f t="shared" ca="1" si="217"/>
        <v>0.25243619771560055</v>
      </c>
      <c r="BB912" s="29">
        <f t="shared" ca="1" si="199"/>
        <v>193</v>
      </c>
      <c r="BC912"/>
      <c r="BD912" s="25"/>
      <c r="BF912" s="22">
        <v>45457</v>
      </c>
      <c r="BG912" s="26">
        <f t="shared" ca="1" si="218"/>
        <v>0.77869619087669484</v>
      </c>
      <c r="BH912" s="29">
        <f t="shared" ca="1" si="200"/>
        <v>242</v>
      </c>
      <c r="BJ912" s="22">
        <v>45457</v>
      </c>
      <c r="BK912" s="26">
        <f t="shared" ca="1" si="219"/>
        <v>0.41673319980463996</v>
      </c>
      <c r="BL912" s="29">
        <f t="shared" ca="1" si="201"/>
        <v>160</v>
      </c>
      <c r="BN912" s="22">
        <v>45457</v>
      </c>
      <c r="BO912" s="26">
        <f t="shared" ca="1" si="220"/>
        <v>0.39883785840274244</v>
      </c>
      <c r="BP912" s="29">
        <f t="shared" ca="1" si="202"/>
        <v>201</v>
      </c>
      <c r="BR912" s="22">
        <v>45457</v>
      </c>
      <c r="BS912" s="26">
        <f t="shared" ca="1" si="221"/>
        <v>0.17424129942405131</v>
      </c>
      <c r="BT912" s="29">
        <f t="shared" ca="1" si="203"/>
        <v>121</v>
      </c>
      <c r="BV912" s="22">
        <v>45457</v>
      </c>
      <c r="BW912" s="26">
        <f t="shared" ca="1" si="222"/>
        <v>0.75080177580482177</v>
      </c>
      <c r="BX912" s="29">
        <f t="shared" ca="1" si="204"/>
        <v>259</v>
      </c>
    </row>
    <row r="913" spans="2:77" ht="12.75" x14ac:dyDescent="0.2">
      <c r="B913" s="22">
        <v>45458</v>
      </c>
      <c r="C913" s="26">
        <f t="shared" ca="1" si="205"/>
        <v>0.16921350564270288</v>
      </c>
      <c r="D913" s="29">
        <f t="shared" ca="1" si="187"/>
        <v>56</v>
      </c>
      <c r="F913" s="22"/>
      <c r="G913" s="26">
        <f t="shared" ca="1" si="206"/>
        <v>0.10147341271582111</v>
      </c>
      <c r="H913" s="29">
        <f t="shared" ca="1" si="188"/>
        <v>198</v>
      </c>
      <c r="J913" s="22">
        <v>45458</v>
      </c>
      <c r="K913" s="26">
        <f t="shared" ca="1" si="207"/>
        <v>0.99008497087619518</v>
      </c>
      <c r="L913" s="29">
        <f t="shared" ca="1" si="189"/>
        <v>174</v>
      </c>
      <c r="N913" s="22">
        <v>45458</v>
      </c>
      <c r="O913" s="26">
        <f t="shared" ca="1" si="208"/>
        <v>0.73260112532663324</v>
      </c>
      <c r="P913" s="29">
        <f t="shared" ca="1" si="190"/>
        <v>239</v>
      </c>
      <c r="R913" s="22">
        <v>45458</v>
      </c>
      <c r="S913" s="26">
        <f t="shared" ca="1" si="209"/>
        <v>0.85450504945848826</v>
      </c>
      <c r="T913" s="29">
        <f t="shared" ca="1" si="191"/>
        <v>149</v>
      </c>
      <c r="V913" s="22">
        <v>45458</v>
      </c>
      <c r="W913" s="26">
        <f t="shared" ca="1" si="210"/>
        <v>9.8565635271804952E-2</v>
      </c>
      <c r="X913" s="29">
        <f t="shared" ca="1" si="192"/>
        <v>206</v>
      </c>
      <c r="Z913" s="22">
        <v>45458</v>
      </c>
      <c r="AA913" s="26">
        <f t="shared" ca="1" si="211"/>
        <v>0.25965433164813345</v>
      </c>
      <c r="AB913" s="29">
        <f t="shared" ca="1" si="193"/>
        <v>259</v>
      </c>
      <c r="AC913"/>
      <c r="AD913" s="25"/>
      <c r="AF913" s="22">
        <v>45458</v>
      </c>
      <c r="AG913" s="26">
        <f t="shared" ca="1" si="212"/>
        <v>0.65272960336049746</v>
      </c>
      <c r="AH913" s="29">
        <f t="shared" ca="1" si="194"/>
        <v>362</v>
      </c>
      <c r="AJ913" s="22">
        <v>45458</v>
      </c>
      <c r="AK913" s="26">
        <f t="shared" ca="1" si="213"/>
        <v>0.77959335957344533</v>
      </c>
      <c r="AL913" s="29">
        <f t="shared" ca="1" si="195"/>
        <v>206</v>
      </c>
      <c r="AN913" s="22">
        <v>45458</v>
      </c>
      <c r="AO913" s="26">
        <f t="shared" ca="1" si="214"/>
        <v>0.18465906427639778</v>
      </c>
      <c r="AP913" s="29">
        <f t="shared" ca="1" si="196"/>
        <v>177</v>
      </c>
      <c r="AR913" s="22">
        <v>45458</v>
      </c>
      <c r="AS913" s="26">
        <f t="shared" ca="1" si="215"/>
        <v>0.79392209346036291</v>
      </c>
      <c r="AT913" s="29">
        <f t="shared" ca="1" si="197"/>
        <v>242</v>
      </c>
      <c r="AV913" s="22">
        <v>45458</v>
      </c>
      <c r="AW913" s="26">
        <f t="shared" ca="1" si="216"/>
        <v>0.84583872826785944</v>
      </c>
      <c r="AX913" s="29">
        <f t="shared" ca="1" si="198"/>
        <v>262</v>
      </c>
      <c r="AZ913" s="22">
        <v>45458</v>
      </c>
      <c r="BA913" s="26">
        <f t="shared" ca="1" si="217"/>
        <v>0.96397114048900889</v>
      </c>
      <c r="BB913" s="29">
        <f t="shared" ca="1" si="199"/>
        <v>346</v>
      </c>
      <c r="BC913"/>
      <c r="BD913" s="25"/>
      <c r="BF913" s="22">
        <v>45458</v>
      </c>
      <c r="BG913" s="26">
        <f t="shared" ca="1" si="218"/>
        <v>0.26886399449131382</v>
      </c>
      <c r="BH913" s="29">
        <f t="shared" ca="1" si="200"/>
        <v>168</v>
      </c>
      <c r="BJ913" s="22">
        <v>45458</v>
      </c>
      <c r="BK913" s="26">
        <f t="shared" ca="1" si="219"/>
        <v>0.83896136547125733</v>
      </c>
      <c r="BL913" s="29">
        <f t="shared" ca="1" si="201"/>
        <v>214</v>
      </c>
      <c r="BN913" s="22">
        <v>45458</v>
      </c>
      <c r="BO913" s="26">
        <f t="shared" ca="1" si="220"/>
        <v>0.95138653836092191</v>
      </c>
      <c r="BP913" s="29">
        <f t="shared" ca="1" si="202"/>
        <v>312</v>
      </c>
      <c r="BR913" s="22">
        <v>45458</v>
      </c>
      <c r="BS913" s="26">
        <f t="shared" ca="1" si="221"/>
        <v>0.76192654401236426</v>
      </c>
      <c r="BT913" s="29">
        <f t="shared" ca="1" si="203"/>
        <v>192</v>
      </c>
      <c r="BV913" s="22">
        <v>45458</v>
      </c>
      <c r="BW913" s="26">
        <f t="shared" ca="1" si="222"/>
        <v>0.64670900534344422</v>
      </c>
      <c r="BX913" s="29">
        <f t="shared" ca="1" si="204"/>
        <v>242</v>
      </c>
    </row>
    <row r="914" spans="2:77" ht="12.75" x14ac:dyDescent="0.2">
      <c r="B914" s="22">
        <v>45459</v>
      </c>
      <c r="C914" s="26">
        <f t="shared" ca="1" si="205"/>
        <v>3.2749544773653327E-2</v>
      </c>
      <c r="D914" s="29">
        <f t="shared" ref="D914:D933" ca="1" si="223">ROUNDUP(_xlfn.NORM.INV(C914,C$10,C$12),0)</f>
        <v>39</v>
      </c>
      <c r="F914" s="22"/>
      <c r="G914" s="26">
        <f t="shared" ca="1" si="206"/>
        <v>0.79069698498939001</v>
      </c>
      <c r="H914" s="29">
        <f t="shared" ca="1" si="188"/>
        <v>228</v>
      </c>
      <c r="J914" s="22">
        <v>45459</v>
      </c>
      <c r="K914" s="26">
        <f t="shared" ca="1" si="207"/>
        <v>0.26698330247210145</v>
      </c>
      <c r="L914" s="29">
        <f t="shared" ca="1" si="189"/>
        <v>144</v>
      </c>
      <c r="N914" s="22">
        <v>45459</v>
      </c>
      <c r="O914" s="26">
        <f t="shared" ca="1" si="208"/>
        <v>0.21559032944138623</v>
      </c>
      <c r="P914" s="29">
        <f t="shared" ca="1" si="190"/>
        <v>218</v>
      </c>
      <c r="R914" s="22">
        <v>45459</v>
      </c>
      <c r="S914" s="26">
        <f t="shared" ca="1" si="209"/>
        <v>0.30931954007093787</v>
      </c>
      <c r="T914" s="29">
        <f t="shared" ca="1" si="191"/>
        <v>135</v>
      </c>
      <c r="V914" s="22">
        <v>45459</v>
      </c>
      <c r="W914" s="26">
        <f t="shared" ca="1" si="210"/>
        <v>0.7319748150844354</v>
      </c>
      <c r="X914" s="29">
        <f t="shared" ca="1" si="192"/>
        <v>235</v>
      </c>
      <c r="Z914" s="22">
        <v>45459</v>
      </c>
      <c r="AA914" s="26">
        <f t="shared" ca="1" si="211"/>
        <v>0.2498085722816461</v>
      </c>
      <c r="AB914" s="29">
        <f t="shared" ca="1" si="193"/>
        <v>258</v>
      </c>
      <c r="AC914"/>
      <c r="AD914" s="25"/>
      <c r="AF914" s="22">
        <v>45459</v>
      </c>
      <c r="AG914" s="26">
        <f t="shared" ca="1" si="212"/>
        <v>0.89931894566746129</v>
      </c>
      <c r="AH914" s="29">
        <f t="shared" ca="1" si="194"/>
        <v>439</v>
      </c>
      <c r="AJ914" s="22">
        <v>45459</v>
      </c>
      <c r="AK914" s="26">
        <f t="shared" ca="1" si="213"/>
        <v>0.68261741987343183</v>
      </c>
      <c r="AL914" s="29">
        <f t="shared" ca="1" si="195"/>
        <v>192</v>
      </c>
      <c r="AN914" s="22">
        <v>45459</v>
      </c>
      <c r="AO914" s="26">
        <f t="shared" ca="1" si="214"/>
        <v>0.78741990455628619</v>
      </c>
      <c r="AP914" s="29">
        <f t="shared" ca="1" si="196"/>
        <v>282</v>
      </c>
      <c r="AR914" s="22">
        <v>45459</v>
      </c>
      <c r="AS914" s="26">
        <f t="shared" ca="1" si="215"/>
        <v>0.91466546399495163</v>
      </c>
      <c r="AT914" s="29">
        <f t="shared" ca="1" si="197"/>
        <v>271</v>
      </c>
      <c r="AV914" s="22">
        <v>45459</v>
      </c>
      <c r="AW914" s="26">
        <f t="shared" ca="1" si="216"/>
        <v>0.30398546920928471</v>
      </c>
      <c r="AX914" s="29">
        <f t="shared" ca="1" si="198"/>
        <v>178</v>
      </c>
      <c r="AZ914" s="22">
        <v>45459</v>
      </c>
      <c r="BA914" s="26">
        <f t="shared" ca="1" si="217"/>
        <v>0.69777406695003552</v>
      </c>
      <c r="BB914" s="29">
        <f t="shared" ca="1" si="199"/>
        <v>266</v>
      </c>
      <c r="BC914"/>
      <c r="BD914" s="25"/>
      <c r="BF914" s="22">
        <v>45459</v>
      </c>
      <c r="BG914" s="26">
        <f t="shared" ca="1" si="218"/>
        <v>0.15397693095122211</v>
      </c>
      <c r="BH914" s="29">
        <f t="shared" ca="1" si="200"/>
        <v>147</v>
      </c>
      <c r="BJ914" s="22">
        <v>45459</v>
      </c>
      <c r="BK914" s="26">
        <f t="shared" ca="1" si="219"/>
        <v>0.70600569929151913</v>
      </c>
      <c r="BL914" s="29">
        <f t="shared" ca="1" si="201"/>
        <v>193</v>
      </c>
      <c r="BN914" s="22">
        <v>45459</v>
      </c>
      <c r="BO914" s="26">
        <f t="shared" ca="1" si="220"/>
        <v>0.47094051521768177</v>
      </c>
      <c r="BP914" s="29">
        <f t="shared" ca="1" si="202"/>
        <v>212</v>
      </c>
      <c r="BR914" s="22">
        <v>45459</v>
      </c>
      <c r="BS914" s="26">
        <f t="shared" ca="1" si="221"/>
        <v>0.50279618815048888</v>
      </c>
      <c r="BT914" s="29">
        <f t="shared" ca="1" si="203"/>
        <v>161</v>
      </c>
      <c r="BV914" s="22">
        <v>45459</v>
      </c>
      <c r="BW914" s="26">
        <f t="shared" ca="1" si="222"/>
        <v>0.26017998574853285</v>
      </c>
      <c r="BX914" s="29">
        <f t="shared" ca="1" si="204"/>
        <v>182</v>
      </c>
    </row>
    <row r="915" spans="2:77" ht="12.75" x14ac:dyDescent="0.2">
      <c r="B915" s="22">
        <v>45460</v>
      </c>
      <c r="C915" s="26">
        <f t="shared" ca="1" si="205"/>
        <v>0.35335566109798811</v>
      </c>
      <c r="D915" s="29">
        <f t="shared" ca="1" si="223"/>
        <v>68</v>
      </c>
      <c r="F915" s="22"/>
      <c r="G915" s="26">
        <f t="shared" ca="1" si="206"/>
        <v>4.1434484925379711E-2</v>
      </c>
      <c r="H915" s="29">
        <f t="shared" ca="1" si="188"/>
        <v>191</v>
      </c>
      <c r="J915" s="22">
        <v>45460</v>
      </c>
      <c r="K915" s="26">
        <f t="shared" ca="1" si="207"/>
        <v>0.85164982019663238</v>
      </c>
      <c r="L915" s="29">
        <f t="shared" ca="1" si="189"/>
        <v>161</v>
      </c>
      <c r="N915" s="22">
        <v>45460</v>
      </c>
      <c r="O915" s="26">
        <f t="shared" ca="1" si="208"/>
        <v>0.59932702920010761</v>
      </c>
      <c r="P915" s="29">
        <f t="shared" ca="1" si="190"/>
        <v>234</v>
      </c>
      <c r="R915" s="22">
        <v>45460</v>
      </c>
      <c r="S915" s="26">
        <f t="shared" ca="1" si="209"/>
        <v>0.93823480955419603</v>
      </c>
      <c r="T915" s="29">
        <f t="shared" ca="1" si="191"/>
        <v>153</v>
      </c>
      <c r="V915" s="22">
        <v>45460</v>
      </c>
      <c r="W915" s="26">
        <f t="shared" ca="1" si="210"/>
        <v>0.49799843128615751</v>
      </c>
      <c r="X915" s="29">
        <f t="shared" ca="1" si="192"/>
        <v>225</v>
      </c>
      <c r="Z915" s="22">
        <v>45460</v>
      </c>
      <c r="AA915" s="26">
        <f t="shared" ca="1" si="211"/>
        <v>3.5495040764796926E-3</v>
      </c>
      <c r="AB915" s="29">
        <f t="shared" ca="1" si="193"/>
        <v>222</v>
      </c>
      <c r="AC915"/>
      <c r="AD915" s="25"/>
      <c r="AF915" s="22">
        <v>45460</v>
      </c>
      <c r="AG915" s="26">
        <f t="shared" ca="1" si="212"/>
        <v>1.74280949601201E-2</v>
      </c>
      <c r="AH915" s="29">
        <f t="shared" ca="1" si="194"/>
        <v>144</v>
      </c>
      <c r="AJ915" s="22">
        <v>45460</v>
      </c>
      <c r="AK915" s="26">
        <f t="shared" ca="1" si="213"/>
        <v>0.61404708474579273</v>
      </c>
      <c r="AL915" s="29">
        <f t="shared" ca="1" si="195"/>
        <v>184</v>
      </c>
      <c r="AN915" s="22">
        <v>45460</v>
      </c>
      <c r="AO915" s="26">
        <f t="shared" ca="1" si="214"/>
        <v>0.42092067638530384</v>
      </c>
      <c r="AP915" s="29">
        <f t="shared" ca="1" si="196"/>
        <v>220</v>
      </c>
      <c r="AR915" s="22">
        <v>45460</v>
      </c>
      <c r="AS915" s="26">
        <f t="shared" ca="1" si="215"/>
        <v>6.8104133721530458E-2</v>
      </c>
      <c r="AT915" s="29">
        <f t="shared" ca="1" si="197"/>
        <v>120</v>
      </c>
      <c r="AV915" s="22">
        <v>45460</v>
      </c>
      <c r="AW915" s="26">
        <f t="shared" ca="1" si="216"/>
        <v>0.56906823535331552</v>
      </c>
      <c r="AX915" s="29">
        <f t="shared" ca="1" si="198"/>
        <v>216</v>
      </c>
      <c r="AZ915" s="22">
        <v>45460</v>
      </c>
      <c r="BA915" s="26">
        <f t="shared" ca="1" si="217"/>
        <v>0.1658012098459698</v>
      </c>
      <c r="BB915" s="29">
        <f t="shared" ca="1" si="199"/>
        <v>174</v>
      </c>
      <c r="BC915"/>
      <c r="BD915" s="25"/>
      <c r="BF915" s="22">
        <v>45460</v>
      </c>
      <c r="BG915" s="26">
        <f t="shared" ca="1" si="218"/>
        <v>0.95330993186293655</v>
      </c>
      <c r="BH915" s="29">
        <f t="shared" ca="1" si="200"/>
        <v>291</v>
      </c>
      <c r="BJ915" s="22">
        <v>45460</v>
      </c>
      <c r="BK915" s="26">
        <f t="shared" ca="1" si="219"/>
        <v>0.89216948781521721</v>
      </c>
      <c r="BL915" s="29">
        <f t="shared" ca="1" si="201"/>
        <v>225</v>
      </c>
      <c r="BN915" s="22">
        <v>45460</v>
      </c>
      <c r="BO915" s="26">
        <f t="shared" ca="1" si="220"/>
        <v>0.48357980313988036</v>
      </c>
      <c r="BP915" s="29">
        <f t="shared" ca="1" si="202"/>
        <v>214</v>
      </c>
      <c r="BR915" s="22">
        <v>45460</v>
      </c>
      <c r="BS915" s="26">
        <f t="shared" ca="1" si="221"/>
        <v>5.0173991793116213E-2</v>
      </c>
      <c r="BT915" s="29">
        <f t="shared" ca="1" si="203"/>
        <v>91</v>
      </c>
      <c r="BV915" s="22">
        <v>45460</v>
      </c>
      <c r="BW915" s="26">
        <f t="shared" ca="1" si="222"/>
        <v>0.5707500079607678</v>
      </c>
      <c r="BX915" s="29">
        <f t="shared" ca="1" si="204"/>
        <v>230</v>
      </c>
    </row>
    <row r="916" spans="2:77" ht="12.75" x14ac:dyDescent="0.2">
      <c r="B916" s="22">
        <v>45461</v>
      </c>
      <c r="C916" s="26">
        <f t="shared" ca="1" si="205"/>
        <v>0.18905813771139612</v>
      </c>
      <c r="D916" s="29">
        <f t="shared" ca="1" si="223"/>
        <v>58</v>
      </c>
      <c r="F916" s="22"/>
      <c r="G916" s="26">
        <f t="shared" ca="1" si="206"/>
        <v>0.45177824524271926</v>
      </c>
      <c r="H916" s="29">
        <f t="shared" ca="1" si="188"/>
        <v>214</v>
      </c>
      <c r="J916" s="22">
        <v>45461</v>
      </c>
      <c r="K916" s="26">
        <f t="shared" ca="1" si="207"/>
        <v>0.37004860332720135</v>
      </c>
      <c r="L916" s="29">
        <f t="shared" ca="1" si="189"/>
        <v>147</v>
      </c>
      <c r="N916" s="22">
        <v>45461</v>
      </c>
      <c r="O916" s="26">
        <f t="shared" ca="1" si="208"/>
        <v>0.80850576638164739</v>
      </c>
      <c r="P916" s="29">
        <f t="shared" ca="1" si="190"/>
        <v>243</v>
      </c>
      <c r="R916" s="22">
        <v>45461</v>
      </c>
      <c r="S916" s="26">
        <f t="shared" ca="1" si="209"/>
        <v>0.1284343772916593</v>
      </c>
      <c r="T916" s="29">
        <f t="shared" ca="1" si="191"/>
        <v>129</v>
      </c>
      <c r="V916" s="22">
        <v>45461</v>
      </c>
      <c r="W916" s="26">
        <f t="shared" ca="1" si="210"/>
        <v>0.72564329242077152</v>
      </c>
      <c r="X916" s="29">
        <f t="shared" ca="1" si="192"/>
        <v>234</v>
      </c>
      <c r="Z916" s="22">
        <v>45461</v>
      </c>
      <c r="AA916" s="26">
        <f t="shared" ca="1" si="211"/>
        <v>0.94053031098227446</v>
      </c>
      <c r="AB916" s="29">
        <f t="shared" ca="1" si="193"/>
        <v>299</v>
      </c>
      <c r="AC916"/>
      <c r="AD916" s="25"/>
      <c r="AF916" s="22">
        <v>45461</v>
      </c>
      <c r="AG916" s="26">
        <f t="shared" ca="1" si="212"/>
        <v>3.2929170361675086E-2</v>
      </c>
      <c r="AH916" s="29">
        <f t="shared" ca="1" si="194"/>
        <v>167</v>
      </c>
      <c r="AJ916" s="22">
        <v>45461</v>
      </c>
      <c r="AK916" s="26">
        <f t="shared" ca="1" si="213"/>
        <v>0.21717221363490924</v>
      </c>
      <c r="AL916" s="29">
        <f t="shared" ca="1" si="195"/>
        <v>135</v>
      </c>
      <c r="AN916" s="22">
        <v>45461</v>
      </c>
      <c r="AO916" s="26">
        <f t="shared" ca="1" si="214"/>
        <v>0.72811675585213653</v>
      </c>
      <c r="AP916" s="29">
        <f t="shared" ca="1" si="196"/>
        <v>270</v>
      </c>
      <c r="AR916" s="22">
        <v>45461</v>
      </c>
      <c r="AS916" s="26">
        <f t="shared" ca="1" si="215"/>
        <v>0.15297074016946866</v>
      </c>
      <c r="AT916" s="29">
        <f t="shared" ca="1" si="197"/>
        <v>144</v>
      </c>
      <c r="AV916" s="22">
        <v>45461</v>
      </c>
      <c r="AW916" s="26">
        <f t="shared" ca="1" si="216"/>
        <v>0.77692001790197496</v>
      </c>
      <c r="AX916" s="29">
        <f t="shared" ca="1" si="198"/>
        <v>248</v>
      </c>
      <c r="AZ916" s="22">
        <v>45461</v>
      </c>
      <c r="BA916" s="26">
        <f t="shared" ca="1" si="217"/>
        <v>0.49871415620404747</v>
      </c>
      <c r="BB916" s="29">
        <f t="shared" ca="1" si="199"/>
        <v>234</v>
      </c>
      <c r="BC916"/>
      <c r="BD916" s="25"/>
      <c r="BF916" s="22">
        <v>45461</v>
      </c>
      <c r="BG916" s="26">
        <f t="shared" ca="1" si="218"/>
        <v>0.42710895647851022</v>
      </c>
      <c r="BH916" s="29">
        <f t="shared" ca="1" si="200"/>
        <v>191</v>
      </c>
      <c r="BJ916" s="22">
        <v>45461</v>
      </c>
      <c r="BK916" s="26">
        <f t="shared" ca="1" si="219"/>
        <v>0.95636234119366959</v>
      </c>
      <c r="BL916" s="29">
        <f t="shared" ca="1" si="201"/>
        <v>246</v>
      </c>
      <c r="BN916" s="22">
        <v>45461</v>
      </c>
      <c r="BO916" s="26">
        <f t="shared" ca="1" si="220"/>
        <v>0.34917770504720236</v>
      </c>
      <c r="BP916" s="29">
        <f t="shared" ca="1" si="202"/>
        <v>194</v>
      </c>
      <c r="BR916" s="22">
        <v>45461</v>
      </c>
      <c r="BS916" s="26">
        <f t="shared" ca="1" si="221"/>
        <v>0.11120861129183501</v>
      </c>
      <c r="BT916" s="29">
        <f t="shared" ca="1" si="203"/>
        <v>109</v>
      </c>
      <c r="BV916" s="22">
        <v>45461</v>
      </c>
      <c r="BW916" s="26">
        <f t="shared" ca="1" si="222"/>
        <v>0.62049972213163063</v>
      </c>
      <c r="BX916" s="29">
        <f t="shared" ca="1" si="204"/>
        <v>238</v>
      </c>
    </row>
    <row r="917" spans="2:77" ht="12.75" x14ac:dyDescent="0.2">
      <c r="B917" s="22">
        <v>45462</v>
      </c>
      <c r="C917" s="26">
        <f t="shared" ca="1" si="205"/>
        <v>0.17700767087911051</v>
      </c>
      <c r="D917" s="29">
        <f t="shared" ca="1" si="223"/>
        <v>57</v>
      </c>
      <c r="F917" s="22"/>
      <c r="G917" s="26">
        <f t="shared" ca="1" si="206"/>
        <v>0.92225317452150635</v>
      </c>
      <c r="H917" s="29">
        <f t="shared" ca="1" si="188"/>
        <v>236</v>
      </c>
      <c r="J917" s="22">
        <v>45462</v>
      </c>
      <c r="K917" s="26">
        <f t="shared" ca="1" si="207"/>
        <v>0.19338830306324717</v>
      </c>
      <c r="L917" s="29">
        <f t="shared" ca="1" si="189"/>
        <v>142</v>
      </c>
      <c r="N917" s="22">
        <v>45462</v>
      </c>
      <c r="O917" s="26">
        <f t="shared" ca="1" si="208"/>
        <v>0.12488340988803648</v>
      </c>
      <c r="P917" s="29">
        <f t="shared" ca="1" si="190"/>
        <v>212</v>
      </c>
      <c r="R917" s="22">
        <v>45462</v>
      </c>
      <c r="S917" s="26">
        <f t="shared" ca="1" si="209"/>
        <v>0.80159301287883888</v>
      </c>
      <c r="T917" s="29">
        <f t="shared" ca="1" si="191"/>
        <v>147</v>
      </c>
      <c r="V917" s="22">
        <v>45462</v>
      </c>
      <c r="W917" s="26">
        <f t="shared" ca="1" si="210"/>
        <v>0.33514734516154698</v>
      </c>
      <c r="X917" s="29">
        <f t="shared" ca="1" si="192"/>
        <v>219</v>
      </c>
      <c r="Z917" s="22">
        <v>45462</v>
      </c>
      <c r="AA917" s="26">
        <f t="shared" ca="1" si="211"/>
        <v>0.26263116769471129</v>
      </c>
      <c r="AB917" s="29">
        <f t="shared" ca="1" si="193"/>
        <v>259</v>
      </c>
      <c r="AC917"/>
      <c r="AD917" s="25"/>
      <c r="AF917" s="22">
        <v>45462</v>
      </c>
      <c r="AG917" s="26">
        <f t="shared" ca="1" si="212"/>
        <v>2.7431243743228917E-3</v>
      </c>
      <c r="AH917" s="29">
        <f t="shared" ca="1" si="194"/>
        <v>85</v>
      </c>
      <c r="AJ917" s="22">
        <v>45462</v>
      </c>
      <c r="AK917" s="26">
        <f t="shared" ca="1" si="213"/>
        <v>0.53071279846506891</v>
      </c>
      <c r="AL917" s="29">
        <f t="shared" ca="1" si="195"/>
        <v>174</v>
      </c>
      <c r="AN917" s="22">
        <v>45462</v>
      </c>
      <c r="AO917" s="26">
        <f t="shared" ca="1" si="214"/>
        <v>0.66826021751643705</v>
      </c>
      <c r="AP917" s="29">
        <f t="shared" ca="1" si="196"/>
        <v>259</v>
      </c>
      <c r="AR917" s="22">
        <v>45462</v>
      </c>
      <c r="AS917" s="26">
        <f t="shared" ca="1" si="215"/>
        <v>0.92226841160592876</v>
      </c>
      <c r="AT917" s="29">
        <f t="shared" ca="1" si="197"/>
        <v>274</v>
      </c>
      <c r="AV917" s="22">
        <v>45462</v>
      </c>
      <c r="AW917" s="26">
        <f t="shared" ca="1" si="216"/>
        <v>0.52853142968414057</v>
      </c>
      <c r="AX917" s="29">
        <f t="shared" ca="1" si="198"/>
        <v>210</v>
      </c>
      <c r="AZ917" s="22">
        <v>45462</v>
      </c>
      <c r="BA917" s="26">
        <f t="shared" ca="1" si="217"/>
        <v>0.14598478467771081</v>
      </c>
      <c r="BB917" s="29">
        <f t="shared" ca="1" si="199"/>
        <v>168</v>
      </c>
      <c r="BC917"/>
      <c r="BD917" s="25"/>
      <c r="BF917" s="22">
        <v>45462</v>
      </c>
      <c r="BG917" s="26">
        <f t="shared" ca="1" si="218"/>
        <v>0.81226275996533048</v>
      </c>
      <c r="BH917" s="29">
        <f t="shared" ca="1" si="200"/>
        <v>248</v>
      </c>
      <c r="BJ917" s="22">
        <v>45462</v>
      </c>
      <c r="BK917" s="26">
        <f t="shared" ca="1" si="219"/>
        <v>0.53784872859532129</v>
      </c>
      <c r="BL917" s="29">
        <f t="shared" ca="1" si="201"/>
        <v>173</v>
      </c>
      <c r="BN917" s="22">
        <v>45462</v>
      </c>
      <c r="BO917" s="26">
        <f t="shared" ca="1" si="220"/>
        <v>0.24235660573401419</v>
      </c>
      <c r="BP917" s="29">
        <f t="shared" ca="1" si="202"/>
        <v>176</v>
      </c>
      <c r="BR917" s="22">
        <v>45462</v>
      </c>
      <c r="BS917" s="26">
        <f t="shared" ca="1" si="221"/>
        <v>0.1179531533582997</v>
      </c>
      <c r="BT917" s="29">
        <f t="shared" ca="1" si="203"/>
        <v>110</v>
      </c>
      <c r="BV917" s="22">
        <v>45462</v>
      </c>
      <c r="BW917" s="26">
        <f t="shared" ca="1" si="222"/>
        <v>0.86545376211147329</v>
      </c>
      <c r="BX917" s="29">
        <f t="shared" ca="1" si="204"/>
        <v>284</v>
      </c>
    </row>
    <row r="918" spans="2:77" ht="12.75" x14ac:dyDescent="0.2">
      <c r="B918" s="22">
        <v>45463</v>
      </c>
      <c r="C918" s="26">
        <f t="shared" ca="1" si="205"/>
        <v>0.22637846684937102</v>
      </c>
      <c r="D918" s="29">
        <f t="shared" ca="1" si="223"/>
        <v>60</v>
      </c>
      <c r="F918" s="22"/>
      <c r="G918" s="26">
        <f t="shared" ca="1" si="206"/>
        <v>0.76472424001485795</v>
      </c>
      <c r="H918" s="29">
        <f t="shared" ca="1" si="188"/>
        <v>226</v>
      </c>
      <c r="J918" s="22">
        <v>45463</v>
      </c>
      <c r="K918" s="26">
        <f t="shared" ca="1" si="207"/>
        <v>0.18496207616842253</v>
      </c>
      <c r="L918" s="29">
        <f t="shared" ca="1" si="189"/>
        <v>142</v>
      </c>
      <c r="N918" s="22">
        <v>45463</v>
      </c>
      <c r="O918" s="26">
        <f t="shared" ca="1" si="208"/>
        <v>8.2988304114057665E-2</v>
      </c>
      <c r="P918" s="29">
        <f t="shared" ca="1" si="190"/>
        <v>209</v>
      </c>
      <c r="R918" s="22">
        <v>45463</v>
      </c>
      <c r="S918" s="26">
        <f t="shared" ca="1" si="209"/>
        <v>5.8306256417224644E-2</v>
      </c>
      <c r="T918" s="29">
        <f t="shared" ca="1" si="191"/>
        <v>125</v>
      </c>
      <c r="V918" s="22">
        <v>45463</v>
      </c>
      <c r="W918" s="26">
        <f t="shared" ca="1" si="210"/>
        <v>6.0388059667177307E-2</v>
      </c>
      <c r="X918" s="29">
        <f t="shared" ca="1" si="192"/>
        <v>202</v>
      </c>
      <c r="Z918" s="22">
        <v>45463</v>
      </c>
      <c r="AA918" s="26">
        <f t="shared" ca="1" si="211"/>
        <v>0.50820610665545751</v>
      </c>
      <c r="AB918" s="29">
        <f t="shared" ca="1" si="193"/>
        <v>271</v>
      </c>
      <c r="AC918"/>
      <c r="AD918" s="25"/>
      <c r="AF918" s="22">
        <v>45463</v>
      </c>
      <c r="AG918" s="26">
        <f t="shared" ca="1" si="212"/>
        <v>6.1178414079612553E-2</v>
      </c>
      <c r="AH918" s="29">
        <f t="shared" ca="1" si="194"/>
        <v>193</v>
      </c>
      <c r="AJ918" s="22">
        <v>45463</v>
      </c>
      <c r="AK918" s="26">
        <f t="shared" ca="1" si="213"/>
        <v>2.2164911612418292E-2</v>
      </c>
      <c r="AL918" s="29">
        <f t="shared" ca="1" si="195"/>
        <v>80</v>
      </c>
      <c r="AN918" s="22">
        <v>45463</v>
      </c>
      <c r="AO918" s="26">
        <f t="shared" ca="1" si="214"/>
        <v>0.86008600643170929</v>
      </c>
      <c r="AP918" s="29">
        <f t="shared" ca="1" si="196"/>
        <v>299</v>
      </c>
      <c r="AR918" s="22">
        <v>45463</v>
      </c>
      <c r="AS918" s="26">
        <f t="shared" ca="1" si="215"/>
        <v>0.29595606991657297</v>
      </c>
      <c r="AT918" s="29">
        <f t="shared" ca="1" si="197"/>
        <v>170</v>
      </c>
      <c r="AV918" s="22">
        <v>45463</v>
      </c>
      <c r="AW918" s="26">
        <f t="shared" ca="1" si="216"/>
        <v>0.99751718253713528</v>
      </c>
      <c r="AX918" s="29">
        <f t="shared" ca="1" si="198"/>
        <v>360</v>
      </c>
      <c r="AZ918" s="22">
        <v>45463</v>
      </c>
      <c r="BA918" s="26">
        <f t="shared" ca="1" si="217"/>
        <v>0.83804152359773876</v>
      </c>
      <c r="BB918" s="29">
        <f t="shared" ca="1" si="199"/>
        <v>295</v>
      </c>
      <c r="BC918"/>
      <c r="BD918" s="25"/>
      <c r="BF918" s="22">
        <v>45463</v>
      </c>
      <c r="BG918" s="26">
        <f t="shared" ca="1" si="218"/>
        <v>0.92534861367524202</v>
      </c>
      <c r="BH918" s="29">
        <f t="shared" ca="1" si="200"/>
        <v>278</v>
      </c>
      <c r="BJ918" s="22">
        <v>45463</v>
      </c>
      <c r="BK918" s="26">
        <f t="shared" ca="1" si="219"/>
        <v>0.80639517670576943</v>
      </c>
      <c r="BL918" s="29">
        <f t="shared" ca="1" si="201"/>
        <v>208</v>
      </c>
      <c r="BN918" s="22">
        <v>45463</v>
      </c>
      <c r="BO918" s="26">
        <f t="shared" ca="1" si="220"/>
        <v>0.72205962182320338</v>
      </c>
      <c r="BP918" s="29">
        <f t="shared" ca="1" si="202"/>
        <v>250</v>
      </c>
      <c r="BR918" s="22">
        <v>45463</v>
      </c>
      <c r="BS918" s="26">
        <f t="shared" ca="1" si="221"/>
        <v>0.9712513304964252</v>
      </c>
      <c r="BT918" s="29">
        <f t="shared" ca="1" si="203"/>
        <v>243</v>
      </c>
      <c r="BV918" s="22">
        <v>45463</v>
      </c>
      <c r="BW918" s="26">
        <f t="shared" ca="1" si="222"/>
        <v>0.29430831974185323</v>
      </c>
      <c r="BX918" s="29">
        <f t="shared" ca="1" si="204"/>
        <v>188</v>
      </c>
    </row>
    <row r="919" spans="2:77" ht="12.75" x14ac:dyDescent="0.2">
      <c r="B919" s="22">
        <v>45464</v>
      </c>
      <c r="C919" s="26">
        <f t="shared" ca="1" si="205"/>
        <v>0.89792347332102973</v>
      </c>
      <c r="D919" s="29">
        <f t="shared" ca="1" si="223"/>
        <v>101</v>
      </c>
      <c r="F919" s="22"/>
      <c r="G919" s="26">
        <f t="shared" ca="1" si="206"/>
        <v>8.8144359445226916E-2</v>
      </c>
      <c r="H919" s="29">
        <f t="shared" ref="H919:H933" ca="1" si="224">ROUNDUP(_xlfn.NORM.INV(G919,G$10,G$12),0)</f>
        <v>196</v>
      </c>
      <c r="J919" s="22">
        <v>45464</v>
      </c>
      <c r="K919" s="26">
        <f t="shared" ca="1" si="207"/>
        <v>0.31632157764177271</v>
      </c>
      <c r="L919" s="29">
        <f t="shared" ref="L919:L933" ca="1" si="225">ROUNDUP(_xlfn.NORM.INV(K919,K$10,K$12),0)</f>
        <v>146</v>
      </c>
      <c r="N919" s="22">
        <v>45464</v>
      </c>
      <c r="O919" s="26">
        <f t="shared" ca="1" si="208"/>
        <v>3.6828644872811678E-2</v>
      </c>
      <c r="P919" s="29">
        <f t="shared" ref="P919:P933" ca="1" si="226">ROUNDUP(_xlfn.NORM.INV(O919,O$10,O$12),0)</f>
        <v>203</v>
      </c>
      <c r="R919" s="22">
        <v>45464</v>
      </c>
      <c r="S919" s="26">
        <f t="shared" ca="1" si="209"/>
        <v>0.37720297318705309</v>
      </c>
      <c r="T919" s="29">
        <f t="shared" ref="T919:T933" ca="1" si="227">ROUNDUP(_xlfn.NORM.INV(S919,S$10,S$12),0)</f>
        <v>136</v>
      </c>
      <c r="V919" s="22">
        <v>45464</v>
      </c>
      <c r="W919" s="26">
        <f t="shared" ca="1" si="210"/>
        <v>0.18075742789740246</v>
      </c>
      <c r="X919" s="29">
        <f t="shared" ref="X919:X933" ca="1" si="228">ROUNDUP(_xlfn.NORM.INV(W919,W$10,W$12),0)</f>
        <v>212</v>
      </c>
      <c r="Z919" s="22">
        <v>45464</v>
      </c>
      <c r="AA919" s="26">
        <f t="shared" ca="1" si="211"/>
        <v>0.1961994695373529</v>
      </c>
      <c r="AB919" s="29">
        <f t="shared" ref="AB919:AB933" ca="1" si="229">ROUNDUP(_xlfn.NORM.INV(AA919,AA$10,AA$12),0)</f>
        <v>255</v>
      </c>
      <c r="AC919"/>
      <c r="AD919" s="25"/>
      <c r="AF919" s="22">
        <v>45464</v>
      </c>
      <c r="AG919" s="26">
        <f t="shared" ca="1" si="212"/>
        <v>9.0878535106148406E-2</v>
      </c>
      <c r="AH919" s="29">
        <f t="shared" ref="AH919:AH933" ca="1" si="230">ROUNDUP(_xlfn.NORM.INV(AG919,AG$10,AG$12),0)</f>
        <v>211</v>
      </c>
      <c r="AJ919" s="22">
        <v>45464</v>
      </c>
      <c r="AK919" s="26">
        <f t="shared" ca="1" si="213"/>
        <v>0.31912844090282888</v>
      </c>
      <c r="AL919" s="29">
        <f t="shared" ref="AL919:AL933" ca="1" si="231">ROUNDUP(_xlfn.NORM.INV(AK919,AK$10,AK$12),0)</f>
        <v>150</v>
      </c>
      <c r="AN919" s="22">
        <v>45464</v>
      </c>
      <c r="AO919" s="26">
        <f t="shared" ca="1" si="214"/>
        <v>0.69475964496596121</v>
      </c>
      <c r="AP919" s="29">
        <f t="shared" ref="AP919:AP933" ca="1" si="232">ROUNDUP(_xlfn.NORM.INV(AO919,AO$10,AO$12),0)</f>
        <v>264</v>
      </c>
      <c r="AR919" s="22">
        <v>45464</v>
      </c>
      <c r="AS919" s="26">
        <f t="shared" ca="1" si="215"/>
        <v>0.6017654330088017</v>
      </c>
      <c r="AT919" s="29">
        <f t="shared" ref="AT919:AT933" ca="1" si="233">ROUNDUP(_xlfn.NORM.INV(AS919,AS$10,AS$12),0)</f>
        <v>212</v>
      </c>
      <c r="AV919" s="22">
        <v>45464</v>
      </c>
      <c r="AW919" s="26">
        <f t="shared" ca="1" si="216"/>
        <v>0.83395416569618608</v>
      </c>
      <c r="AX919" s="29">
        <f t="shared" ref="AX919:AX933" ca="1" si="234">ROUNDUP(_xlfn.NORM.INV(AW919,AW$10,AW$12),0)</f>
        <v>259</v>
      </c>
      <c r="AZ919" s="22">
        <v>45464</v>
      </c>
      <c r="BA919" s="26">
        <f t="shared" ca="1" si="217"/>
        <v>0.9148337296643404</v>
      </c>
      <c r="BB919" s="29">
        <f t="shared" ref="BB919:BB933" ca="1" si="235">ROUNDUP(_xlfn.NORM.INV(BA919,BA$10,BA$12),0)</f>
        <v>319</v>
      </c>
      <c r="BC919"/>
      <c r="BD919" s="25"/>
      <c r="BF919" s="22">
        <v>45464</v>
      </c>
      <c r="BG919" s="26">
        <f t="shared" ca="1" si="218"/>
        <v>0.87947345179763359</v>
      </c>
      <c r="BH919" s="29">
        <f t="shared" ref="BH919:BH933" ca="1" si="236">ROUNDUP(_xlfn.NORM.INV(BG919,BG$10,BG$12),0)</f>
        <v>264</v>
      </c>
      <c r="BJ919" s="22">
        <v>45464</v>
      </c>
      <c r="BK919" s="26">
        <f t="shared" ca="1" si="219"/>
        <v>0.95091217875615686</v>
      </c>
      <c r="BL919" s="29">
        <f t="shared" ref="BL919:BL933" ca="1" si="237">ROUNDUP(_xlfn.NORM.INV(BK919,BK$10,BK$12),0)</f>
        <v>243</v>
      </c>
      <c r="BN919" s="22">
        <v>45464</v>
      </c>
      <c r="BO919" s="26">
        <f t="shared" ca="1" si="220"/>
        <v>0.18566296204262123</v>
      </c>
      <c r="BP919" s="29">
        <f t="shared" ref="BP919:BP933" ca="1" si="238">ROUNDUP(_xlfn.NORM.INV(BO919,BO$10,BO$12),0)</f>
        <v>165</v>
      </c>
      <c r="BR919" s="22">
        <v>45464</v>
      </c>
      <c r="BS919" s="26">
        <f t="shared" ca="1" si="221"/>
        <v>0.77421275309309945</v>
      </c>
      <c r="BT919" s="29">
        <f t="shared" ref="BT919:BT933" ca="1" si="239">ROUNDUP(_xlfn.NORM.INV(BS919,BS$10,BS$12),0)</f>
        <v>193</v>
      </c>
      <c r="BV919" s="22">
        <v>45464</v>
      </c>
      <c r="BW919" s="26">
        <f t="shared" ca="1" si="222"/>
        <v>0.41960603734114132</v>
      </c>
      <c r="BX919" s="29">
        <f t="shared" ref="BX919:BX933" ca="1" si="240">ROUNDUP(_xlfn.NORM.INV(BW919,BW$10,BW$12),0)</f>
        <v>208</v>
      </c>
    </row>
    <row r="920" spans="2:77" ht="12.75" x14ac:dyDescent="0.2">
      <c r="B920" s="22">
        <v>45465</v>
      </c>
      <c r="C920" s="26">
        <f t="shared" ca="1" si="205"/>
        <v>0.52508285210085703</v>
      </c>
      <c r="D920" s="29">
        <f t="shared" ca="1" si="223"/>
        <v>77</v>
      </c>
      <c r="F920" s="22"/>
      <c r="G920" s="26">
        <f t="shared" ca="1" si="206"/>
        <v>0.27183931447485166</v>
      </c>
      <c r="H920" s="29">
        <f t="shared" ca="1" si="224"/>
        <v>207</v>
      </c>
      <c r="J920" s="22">
        <v>45465</v>
      </c>
      <c r="K920" s="26">
        <f t="shared" ca="1" si="207"/>
        <v>0.19091920624387981</v>
      </c>
      <c r="L920" s="29">
        <f t="shared" ca="1" si="225"/>
        <v>142</v>
      </c>
      <c r="N920" s="22">
        <v>45465</v>
      </c>
      <c r="O920" s="26">
        <f t="shared" ca="1" si="208"/>
        <v>0.36092101859775916</v>
      </c>
      <c r="P920" s="29">
        <f t="shared" ca="1" si="226"/>
        <v>224</v>
      </c>
      <c r="R920" s="22">
        <v>45465</v>
      </c>
      <c r="S920" s="26">
        <f t="shared" ca="1" si="209"/>
        <v>0.30914574153684937</v>
      </c>
      <c r="T920" s="29">
        <f t="shared" ca="1" si="227"/>
        <v>135</v>
      </c>
      <c r="V920" s="22">
        <v>45465</v>
      </c>
      <c r="W920" s="26">
        <f t="shared" ca="1" si="210"/>
        <v>0.27150781530336443</v>
      </c>
      <c r="X920" s="29">
        <f t="shared" ca="1" si="228"/>
        <v>216</v>
      </c>
      <c r="Z920" s="22">
        <v>45465</v>
      </c>
      <c r="AA920" s="26">
        <f t="shared" ca="1" si="211"/>
        <v>0.79772471195245565</v>
      </c>
      <c r="AB920" s="29">
        <f t="shared" ca="1" si="229"/>
        <v>286</v>
      </c>
      <c r="AC920"/>
      <c r="AD920" s="25"/>
      <c r="AF920" s="22">
        <v>45465</v>
      </c>
      <c r="AG920" s="26">
        <f t="shared" ca="1" si="212"/>
        <v>0.5781594499776449</v>
      </c>
      <c r="AH920" s="29">
        <f t="shared" ca="1" si="230"/>
        <v>345</v>
      </c>
      <c r="AJ920" s="22">
        <v>45465</v>
      </c>
      <c r="AK920" s="26">
        <f t="shared" ca="1" si="213"/>
        <v>0.27289477160524367</v>
      </c>
      <c r="AL920" s="29">
        <f t="shared" ca="1" si="231"/>
        <v>143</v>
      </c>
      <c r="AN920" s="22">
        <v>45465</v>
      </c>
      <c r="AO920" s="26">
        <f t="shared" ca="1" si="214"/>
        <v>0.71817146049836933</v>
      </c>
      <c r="AP920" s="29">
        <f t="shared" ca="1" si="232"/>
        <v>268</v>
      </c>
      <c r="AR920" s="22">
        <v>45465</v>
      </c>
      <c r="AS920" s="26">
        <f t="shared" ca="1" si="215"/>
        <v>0.47513741984384605</v>
      </c>
      <c r="AT920" s="29">
        <f t="shared" ca="1" si="233"/>
        <v>195</v>
      </c>
      <c r="AV920" s="22">
        <v>45465</v>
      </c>
      <c r="AW920" s="26">
        <f t="shared" ca="1" si="216"/>
        <v>0.58020667283707072</v>
      </c>
      <c r="AX920" s="29">
        <f t="shared" ca="1" si="234"/>
        <v>217</v>
      </c>
      <c r="AZ920" s="22">
        <v>45465</v>
      </c>
      <c r="BA920" s="26">
        <f t="shared" ca="1" si="217"/>
        <v>0.94249215201112357</v>
      </c>
      <c r="BB920" s="29">
        <f t="shared" ca="1" si="235"/>
        <v>332</v>
      </c>
      <c r="BC920"/>
      <c r="BD920" s="25"/>
      <c r="BF920" s="22">
        <v>45465</v>
      </c>
      <c r="BG920" s="26">
        <f t="shared" ca="1" si="218"/>
        <v>0.74978796029594608</v>
      </c>
      <c r="BH920" s="29">
        <f t="shared" ca="1" si="236"/>
        <v>237</v>
      </c>
      <c r="BJ920" s="22">
        <v>45465</v>
      </c>
      <c r="BK920" s="26">
        <f t="shared" ca="1" si="219"/>
        <v>0.39140542316496763</v>
      </c>
      <c r="BL920" s="29">
        <f t="shared" ca="1" si="237"/>
        <v>157</v>
      </c>
      <c r="BN920" s="22">
        <v>45465</v>
      </c>
      <c r="BO920" s="26">
        <f t="shared" ca="1" si="220"/>
        <v>0.13424057185785365</v>
      </c>
      <c r="BP920" s="29">
        <f t="shared" ca="1" si="238"/>
        <v>153</v>
      </c>
      <c r="BR920" s="22">
        <v>45465</v>
      </c>
      <c r="BS920" s="26">
        <f t="shared" ca="1" si="221"/>
        <v>0.71836626270866866</v>
      </c>
      <c r="BT920" s="29">
        <f t="shared" ca="1" si="239"/>
        <v>186</v>
      </c>
      <c r="BV920" s="22">
        <v>45465</v>
      </c>
      <c r="BW920" s="26">
        <f t="shared" ca="1" si="222"/>
        <v>0.49442433577143985</v>
      </c>
      <c r="BX920" s="29">
        <f t="shared" ca="1" si="240"/>
        <v>219</v>
      </c>
    </row>
    <row r="921" spans="2:77" ht="12.75" x14ac:dyDescent="0.2">
      <c r="B921" s="22">
        <v>45466</v>
      </c>
      <c r="C921" s="26">
        <f t="shared" ca="1" si="205"/>
        <v>0.68279863809605335</v>
      </c>
      <c r="D921" s="29">
        <f t="shared" ca="1" si="223"/>
        <v>85</v>
      </c>
      <c r="F921" s="22"/>
      <c r="G921" s="26">
        <f t="shared" ca="1" si="206"/>
        <v>0.43248630794080689</v>
      </c>
      <c r="H921" s="29">
        <f t="shared" ca="1" si="224"/>
        <v>213</v>
      </c>
      <c r="J921" s="22">
        <v>45466</v>
      </c>
      <c r="K921" s="26">
        <f t="shared" ca="1" si="207"/>
        <v>0.42862975239212686</v>
      </c>
      <c r="L921" s="29">
        <f t="shared" ca="1" si="225"/>
        <v>149</v>
      </c>
      <c r="N921" s="22">
        <v>45466</v>
      </c>
      <c r="O921" s="26">
        <f t="shared" ca="1" si="208"/>
        <v>6.8153802320512491E-2</v>
      </c>
      <c r="P921" s="29">
        <f t="shared" ca="1" si="226"/>
        <v>207</v>
      </c>
      <c r="R921" s="22">
        <v>45466</v>
      </c>
      <c r="S921" s="26">
        <f t="shared" ca="1" si="209"/>
        <v>0.98554574146587903</v>
      </c>
      <c r="T921" s="29">
        <f t="shared" ca="1" si="227"/>
        <v>159</v>
      </c>
      <c r="V921" s="22">
        <v>45466</v>
      </c>
      <c r="W921" s="26">
        <f t="shared" ca="1" si="210"/>
        <v>0.97093994193578315</v>
      </c>
      <c r="X921" s="29">
        <f t="shared" ca="1" si="228"/>
        <v>254</v>
      </c>
      <c r="Z921" s="22">
        <v>45466</v>
      </c>
      <c r="AA921" s="26">
        <f t="shared" ca="1" si="211"/>
        <v>0.35014557044843864</v>
      </c>
      <c r="AB921" s="29">
        <f t="shared" ca="1" si="229"/>
        <v>264</v>
      </c>
      <c r="AC921"/>
      <c r="AD921" s="25"/>
      <c r="AF921" s="22">
        <v>45466</v>
      </c>
      <c r="AG921" s="26">
        <f t="shared" ca="1" si="212"/>
        <v>0.93282280126311323</v>
      </c>
      <c r="AH921" s="29">
        <f t="shared" ca="1" si="230"/>
        <v>458</v>
      </c>
      <c r="AJ921" s="22">
        <v>45466</v>
      </c>
      <c r="AK921" s="26">
        <f t="shared" ca="1" si="213"/>
        <v>0.91949645163655591</v>
      </c>
      <c r="AL921" s="29">
        <f t="shared" ca="1" si="231"/>
        <v>235</v>
      </c>
      <c r="AN921" s="22">
        <v>45466</v>
      </c>
      <c r="AO921" s="26">
        <f t="shared" ca="1" si="214"/>
        <v>0.38918669622665725</v>
      </c>
      <c r="AP921" s="29">
        <f t="shared" ca="1" si="232"/>
        <v>215</v>
      </c>
      <c r="AR921" s="22">
        <v>45466</v>
      </c>
      <c r="AS921" s="26">
        <f t="shared" ca="1" si="215"/>
        <v>0.81285172587957344</v>
      </c>
      <c r="AT921" s="29">
        <f t="shared" ca="1" si="233"/>
        <v>245</v>
      </c>
      <c r="AV921" s="22">
        <v>45466</v>
      </c>
      <c r="AW921" s="26">
        <f t="shared" ca="1" si="216"/>
        <v>0.92233067646670064</v>
      </c>
      <c r="AX921" s="29">
        <f t="shared" ca="1" si="234"/>
        <v>284</v>
      </c>
      <c r="AZ921" s="22">
        <v>45466</v>
      </c>
      <c r="BA921" s="26">
        <f t="shared" ca="1" si="217"/>
        <v>0.91896269838768729</v>
      </c>
      <c r="BB921" s="29">
        <f t="shared" ca="1" si="235"/>
        <v>321</v>
      </c>
      <c r="BC921"/>
      <c r="BD921" s="25"/>
      <c r="BF921" s="22">
        <v>45466</v>
      </c>
      <c r="BG921" s="26">
        <f t="shared" ca="1" si="218"/>
        <v>0.46601482107800318</v>
      </c>
      <c r="BH921" s="29">
        <f t="shared" ca="1" si="236"/>
        <v>196</v>
      </c>
      <c r="BJ921" s="22">
        <v>45466</v>
      </c>
      <c r="BK921" s="26">
        <f t="shared" ca="1" si="219"/>
        <v>0.74734621672451518</v>
      </c>
      <c r="BL921" s="29">
        <f t="shared" ca="1" si="237"/>
        <v>199</v>
      </c>
      <c r="BN921" s="22">
        <v>45466</v>
      </c>
      <c r="BO921" s="26">
        <f t="shared" ca="1" si="220"/>
        <v>0.11157798663851082</v>
      </c>
      <c r="BP921" s="29">
        <f t="shared" ca="1" si="238"/>
        <v>146</v>
      </c>
      <c r="BR921" s="22">
        <v>45466</v>
      </c>
      <c r="BS921" s="26">
        <f t="shared" ca="1" si="221"/>
        <v>5.0173414050922127E-2</v>
      </c>
      <c r="BT921" s="29">
        <f t="shared" ca="1" si="239"/>
        <v>91</v>
      </c>
      <c r="BV921" s="22">
        <v>45466</v>
      </c>
      <c r="BW921" s="26">
        <f t="shared" ca="1" si="222"/>
        <v>0.31463913119445874</v>
      </c>
      <c r="BX921" s="29">
        <f t="shared" ca="1" si="240"/>
        <v>192</v>
      </c>
    </row>
    <row r="922" spans="2:77" ht="12.75" x14ac:dyDescent="0.2">
      <c r="B922" s="22">
        <v>45467</v>
      </c>
      <c r="C922" s="26">
        <f t="shared" ca="1" si="205"/>
        <v>0.24073829589651108</v>
      </c>
      <c r="D922" s="29">
        <f t="shared" ca="1" si="223"/>
        <v>61</v>
      </c>
      <c r="F922" s="22"/>
      <c r="G922" s="26">
        <f t="shared" ca="1" si="206"/>
        <v>0.89736680626189003</v>
      </c>
      <c r="H922" s="29">
        <f t="shared" ca="1" si="224"/>
        <v>234</v>
      </c>
      <c r="J922" s="22">
        <v>45467</v>
      </c>
      <c r="K922" s="26">
        <f t="shared" ca="1" si="207"/>
        <v>8.4241278718038548E-2</v>
      </c>
      <c r="L922" s="29">
        <f t="shared" ca="1" si="225"/>
        <v>137</v>
      </c>
      <c r="N922" s="22">
        <v>45467</v>
      </c>
      <c r="O922" s="26">
        <f t="shared" ca="1" si="208"/>
        <v>0.51607964046073218</v>
      </c>
      <c r="P922" s="29">
        <f t="shared" ca="1" si="226"/>
        <v>230</v>
      </c>
      <c r="R922" s="22">
        <v>45467</v>
      </c>
      <c r="S922" s="26">
        <f t="shared" ca="1" si="209"/>
        <v>0.27462378227383455</v>
      </c>
      <c r="T922" s="29">
        <f t="shared" ca="1" si="227"/>
        <v>134</v>
      </c>
      <c r="V922" s="22">
        <v>45467</v>
      </c>
      <c r="W922" s="26">
        <f t="shared" ca="1" si="210"/>
        <v>0.9670084904233639</v>
      </c>
      <c r="X922" s="29">
        <f t="shared" ca="1" si="228"/>
        <v>253</v>
      </c>
      <c r="Z922" s="22">
        <v>45467</v>
      </c>
      <c r="AA922" s="26">
        <f t="shared" ca="1" si="211"/>
        <v>0.45213530786136968</v>
      </c>
      <c r="AB922" s="29">
        <f t="shared" ca="1" si="229"/>
        <v>268</v>
      </c>
      <c r="AC922"/>
      <c r="AD922" s="25"/>
      <c r="AF922" s="22">
        <v>45467</v>
      </c>
      <c r="AG922" s="26">
        <f t="shared" ca="1" si="212"/>
        <v>0.7102444055741739</v>
      </c>
      <c r="AH922" s="29">
        <f t="shared" ca="1" si="230"/>
        <v>376</v>
      </c>
      <c r="AJ922" s="22">
        <v>45467</v>
      </c>
      <c r="AK922" s="26">
        <f t="shared" ca="1" si="213"/>
        <v>0.10225626061956516</v>
      </c>
      <c r="AL922" s="29">
        <f t="shared" ca="1" si="231"/>
        <v>113</v>
      </c>
      <c r="AN922" s="22">
        <v>45467</v>
      </c>
      <c r="AO922" s="26">
        <f t="shared" ca="1" si="214"/>
        <v>0.75600426929642728</v>
      </c>
      <c r="AP922" s="29">
        <f t="shared" ca="1" si="232"/>
        <v>275</v>
      </c>
      <c r="AR922" s="22">
        <v>45467</v>
      </c>
      <c r="AS922" s="26">
        <f t="shared" ca="1" si="215"/>
        <v>0.85892156982379464</v>
      </c>
      <c r="AT922" s="29">
        <f t="shared" ca="1" si="233"/>
        <v>255</v>
      </c>
      <c r="AV922" s="22">
        <v>45467</v>
      </c>
      <c r="AW922" s="26">
        <f t="shared" ca="1" si="216"/>
        <v>0.28286396968770999</v>
      </c>
      <c r="AX922" s="29">
        <f t="shared" ca="1" si="234"/>
        <v>175</v>
      </c>
      <c r="AZ922" s="22">
        <v>45467</v>
      </c>
      <c r="BA922" s="26">
        <f t="shared" ca="1" si="217"/>
        <v>0.4980022514311826</v>
      </c>
      <c r="BB922" s="29">
        <f t="shared" ca="1" si="235"/>
        <v>234</v>
      </c>
      <c r="BC922"/>
      <c r="BD922" s="25"/>
      <c r="BF922" s="22">
        <v>45467</v>
      </c>
      <c r="BG922" s="26">
        <f t="shared" ca="1" si="218"/>
        <v>0.89748751900891266</v>
      </c>
      <c r="BH922" s="29">
        <f t="shared" ca="1" si="236"/>
        <v>269</v>
      </c>
      <c r="BJ922" s="22">
        <v>45467</v>
      </c>
      <c r="BK922" s="26">
        <f t="shared" ca="1" si="219"/>
        <v>0.97532179620969395</v>
      </c>
      <c r="BL922" s="29">
        <f t="shared" ca="1" si="237"/>
        <v>257</v>
      </c>
      <c r="BN922" s="22">
        <v>45467</v>
      </c>
      <c r="BO922" s="26">
        <f t="shared" ca="1" si="220"/>
        <v>3.2527971713882664E-2</v>
      </c>
      <c r="BP922" s="29">
        <f t="shared" ca="1" si="238"/>
        <v>110</v>
      </c>
      <c r="BR922" s="22">
        <v>45467</v>
      </c>
      <c r="BS922" s="26">
        <f t="shared" ca="1" si="221"/>
        <v>0.57545147810955133</v>
      </c>
      <c r="BT922" s="29">
        <f t="shared" ca="1" si="239"/>
        <v>169</v>
      </c>
      <c r="BV922" s="22">
        <v>45467</v>
      </c>
      <c r="BW922" s="26">
        <f t="shared" ca="1" si="222"/>
        <v>0.73048916659982555</v>
      </c>
      <c r="BX922" s="29">
        <f t="shared" ca="1" si="240"/>
        <v>256</v>
      </c>
    </row>
    <row r="923" spans="2:77" ht="12.75" x14ac:dyDescent="0.2">
      <c r="B923" s="22">
        <v>45468</v>
      </c>
      <c r="C923" s="26">
        <f t="shared" ca="1" si="205"/>
        <v>3.9799201827995678E-2</v>
      </c>
      <c r="D923" s="29">
        <f t="shared" ca="1" si="223"/>
        <v>40</v>
      </c>
      <c r="F923" s="22"/>
      <c r="G923" s="26">
        <f t="shared" ca="1" si="206"/>
        <v>0.5174007072069815</v>
      </c>
      <c r="H923" s="29">
        <f t="shared" ca="1" si="224"/>
        <v>217</v>
      </c>
      <c r="J923" s="22">
        <v>45468</v>
      </c>
      <c r="K923" s="26">
        <f t="shared" ca="1" si="207"/>
        <v>0.53778583366619093</v>
      </c>
      <c r="L923" s="29">
        <f t="shared" ca="1" si="225"/>
        <v>151</v>
      </c>
      <c r="N923" s="22">
        <v>45468</v>
      </c>
      <c r="O923" s="26">
        <f t="shared" ca="1" si="208"/>
        <v>0.56297293186896891</v>
      </c>
      <c r="P923" s="29">
        <f t="shared" ca="1" si="226"/>
        <v>232</v>
      </c>
      <c r="R923" s="22">
        <v>45468</v>
      </c>
      <c r="S923" s="26">
        <f t="shared" ca="1" si="209"/>
        <v>0.37633513733264445</v>
      </c>
      <c r="T923" s="29">
        <f t="shared" ca="1" si="227"/>
        <v>136</v>
      </c>
      <c r="V923" s="22">
        <v>45468</v>
      </c>
      <c r="W923" s="26">
        <f t="shared" ca="1" si="210"/>
        <v>0.34208592651181791</v>
      </c>
      <c r="X923" s="29">
        <f t="shared" ca="1" si="228"/>
        <v>219</v>
      </c>
      <c r="Z923" s="22">
        <v>45468</v>
      </c>
      <c r="AA923" s="26">
        <f t="shared" ca="1" si="211"/>
        <v>0.88985728472250081</v>
      </c>
      <c r="AB923" s="29">
        <f t="shared" ca="1" si="229"/>
        <v>293</v>
      </c>
      <c r="AC923"/>
      <c r="AD923" s="25"/>
      <c r="AF923" s="22">
        <v>45468</v>
      </c>
      <c r="AG923" s="26">
        <f t="shared" ca="1" si="212"/>
        <v>0.784619440822937</v>
      </c>
      <c r="AH923" s="29">
        <f t="shared" ca="1" si="230"/>
        <v>396</v>
      </c>
      <c r="AJ923" s="22">
        <v>45468</v>
      </c>
      <c r="AK923" s="26">
        <f t="shared" ca="1" si="213"/>
        <v>0.98624834781309312</v>
      </c>
      <c r="AL923" s="29">
        <f t="shared" ca="1" si="231"/>
        <v>271</v>
      </c>
      <c r="AN923" s="22">
        <v>45468</v>
      </c>
      <c r="AO923" s="26">
        <f t="shared" ca="1" si="214"/>
        <v>0.25866918069431988</v>
      </c>
      <c r="AP923" s="29">
        <f t="shared" ca="1" si="232"/>
        <v>192</v>
      </c>
      <c r="AR923" s="22">
        <v>45468</v>
      </c>
      <c r="AS923" s="26">
        <f t="shared" ca="1" si="215"/>
        <v>0.364006918352488</v>
      </c>
      <c r="AT923" s="29">
        <f t="shared" ca="1" si="233"/>
        <v>180</v>
      </c>
      <c r="AV923" s="22">
        <v>45468</v>
      </c>
      <c r="AW923" s="26">
        <f t="shared" ca="1" si="216"/>
        <v>0.7913758047994266</v>
      </c>
      <c r="AX923" s="29">
        <f t="shared" ca="1" si="234"/>
        <v>250</v>
      </c>
      <c r="AZ923" s="22">
        <v>45468</v>
      </c>
      <c r="BA923" s="26">
        <f t="shared" ca="1" si="217"/>
        <v>0.39092031905447633</v>
      </c>
      <c r="BB923" s="29">
        <f t="shared" ca="1" si="235"/>
        <v>217</v>
      </c>
      <c r="BC923"/>
      <c r="BD923" s="25"/>
      <c r="BF923" s="22">
        <v>45468</v>
      </c>
      <c r="BG923" s="26">
        <f t="shared" ca="1" si="218"/>
        <v>0.65745646459950102</v>
      </c>
      <c r="BH923" s="29">
        <f t="shared" ca="1" si="236"/>
        <v>223</v>
      </c>
      <c r="BJ923" s="22">
        <v>45468</v>
      </c>
      <c r="BK923" s="26">
        <f t="shared" ca="1" si="219"/>
        <v>0.41284671667699313</v>
      </c>
      <c r="BL923" s="29">
        <f t="shared" ca="1" si="237"/>
        <v>159</v>
      </c>
      <c r="BN923" s="22">
        <v>45468</v>
      </c>
      <c r="BO923" s="26">
        <f t="shared" ca="1" si="220"/>
        <v>0.33071639356017757</v>
      </c>
      <c r="BP923" s="29">
        <f t="shared" ca="1" si="238"/>
        <v>191</v>
      </c>
      <c r="BR923" s="22">
        <v>45468</v>
      </c>
      <c r="BS923" s="26">
        <f t="shared" ca="1" si="221"/>
        <v>0.87458539348673003</v>
      </c>
      <c r="BT923" s="29">
        <f t="shared" ca="1" si="239"/>
        <v>210</v>
      </c>
      <c r="BV923" s="22">
        <v>45468</v>
      </c>
      <c r="BW923" s="26">
        <f t="shared" ca="1" si="222"/>
        <v>4.6914607466484348E-2</v>
      </c>
      <c r="BX923" s="29">
        <f t="shared" ca="1" si="240"/>
        <v>122</v>
      </c>
    </row>
    <row r="924" spans="2:77" ht="12.75" x14ac:dyDescent="0.2">
      <c r="B924" s="22">
        <v>45469</v>
      </c>
      <c r="C924" s="26">
        <f t="shared" ca="1" si="205"/>
        <v>2.3517240183395072E-2</v>
      </c>
      <c r="D924" s="29">
        <f t="shared" ca="1" si="223"/>
        <v>36</v>
      </c>
      <c r="F924" s="22"/>
      <c r="G924" s="26">
        <f t="shared" ca="1" si="206"/>
        <v>0.34698040729278645</v>
      </c>
      <c r="H924" s="29">
        <f t="shared" ca="1" si="224"/>
        <v>210</v>
      </c>
      <c r="J924" s="22">
        <v>45469</v>
      </c>
      <c r="K924" s="26">
        <f t="shared" ca="1" si="207"/>
        <v>0.58638096409917928</v>
      </c>
      <c r="L924" s="29">
        <f t="shared" ca="1" si="225"/>
        <v>153</v>
      </c>
      <c r="N924" s="22">
        <v>45469</v>
      </c>
      <c r="O924" s="26">
        <f t="shared" ca="1" si="208"/>
        <v>0.51115189297832508</v>
      </c>
      <c r="P924" s="29">
        <f t="shared" ca="1" si="226"/>
        <v>230</v>
      </c>
      <c r="R924" s="22">
        <v>45469</v>
      </c>
      <c r="S924" s="26">
        <f t="shared" ca="1" si="209"/>
        <v>0.82854433745253631</v>
      </c>
      <c r="T924" s="29">
        <f t="shared" ca="1" si="227"/>
        <v>148</v>
      </c>
      <c r="V924" s="22">
        <v>45469</v>
      </c>
      <c r="W924" s="26">
        <f t="shared" ca="1" si="210"/>
        <v>0.36288542891646425</v>
      </c>
      <c r="X924" s="29">
        <f t="shared" ca="1" si="228"/>
        <v>220</v>
      </c>
      <c r="Z924" s="22">
        <v>45469</v>
      </c>
      <c r="AA924" s="26">
        <f t="shared" ca="1" si="211"/>
        <v>0.47292949250991778</v>
      </c>
      <c r="AB924" s="29">
        <f t="shared" ca="1" si="229"/>
        <v>269</v>
      </c>
      <c r="AC924"/>
      <c r="AD924" s="25"/>
      <c r="AF924" s="22">
        <v>45469</v>
      </c>
      <c r="AG924" s="26">
        <f t="shared" ca="1" si="212"/>
        <v>0.34116593412577956</v>
      </c>
      <c r="AH924" s="29">
        <f t="shared" ca="1" si="230"/>
        <v>292</v>
      </c>
      <c r="AJ924" s="22">
        <v>45469</v>
      </c>
      <c r="AK924" s="26">
        <f t="shared" ca="1" si="213"/>
        <v>0.87300392133749649</v>
      </c>
      <c r="AL924" s="29">
        <f t="shared" ca="1" si="231"/>
        <v>223</v>
      </c>
      <c r="AN924" s="22">
        <v>45469</v>
      </c>
      <c r="AO924" s="26">
        <f t="shared" ca="1" si="214"/>
        <v>0.2107396650446729</v>
      </c>
      <c r="AP924" s="29">
        <f t="shared" ca="1" si="232"/>
        <v>183</v>
      </c>
      <c r="AR924" s="22">
        <v>45469</v>
      </c>
      <c r="AS924" s="26">
        <f t="shared" ca="1" si="215"/>
        <v>0.49038954600247753</v>
      </c>
      <c r="AT924" s="29">
        <f t="shared" ca="1" si="233"/>
        <v>197</v>
      </c>
      <c r="AV924" s="22">
        <v>45469</v>
      </c>
      <c r="AW924" s="26">
        <f t="shared" ca="1" si="216"/>
        <v>0.6150083538622223</v>
      </c>
      <c r="AX924" s="29">
        <f t="shared" ca="1" si="234"/>
        <v>222</v>
      </c>
      <c r="AZ924" s="22">
        <v>45469</v>
      </c>
      <c r="BA924" s="26">
        <f t="shared" ca="1" si="217"/>
        <v>0.43481833039884688</v>
      </c>
      <c r="BB924" s="29">
        <f t="shared" ca="1" si="235"/>
        <v>224</v>
      </c>
      <c r="BC924"/>
      <c r="BD924" s="25"/>
      <c r="BF924" s="22">
        <v>45469</v>
      </c>
      <c r="BG924" s="26">
        <f t="shared" ca="1" si="218"/>
        <v>0.21562057312955873</v>
      </c>
      <c r="BH924" s="29">
        <f t="shared" ca="1" si="236"/>
        <v>159</v>
      </c>
      <c r="BJ924" s="22">
        <v>45469</v>
      </c>
      <c r="BK924" s="26">
        <f t="shared" ca="1" si="219"/>
        <v>0.91500994097258348</v>
      </c>
      <c r="BL924" s="29">
        <f t="shared" ca="1" si="237"/>
        <v>231</v>
      </c>
      <c r="BN924" s="22">
        <v>45469</v>
      </c>
      <c r="BO924" s="26">
        <f t="shared" ca="1" si="220"/>
        <v>0.43020171085988379</v>
      </c>
      <c r="BP924" s="29">
        <f t="shared" ca="1" si="238"/>
        <v>206</v>
      </c>
      <c r="BR924" s="22">
        <v>45469</v>
      </c>
      <c r="BS924" s="26">
        <f t="shared" ca="1" si="221"/>
        <v>0.7236707386429182</v>
      </c>
      <c r="BT924" s="29">
        <f t="shared" ca="1" si="239"/>
        <v>187</v>
      </c>
      <c r="BV924" s="22">
        <v>45469</v>
      </c>
      <c r="BW924" s="26">
        <f t="shared" ca="1" si="222"/>
        <v>0.39685990194516207</v>
      </c>
      <c r="BX924" s="29">
        <f t="shared" ca="1" si="240"/>
        <v>205</v>
      </c>
    </row>
    <row r="925" spans="2:77" ht="12.75" x14ac:dyDescent="0.2">
      <c r="B925" s="22">
        <v>45470</v>
      </c>
      <c r="C925" s="26">
        <f t="shared" ca="1" si="205"/>
        <v>0.66204093441117007</v>
      </c>
      <c r="D925" s="29">
        <f t="shared" ca="1" si="223"/>
        <v>84</v>
      </c>
      <c r="F925" s="22"/>
      <c r="G925" s="26">
        <f t="shared" ca="1" si="206"/>
        <v>0.18599532476045799</v>
      </c>
      <c r="H925" s="29">
        <f t="shared" ca="1" si="224"/>
        <v>203</v>
      </c>
      <c r="J925" s="22">
        <v>45470</v>
      </c>
      <c r="K925" s="26">
        <f t="shared" ca="1" si="207"/>
        <v>0.15788806327390825</v>
      </c>
      <c r="L925" s="29">
        <f t="shared" ca="1" si="225"/>
        <v>140</v>
      </c>
      <c r="N925" s="22">
        <v>45470</v>
      </c>
      <c r="O925" s="26">
        <f t="shared" ca="1" si="208"/>
        <v>0.79317999618169177</v>
      </c>
      <c r="P925" s="29">
        <f t="shared" ca="1" si="226"/>
        <v>242</v>
      </c>
      <c r="R925" s="22">
        <v>45470</v>
      </c>
      <c r="S925" s="26">
        <f t="shared" ca="1" si="209"/>
        <v>0.96501986187112831</v>
      </c>
      <c r="T925" s="29">
        <f t="shared" ca="1" si="227"/>
        <v>156</v>
      </c>
      <c r="V925" s="22">
        <v>45470</v>
      </c>
      <c r="W925" s="26">
        <f t="shared" ca="1" si="210"/>
        <v>0.1035435381278289</v>
      </c>
      <c r="X925" s="29">
        <f t="shared" ca="1" si="228"/>
        <v>207</v>
      </c>
      <c r="Z925" s="22">
        <v>45470</v>
      </c>
      <c r="AA925" s="26">
        <f t="shared" ca="1" si="211"/>
        <v>0.33019021152447936</v>
      </c>
      <c r="AB925" s="29">
        <f t="shared" ca="1" si="229"/>
        <v>263</v>
      </c>
      <c r="AC925"/>
      <c r="AD925" s="25"/>
      <c r="AF925" s="22">
        <v>45470</v>
      </c>
      <c r="AG925" s="26">
        <f t="shared" ca="1" si="212"/>
        <v>0.88372949430289804</v>
      </c>
      <c r="AH925" s="29">
        <f t="shared" ca="1" si="230"/>
        <v>432</v>
      </c>
      <c r="AJ925" s="22">
        <v>45470</v>
      </c>
      <c r="AK925" s="26">
        <f t="shared" ca="1" si="213"/>
        <v>0.17117875142322403</v>
      </c>
      <c r="AL925" s="29">
        <f t="shared" ca="1" si="231"/>
        <v>128</v>
      </c>
      <c r="AN925" s="22">
        <v>45470</v>
      </c>
      <c r="AO925" s="26">
        <f t="shared" ca="1" si="214"/>
        <v>0.64091187481243816</v>
      </c>
      <c r="AP925" s="29">
        <f t="shared" ca="1" si="232"/>
        <v>255</v>
      </c>
      <c r="AR925" s="22">
        <v>45470</v>
      </c>
      <c r="AS925" s="26">
        <f t="shared" ca="1" si="215"/>
        <v>0.98942608112722918</v>
      </c>
      <c r="AT925" s="29">
        <f t="shared" ca="1" si="233"/>
        <v>320</v>
      </c>
      <c r="AV925" s="22">
        <v>45470</v>
      </c>
      <c r="AW925" s="26">
        <f t="shared" ca="1" si="216"/>
        <v>0.75798196527084694</v>
      </c>
      <c r="AX925" s="29">
        <f t="shared" ca="1" si="234"/>
        <v>244</v>
      </c>
      <c r="AZ925" s="22">
        <v>45470</v>
      </c>
      <c r="BA925" s="26">
        <f t="shared" ca="1" si="217"/>
        <v>0.1404813138165466</v>
      </c>
      <c r="BB925" s="29">
        <f t="shared" ca="1" si="235"/>
        <v>167</v>
      </c>
      <c r="BC925"/>
      <c r="BD925" s="25"/>
      <c r="BF925" s="22">
        <v>45470</v>
      </c>
      <c r="BG925" s="26">
        <f t="shared" ca="1" si="218"/>
        <v>0.77722389514083878</v>
      </c>
      <c r="BH925" s="29">
        <f t="shared" ca="1" si="236"/>
        <v>242</v>
      </c>
      <c r="BJ925" s="22">
        <v>45470</v>
      </c>
      <c r="BK925" s="26">
        <f t="shared" ca="1" si="219"/>
        <v>0.26501785986776294</v>
      </c>
      <c r="BL925" s="29">
        <f t="shared" ca="1" si="237"/>
        <v>141</v>
      </c>
      <c r="BN925" s="22">
        <v>45470</v>
      </c>
      <c r="BO925" s="26">
        <f t="shared" ca="1" si="220"/>
        <v>0.45800592609863566</v>
      </c>
      <c r="BP925" s="29">
        <f t="shared" ca="1" si="238"/>
        <v>210</v>
      </c>
      <c r="BR925" s="22">
        <v>45470</v>
      </c>
      <c r="BS925" s="26">
        <f t="shared" ca="1" si="221"/>
        <v>0.96284334482358891</v>
      </c>
      <c r="BT925" s="29">
        <f t="shared" ca="1" si="239"/>
        <v>238</v>
      </c>
      <c r="BV925" s="22">
        <v>45470</v>
      </c>
      <c r="BW925" s="26">
        <f t="shared" ca="1" si="222"/>
        <v>3.1773668898001928E-2</v>
      </c>
      <c r="BX925" s="29">
        <f t="shared" ca="1" si="240"/>
        <v>111</v>
      </c>
    </row>
    <row r="926" spans="2:77" ht="12.75" x14ac:dyDescent="0.2">
      <c r="B926" s="22">
        <v>45471</v>
      </c>
      <c r="C926" s="26">
        <f t="shared" ca="1" si="205"/>
        <v>0.71538309495438035</v>
      </c>
      <c r="D926" s="29">
        <f t="shared" ca="1" si="223"/>
        <v>87</v>
      </c>
      <c r="F926" s="22"/>
      <c r="G926" s="26">
        <f t="shared" ca="1" si="206"/>
        <v>0.40726603748107493</v>
      </c>
      <c r="H926" s="29">
        <f t="shared" ca="1" si="224"/>
        <v>213</v>
      </c>
      <c r="J926" s="22">
        <v>45471</v>
      </c>
      <c r="K926" s="26">
        <f t="shared" ca="1" si="207"/>
        <v>3.797869216444516E-2</v>
      </c>
      <c r="L926" s="29">
        <f t="shared" ca="1" si="225"/>
        <v>133</v>
      </c>
      <c r="N926" s="22">
        <v>45471</v>
      </c>
      <c r="O926" s="26">
        <f t="shared" ca="1" si="208"/>
        <v>0.23339749606982962</v>
      </c>
      <c r="P926" s="29">
        <f t="shared" ca="1" si="226"/>
        <v>219</v>
      </c>
      <c r="R926" s="22">
        <v>45471</v>
      </c>
      <c r="S926" s="26">
        <f t="shared" ca="1" si="209"/>
        <v>4.9155790892488005E-2</v>
      </c>
      <c r="T926" s="29">
        <f t="shared" ca="1" si="227"/>
        <v>124</v>
      </c>
      <c r="V926" s="22">
        <v>45471</v>
      </c>
      <c r="W926" s="26">
        <f t="shared" ca="1" si="210"/>
        <v>0.41091501466170066</v>
      </c>
      <c r="X926" s="29">
        <f t="shared" ca="1" si="228"/>
        <v>222</v>
      </c>
      <c r="Z926" s="22">
        <v>45471</v>
      </c>
      <c r="AA926" s="26">
        <f t="shared" ca="1" si="211"/>
        <v>0.77054464580531379</v>
      </c>
      <c r="AB926" s="29">
        <f t="shared" ca="1" si="229"/>
        <v>284</v>
      </c>
      <c r="AC926"/>
      <c r="AD926" s="25"/>
      <c r="AF926" s="22">
        <v>45471</v>
      </c>
      <c r="AG926" s="26">
        <f t="shared" ca="1" si="212"/>
        <v>0.31537294901509516</v>
      </c>
      <c r="AH926" s="29">
        <f t="shared" ca="1" si="230"/>
        <v>286</v>
      </c>
      <c r="AJ926" s="22">
        <v>45471</v>
      </c>
      <c r="AK926" s="26">
        <f t="shared" ca="1" si="213"/>
        <v>0.71931736524755796</v>
      </c>
      <c r="AL926" s="29">
        <f t="shared" ca="1" si="231"/>
        <v>197</v>
      </c>
      <c r="AN926" s="22">
        <v>45471</v>
      </c>
      <c r="AO926" s="26">
        <f t="shared" ca="1" si="214"/>
        <v>0.99385736081593135</v>
      </c>
      <c r="AP926" s="29">
        <f t="shared" ca="1" si="232"/>
        <v>387</v>
      </c>
      <c r="AR926" s="22">
        <v>45471</v>
      </c>
      <c r="AS926" s="26">
        <f t="shared" ca="1" si="215"/>
        <v>0.21864657287177935</v>
      </c>
      <c r="AT926" s="29">
        <f t="shared" ca="1" si="233"/>
        <v>157</v>
      </c>
      <c r="AV926" s="22">
        <v>45471</v>
      </c>
      <c r="AW926" s="26">
        <f t="shared" ca="1" si="216"/>
        <v>0.89502603476764864</v>
      </c>
      <c r="AX926" s="29">
        <f t="shared" ca="1" si="234"/>
        <v>275</v>
      </c>
      <c r="AZ926" s="22">
        <v>45471</v>
      </c>
      <c r="BA926" s="26">
        <f t="shared" ca="1" si="217"/>
        <v>0.68935388400369046</v>
      </c>
      <c r="BB926" s="29">
        <f t="shared" ca="1" si="235"/>
        <v>265</v>
      </c>
      <c r="BC926"/>
      <c r="BD926" s="25"/>
      <c r="BF926" s="22">
        <v>45471</v>
      </c>
      <c r="BG926" s="26">
        <f t="shared" ca="1" si="218"/>
        <v>0.2513543202966938</v>
      </c>
      <c r="BH926" s="29">
        <f t="shared" ca="1" si="236"/>
        <v>165</v>
      </c>
      <c r="BJ926" s="22">
        <v>45471</v>
      </c>
      <c r="BK926" s="26">
        <f t="shared" ca="1" si="219"/>
        <v>0.90249592773997867</v>
      </c>
      <c r="BL926" s="29">
        <f t="shared" ca="1" si="237"/>
        <v>227</v>
      </c>
      <c r="BN926" s="22">
        <v>45471</v>
      </c>
      <c r="BO926" s="26">
        <f t="shared" ca="1" si="220"/>
        <v>0.98564673479964338</v>
      </c>
      <c r="BP926" s="29">
        <f t="shared" ca="1" si="238"/>
        <v>342</v>
      </c>
      <c r="BR926" s="22">
        <v>45471</v>
      </c>
      <c r="BS926" s="26">
        <f t="shared" ca="1" si="221"/>
        <v>0.27228670323669424</v>
      </c>
      <c r="BT926" s="29">
        <f t="shared" ca="1" si="239"/>
        <v>135</v>
      </c>
      <c r="BV926" s="22">
        <v>45471</v>
      </c>
      <c r="BW926" s="26">
        <f t="shared" ca="1" si="222"/>
        <v>0.23640987736455821</v>
      </c>
      <c r="BX926" s="29">
        <f t="shared" ca="1" si="240"/>
        <v>178</v>
      </c>
    </row>
    <row r="927" spans="2:77" ht="12.75" x14ac:dyDescent="0.2">
      <c r="B927" s="22">
        <v>45472</v>
      </c>
      <c r="C927" s="26">
        <f t="shared" ca="1" si="205"/>
        <v>0.4635633406904911</v>
      </c>
      <c r="D927" s="29">
        <f t="shared" ca="1" si="223"/>
        <v>74</v>
      </c>
      <c r="F927" s="22"/>
      <c r="G927" s="26">
        <f t="shared" ca="1" si="206"/>
        <v>0.19770022287730793</v>
      </c>
      <c r="H927" s="29">
        <f t="shared" ca="1" si="224"/>
        <v>204</v>
      </c>
      <c r="J927" s="22">
        <v>45472</v>
      </c>
      <c r="K927" s="26">
        <f t="shared" ca="1" si="207"/>
        <v>0.37787035356883425</v>
      </c>
      <c r="L927" s="29">
        <f t="shared" ca="1" si="225"/>
        <v>147</v>
      </c>
      <c r="N927" s="22">
        <v>45472</v>
      </c>
      <c r="O927" s="26">
        <f t="shared" ca="1" si="208"/>
        <v>0.85349798552010236</v>
      </c>
      <c r="P927" s="29">
        <f t="shared" ca="1" si="226"/>
        <v>246</v>
      </c>
      <c r="R927" s="22">
        <v>45472</v>
      </c>
      <c r="S927" s="26">
        <f t="shared" ca="1" si="209"/>
        <v>0.46442291197734031</v>
      </c>
      <c r="T927" s="29">
        <f t="shared" ca="1" si="227"/>
        <v>138</v>
      </c>
      <c r="V927" s="22">
        <v>45472</v>
      </c>
      <c r="W927" s="26">
        <f t="shared" ca="1" si="210"/>
        <v>0.56383528212166367</v>
      </c>
      <c r="X927" s="29">
        <f t="shared" ca="1" si="228"/>
        <v>228</v>
      </c>
      <c r="Z927" s="22">
        <v>45472</v>
      </c>
      <c r="AA927" s="26">
        <f t="shared" ca="1" si="211"/>
        <v>0.58269402393831848</v>
      </c>
      <c r="AB927" s="29">
        <f t="shared" ca="1" si="229"/>
        <v>274</v>
      </c>
      <c r="AC927"/>
      <c r="AD927" s="25"/>
      <c r="AF927" s="22">
        <v>45472</v>
      </c>
      <c r="AG927" s="26">
        <f t="shared" ca="1" si="212"/>
        <v>0.11947064009124653</v>
      </c>
      <c r="AH927" s="29">
        <f t="shared" ca="1" si="230"/>
        <v>225</v>
      </c>
      <c r="AJ927" s="22">
        <v>45472</v>
      </c>
      <c r="AK927" s="26">
        <f t="shared" ca="1" si="213"/>
        <v>0.96090556625863077</v>
      </c>
      <c r="AL927" s="29">
        <f t="shared" ca="1" si="231"/>
        <v>251</v>
      </c>
      <c r="AN927" s="22">
        <v>45472</v>
      </c>
      <c r="AO927" s="26">
        <f t="shared" ca="1" si="214"/>
        <v>0.47930762515023273</v>
      </c>
      <c r="AP927" s="29">
        <f t="shared" ca="1" si="232"/>
        <v>229</v>
      </c>
      <c r="AR927" s="22">
        <v>45472</v>
      </c>
      <c r="AS927" s="26">
        <f t="shared" ca="1" si="215"/>
        <v>9.0992046308658869E-3</v>
      </c>
      <c r="AT927" s="29">
        <f t="shared" ca="1" si="233"/>
        <v>74</v>
      </c>
      <c r="AV927" s="22">
        <v>45472</v>
      </c>
      <c r="AW927" s="26">
        <f t="shared" ca="1" si="216"/>
        <v>0.43424711087563017</v>
      </c>
      <c r="AX927" s="29">
        <f t="shared" ca="1" si="234"/>
        <v>197</v>
      </c>
      <c r="AZ927" s="22">
        <v>45472</v>
      </c>
      <c r="BA927" s="26">
        <f t="shared" ca="1" si="217"/>
        <v>0.57005400769972214</v>
      </c>
      <c r="BB927" s="29">
        <f t="shared" ca="1" si="235"/>
        <v>245</v>
      </c>
      <c r="BC927"/>
      <c r="BD927" s="25"/>
      <c r="BF927" s="22">
        <v>45472</v>
      </c>
      <c r="BG927" s="26">
        <f t="shared" ca="1" si="218"/>
        <v>0.24965719841732936</v>
      </c>
      <c r="BH927" s="29">
        <f t="shared" ca="1" si="236"/>
        <v>165</v>
      </c>
      <c r="BJ927" s="22">
        <v>45472</v>
      </c>
      <c r="BK927" s="26">
        <f t="shared" ca="1" si="219"/>
        <v>9.6229173106536559E-2</v>
      </c>
      <c r="BL927" s="29">
        <f t="shared" ca="1" si="237"/>
        <v>111</v>
      </c>
      <c r="BN927" s="22">
        <v>45472</v>
      </c>
      <c r="BO927" s="26">
        <f t="shared" ca="1" si="220"/>
        <v>0.71424747868994864</v>
      </c>
      <c r="BP927" s="29">
        <f t="shared" ca="1" si="238"/>
        <v>249</v>
      </c>
      <c r="BR927" s="22">
        <v>45472</v>
      </c>
      <c r="BS927" s="26">
        <f t="shared" ca="1" si="221"/>
        <v>0.97961624941979386</v>
      </c>
      <c r="BT927" s="29">
        <f t="shared" ca="1" si="239"/>
        <v>249</v>
      </c>
      <c r="BV927" s="22">
        <v>45472</v>
      </c>
      <c r="BW927" s="26">
        <f t="shared" ca="1" si="222"/>
        <v>0.41336818099442563</v>
      </c>
      <c r="BX927" s="29">
        <f t="shared" ca="1" si="240"/>
        <v>207</v>
      </c>
    </row>
    <row r="928" spans="2:77" ht="12.75" x14ac:dyDescent="0.2">
      <c r="B928" s="22">
        <v>45473</v>
      </c>
      <c r="C928" s="26">
        <f t="shared" ca="1" si="205"/>
        <v>0.44958815890901227</v>
      </c>
      <c r="D928" s="29">
        <f t="shared" ca="1" si="223"/>
        <v>73</v>
      </c>
      <c r="E928">
        <v>2200</v>
      </c>
      <c r="F928" s="22"/>
      <c r="G928" s="26">
        <f t="shared" ca="1" si="206"/>
        <v>0.89236412255103004</v>
      </c>
      <c r="H928" s="29">
        <f t="shared" ca="1" si="224"/>
        <v>234</v>
      </c>
      <c r="I928">
        <v>2278</v>
      </c>
      <c r="J928" s="22">
        <v>45473</v>
      </c>
      <c r="K928" s="26">
        <f t="shared" ca="1" si="207"/>
        <v>0.54767729303989099</v>
      </c>
      <c r="L928" s="29">
        <f t="shared" ca="1" si="225"/>
        <v>152</v>
      </c>
      <c r="M928">
        <v>4519</v>
      </c>
      <c r="N928" s="22">
        <v>45473</v>
      </c>
      <c r="O928" s="26">
        <f t="shared" ca="1" si="208"/>
        <v>7.3695978129740491E-2</v>
      </c>
      <c r="P928" s="29">
        <f t="shared" ca="1" si="226"/>
        <v>208</v>
      </c>
      <c r="Q928">
        <v>6871</v>
      </c>
      <c r="R928" s="22">
        <v>45473</v>
      </c>
      <c r="S928" s="26">
        <f t="shared" ca="1" si="209"/>
        <v>0.12611926710821442</v>
      </c>
      <c r="T928" s="29">
        <f t="shared" ca="1" si="227"/>
        <v>129</v>
      </c>
      <c r="U928">
        <v>4255</v>
      </c>
      <c r="V928" s="22">
        <v>45473</v>
      </c>
      <c r="W928" s="26">
        <f t="shared" ca="1" si="210"/>
        <v>0.72833353680498902</v>
      </c>
      <c r="X928" s="29">
        <f t="shared" ca="1" si="228"/>
        <v>235</v>
      </c>
      <c r="Y928">
        <v>6788</v>
      </c>
      <c r="Z928" s="22">
        <v>45473</v>
      </c>
      <c r="AA928" s="26">
        <f t="shared" ca="1" si="211"/>
        <v>0.53732072563065025</v>
      </c>
      <c r="AB928" s="29">
        <f t="shared" ca="1" si="229"/>
        <v>272</v>
      </c>
      <c r="AC928">
        <v>8014</v>
      </c>
      <c r="AD928" s="25"/>
      <c r="AF928" s="22">
        <v>45473</v>
      </c>
      <c r="AG928" s="26">
        <f t="shared" ca="1" si="212"/>
        <v>0.27946209735814986</v>
      </c>
      <c r="AH928" s="29">
        <f t="shared" ca="1" si="230"/>
        <v>277</v>
      </c>
      <c r="AI928">
        <v>9627</v>
      </c>
      <c r="AJ928" s="22">
        <v>45473</v>
      </c>
      <c r="AK928" s="26">
        <f t="shared" ca="1" si="213"/>
        <v>0.14288890283568434</v>
      </c>
      <c r="AL928" s="29">
        <f t="shared" ca="1" si="231"/>
        <v>122</v>
      </c>
      <c r="AM928">
        <v>5209</v>
      </c>
      <c r="AN928" s="22">
        <v>45473</v>
      </c>
      <c r="AO928" s="26">
        <f t="shared" ca="1" si="214"/>
        <v>0.15805000752905152</v>
      </c>
      <c r="AP928" s="29">
        <f t="shared" ca="1" si="232"/>
        <v>171</v>
      </c>
      <c r="AQ928">
        <v>4473</v>
      </c>
      <c r="AR928" s="22">
        <v>45473</v>
      </c>
      <c r="AS928" s="26">
        <f t="shared" ca="1" si="215"/>
        <v>0.51170249330530637</v>
      </c>
      <c r="AT928" s="29">
        <f t="shared" ca="1" si="233"/>
        <v>200</v>
      </c>
      <c r="AU928">
        <v>6163</v>
      </c>
      <c r="AV928" s="22">
        <v>45473</v>
      </c>
      <c r="AW928" s="26">
        <f t="shared" ca="1" si="216"/>
        <v>0.84646960374378066</v>
      </c>
      <c r="AX928" s="29">
        <f t="shared" ca="1" si="234"/>
        <v>262</v>
      </c>
      <c r="AY928">
        <v>5575</v>
      </c>
      <c r="AZ928" s="22">
        <v>45473</v>
      </c>
      <c r="BA928" s="26">
        <f t="shared" ca="1" si="217"/>
        <v>0.46498461460109097</v>
      </c>
      <c r="BB928" s="29">
        <f t="shared" ca="1" si="235"/>
        <v>229</v>
      </c>
      <c r="BC928">
        <v>5289</v>
      </c>
      <c r="BD928" s="25"/>
      <c r="BF928" s="22">
        <v>45473</v>
      </c>
      <c r="BG928" s="26">
        <f t="shared" ca="1" si="218"/>
        <v>0.87785510996340599</v>
      </c>
      <c r="BH928" s="29">
        <f t="shared" ca="1" si="236"/>
        <v>263</v>
      </c>
      <c r="BI928">
        <v>4646</v>
      </c>
      <c r="BJ928" s="22">
        <v>45473</v>
      </c>
      <c r="BK928" s="26">
        <f t="shared" ca="1" si="219"/>
        <v>0.16459214545250822</v>
      </c>
      <c r="BL928" s="29">
        <f t="shared" ca="1" si="237"/>
        <v>125</v>
      </c>
      <c r="BM928">
        <v>4838</v>
      </c>
      <c r="BN928" s="22">
        <v>45473</v>
      </c>
      <c r="BO928" s="26">
        <f t="shared" ca="1" si="220"/>
        <v>0.45495334941454668</v>
      </c>
      <c r="BP928" s="29">
        <f t="shared" ca="1" si="238"/>
        <v>210</v>
      </c>
      <c r="BQ928">
        <v>3662</v>
      </c>
      <c r="BR928" s="22">
        <v>45473</v>
      </c>
      <c r="BS928" s="26">
        <f t="shared" ca="1" si="221"/>
        <v>5.1334934527065612E-2</v>
      </c>
      <c r="BT928" s="29">
        <f t="shared" ca="1" si="239"/>
        <v>91</v>
      </c>
      <c r="BU928">
        <v>5401</v>
      </c>
      <c r="BV928" s="22">
        <v>45473</v>
      </c>
      <c r="BW928" s="26">
        <f t="shared" ca="1" si="222"/>
        <v>0.49688800681940948</v>
      </c>
      <c r="BX928" s="29">
        <f t="shared" ca="1" si="240"/>
        <v>219</v>
      </c>
      <c r="BY928">
        <v>5155</v>
      </c>
    </row>
    <row r="929" spans="2:76" ht="12.75" x14ac:dyDescent="0.2">
      <c r="B929" s="22">
        <v>45474</v>
      </c>
      <c r="C929" s="26">
        <f t="shared" ca="1" si="205"/>
        <v>0.53573321372710403</v>
      </c>
      <c r="D929" s="29">
        <f ca="1">ROUNDUP(_xlfn.NORM.INV(C928,C$10,C$12),0)</f>
        <v>73</v>
      </c>
      <c r="F929" s="22"/>
      <c r="G929" s="26">
        <f t="shared" ca="1" si="206"/>
        <v>8.1228653019518426E-2</v>
      </c>
      <c r="H929" s="29">
        <f ca="1">ROUNDUP(_xlfn.NORM.INV(G928,G$10,G$12),0)</f>
        <v>234</v>
      </c>
      <c r="I929">
        <v>0</v>
      </c>
      <c r="J929" s="22">
        <v>45474</v>
      </c>
      <c r="K929" s="26">
        <f t="shared" ca="1" si="207"/>
        <v>0.33202689754337178</v>
      </c>
      <c r="L929" s="29">
        <f ca="1">ROUNDUP(_xlfn.NORM.INV(K928,K$10,K$12),0)</f>
        <v>152</v>
      </c>
      <c r="N929" s="22">
        <v>45474</v>
      </c>
      <c r="O929" s="26">
        <f t="shared" ca="1" si="208"/>
        <v>0.97958897000491751</v>
      </c>
      <c r="P929" s="29">
        <f ca="1">ROUNDUP(_xlfn.NORM.INV(O928,O$10,O$12),0)</f>
        <v>208</v>
      </c>
      <c r="R929" s="22">
        <v>45474</v>
      </c>
      <c r="S929" s="26">
        <f t="shared" ca="1" si="209"/>
        <v>0.26170323939137963</v>
      </c>
      <c r="T929" s="29">
        <f ca="1">ROUNDUP(_xlfn.NORM.INV(S928,S$10,S$12),0)</f>
        <v>129</v>
      </c>
      <c r="V929" s="22">
        <v>45474</v>
      </c>
      <c r="W929" s="26">
        <f t="shared" ca="1" si="210"/>
        <v>0.65908380036926162</v>
      </c>
      <c r="X929" s="29">
        <f ca="1">ROUNDUP(_xlfn.NORM.INV(W928,W$10,W$12),0)</f>
        <v>235</v>
      </c>
      <c r="Z929" s="22">
        <v>45474</v>
      </c>
      <c r="AA929" s="26">
        <f t="shared" ca="1" si="211"/>
        <v>0.58257911113212946</v>
      </c>
      <c r="AB929" s="29">
        <f ca="1">ROUNDUP(_xlfn.NORM.INV(AA928,AA$10,AA$12),0)</f>
        <v>272</v>
      </c>
      <c r="AC929"/>
      <c r="AD929" s="25"/>
      <c r="AF929" s="22">
        <v>45474</v>
      </c>
      <c r="AG929" s="26">
        <f t="shared" ca="1" si="212"/>
        <v>0.28970578896637234</v>
      </c>
      <c r="AH929" s="29">
        <f ca="1">ROUNDUP(_xlfn.NORM.INV(AG928,AG$10,AG$12),0)</f>
        <v>277</v>
      </c>
      <c r="AJ929" s="22">
        <v>45474</v>
      </c>
      <c r="AK929" s="26">
        <f t="shared" ca="1" si="213"/>
        <v>0.99845368297723114</v>
      </c>
      <c r="AL929" s="29">
        <f ca="1">ROUNDUP(_xlfn.NORM.INV(AK928,AK$10,AK$12),0)</f>
        <v>122</v>
      </c>
      <c r="AN929" s="22">
        <v>45474</v>
      </c>
      <c r="AO929" s="26">
        <f t="shared" ca="1" si="214"/>
        <v>0.90015930129448629</v>
      </c>
      <c r="AP929" s="29">
        <f ca="1">ROUNDUP(_xlfn.NORM.INV(AO928,AO$10,AO$12),0)</f>
        <v>171</v>
      </c>
      <c r="AR929" s="22">
        <v>45474</v>
      </c>
      <c r="AS929" s="26">
        <f t="shared" ca="1" si="215"/>
        <v>0.80494432280406802</v>
      </c>
      <c r="AT929" s="29">
        <f ca="1">ROUNDUP(_xlfn.NORM.INV(AS928,AS$10,AS$12),0)</f>
        <v>200</v>
      </c>
      <c r="AV929" s="22">
        <v>45474</v>
      </c>
      <c r="AW929" s="26">
        <f t="shared" ca="1" si="216"/>
        <v>0.72029447664500523</v>
      </c>
      <c r="AX929" s="29">
        <f ca="1">ROUNDUP(_xlfn.NORM.INV(AW928,AW$10,AW$12),0)</f>
        <v>262</v>
      </c>
      <c r="AZ929" s="22">
        <v>45474</v>
      </c>
      <c r="BA929" s="26">
        <f t="shared" ca="1" si="217"/>
        <v>0.40573944746429846</v>
      </c>
      <c r="BB929" s="29">
        <f ca="1">ROUNDUP(_xlfn.NORM.INV(BA928,BA$10,BA$12),0)</f>
        <v>229</v>
      </c>
      <c r="BC929"/>
      <c r="BD929" s="25"/>
      <c r="BF929" s="22">
        <v>45474</v>
      </c>
      <c r="BG929" s="26">
        <f t="shared" ca="1" si="218"/>
        <v>0.13185037736702798</v>
      </c>
      <c r="BH929" s="29">
        <f ca="1">ROUNDUP(_xlfn.NORM.INV(BG928,BG$10,BG$12),0)</f>
        <v>263</v>
      </c>
      <c r="BJ929" s="22">
        <v>45474</v>
      </c>
      <c r="BK929" s="26">
        <f t="shared" ca="1" si="219"/>
        <v>0.42336966320310288</v>
      </c>
      <c r="BL929" s="29">
        <f ca="1">ROUNDUP(_xlfn.NORM.INV(BK928,BK$10,BK$12),0)</f>
        <v>125</v>
      </c>
      <c r="BN929" s="22">
        <v>45474</v>
      </c>
      <c r="BO929" s="26">
        <f t="shared" ca="1" si="220"/>
        <v>0.47620648038169033</v>
      </c>
      <c r="BP929" s="29">
        <f ca="1">ROUNDUP(_xlfn.NORM.INV(BO928,BO$10,BO$12),0)</f>
        <v>210</v>
      </c>
      <c r="BR929" s="22">
        <v>45474</v>
      </c>
      <c r="BS929" s="26">
        <f t="shared" ca="1" si="221"/>
        <v>2.567920062651341E-2</v>
      </c>
      <c r="BT929" s="29">
        <f ca="1">ROUNDUP(_xlfn.NORM.INV(BS928,BS$10,BS$12),0)</f>
        <v>91</v>
      </c>
      <c r="BV929" s="22">
        <v>45474</v>
      </c>
      <c r="BW929" s="26">
        <f t="shared" ca="1" si="222"/>
        <v>0.58518779284939204</v>
      </c>
      <c r="BX929" s="29">
        <f ca="1">ROUNDUP(_xlfn.NORM.INV(BW928,BW$10,BW$12),0)</f>
        <v>219</v>
      </c>
    </row>
    <row r="930" spans="2:76" ht="12.75" x14ac:dyDescent="0.2">
      <c r="B930" s="22">
        <v>45475</v>
      </c>
      <c r="C930" s="26">
        <f t="shared" ca="1" si="205"/>
        <v>0.1614768953673934</v>
      </c>
      <c r="D930" s="29">
        <f t="shared" ca="1" si="223"/>
        <v>56</v>
      </c>
      <c r="F930" s="22"/>
      <c r="G930" s="26">
        <f t="shared" ca="1" si="206"/>
        <v>2.5106549786757526E-4</v>
      </c>
      <c r="H930" s="29">
        <f t="shared" ca="1" si="224"/>
        <v>166</v>
      </c>
      <c r="J930" s="22">
        <v>45475</v>
      </c>
      <c r="K930" s="26">
        <f t="shared" ca="1" si="207"/>
        <v>6.4188810697972887E-2</v>
      </c>
      <c r="L930" s="29">
        <f t="shared" ca="1" si="225"/>
        <v>135</v>
      </c>
      <c r="N930" s="22">
        <v>45475</v>
      </c>
      <c r="O930" s="26">
        <f t="shared" ca="1" si="208"/>
        <v>0.83070466118290842</v>
      </c>
      <c r="P930" s="29">
        <f t="shared" ca="1" si="226"/>
        <v>244</v>
      </c>
      <c r="R930" s="22">
        <v>45475</v>
      </c>
      <c r="S930" s="26">
        <f t="shared" ca="1" si="209"/>
        <v>0.91002840414866171</v>
      </c>
      <c r="T930" s="29">
        <f t="shared" ca="1" si="227"/>
        <v>152</v>
      </c>
      <c r="V930" s="22">
        <v>45475</v>
      </c>
      <c r="W930" s="26">
        <f t="shared" ca="1" si="210"/>
        <v>0.65740872068500433</v>
      </c>
      <c r="X930" s="29">
        <f t="shared" ca="1" si="228"/>
        <v>232</v>
      </c>
      <c r="Z930" s="22">
        <v>45475</v>
      </c>
      <c r="AA930" s="26">
        <f t="shared" ca="1" si="211"/>
        <v>0.54751351542997029</v>
      </c>
      <c r="AB930" s="29">
        <f t="shared" ca="1" si="229"/>
        <v>273</v>
      </c>
      <c r="AC930"/>
      <c r="AD930" s="25"/>
      <c r="AF930" s="22">
        <v>45475</v>
      </c>
      <c r="AG930" s="26">
        <f t="shared" ca="1" si="212"/>
        <v>0.65607116164499513</v>
      </c>
      <c r="AH930" s="29">
        <f t="shared" ca="1" si="230"/>
        <v>363</v>
      </c>
      <c r="AJ930" s="22">
        <v>45475</v>
      </c>
      <c r="AK930" s="26">
        <f t="shared" ca="1" si="213"/>
        <v>0.14131760493806989</v>
      </c>
      <c r="AL930" s="29">
        <f t="shared" ca="1" si="231"/>
        <v>122</v>
      </c>
      <c r="AN930" s="22">
        <v>45475</v>
      </c>
      <c r="AO930" s="26">
        <f t="shared" ca="1" si="214"/>
        <v>0.52706872476311195</v>
      </c>
      <c r="AP930" s="29">
        <f t="shared" ca="1" si="232"/>
        <v>237</v>
      </c>
      <c r="AR930" s="22">
        <v>45475</v>
      </c>
      <c r="AS930" s="26">
        <f t="shared" ca="1" si="215"/>
        <v>0.18500679420490462</v>
      </c>
      <c r="AT930" s="29">
        <f t="shared" ca="1" si="233"/>
        <v>151</v>
      </c>
      <c r="AV930" s="22">
        <v>45475</v>
      </c>
      <c r="AW930" s="26">
        <f t="shared" ca="1" si="216"/>
        <v>0.54410367554530747</v>
      </c>
      <c r="AX930" s="29">
        <f t="shared" ca="1" si="234"/>
        <v>212</v>
      </c>
      <c r="AZ930" s="22">
        <v>45475</v>
      </c>
      <c r="BA930" s="26">
        <f t="shared" ca="1" si="217"/>
        <v>0.55066848879982944</v>
      </c>
      <c r="BB930" s="29">
        <f t="shared" ca="1" si="235"/>
        <v>242</v>
      </c>
      <c r="BC930"/>
      <c r="BD930" s="25"/>
      <c r="BF930" s="22">
        <v>45475</v>
      </c>
      <c r="BG930" s="26">
        <f t="shared" ca="1" si="218"/>
        <v>0.22242015378955116</v>
      </c>
      <c r="BH930" s="29">
        <f t="shared" ca="1" si="236"/>
        <v>160</v>
      </c>
      <c r="BJ930" s="22">
        <v>45475</v>
      </c>
      <c r="BK930" s="26">
        <f t="shared" ca="1" si="219"/>
        <v>0.23562922470591152</v>
      </c>
      <c r="BL930" s="29">
        <f t="shared" ca="1" si="237"/>
        <v>137</v>
      </c>
      <c r="BN930" s="22">
        <v>45475</v>
      </c>
      <c r="BO930" s="26">
        <f t="shared" ca="1" si="220"/>
        <v>0.8679933961287849</v>
      </c>
      <c r="BP930" s="29">
        <f t="shared" ca="1" si="238"/>
        <v>280</v>
      </c>
      <c r="BR930" s="22">
        <v>45475</v>
      </c>
      <c r="BS930" s="26">
        <f t="shared" ca="1" si="221"/>
        <v>0.33827838050386383</v>
      </c>
      <c r="BT930" s="29">
        <f t="shared" ca="1" si="239"/>
        <v>143</v>
      </c>
      <c r="BV930" s="22">
        <v>45475</v>
      </c>
      <c r="BW930" s="26">
        <f t="shared" ca="1" si="222"/>
        <v>0.81617715005493841</v>
      </c>
      <c r="BX930" s="29">
        <f t="shared" ca="1" si="240"/>
        <v>272</v>
      </c>
    </row>
    <row r="931" spans="2:76" ht="12.75" x14ac:dyDescent="0.2">
      <c r="B931" s="22">
        <v>45476</v>
      </c>
      <c r="C931" s="26">
        <f t="shared" ca="1" si="205"/>
        <v>0.16625123853941792</v>
      </c>
      <c r="D931" s="29">
        <f t="shared" ca="1" si="223"/>
        <v>56</v>
      </c>
      <c r="F931" s="22"/>
      <c r="G931" s="26">
        <f t="shared" ca="1" si="206"/>
        <v>0.45704787355636467</v>
      </c>
      <c r="H931" s="29">
        <f t="shared" ca="1" si="224"/>
        <v>214</v>
      </c>
      <c r="J931" s="22">
        <v>45476</v>
      </c>
      <c r="K931" s="26">
        <f t="shared" ca="1" si="207"/>
        <v>0.19455346005377128</v>
      </c>
      <c r="L931" s="29">
        <f t="shared" ca="1" si="225"/>
        <v>142</v>
      </c>
      <c r="N931" s="22">
        <v>45476</v>
      </c>
      <c r="O931" s="26">
        <f t="shared" ca="1" si="208"/>
        <v>0.86931718857677232</v>
      </c>
      <c r="P931" s="29">
        <f t="shared" ca="1" si="226"/>
        <v>247</v>
      </c>
      <c r="R931" s="22">
        <v>45476</v>
      </c>
      <c r="S931" s="26">
        <f t="shared" ca="1" si="209"/>
        <v>0.75579838277157452</v>
      </c>
      <c r="T931" s="29">
        <f t="shared" ca="1" si="227"/>
        <v>146</v>
      </c>
      <c r="V931" s="22">
        <v>45476</v>
      </c>
      <c r="W931" s="26">
        <f t="shared" ca="1" si="210"/>
        <v>0.32800873254454121</v>
      </c>
      <c r="X931" s="29">
        <f t="shared" ca="1" si="228"/>
        <v>219</v>
      </c>
      <c r="Z931" s="22">
        <v>45476</v>
      </c>
      <c r="AA931" s="26">
        <f t="shared" ca="1" si="211"/>
        <v>0.18280726204735409</v>
      </c>
      <c r="AB931" s="29">
        <f t="shared" ca="1" si="229"/>
        <v>254</v>
      </c>
      <c r="AC931"/>
      <c r="AD931" s="25"/>
      <c r="AF931" s="22">
        <v>45476</v>
      </c>
      <c r="AG931" s="26">
        <f t="shared" ca="1" si="212"/>
        <v>0.38563868110591737</v>
      </c>
      <c r="AH931" s="29">
        <f t="shared" ca="1" si="230"/>
        <v>302</v>
      </c>
      <c r="AJ931" s="22">
        <v>45476</v>
      </c>
      <c r="AK931" s="26">
        <f t="shared" ca="1" si="213"/>
        <v>0.1806416305613342</v>
      </c>
      <c r="AL931" s="29">
        <f t="shared" ca="1" si="231"/>
        <v>129</v>
      </c>
      <c r="AN931" s="22">
        <v>45476</v>
      </c>
      <c r="AO931" s="26">
        <f t="shared" ca="1" si="214"/>
        <v>0.33585973360341603</v>
      </c>
      <c r="AP931" s="29">
        <f t="shared" ca="1" si="232"/>
        <v>206</v>
      </c>
      <c r="AR931" s="22">
        <v>45476</v>
      </c>
      <c r="AS931" s="26">
        <f t="shared" ca="1" si="215"/>
        <v>1.9656556623690147E-2</v>
      </c>
      <c r="AT931" s="29">
        <f t="shared" ca="1" si="233"/>
        <v>90</v>
      </c>
      <c r="AV931" s="22">
        <v>45476</v>
      </c>
      <c r="AW931" s="26">
        <f t="shared" ca="1" si="216"/>
        <v>0.63978901738607508</v>
      </c>
      <c r="AX931" s="29">
        <f t="shared" ca="1" si="234"/>
        <v>226</v>
      </c>
      <c r="AZ931" s="22">
        <v>45476</v>
      </c>
      <c r="BA931" s="26">
        <f t="shared" ca="1" si="217"/>
        <v>0.43256591482105533</v>
      </c>
      <c r="BB931" s="29">
        <f t="shared" ca="1" si="235"/>
        <v>223</v>
      </c>
      <c r="BC931"/>
      <c r="BD931" s="25"/>
      <c r="BF931" s="22">
        <v>45476</v>
      </c>
      <c r="BG931" s="26">
        <f t="shared" ca="1" si="218"/>
        <v>0.13867913201682003</v>
      </c>
      <c r="BH931" s="29">
        <f t="shared" ca="1" si="236"/>
        <v>143</v>
      </c>
      <c r="BJ931" s="22">
        <v>45476</v>
      </c>
      <c r="BK931" s="26">
        <f t="shared" ca="1" si="219"/>
        <v>0.13209872483825347</v>
      </c>
      <c r="BL931" s="29">
        <f t="shared" ca="1" si="237"/>
        <v>119</v>
      </c>
      <c r="BN931" s="22">
        <v>45476</v>
      </c>
      <c r="BO931" s="26">
        <f t="shared" ca="1" si="220"/>
        <v>1.6026787309295965E-2</v>
      </c>
      <c r="BP931" s="29">
        <f t="shared" ca="1" si="238"/>
        <v>93</v>
      </c>
      <c r="BR931" s="22">
        <v>45476</v>
      </c>
      <c r="BS931" s="26">
        <f t="shared" ca="1" si="221"/>
        <v>0.2344285037194308</v>
      </c>
      <c r="BT931" s="29">
        <f t="shared" ca="1" si="239"/>
        <v>130</v>
      </c>
      <c r="BV931" s="22">
        <v>45476</v>
      </c>
      <c r="BW931" s="26">
        <f t="shared" ca="1" si="222"/>
        <v>0.71544459389987658</v>
      </c>
      <c r="BX931" s="29">
        <f t="shared" ca="1" si="240"/>
        <v>253</v>
      </c>
    </row>
    <row r="932" spans="2:76" ht="12.75" x14ac:dyDescent="0.2">
      <c r="B932" s="22">
        <v>45477</v>
      </c>
      <c r="C932" s="26">
        <f t="shared" ca="1" si="205"/>
        <v>0.33007398569619517</v>
      </c>
      <c r="D932" s="29">
        <f t="shared" ca="1" si="223"/>
        <v>67</v>
      </c>
      <c r="F932" s="22"/>
      <c r="G932" s="26">
        <f t="shared" ca="1" si="206"/>
        <v>0.57527517415313489</v>
      </c>
      <c r="H932" s="29">
        <f t="shared" ca="1" si="224"/>
        <v>219</v>
      </c>
      <c r="J932" s="22">
        <v>45477</v>
      </c>
      <c r="K932" s="26">
        <f t="shared" ca="1" si="207"/>
        <v>0.82778638325701082</v>
      </c>
      <c r="L932" s="29">
        <f t="shared" ca="1" si="225"/>
        <v>160</v>
      </c>
      <c r="N932" s="22">
        <v>45477</v>
      </c>
      <c r="O932" s="26">
        <f t="shared" ca="1" si="208"/>
        <v>2.6584416401085886E-2</v>
      </c>
      <c r="P932" s="29">
        <f t="shared" ca="1" si="226"/>
        <v>200</v>
      </c>
      <c r="R932" s="22">
        <v>45477</v>
      </c>
      <c r="S932" s="26">
        <f t="shared" ca="1" si="209"/>
        <v>0.64343456467285565</v>
      </c>
      <c r="T932" s="29">
        <f t="shared" ca="1" si="227"/>
        <v>143</v>
      </c>
      <c r="V932" s="22">
        <v>45477</v>
      </c>
      <c r="W932" s="26">
        <f t="shared" ca="1" si="210"/>
        <v>0.37322058122026502</v>
      </c>
      <c r="X932" s="29">
        <f t="shared" ca="1" si="228"/>
        <v>221</v>
      </c>
      <c r="Z932" s="22">
        <v>45477</v>
      </c>
      <c r="AA932" s="26">
        <f t="shared" ca="1" si="211"/>
        <v>0.37750904928137197</v>
      </c>
      <c r="AB932" s="29">
        <f t="shared" ca="1" si="229"/>
        <v>265</v>
      </c>
      <c r="AC932"/>
      <c r="AD932" s="25"/>
      <c r="AF932" s="22">
        <v>45477</v>
      </c>
      <c r="AG932" s="26">
        <f t="shared" ca="1" si="212"/>
        <v>0.41449630366120671</v>
      </c>
      <c r="AH932" s="29">
        <f t="shared" ca="1" si="230"/>
        <v>309</v>
      </c>
      <c r="AJ932" s="22">
        <v>45477</v>
      </c>
      <c r="AK932" s="26">
        <f t="shared" ca="1" si="213"/>
        <v>0.83701563188319872</v>
      </c>
      <c r="AL932" s="29">
        <f t="shared" ca="1" si="231"/>
        <v>216</v>
      </c>
      <c r="AN932" s="22">
        <v>45477</v>
      </c>
      <c r="AO932" s="26">
        <f t="shared" ca="1" si="214"/>
        <v>0.66222055387648382</v>
      </c>
      <c r="AP932" s="29">
        <f t="shared" ca="1" si="232"/>
        <v>258</v>
      </c>
      <c r="AR932" s="22">
        <v>45477</v>
      </c>
      <c r="AS932" s="26">
        <f t="shared" ca="1" si="215"/>
        <v>0.5203998564885054</v>
      </c>
      <c r="AT932" s="29">
        <f t="shared" ca="1" si="233"/>
        <v>201</v>
      </c>
      <c r="AV932" s="22">
        <v>45477</v>
      </c>
      <c r="AW932" s="26">
        <f t="shared" ca="1" si="216"/>
        <v>0.13968931607804602</v>
      </c>
      <c r="AX932" s="29">
        <f t="shared" ca="1" si="234"/>
        <v>147</v>
      </c>
      <c r="AZ932" s="22">
        <v>45477</v>
      </c>
      <c r="BA932" s="26">
        <f t="shared" ca="1" si="217"/>
        <v>0.4184537439724384</v>
      </c>
      <c r="BB932" s="29">
        <f t="shared" ca="1" si="235"/>
        <v>221</v>
      </c>
      <c r="BC932"/>
      <c r="BD932" s="25"/>
      <c r="BF932" s="22">
        <v>45477</v>
      </c>
      <c r="BG932" s="26">
        <f t="shared" ca="1" si="218"/>
        <v>0.52946564557396769</v>
      </c>
      <c r="BH932" s="29">
        <f t="shared" ca="1" si="236"/>
        <v>205</v>
      </c>
      <c r="BJ932" s="22">
        <v>45477</v>
      </c>
      <c r="BK932" s="26">
        <f t="shared" ca="1" si="219"/>
        <v>2.2362251540232192E-3</v>
      </c>
      <c r="BL932" s="29">
        <f t="shared" ca="1" si="237"/>
        <v>41</v>
      </c>
      <c r="BN932" s="22">
        <v>45477</v>
      </c>
      <c r="BO932" s="26">
        <f t="shared" ca="1" si="220"/>
        <v>0.93227745220454672</v>
      </c>
      <c r="BP932" s="29">
        <f t="shared" ca="1" si="238"/>
        <v>302</v>
      </c>
      <c r="BR932" s="22">
        <v>45477</v>
      </c>
      <c r="BS932" s="26">
        <f t="shared" ca="1" si="221"/>
        <v>0.4257531702482632</v>
      </c>
      <c r="BT932" s="29">
        <f t="shared" ca="1" si="239"/>
        <v>153</v>
      </c>
      <c r="BV932" s="22">
        <v>45477</v>
      </c>
      <c r="BW932" s="26">
        <f t="shared" ca="1" si="222"/>
        <v>0.73975949117402495</v>
      </c>
      <c r="BX932" s="29">
        <f t="shared" ca="1" si="240"/>
        <v>257</v>
      </c>
    </row>
    <row r="933" spans="2:76" ht="12.75" x14ac:dyDescent="0.2">
      <c r="B933" s="22">
        <v>45478</v>
      </c>
      <c r="C933" s="26">
        <f t="shared" ca="1" si="205"/>
        <v>0.79594632448992952</v>
      </c>
      <c r="D933" s="29">
        <f t="shared" ca="1" si="223"/>
        <v>92</v>
      </c>
      <c r="F933" s="22"/>
      <c r="G933" s="26">
        <f t="shared" ca="1" si="206"/>
        <v>0.62196369902918591</v>
      </c>
      <c r="H933" s="29">
        <f t="shared" ca="1" si="224"/>
        <v>220</v>
      </c>
      <c r="J933" s="22">
        <v>45478</v>
      </c>
      <c r="K933" s="26">
        <f t="shared" ca="1" si="207"/>
        <v>0.87003167757346622</v>
      </c>
      <c r="L933" s="29">
        <f t="shared" ca="1" si="225"/>
        <v>162</v>
      </c>
      <c r="N933" s="22">
        <v>45478</v>
      </c>
      <c r="O933" s="26">
        <f t="shared" ca="1" si="208"/>
        <v>0.66744536627255913</v>
      </c>
      <c r="P933" s="29">
        <f t="shared" ca="1" si="226"/>
        <v>236</v>
      </c>
      <c r="R933" s="22">
        <v>45478</v>
      </c>
      <c r="S933" s="26">
        <f t="shared" ca="1" si="209"/>
        <v>0.8956939595959349</v>
      </c>
      <c r="T933" s="29">
        <f t="shared" ca="1" si="227"/>
        <v>151</v>
      </c>
      <c r="V933" s="22">
        <v>45478</v>
      </c>
      <c r="W933" s="26">
        <f t="shared" ca="1" si="210"/>
        <v>0.44588770371587938</v>
      </c>
      <c r="X933" s="29">
        <f t="shared" ca="1" si="228"/>
        <v>223</v>
      </c>
      <c r="Z933" s="22">
        <v>45478</v>
      </c>
      <c r="AA933" s="26">
        <f t="shared" ca="1" si="211"/>
        <v>0.1803768412489033</v>
      </c>
      <c r="AB933" s="29">
        <f t="shared" ca="1" si="229"/>
        <v>254</v>
      </c>
      <c r="AC933"/>
      <c r="AD933" s="25"/>
      <c r="AF933" s="22">
        <v>45478</v>
      </c>
      <c r="AG933" s="26">
        <f t="shared" ca="1" si="212"/>
        <v>0.3129834293925432</v>
      </c>
      <c r="AH933" s="29">
        <f t="shared" ca="1" si="230"/>
        <v>285</v>
      </c>
      <c r="AJ933" s="22">
        <v>45478</v>
      </c>
      <c r="AK933" s="26">
        <f t="shared" ca="1" si="213"/>
        <v>0.79053554341337617</v>
      </c>
      <c r="AL933" s="29">
        <f t="shared" ca="1" si="231"/>
        <v>208</v>
      </c>
      <c r="AN933" s="22">
        <v>45478</v>
      </c>
      <c r="AO933" s="26">
        <f t="shared" ca="1" si="214"/>
        <v>0.37032948103757357</v>
      </c>
      <c r="AP933" s="29">
        <f t="shared" ca="1" si="232"/>
        <v>212</v>
      </c>
      <c r="AR933" s="22">
        <v>45478</v>
      </c>
      <c r="AS933" s="26">
        <f t="shared" ca="1" si="215"/>
        <v>0.3219266323891391</v>
      </c>
      <c r="AT933" s="29">
        <f t="shared" ca="1" si="233"/>
        <v>174</v>
      </c>
      <c r="AV933" s="22">
        <v>45478</v>
      </c>
      <c r="AW933" s="26">
        <f t="shared" ca="1" si="216"/>
        <v>0.41222157072153454</v>
      </c>
      <c r="AX933" s="29">
        <f t="shared" ca="1" si="234"/>
        <v>194</v>
      </c>
      <c r="AZ933" s="22">
        <v>45478</v>
      </c>
      <c r="BA933" s="26">
        <f t="shared" ca="1" si="217"/>
        <v>0.41512651617480711</v>
      </c>
      <c r="BB933" s="29">
        <f t="shared" ca="1" si="235"/>
        <v>221</v>
      </c>
      <c r="BC933"/>
      <c r="BD933" s="25"/>
      <c r="BF933" s="22">
        <v>45478</v>
      </c>
      <c r="BG933" s="26">
        <f t="shared" ca="1" si="218"/>
        <v>0.15573964797360362</v>
      </c>
      <c r="BH933" s="29">
        <f t="shared" ca="1" si="236"/>
        <v>147</v>
      </c>
      <c r="BJ933" s="22">
        <v>45478</v>
      </c>
      <c r="BK933" s="26">
        <f t="shared" ca="1" si="219"/>
        <v>0.94871930171113095</v>
      </c>
      <c r="BL933" s="29">
        <f t="shared" ca="1" si="237"/>
        <v>242</v>
      </c>
      <c r="BN933" s="22">
        <v>45478</v>
      </c>
      <c r="BO933" s="26">
        <f t="shared" ca="1" si="220"/>
        <v>9.5764767034840492E-3</v>
      </c>
      <c r="BP933" s="29">
        <f t="shared" ca="1" si="238"/>
        <v>81</v>
      </c>
      <c r="BR933" s="22">
        <v>45478</v>
      </c>
      <c r="BS933" s="26">
        <f t="shared" ca="1" si="221"/>
        <v>0.13981620395768635</v>
      </c>
      <c r="BT933" s="29">
        <f t="shared" ca="1" si="239"/>
        <v>115</v>
      </c>
      <c r="BV933" s="22">
        <v>45478</v>
      </c>
      <c r="BW933" s="26">
        <f t="shared" ca="1" si="222"/>
        <v>4.463547261916867E-2</v>
      </c>
      <c r="BX933" s="29">
        <f t="shared" ca="1" si="240"/>
        <v>120</v>
      </c>
    </row>
    <row r="934" spans="2:76" ht="12.75" x14ac:dyDescent="0.2">
      <c r="B934" s="22">
        <v>45479</v>
      </c>
      <c r="C934" s="26">
        <f t="shared" ca="1" si="205"/>
        <v>0.97416445444368027</v>
      </c>
      <c r="D934" s="29">
        <v>0</v>
      </c>
      <c r="F934" s="22"/>
      <c r="G934" s="26">
        <f t="shared" ca="1" si="206"/>
        <v>0.85262361068978343</v>
      </c>
      <c r="H934" s="29">
        <v>0</v>
      </c>
      <c r="J934" s="22">
        <v>45479</v>
      </c>
      <c r="K934" s="26">
        <f t="shared" ca="1" si="207"/>
        <v>0.56690471241819451</v>
      </c>
      <c r="L934" s="29">
        <v>0</v>
      </c>
      <c r="N934" s="22">
        <v>45479</v>
      </c>
      <c r="O934" s="26">
        <f t="shared" ca="1" si="208"/>
        <v>0.54252500521895575</v>
      </c>
      <c r="P934" s="29">
        <v>0</v>
      </c>
      <c r="R934" s="22">
        <v>45479</v>
      </c>
      <c r="S934" s="26">
        <f t="shared" ca="1" si="209"/>
        <v>7.7743970497577974E-2</v>
      </c>
      <c r="T934" s="29">
        <v>0</v>
      </c>
      <c r="V934" s="22">
        <v>45479</v>
      </c>
      <c r="W934" s="26">
        <f t="shared" ca="1" si="210"/>
        <v>0.87103364787394144</v>
      </c>
      <c r="X934" s="29">
        <v>0</v>
      </c>
      <c r="Z934" s="22">
        <v>45479</v>
      </c>
      <c r="AA934" s="26">
        <f t="shared" ca="1" si="211"/>
        <v>0.13162038065021309</v>
      </c>
      <c r="AB934" s="29">
        <v>0</v>
      </c>
      <c r="AC934"/>
      <c r="AD934" s="25"/>
      <c r="AF934" s="22">
        <v>45479</v>
      </c>
      <c r="AG934" s="26">
        <f t="shared" ca="1" si="212"/>
        <v>0.67185876261517297</v>
      </c>
      <c r="AH934" s="29">
        <v>0</v>
      </c>
      <c r="AJ934" s="22">
        <v>45479</v>
      </c>
      <c r="AK934" s="26">
        <f t="shared" ca="1" si="213"/>
        <v>0.57540120050829191</v>
      </c>
      <c r="AL934" s="29">
        <v>0</v>
      </c>
      <c r="AN934" s="22">
        <v>45479</v>
      </c>
      <c r="AO934" s="26">
        <f t="shared" ca="1" si="214"/>
        <v>0.8813630560597211</v>
      </c>
      <c r="AP934" s="29">
        <v>0</v>
      </c>
      <c r="AR934" s="22">
        <v>45479</v>
      </c>
      <c r="AS934" s="26">
        <f t="shared" ca="1" si="215"/>
        <v>0.35766696497886619</v>
      </c>
      <c r="AT934" s="29">
        <v>0</v>
      </c>
      <c r="AV934" s="22">
        <v>45479</v>
      </c>
      <c r="AW934" s="26">
        <f t="shared" ca="1" si="216"/>
        <v>0.85917481029343867</v>
      </c>
      <c r="AX934" s="29">
        <v>0</v>
      </c>
      <c r="AZ934" s="22">
        <v>45479</v>
      </c>
      <c r="BA934" s="26">
        <f t="shared" ca="1" si="217"/>
        <v>0.22920542163941915</v>
      </c>
      <c r="BB934" s="29">
        <v>0</v>
      </c>
      <c r="BC934"/>
      <c r="BD934" s="25"/>
      <c r="BF934" s="22">
        <v>45479</v>
      </c>
      <c r="BG934" s="26">
        <f t="shared" ca="1" si="218"/>
        <v>0.78728699590626194</v>
      </c>
      <c r="BH934" s="29">
        <v>0</v>
      </c>
      <c r="BJ934" s="22">
        <v>45479</v>
      </c>
      <c r="BK934" s="26">
        <f t="shared" ca="1" si="219"/>
        <v>0.4081495070675113</v>
      </c>
      <c r="BL934" s="29">
        <v>0</v>
      </c>
      <c r="BN934" s="22">
        <v>45479</v>
      </c>
      <c r="BO934" s="26">
        <f t="shared" ca="1" si="220"/>
        <v>0.50888392205244992</v>
      </c>
      <c r="BP934" s="29">
        <v>0</v>
      </c>
      <c r="BR934" s="22">
        <v>45479</v>
      </c>
      <c r="BS934" s="26">
        <f t="shared" ca="1" si="221"/>
        <v>0.83849114959496496</v>
      </c>
      <c r="BT934" s="29">
        <v>0</v>
      </c>
      <c r="BV934" s="22">
        <v>45479</v>
      </c>
      <c r="BW934" s="26">
        <f t="shared" ca="1" si="222"/>
        <v>0.95905153998975445</v>
      </c>
      <c r="BX934" s="29">
        <v>0</v>
      </c>
    </row>
    <row r="935" spans="2:76" ht="12.75" x14ac:dyDescent="0.2">
      <c r="B935" s="22">
        <v>45480</v>
      </c>
      <c r="C935" s="26">
        <f t="shared" ca="1" si="205"/>
        <v>6.0350013059197516E-2</v>
      </c>
      <c r="D935" s="29">
        <v>0</v>
      </c>
      <c r="F935" s="22"/>
      <c r="G935" s="26">
        <f t="shared" ca="1" si="206"/>
        <v>0.61433803227858985</v>
      </c>
      <c r="H935" s="29">
        <v>0</v>
      </c>
      <c r="J935" s="22">
        <v>45480</v>
      </c>
      <c r="K935" s="26">
        <f t="shared" ca="1" si="207"/>
        <v>0.51921139348996725</v>
      </c>
      <c r="L935" s="29">
        <v>0</v>
      </c>
      <c r="N935" s="22">
        <v>45480</v>
      </c>
      <c r="O935" s="26">
        <f t="shared" ca="1" si="208"/>
        <v>0.10582370197044944</v>
      </c>
      <c r="P935" s="29">
        <v>0</v>
      </c>
      <c r="R935" s="22">
        <v>45480</v>
      </c>
      <c r="S935" s="26">
        <f t="shared" ca="1" si="209"/>
        <v>0.52693236654086772</v>
      </c>
      <c r="T935" s="29">
        <v>0</v>
      </c>
      <c r="V935" s="22">
        <v>45480</v>
      </c>
      <c r="W935" s="26">
        <f t="shared" ca="1" si="210"/>
        <v>0.92243384340115797</v>
      </c>
      <c r="X935" s="29">
        <v>0</v>
      </c>
      <c r="Z935" s="22">
        <v>45480</v>
      </c>
      <c r="AA935" s="26">
        <f t="shared" ca="1" si="211"/>
        <v>0.70497757144569884</v>
      </c>
      <c r="AB935" s="29">
        <v>0</v>
      </c>
      <c r="AC935"/>
      <c r="AD935" s="25"/>
      <c r="AF935" s="22">
        <v>45480</v>
      </c>
      <c r="AG935" s="26">
        <f t="shared" ca="1" si="212"/>
        <v>0.97893274166919075</v>
      </c>
      <c r="AH935" s="29">
        <v>0</v>
      </c>
      <c r="AJ935" s="22">
        <v>45480</v>
      </c>
      <c r="AK935" s="26">
        <f t="shared" ca="1" si="213"/>
        <v>0.97464772154665336</v>
      </c>
      <c r="AL935" s="29">
        <v>0</v>
      </c>
      <c r="AN935" s="22">
        <v>45480</v>
      </c>
      <c r="AO935" s="26">
        <f t="shared" ca="1" si="214"/>
        <v>0.20017853557238829</v>
      </c>
      <c r="AP935" s="29">
        <v>0</v>
      </c>
      <c r="AR935" s="22">
        <v>45480</v>
      </c>
      <c r="AS935" s="26">
        <f t="shared" ca="1" si="215"/>
        <v>0.36780544477061761</v>
      </c>
      <c r="AT935" s="29">
        <v>0</v>
      </c>
      <c r="AV935" s="22">
        <v>45480</v>
      </c>
      <c r="AW935" s="26">
        <f t="shared" ca="1" si="216"/>
        <v>0.63876377351749369</v>
      </c>
      <c r="AX935" s="29">
        <v>0</v>
      </c>
      <c r="AZ935" s="22">
        <v>45480</v>
      </c>
      <c r="BA935" s="26">
        <f t="shared" ca="1" si="217"/>
        <v>0.65298686562609498</v>
      </c>
      <c r="BB935" s="29">
        <v>0</v>
      </c>
      <c r="BC935"/>
      <c r="BD935" s="25"/>
      <c r="BF935" s="22">
        <v>45480</v>
      </c>
      <c r="BG935" s="26">
        <f t="shared" ca="1" si="218"/>
        <v>0.10898054753572928</v>
      </c>
      <c r="BH935" s="29">
        <v>0</v>
      </c>
      <c r="BJ935" s="22">
        <v>45480</v>
      </c>
      <c r="BK935" s="26">
        <f t="shared" ca="1" si="219"/>
        <v>0.44739043034920956</v>
      </c>
      <c r="BL935" s="29">
        <v>0</v>
      </c>
      <c r="BN935" s="22">
        <v>45480</v>
      </c>
      <c r="BO935" s="26">
        <f t="shared" ca="1" si="220"/>
        <v>0.42671692076296852</v>
      </c>
      <c r="BP935" s="29">
        <v>0</v>
      </c>
      <c r="BR935" s="22">
        <v>45480</v>
      </c>
      <c r="BS935" s="26">
        <f t="shared" ca="1" si="221"/>
        <v>0.74026367391019832</v>
      </c>
      <c r="BT935" s="29">
        <v>0</v>
      </c>
      <c r="BV935" s="22">
        <v>45480</v>
      </c>
      <c r="BW935" s="26">
        <f t="shared" ca="1" si="222"/>
        <v>0.2460100876605299</v>
      </c>
      <c r="BX935" s="29">
        <v>0</v>
      </c>
    </row>
    <row r="936" spans="2:76" ht="12.75" x14ac:dyDescent="0.2">
      <c r="B936" s="22">
        <v>45481</v>
      </c>
      <c r="C936" s="26">
        <f t="shared" ca="1" si="205"/>
        <v>0.91294796693745917</v>
      </c>
      <c r="D936" s="29">
        <v>0</v>
      </c>
      <c r="F936" s="22"/>
      <c r="G936" s="26">
        <f t="shared" ca="1" si="206"/>
        <v>0.61545677679749078</v>
      </c>
      <c r="H936" s="29">
        <v>0</v>
      </c>
      <c r="J936" s="22">
        <v>45481</v>
      </c>
      <c r="K936" s="26">
        <f t="shared" ca="1" si="207"/>
        <v>9.8756946094831211E-2</v>
      </c>
      <c r="L936" s="29">
        <v>0</v>
      </c>
      <c r="N936" s="22">
        <v>45481</v>
      </c>
      <c r="O936" s="26">
        <f t="shared" ca="1" si="208"/>
        <v>0.56641291985834052</v>
      </c>
      <c r="P936" s="29">
        <v>0</v>
      </c>
      <c r="R936" s="22">
        <v>45481</v>
      </c>
      <c r="S936" s="26">
        <f t="shared" ca="1" si="209"/>
        <v>0.14807716538325155</v>
      </c>
      <c r="T936" s="29">
        <v>0</v>
      </c>
      <c r="V936" s="22">
        <v>45481</v>
      </c>
      <c r="W936" s="26">
        <f t="shared" ca="1" si="210"/>
        <v>0.43381834359671645</v>
      </c>
      <c r="X936" s="29">
        <v>0</v>
      </c>
      <c r="Z936" s="22">
        <v>45481</v>
      </c>
      <c r="AA936" s="26">
        <f t="shared" ca="1" si="211"/>
        <v>0.18707234790066485</v>
      </c>
      <c r="AB936" s="29">
        <v>0</v>
      </c>
      <c r="AC936"/>
      <c r="AD936" s="25"/>
      <c r="AF936" s="22">
        <v>45481</v>
      </c>
      <c r="AG936" s="26">
        <f t="shared" ca="1" si="212"/>
        <v>0.49098583847061117</v>
      </c>
      <c r="AH936" s="29">
        <v>0</v>
      </c>
      <c r="AJ936" s="22">
        <v>45481</v>
      </c>
      <c r="AK936" s="26">
        <f t="shared" ca="1" si="213"/>
        <v>0.33180328251820168</v>
      </c>
      <c r="AL936" s="29">
        <v>0</v>
      </c>
      <c r="AN936" s="22">
        <v>45481</v>
      </c>
      <c r="AO936" s="26">
        <f t="shared" ca="1" si="214"/>
        <v>0.70316781832235875</v>
      </c>
      <c r="AP936" s="29">
        <v>0</v>
      </c>
      <c r="AR936" s="22">
        <v>45481</v>
      </c>
      <c r="AS936" s="26">
        <f t="shared" ca="1" si="215"/>
        <v>0.86250585236679733</v>
      </c>
      <c r="AT936" s="29">
        <v>0</v>
      </c>
      <c r="AV936" s="22">
        <v>45481</v>
      </c>
      <c r="AW936" s="26">
        <f t="shared" ca="1" si="216"/>
        <v>0.60683113069455019</v>
      </c>
      <c r="AX936" s="29">
        <v>0</v>
      </c>
      <c r="AZ936" s="22">
        <v>45481</v>
      </c>
      <c r="BA936" s="26">
        <f t="shared" ca="1" si="217"/>
        <v>0.76454968651866906</v>
      </c>
      <c r="BB936" s="29">
        <v>0</v>
      </c>
      <c r="BC936"/>
      <c r="BD936" s="25"/>
      <c r="BF936" s="22">
        <v>45481</v>
      </c>
      <c r="BG936" s="26">
        <f t="shared" ca="1" si="218"/>
        <v>0.62904324770142217</v>
      </c>
      <c r="BH936" s="29">
        <v>0</v>
      </c>
      <c r="BJ936" s="22">
        <v>45481</v>
      </c>
      <c r="BK936" s="26">
        <f t="shared" ca="1" si="219"/>
        <v>0.45206722684892708</v>
      </c>
      <c r="BL936" s="29">
        <v>0</v>
      </c>
      <c r="BN936" s="22">
        <v>45481</v>
      </c>
      <c r="BO936" s="26">
        <f t="shared" ca="1" si="220"/>
        <v>0.18900862525233897</v>
      </c>
      <c r="BP936" s="29">
        <v>0</v>
      </c>
      <c r="BR936" s="22">
        <v>45481</v>
      </c>
      <c r="BS936" s="26">
        <f t="shared" ca="1" si="221"/>
        <v>0.32422184227024531</v>
      </c>
      <c r="BT936" s="29">
        <v>0</v>
      </c>
      <c r="BV936" s="22">
        <v>45481</v>
      </c>
      <c r="BW936" s="26">
        <f t="shared" ca="1" si="222"/>
        <v>0.59576612641790327</v>
      </c>
      <c r="BX936" s="29">
        <v>0</v>
      </c>
    </row>
    <row r="937" spans="2:76" ht="12.75" x14ac:dyDescent="0.2">
      <c r="B937" s="22">
        <v>45482</v>
      </c>
      <c r="C937" s="26">
        <f t="shared" ca="1" si="205"/>
        <v>0.41527219316567021</v>
      </c>
      <c r="D937" s="29">
        <v>0</v>
      </c>
      <c r="F937" s="22"/>
      <c r="G937" s="26">
        <f t="shared" ca="1" si="206"/>
        <v>0.44109302457358335</v>
      </c>
      <c r="H937" s="29">
        <v>0</v>
      </c>
      <c r="J937" s="22">
        <v>45482</v>
      </c>
      <c r="K937" s="26">
        <f t="shared" ca="1" si="207"/>
        <v>5.672459863933732E-2</v>
      </c>
      <c r="L937" s="29">
        <v>0</v>
      </c>
      <c r="N937" s="22">
        <v>45482</v>
      </c>
      <c r="O937" s="26">
        <f t="shared" ca="1" si="208"/>
        <v>0.95663261540457833</v>
      </c>
      <c r="P937" s="29">
        <v>0</v>
      </c>
      <c r="R937" s="22">
        <v>45482</v>
      </c>
      <c r="S937" s="26">
        <f t="shared" ca="1" si="209"/>
        <v>0.9994701347160494</v>
      </c>
      <c r="T937" s="29">
        <v>0</v>
      </c>
      <c r="V937" s="22">
        <v>45482</v>
      </c>
      <c r="W937" s="26">
        <f t="shared" ca="1" si="210"/>
        <v>0.32774323275328288</v>
      </c>
      <c r="X937" s="29">
        <v>0</v>
      </c>
      <c r="Z937" s="22">
        <v>45482</v>
      </c>
      <c r="AA937" s="26">
        <f t="shared" ca="1" si="211"/>
        <v>0.94179794071358658</v>
      </c>
      <c r="AB937" s="29">
        <v>0</v>
      </c>
      <c r="AC937"/>
      <c r="AD937" s="25"/>
      <c r="AF937" s="22">
        <v>45482</v>
      </c>
      <c r="AG937" s="26">
        <f t="shared" ca="1" si="212"/>
        <v>0.46009354011176484</v>
      </c>
      <c r="AH937" s="29">
        <v>0</v>
      </c>
      <c r="AJ937" s="22">
        <v>45482</v>
      </c>
      <c r="AK937" s="26">
        <f t="shared" ca="1" si="213"/>
        <v>0.88275547442012314</v>
      </c>
      <c r="AL937" s="29">
        <v>0</v>
      </c>
      <c r="AN937" s="22">
        <v>45482</v>
      </c>
      <c r="AO937" s="26">
        <f t="shared" ca="1" si="214"/>
        <v>0.44398127524271591</v>
      </c>
      <c r="AP937" s="29">
        <v>0</v>
      </c>
      <c r="AR937" s="22">
        <v>45482</v>
      </c>
      <c r="AS937" s="26">
        <f t="shared" ca="1" si="215"/>
        <v>0.64922483075018933</v>
      </c>
      <c r="AT937" s="29">
        <v>0</v>
      </c>
      <c r="AV937" s="22">
        <v>45482</v>
      </c>
      <c r="AW937" s="26">
        <f t="shared" ca="1" si="216"/>
        <v>0.99856050970841759</v>
      </c>
      <c r="AX937" s="29">
        <v>0</v>
      </c>
      <c r="AZ937" s="22">
        <v>45482</v>
      </c>
      <c r="BA937" s="26">
        <f t="shared" ca="1" si="217"/>
        <v>0.89234423994014656</v>
      </c>
      <c r="BB937" s="29">
        <v>0</v>
      </c>
      <c r="BC937"/>
      <c r="BD937" s="25"/>
      <c r="BF937" s="22">
        <v>45482</v>
      </c>
      <c r="BG937" s="26">
        <f t="shared" ca="1" si="218"/>
        <v>0.69112894464325281</v>
      </c>
      <c r="BH937" s="29">
        <v>0</v>
      </c>
      <c r="BJ937" s="22">
        <v>45482</v>
      </c>
      <c r="BK937" s="26">
        <f t="shared" ca="1" si="219"/>
        <v>0.74066542927669243</v>
      </c>
      <c r="BL937" s="29">
        <v>0</v>
      </c>
      <c r="BN937" s="22">
        <v>45482</v>
      </c>
      <c r="BO937" s="26">
        <f t="shared" ca="1" si="220"/>
        <v>0.37608627541203665</v>
      </c>
      <c r="BP937" s="29">
        <v>0</v>
      </c>
      <c r="BR937" s="22">
        <v>45482</v>
      </c>
      <c r="BS937" s="26">
        <f t="shared" ca="1" si="221"/>
        <v>0.51379833113262696</v>
      </c>
      <c r="BT937" s="29">
        <v>0</v>
      </c>
      <c r="BV937" s="22">
        <v>45482</v>
      </c>
      <c r="BW937" s="26">
        <f t="shared" ca="1" si="222"/>
        <v>0.20194490006635046</v>
      </c>
      <c r="BX937" s="29">
        <v>0</v>
      </c>
    </row>
    <row r="938" spans="2:76" ht="12.75" x14ac:dyDescent="0.2">
      <c r="B938" s="22">
        <v>45483</v>
      </c>
      <c r="C938" s="26">
        <f t="shared" ca="1" si="205"/>
        <v>0.77070212763187274</v>
      </c>
      <c r="D938" s="29">
        <v>0</v>
      </c>
      <c r="F938" s="22"/>
      <c r="G938" s="26">
        <f t="shared" ca="1" si="206"/>
        <v>0.83887283783503508</v>
      </c>
      <c r="H938" s="29">
        <v>0</v>
      </c>
      <c r="J938" s="22">
        <v>45483</v>
      </c>
      <c r="K938" s="26">
        <f t="shared" ca="1" si="207"/>
        <v>0.37957642485837872</v>
      </c>
      <c r="L938" s="29">
        <v>0</v>
      </c>
      <c r="N938" s="22">
        <v>45483</v>
      </c>
      <c r="O938" s="26">
        <f t="shared" ca="1" si="208"/>
        <v>0.75049545671227647</v>
      </c>
      <c r="P938" s="29">
        <v>0</v>
      </c>
      <c r="R938" s="22">
        <v>45483</v>
      </c>
      <c r="S938" s="26">
        <f t="shared" ca="1" si="209"/>
        <v>0.14439321237884717</v>
      </c>
      <c r="T938" s="29">
        <v>0</v>
      </c>
      <c r="V938" s="22">
        <v>45483</v>
      </c>
      <c r="W938" s="26">
        <f t="shared" ca="1" si="210"/>
        <v>0.78010579852556061</v>
      </c>
      <c r="X938" s="29">
        <v>0</v>
      </c>
      <c r="Z938" s="22">
        <v>45483</v>
      </c>
      <c r="AA938" s="26">
        <f t="shared" ca="1" si="211"/>
        <v>0.50958487402099906</v>
      </c>
      <c r="AB938" s="29">
        <v>0</v>
      </c>
      <c r="AC938"/>
      <c r="AD938" s="25"/>
      <c r="AF938" s="22">
        <v>45483</v>
      </c>
      <c r="AG938" s="26">
        <f t="shared" ca="1" si="212"/>
        <v>0.36263413064779682</v>
      </c>
      <c r="AH938" s="29">
        <v>0</v>
      </c>
      <c r="AJ938" s="22">
        <v>45483</v>
      </c>
      <c r="AK938" s="26">
        <f t="shared" ca="1" si="213"/>
        <v>0.2984260544032048</v>
      </c>
      <c r="AL938" s="29">
        <v>0</v>
      </c>
      <c r="AN938" s="22">
        <v>45483</v>
      </c>
      <c r="AO938" s="26">
        <f t="shared" ca="1" si="214"/>
        <v>3.773284818667344E-3</v>
      </c>
      <c r="AP938" s="29">
        <v>0</v>
      </c>
      <c r="AR938" s="22">
        <v>45483</v>
      </c>
      <c r="AS938" s="26">
        <f t="shared" ca="1" si="215"/>
        <v>0.8516837143663204</v>
      </c>
      <c r="AT938" s="29">
        <v>0</v>
      </c>
      <c r="AV938" s="22">
        <v>45483</v>
      </c>
      <c r="AW938" s="26">
        <f t="shared" ca="1" si="216"/>
        <v>0.643869142948854</v>
      </c>
      <c r="AX938" s="29">
        <v>0</v>
      </c>
      <c r="AZ938" s="22">
        <v>45483</v>
      </c>
      <c r="BA938" s="26">
        <f t="shared" ca="1" si="217"/>
        <v>7.7447337203134681E-2</v>
      </c>
      <c r="BB938" s="29">
        <v>0</v>
      </c>
      <c r="BC938"/>
      <c r="BD938" s="25"/>
      <c r="BF938" s="22">
        <v>45483</v>
      </c>
      <c r="BG938" s="26">
        <f t="shared" ca="1" si="218"/>
        <v>0.70820980820328228</v>
      </c>
      <c r="BH938" s="29">
        <v>0</v>
      </c>
      <c r="BJ938" s="22">
        <v>45483</v>
      </c>
      <c r="BK938" s="26">
        <f t="shared" ca="1" si="219"/>
        <v>0.89567682969383711</v>
      </c>
      <c r="BL938" s="29">
        <v>0</v>
      </c>
      <c r="BN938" s="22">
        <v>45483</v>
      </c>
      <c r="BO938" s="26">
        <f t="shared" ca="1" si="220"/>
        <v>0.66388684042523061</v>
      </c>
      <c r="BP938" s="29">
        <v>0</v>
      </c>
      <c r="BR938" s="22">
        <v>45483</v>
      </c>
      <c r="BS938" s="26">
        <f t="shared" ca="1" si="221"/>
        <v>0.82799139145372735</v>
      </c>
      <c r="BT938" s="29">
        <v>0</v>
      </c>
      <c r="BV938" s="22">
        <v>45483</v>
      </c>
      <c r="BW938" s="26">
        <f t="shared" ca="1" si="222"/>
        <v>0.68769830075122096</v>
      </c>
      <c r="BX938" s="29">
        <v>0</v>
      </c>
    </row>
    <row r="939" spans="2:76" ht="12.75" x14ac:dyDescent="0.2">
      <c r="B939" s="22">
        <v>45484</v>
      </c>
      <c r="C939" s="26">
        <f t="shared" ca="1" si="205"/>
        <v>0.23000276140101894</v>
      </c>
      <c r="D939" s="29">
        <v>0</v>
      </c>
      <c r="F939" s="22"/>
      <c r="G939" s="26">
        <f t="shared" ca="1" si="206"/>
        <v>0.51956755555822565</v>
      </c>
      <c r="H939" s="29">
        <v>0</v>
      </c>
      <c r="J939" s="22">
        <v>45484</v>
      </c>
      <c r="K939" s="26">
        <f t="shared" ca="1" si="207"/>
        <v>0.53375428434363881</v>
      </c>
      <c r="L939" s="29">
        <v>0</v>
      </c>
      <c r="N939" s="22">
        <v>45484</v>
      </c>
      <c r="O939" s="26">
        <f t="shared" ca="1" si="208"/>
        <v>0.47473766362109227</v>
      </c>
      <c r="P939" s="29">
        <v>0</v>
      </c>
      <c r="R939" s="22">
        <v>45484</v>
      </c>
      <c r="S939" s="26">
        <f t="shared" ca="1" si="209"/>
        <v>5.9926209504466144E-2</v>
      </c>
      <c r="T939" s="29">
        <v>0</v>
      </c>
      <c r="V939" s="22">
        <v>45484</v>
      </c>
      <c r="W939" s="26">
        <f t="shared" ca="1" si="210"/>
        <v>0.87629118063408351</v>
      </c>
      <c r="X939" s="29">
        <v>0</v>
      </c>
      <c r="Z939" s="22">
        <v>45484</v>
      </c>
      <c r="AA939" s="26">
        <f t="shared" ca="1" si="211"/>
        <v>1.7193541843123383E-2</v>
      </c>
      <c r="AB939" s="29">
        <v>0</v>
      </c>
      <c r="AC939"/>
      <c r="AD939" s="25"/>
      <c r="AF939" s="22">
        <v>45484</v>
      </c>
      <c r="AG939" s="26">
        <f t="shared" ca="1" si="212"/>
        <v>0.98324048055668078</v>
      </c>
      <c r="AH939" s="29">
        <v>0</v>
      </c>
      <c r="AJ939" s="22">
        <v>45484</v>
      </c>
      <c r="AK939" s="26">
        <f t="shared" ca="1" si="213"/>
        <v>0.8799312432709796</v>
      </c>
      <c r="AL939" s="29">
        <v>0</v>
      </c>
      <c r="AN939" s="22">
        <v>45484</v>
      </c>
      <c r="AO939" s="26">
        <f t="shared" ca="1" si="214"/>
        <v>0.42604663574341717</v>
      </c>
      <c r="AP939" s="29">
        <v>0</v>
      </c>
      <c r="AR939" s="22">
        <v>45484</v>
      </c>
      <c r="AS939" s="26">
        <f t="shared" ca="1" si="215"/>
        <v>0.57329982067887086</v>
      </c>
      <c r="AT939" s="29">
        <v>0</v>
      </c>
      <c r="AV939" s="22">
        <v>45484</v>
      </c>
      <c r="AW939" s="26">
        <f t="shared" ca="1" si="216"/>
        <v>0.23534663362590913</v>
      </c>
      <c r="AX939" s="29">
        <v>0</v>
      </c>
      <c r="AZ939" s="22">
        <v>45484</v>
      </c>
      <c r="BA939" s="26">
        <f t="shared" ca="1" si="217"/>
        <v>0.98516593255733675</v>
      </c>
      <c r="BB939" s="29">
        <v>0</v>
      </c>
      <c r="BC939"/>
      <c r="BD939" s="25"/>
      <c r="BF939" s="22">
        <v>45484</v>
      </c>
      <c r="BG939" s="26">
        <f t="shared" ca="1" si="218"/>
        <v>0.91723944556187853</v>
      </c>
      <c r="BH939" s="29">
        <v>0</v>
      </c>
      <c r="BJ939" s="22">
        <v>45484</v>
      </c>
      <c r="BK939" s="26">
        <f t="shared" ca="1" si="219"/>
        <v>0.4360132886764464</v>
      </c>
      <c r="BL939" s="29">
        <v>0</v>
      </c>
      <c r="BN939" s="22">
        <v>45484</v>
      </c>
      <c r="BO939" s="26">
        <f t="shared" ca="1" si="220"/>
        <v>0.63703619957365176</v>
      </c>
      <c r="BP939" s="29">
        <v>0</v>
      </c>
      <c r="BR939" s="22">
        <v>45484</v>
      </c>
      <c r="BS939" s="26">
        <f t="shared" ca="1" si="221"/>
        <v>0.18847169219900883</v>
      </c>
      <c r="BT939" s="29">
        <v>0</v>
      </c>
      <c r="BV939" s="22">
        <v>45484</v>
      </c>
      <c r="BW939" s="26">
        <f t="shared" ca="1" si="222"/>
        <v>0.21470487679941264</v>
      </c>
      <c r="BX939" s="29">
        <v>0</v>
      </c>
    </row>
    <row r="940" spans="2:76" ht="12.75" x14ac:dyDescent="0.2">
      <c r="B940" s="22">
        <v>45485</v>
      </c>
      <c r="C940" s="26">
        <f t="shared" ca="1" si="205"/>
        <v>0.49812732833887052</v>
      </c>
      <c r="D940" s="29">
        <v>0</v>
      </c>
      <c r="F940" s="22"/>
      <c r="G940" s="26">
        <f t="shared" ca="1" si="206"/>
        <v>0.78990951097888562</v>
      </c>
      <c r="H940" s="29">
        <v>0</v>
      </c>
      <c r="J940" s="22">
        <v>45485</v>
      </c>
      <c r="K940" s="26">
        <f t="shared" ca="1" si="207"/>
        <v>0.40862755088463354</v>
      </c>
      <c r="L940" s="29">
        <v>0</v>
      </c>
      <c r="N940" s="22">
        <v>45485</v>
      </c>
      <c r="O940" s="26">
        <f t="shared" ca="1" si="208"/>
        <v>0.24444037972026778</v>
      </c>
      <c r="P940" s="29">
        <v>0</v>
      </c>
      <c r="R940" s="22">
        <v>45485</v>
      </c>
      <c r="S940" s="26">
        <f t="shared" ca="1" si="209"/>
        <v>0.10525244798651445</v>
      </c>
      <c r="T940" s="29">
        <v>0</v>
      </c>
      <c r="V940" s="22">
        <v>45485</v>
      </c>
      <c r="W940" s="26">
        <f t="shared" ca="1" si="210"/>
        <v>2.7521915742036662E-2</v>
      </c>
      <c r="X940" s="29">
        <v>0</v>
      </c>
      <c r="Z940" s="22">
        <v>45485</v>
      </c>
      <c r="AA940" s="26">
        <f t="shared" ca="1" si="211"/>
        <v>0.94412889848294002</v>
      </c>
      <c r="AB940" s="29">
        <v>0</v>
      </c>
      <c r="AC940"/>
      <c r="AD940" s="25"/>
      <c r="AF940" s="22">
        <v>45485</v>
      </c>
      <c r="AG940" s="26">
        <f t="shared" ca="1" si="212"/>
        <v>0.27005821783808215</v>
      </c>
      <c r="AH940" s="29">
        <v>0</v>
      </c>
      <c r="AJ940" s="22">
        <v>45485</v>
      </c>
      <c r="AK940" s="26">
        <f t="shared" ca="1" si="213"/>
        <v>3.828333433605835E-2</v>
      </c>
      <c r="AL940" s="29">
        <v>0</v>
      </c>
      <c r="AN940" s="22">
        <v>45485</v>
      </c>
      <c r="AO940" s="26">
        <f t="shared" ca="1" si="214"/>
        <v>0.21633557210422849</v>
      </c>
      <c r="AP940" s="29">
        <v>0</v>
      </c>
      <c r="AR940" s="22">
        <v>45485</v>
      </c>
      <c r="AS940" s="26">
        <f t="shared" ca="1" si="215"/>
        <v>0.63904027263285823</v>
      </c>
      <c r="AT940" s="29">
        <v>0</v>
      </c>
      <c r="AV940" s="22">
        <v>45485</v>
      </c>
      <c r="AW940" s="26">
        <f t="shared" ca="1" si="216"/>
        <v>0.88451947420339183</v>
      </c>
      <c r="AX940" s="29">
        <v>0</v>
      </c>
      <c r="AZ940" s="22">
        <v>45485</v>
      </c>
      <c r="BA940" s="26">
        <f t="shared" ca="1" si="217"/>
        <v>5.2078095805504043E-2</v>
      </c>
      <c r="BB940" s="29">
        <v>0</v>
      </c>
      <c r="BC940"/>
      <c r="BD940" s="25"/>
      <c r="BF940" s="22">
        <v>45485</v>
      </c>
      <c r="BG940" s="26">
        <f t="shared" ca="1" si="218"/>
        <v>1.9360571547861749E-2</v>
      </c>
      <c r="BH940" s="29">
        <v>0</v>
      </c>
      <c r="BJ940" s="22">
        <v>45485</v>
      </c>
      <c r="BK940" s="26">
        <f t="shared" ca="1" si="219"/>
        <v>0.4683562900927235</v>
      </c>
      <c r="BL940" s="29">
        <v>0</v>
      </c>
      <c r="BN940" s="22">
        <v>45485</v>
      </c>
      <c r="BO940" s="26">
        <f t="shared" ca="1" si="220"/>
        <v>8.3283477361815184E-2</v>
      </c>
      <c r="BP940" s="29">
        <v>0</v>
      </c>
      <c r="BR940" s="22">
        <v>45485</v>
      </c>
      <c r="BS940" s="26">
        <f t="shared" ca="1" si="221"/>
        <v>0.55322323357704661</v>
      </c>
      <c r="BT940" s="29">
        <v>0</v>
      </c>
      <c r="BV940" s="22">
        <v>45485</v>
      </c>
      <c r="BW940" s="26">
        <f t="shared" ca="1" si="222"/>
        <v>0.57604798381556455</v>
      </c>
      <c r="BX940" s="29">
        <v>0</v>
      </c>
    </row>
    <row r="941" spans="2:76" ht="12.75" x14ac:dyDescent="0.2">
      <c r="B941" s="22">
        <v>45486</v>
      </c>
      <c r="C941" s="26">
        <f t="shared" ca="1" si="205"/>
        <v>0.27665609477560815</v>
      </c>
      <c r="D941" s="29">
        <v>0</v>
      </c>
      <c r="F941" s="22"/>
      <c r="G941" s="26">
        <f t="shared" ca="1" si="206"/>
        <v>0.27718110332393364</v>
      </c>
      <c r="H941" s="29">
        <v>0</v>
      </c>
      <c r="J941" s="22">
        <v>45486</v>
      </c>
      <c r="K941" s="26">
        <f t="shared" ca="1" si="207"/>
        <v>0.90292601229757408</v>
      </c>
      <c r="L941" s="29">
        <v>0</v>
      </c>
      <c r="N941" s="22">
        <v>45486</v>
      </c>
      <c r="O941" s="26">
        <f t="shared" ca="1" si="208"/>
        <v>0.6637005260837372</v>
      </c>
      <c r="P941" s="29">
        <v>0</v>
      </c>
      <c r="R941" s="22">
        <v>45486</v>
      </c>
      <c r="S941" s="26">
        <f t="shared" ca="1" si="209"/>
        <v>0.35256667139294873</v>
      </c>
      <c r="T941" s="29">
        <v>0</v>
      </c>
      <c r="V941" s="22">
        <v>45486</v>
      </c>
      <c r="W941" s="26">
        <f t="shared" ca="1" si="210"/>
        <v>0.45586451581032372</v>
      </c>
      <c r="X941" s="29">
        <v>0</v>
      </c>
      <c r="Z941" s="22">
        <v>45486</v>
      </c>
      <c r="AA941" s="26">
        <f t="shared" ca="1" si="211"/>
        <v>0.21205129921327792</v>
      </c>
      <c r="AB941" s="29">
        <v>0</v>
      </c>
      <c r="AC941"/>
      <c r="AD941" s="25"/>
      <c r="AF941" s="22">
        <v>45486</v>
      </c>
      <c r="AG941" s="26">
        <f t="shared" ca="1" si="212"/>
        <v>0.96537764074400667</v>
      </c>
      <c r="AH941" s="29">
        <v>0</v>
      </c>
      <c r="AJ941" s="22">
        <v>45486</v>
      </c>
      <c r="AK941" s="26">
        <f t="shared" ca="1" si="213"/>
        <v>0.42303391849985972</v>
      </c>
      <c r="AL941" s="29">
        <v>0</v>
      </c>
      <c r="AN941" s="22">
        <v>45486</v>
      </c>
      <c r="AO941" s="26">
        <f t="shared" ca="1" si="214"/>
        <v>0.92521714246607301</v>
      </c>
      <c r="AP941" s="29">
        <v>0</v>
      </c>
      <c r="AR941" s="22">
        <v>45486</v>
      </c>
      <c r="AS941" s="26">
        <f t="shared" ca="1" si="215"/>
        <v>0.24820020135117371</v>
      </c>
      <c r="AT941" s="29">
        <v>0</v>
      </c>
      <c r="AV941" s="22">
        <v>45486</v>
      </c>
      <c r="AW941" s="26">
        <f t="shared" ca="1" si="216"/>
        <v>0.27554591094462932</v>
      </c>
      <c r="AX941" s="29">
        <v>0</v>
      </c>
      <c r="AZ941" s="22">
        <v>45486</v>
      </c>
      <c r="BA941" s="26">
        <f t="shared" ca="1" si="217"/>
        <v>4.2362934945986197E-2</v>
      </c>
      <c r="BB941" s="29">
        <v>0</v>
      </c>
      <c r="BC941"/>
      <c r="BD941" s="25"/>
      <c r="BF941" s="22">
        <v>45486</v>
      </c>
      <c r="BG941" s="26">
        <f t="shared" ca="1" si="218"/>
        <v>0.50681125390227011</v>
      </c>
      <c r="BH941" s="29">
        <v>0</v>
      </c>
      <c r="BJ941" s="22">
        <v>45486</v>
      </c>
      <c r="BK941" s="26">
        <f t="shared" ca="1" si="219"/>
        <v>0.55417375339820751</v>
      </c>
      <c r="BL941" s="29">
        <v>0</v>
      </c>
      <c r="BN941" s="22">
        <v>45486</v>
      </c>
      <c r="BO941" s="26">
        <f t="shared" ca="1" si="220"/>
        <v>5.32312057485409E-2</v>
      </c>
      <c r="BP941" s="29">
        <v>0</v>
      </c>
      <c r="BR941" s="22">
        <v>45486</v>
      </c>
      <c r="BS941" s="26">
        <f t="shared" ca="1" si="221"/>
        <v>0.51091397376808523</v>
      </c>
      <c r="BT941" s="29">
        <v>0</v>
      </c>
      <c r="BV941" s="22">
        <v>45486</v>
      </c>
      <c r="BW941" s="26">
        <f t="shared" ca="1" si="222"/>
        <v>0.31155695054716392</v>
      </c>
      <c r="BX941" s="29">
        <v>0</v>
      </c>
    </row>
    <row r="942" spans="2:76" ht="12.75" x14ac:dyDescent="0.2">
      <c r="B942" s="22">
        <v>45487</v>
      </c>
      <c r="C942" s="26">
        <f t="shared" ca="1" si="205"/>
        <v>0.54375595816105016</v>
      </c>
      <c r="D942" s="29">
        <v>0</v>
      </c>
      <c r="F942" s="22"/>
      <c r="G942" s="26">
        <f t="shared" ca="1" si="206"/>
        <v>0.77920858436363571</v>
      </c>
      <c r="H942" s="29">
        <v>0</v>
      </c>
      <c r="J942" s="22">
        <v>45487</v>
      </c>
      <c r="K942" s="26">
        <f t="shared" ca="1" si="207"/>
        <v>4.3723085025178299E-2</v>
      </c>
      <c r="L942" s="29">
        <v>0</v>
      </c>
      <c r="N942" s="22">
        <v>45487</v>
      </c>
      <c r="O942" s="26">
        <f t="shared" ca="1" si="208"/>
        <v>2.3946615049287079E-2</v>
      </c>
      <c r="P942" s="29">
        <v>0</v>
      </c>
      <c r="R942" s="22">
        <v>45487</v>
      </c>
      <c r="S942" s="26">
        <f t="shared" ca="1" si="209"/>
        <v>0.14376075258554855</v>
      </c>
      <c r="T942" s="29">
        <v>0</v>
      </c>
      <c r="V942" s="22">
        <v>45487</v>
      </c>
      <c r="W942" s="26">
        <f t="shared" ca="1" si="210"/>
        <v>0.34473839903620962</v>
      </c>
      <c r="X942" s="29">
        <v>0</v>
      </c>
      <c r="Z942" s="22">
        <v>45487</v>
      </c>
      <c r="AA942" s="26">
        <f t="shared" ca="1" si="211"/>
        <v>0.34807947390647387</v>
      </c>
      <c r="AB942" s="29">
        <v>0</v>
      </c>
      <c r="AC942"/>
      <c r="AD942" s="25"/>
      <c r="AF942" s="22">
        <v>45487</v>
      </c>
      <c r="AG942" s="26">
        <f t="shared" ca="1" si="212"/>
        <v>0.96075698015322353</v>
      </c>
      <c r="AH942" s="29">
        <v>0</v>
      </c>
      <c r="AJ942" s="22">
        <v>45487</v>
      </c>
      <c r="AK942" s="26">
        <f t="shared" ca="1" si="213"/>
        <v>0.18467897284202506</v>
      </c>
      <c r="AL942" s="29">
        <v>0</v>
      </c>
      <c r="AN942" s="22">
        <v>45487</v>
      </c>
      <c r="AO942" s="26">
        <f t="shared" ca="1" si="214"/>
        <v>0.98452251700085425</v>
      </c>
      <c r="AP942" s="29">
        <v>0</v>
      </c>
      <c r="AR942" s="22">
        <v>45487</v>
      </c>
      <c r="AS942" s="26">
        <f t="shared" ca="1" si="215"/>
        <v>0.50725217052185556</v>
      </c>
      <c r="AT942" s="29">
        <v>0</v>
      </c>
      <c r="AV942" s="22">
        <v>45487</v>
      </c>
      <c r="AW942" s="26">
        <f t="shared" ca="1" si="216"/>
        <v>0.31024077430551322</v>
      </c>
      <c r="AX942" s="29">
        <v>0</v>
      </c>
      <c r="AZ942" s="22">
        <v>45487</v>
      </c>
      <c r="BA942" s="26">
        <f t="shared" ca="1" si="217"/>
        <v>9.1417345440554576E-2</v>
      </c>
      <c r="BB942" s="29">
        <v>0</v>
      </c>
      <c r="BC942"/>
      <c r="BD942" s="25"/>
      <c r="BF942" s="22">
        <v>45487</v>
      </c>
      <c r="BG942" s="26">
        <f t="shared" ca="1" si="218"/>
        <v>0.93481687039040506</v>
      </c>
      <c r="BH942" s="29">
        <v>0</v>
      </c>
      <c r="BJ942" s="22">
        <v>45487</v>
      </c>
      <c r="BK942" s="26">
        <f t="shared" ca="1" si="219"/>
        <v>0.56931411526048692</v>
      </c>
      <c r="BL942" s="29">
        <v>0</v>
      </c>
      <c r="BN942" s="22">
        <v>45487</v>
      </c>
      <c r="BO942" s="26">
        <f t="shared" ca="1" si="220"/>
        <v>0.11032360435820088</v>
      </c>
      <c r="BP942" s="29">
        <v>0</v>
      </c>
      <c r="BR942" s="22">
        <v>45487</v>
      </c>
      <c r="BS942" s="26">
        <f t="shared" ca="1" si="221"/>
        <v>0.57850649111007724</v>
      </c>
      <c r="BT942" s="29">
        <v>0</v>
      </c>
      <c r="BV942" s="22">
        <v>45487</v>
      </c>
      <c r="BW942" s="26">
        <f t="shared" ca="1" si="222"/>
        <v>0.36511808191865458</v>
      </c>
      <c r="BX942" s="29">
        <v>0</v>
      </c>
    </row>
    <row r="943" spans="2:76" ht="12.75" x14ac:dyDescent="0.2">
      <c r="B943" s="22">
        <v>45488</v>
      </c>
      <c r="C943" s="26">
        <f t="shared" ca="1" si="205"/>
        <v>8.9583750506485149E-2</v>
      </c>
      <c r="D943" s="29">
        <v>0</v>
      </c>
      <c r="F943" s="22"/>
      <c r="G943" s="26">
        <f t="shared" ca="1" si="206"/>
        <v>0.32992417815498043</v>
      </c>
      <c r="H943" s="29">
        <v>0</v>
      </c>
      <c r="J943" s="22">
        <v>45488</v>
      </c>
      <c r="K943" s="26">
        <f t="shared" ca="1" si="207"/>
        <v>0.52547112026770826</v>
      </c>
      <c r="L943" s="29">
        <v>0</v>
      </c>
      <c r="N943" s="22">
        <v>45488</v>
      </c>
      <c r="O943" s="26">
        <f t="shared" ca="1" si="208"/>
        <v>0.31840452377262907</v>
      </c>
      <c r="P943" s="29">
        <v>0</v>
      </c>
      <c r="R943" s="22">
        <v>45488</v>
      </c>
      <c r="S943" s="26">
        <f t="shared" ca="1" si="209"/>
        <v>0.76655584861893689</v>
      </c>
      <c r="T943" s="29">
        <v>0</v>
      </c>
      <c r="V943" s="22">
        <v>45488</v>
      </c>
      <c r="W943" s="26">
        <f t="shared" ca="1" si="210"/>
        <v>0.13670977540544071</v>
      </c>
      <c r="X943" s="29">
        <v>0</v>
      </c>
      <c r="Z943" s="22">
        <v>45488</v>
      </c>
      <c r="AA943" s="26">
        <f t="shared" ca="1" si="211"/>
        <v>0.23882961066949415</v>
      </c>
      <c r="AB943" s="29">
        <v>0</v>
      </c>
      <c r="AC943"/>
      <c r="AD943" s="25"/>
      <c r="AF943" s="22">
        <v>45488</v>
      </c>
      <c r="AG943" s="26">
        <f t="shared" ca="1" si="212"/>
        <v>0.61038274418837501</v>
      </c>
      <c r="AH943" s="29">
        <v>0</v>
      </c>
      <c r="AJ943" s="22">
        <v>45488</v>
      </c>
      <c r="AK943" s="26">
        <f t="shared" ca="1" si="213"/>
        <v>0.96661972400024365</v>
      </c>
      <c r="AL943" s="29">
        <v>0</v>
      </c>
      <c r="AN943" s="22">
        <v>45488</v>
      </c>
      <c r="AO943" s="26">
        <f t="shared" ca="1" si="214"/>
        <v>0.48154872390126535</v>
      </c>
      <c r="AP943" s="29">
        <v>0</v>
      </c>
      <c r="AR943" s="22">
        <v>45488</v>
      </c>
      <c r="AS943" s="26">
        <f t="shared" ca="1" si="215"/>
        <v>0.22127439807122518</v>
      </c>
      <c r="AT943" s="29">
        <v>0</v>
      </c>
      <c r="AV943" s="22">
        <v>45488</v>
      </c>
      <c r="AW943" s="26">
        <f t="shared" ca="1" si="216"/>
        <v>9.2740580551305518E-2</v>
      </c>
      <c r="AX943" s="29">
        <v>0</v>
      </c>
      <c r="AZ943" s="22">
        <v>45488</v>
      </c>
      <c r="BA943" s="26">
        <f t="shared" ca="1" si="217"/>
        <v>0.4161115338119793</v>
      </c>
      <c r="BB943" s="29">
        <v>0</v>
      </c>
      <c r="BC943"/>
      <c r="BD943" s="25"/>
      <c r="BF943" s="22">
        <v>45488</v>
      </c>
      <c r="BG943" s="26">
        <f t="shared" ca="1" si="218"/>
        <v>0.86609836008500085</v>
      </c>
      <c r="BH943" s="29">
        <v>0</v>
      </c>
      <c r="BJ943" s="22">
        <v>45488</v>
      </c>
      <c r="BK943" s="26">
        <f t="shared" ca="1" si="219"/>
        <v>0.47657117913187941</v>
      </c>
      <c r="BL943" s="29">
        <v>0</v>
      </c>
      <c r="BN943" s="22">
        <v>45488</v>
      </c>
      <c r="BO943" s="26">
        <f t="shared" ca="1" si="220"/>
        <v>0.28940784716230761</v>
      </c>
      <c r="BP943" s="29">
        <v>0</v>
      </c>
      <c r="BR943" s="22">
        <v>45488</v>
      </c>
      <c r="BS943" s="26">
        <f t="shared" ca="1" si="221"/>
        <v>0.45514838075101072</v>
      </c>
      <c r="BT943" s="29">
        <v>0</v>
      </c>
      <c r="BV943" s="22">
        <v>45488</v>
      </c>
      <c r="BW943" s="26">
        <f t="shared" ca="1" si="222"/>
        <v>0.57260164386376478</v>
      </c>
      <c r="BX943" s="29">
        <v>0</v>
      </c>
    </row>
    <row r="944" spans="2:76" ht="12.75" x14ac:dyDescent="0.2">
      <c r="B944" s="22">
        <v>45489</v>
      </c>
      <c r="C944" s="26">
        <f t="shared" ca="1" si="205"/>
        <v>0.54511278930950902</v>
      </c>
      <c r="D944" s="29">
        <v>0</v>
      </c>
      <c r="F944" s="22"/>
      <c r="G944" s="26">
        <f t="shared" ca="1" si="206"/>
        <v>0.90931935295660382</v>
      </c>
      <c r="H944" s="29">
        <v>0</v>
      </c>
      <c r="J944" s="22">
        <v>45489</v>
      </c>
      <c r="K944" s="26">
        <f t="shared" ca="1" si="207"/>
        <v>0.46392967410822583</v>
      </c>
      <c r="L944" s="29">
        <v>0</v>
      </c>
      <c r="N944" s="22">
        <v>45489</v>
      </c>
      <c r="O944" s="26">
        <f t="shared" ca="1" si="208"/>
        <v>0.3117923086849832</v>
      </c>
      <c r="P944" s="29">
        <v>0</v>
      </c>
      <c r="R944" s="22">
        <v>45489</v>
      </c>
      <c r="S944" s="26">
        <f t="shared" ca="1" si="209"/>
        <v>0.92444771701541784</v>
      </c>
      <c r="T944" s="29">
        <v>0</v>
      </c>
      <c r="V944" s="22">
        <v>45489</v>
      </c>
      <c r="W944" s="26">
        <f t="shared" ca="1" si="210"/>
        <v>0.11519436115984982</v>
      </c>
      <c r="X944" s="29">
        <v>0</v>
      </c>
      <c r="Z944" s="22">
        <v>45489</v>
      </c>
      <c r="AA944" s="26">
        <f t="shared" ca="1" si="211"/>
        <v>0.44619601356598104</v>
      </c>
      <c r="AB944" s="29">
        <v>0</v>
      </c>
      <c r="AC944"/>
      <c r="AD944" s="25"/>
      <c r="AF944" s="22">
        <v>45489</v>
      </c>
      <c r="AG944" s="26">
        <f t="shared" ca="1" si="212"/>
        <v>0.27858042420375051</v>
      </c>
      <c r="AH944" s="29">
        <v>0</v>
      </c>
      <c r="AJ944" s="22">
        <v>45489</v>
      </c>
      <c r="AK944" s="26">
        <f t="shared" ca="1" si="213"/>
        <v>0.58836285218657602</v>
      </c>
      <c r="AL944" s="29">
        <v>0</v>
      </c>
      <c r="AN944" s="22">
        <v>45489</v>
      </c>
      <c r="AO944" s="26">
        <f t="shared" ca="1" si="214"/>
        <v>0.6190002634288021</v>
      </c>
      <c r="AP944" s="29">
        <v>0</v>
      </c>
      <c r="AR944" s="22">
        <v>45489</v>
      </c>
      <c r="AS944" s="26">
        <f t="shared" ca="1" si="215"/>
        <v>0.52578556973833568</v>
      </c>
      <c r="AT944" s="29">
        <v>0</v>
      </c>
      <c r="AV944" s="22">
        <v>45489</v>
      </c>
      <c r="AW944" s="26">
        <f t="shared" ca="1" si="216"/>
        <v>0.65592238109765166</v>
      </c>
      <c r="AX944" s="29">
        <v>0</v>
      </c>
      <c r="AZ944" s="22">
        <v>45489</v>
      </c>
      <c r="BA944" s="26">
        <f t="shared" ca="1" si="217"/>
        <v>6.7319637230905727E-2</v>
      </c>
      <c r="BB944" s="29">
        <v>0</v>
      </c>
      <c r="BC944"/>
      <c r="BD944" s="25"/>
      <c r="BF944" s="22">
        <v>45489</v>
      </c>
      <c r="BG944" s="26">
        <f t="shared" ca="1" si="218"/>
        <v>0.35031444383343491</v>
      </c>
      <c r="BH944" s="29">
        <v>0</v>
      </c>
      <c r="BJ944" s="22">
        <v>45489</v>
      </c>
      <c r="BK944" s="26">
        <f t="shared" ca="1" si="219"/>
        <v>0.24759657666237556</v>
      </c>
      <c r="BL944" s="29">
        <v>0</v>
      </c>
      <c r="BN944" s="22">
        <v>45489</v>
      </c>
      <c r="BO944" s="26">
        <f t="shared" ca="1" si="220"/>
        <v>0.90989590901783013</v>
      </c>
      <c r="BP944" s="29">
        <v>0</v>
      </c>
      <c r="BR944" s="22">
        <v>45489</v>
      </c>
      <c r="BS944" s="26">
        <f t="shared" ca="1" si="221"/>
        <v>0.98035589953919111</v>
      </c>
      <c r="BT944" s="29">
        <v>0</v>
      </c>
      <c r="BV944" s="22">
        <v>45489</v>
      </c>
      <c r="BW944" s="26">
        <f t="shared" ca="1" si="222"/>
        <v>0.2982729941980532</v>
      </c>
      <c r="BX944" s="29">
        <v>0</v>
      </c>
    </row>
    <row r="945" spans="2:77" ht="12.75" x14ac:dyDescent="0.2">
      <c r="B945" s="22">
        <v>45490</v>
      </c>
      <c r="C945" s="26">
        <f t="shared" ca="1" si="205"/>
        <v>0.44431189243978675</v>
      </c>
      <c r="D945" s="29">
        <v>0</v>
      </c>
      <c r="F945" s="22"/>
      <c r="G945" s="26">
        <f t="shared" ca="1" si="206"/>
        <v>1.936173891503612E-2</v>
      </c>
      <c r="H945" s="29">
        <v>0</v>
      </c>
      <c r="J945" s="22">
        <v>45490</v>
      </c>
      <c r="K945" s="26">
        <f t="shared" ca="1" si="207"/>
        <v>0.69889751673124045</v>
      </c>
      <c r="L945" s="29">
        <v>0</v>
      </c>
      <c r="N945" s="22">
        <v>45490</v>
      </c>
      <c r="O945" s="26">
        <f t="shared" ca="1" si="208"/>
        <v>0.99947925366227741</v>
      </c>
      <c r="P945" s="29">
        <v>0</v>
      </c>
      <c r="R945" s="22">
        <v>45490</v>
      </c>
      <c r="S945" s="26">
        <f t="shared" ca="1" si="209"/>
        <v>0.43544578667562772</v>
      </c>
      <c r="T945" s="29">
        <v>0</v>
      </c>
      <c r="V945" s="22">
        <v>45490</v>
      </c>
      <c r="W945" s="26">
        <f t="shared" ca="1" si="210"/>
        <v>0.62392863960685419</v>
      </c>
      <c r="X945" s="29">
        <v>0</v>
      </c>
      <c r="Z945" s="22">
        <v>45490</v>
      </c>
      <c r="AA945" s="26">
        <f t="shared" ca="1" si="211"/>
        <v>0.75314080424714769</v>
      </c>
      <c r="AB945" s="29">
        <v>0</v>
      </c>
      <c r="AC945"/>
      <c r="AD945" s="25"/>
      <c r="AF945" s="22">
        <v>45490</v>
      </c>
      <c r="AG945" s="26">
        <f t="shared" ca="1" si="212"/>
        <v>0.13987587774382848</v>
      </c>
      <c r="AH945" s="29">
        <v>0</v>
      </c>
      <c r="AJ945" s="22">
        <v>45490</v>
      </c>
      <c r="AK945" s="26">
        <f t="shared" ca="1" si="213"/>
        <v>6.8440723438546014E-2</v>
      </c>
      <c r="AL945" s="29">
        <v>0</v>
      </c>
      <c r="AN945" s="22">
        <v>45490</v>
      </c>
      <c r="AO945" s="26">
        <f t="shared" ca="1" si="214"/>
        <v>0.23144659697082381</v>
      </c>
      <c r="AP945" s="29">
        <v>0</v>
      </c>
      <c r="AR945" s="22">
        <v>45490</v>
      </c>
      <c r="AS945" s="26">
        <f t="shared" ca="1" si="215"/>
        <v>0.55850907812610517</v>
      </c>
      <c r="AT945" s="29">
        <v>0</v>
      </c>
      <c r="AV945" s="22">
        <v>45490</v>
      </c>
      <c r="AW945" s="26">
        <f t="shared" ca="1" si="216"/>
        <v>0.65161483136449638</v>
      </c>
      <c r="AX945" s="29">
        <v>0</v>
      </c>
      <c r="AZ945" s="22">
        <v>45490</v>
      </c>
      <c r="BA945" s="26">
        <f t="shared" ca="1" si="217"/>
        <v>0.57097527324611574</v>
      </c>
      <c r="BB945" s="29">
        <v>0</v>
      </c>
      <c r="BC945"/>
      <c r="BD945" s="25"/>
      <c r="BF945" s="22">
        <v>45490</v>
      </c>
      <c r="BG945" s="26">
        <f t="shared" ca="1" si="218"/>
        <v>0.5256449208034415</v>
      </c>
      <c r="BH945" s="29">
        <v>0</v>
      </c>
      <c r="BJ945" s="22">
        <v>45490</v>
      </c>
      <c r="BK945" s="26">
        <f t="shared" ca="1" si="219"/>
        <v>0.77395805657415639</v>
      </c>
      <c r="BL945" s="29">
        <v>0</v>
      </c>
      <c r="BN945" s="22">
        <v>45490</v>
      </c>
      <c r="BO945" s="26">
        <f t="shared" ca="1" si="220"/>
        <v>0.28077991024710747</v>
      </c>
      <c r="BP945" s="29">
        <v>0</v>
      </c>
      <c r="BR945" s="22">
        <v>45490</v>
      </c>
      <c r="BS945" s="26">
        <f t="shared" ca="1" si="221"/>
        <v>0.45192573375865663</v>
      </c>
      <c r="BT945" s="29">
        <v>0</v>
      </c>
      <c r="BV945" s="22">
        <v>45490</v>
      </c>
      <c r="BW945" s="26">
        <f t="shared" ca="1" si="222"/>
        <v>0.53137443121594752</v>
      </c>
      <c r="BX945" s="29">
        <v>0</v>
      </c>
    </row>
    <row r="946" spans="2:77" ht="12.75" x14ac:dyDescent="0.2">
      <c r="B946" s="22">
        <v>45491</v>
      </c>
      <c r="C946" s="26">
        <f t="shared" ca="1" si="205"/>
        <v>8.0962570998918348E-2</v>
      </c>
      <c r="D946" s="29">
        <v>0</v>
      </c>
      <c r="F946" s="22"/>
      <c r="G946" s="26">
        <f t="shared" ca="1" si="206"/>
        <v>0.4793639778433072</v>
      </c>
      <c r="H946" s="29">
        <v>0</v>
      </c>
      <c r="J946" s="22">
        <v>45491</v>
      </c>
      <c r="K946" s="26">
        <f t="shared" ca="1" si="207"/>
        <v>0.83865230704971816</v>
      </c>
      <c r="L946" s="29">
        <v>0</v>
      </c>
      <c r="N946" s="22">
        <v>45491</v>
      </c>
      <c r="O946" s="26">
        <f t="shared" ca="1" si="208"/>
        <v>0.96630102172472432</v>
      </c>
      <c r="P946" s="29">
        <v>0</v>
      </c>
      <c r="R946" s="22">
        <v>45491</v>
      </c>
      <c r="S946" s="26">
        <f t="shared" ca="1" si="209"/>
        <v>0.33415680020523575</v>
      </c>
      <c r="T946" s="29">
        <v>0</v>
      </c>
      <c r="V946" s="22">
        <v>45491</v>
      </c>
      <c r="W946" s="26">
        <f t="shared" ca="1" si="210"/>
        <v>0.26533713568490225</v>
      </c>
      <c r="X946" s="29">
        <v>0</v>
      </c>
      <c r="Z946" s="22">
        <v>45491</v>
      </c>
      <c r="AA946" s="26">
        <f t="shared" ca="1" si="211"/>
        <v>0.75930247420546138</v>
      </c>
      <c r="AB946" s="29">
        <v>0</v>
      </c>
      <c r="AC946"/>
      <c r="AD946" s="25"/>
      <c r="AF946" s="22">
        <v>45491</v>
      </c>
      <c r="AG946" s="26">
        <f t="shared" ca="1" si="212"/>
        <v>0.96252501887006781</v>
      </c>
      <c r="AH946" s="29">
        <v>0</v>
      </c>
      <c r="AJ946" s="22">
        <v>45491</v>
      </c>
      <c r="AK946" s="26">
        <f t="shared" ca="1" si="213"/>
        <v>4.3810133746404745E-3</v>
      </c>
      <c r="AL946" s="29">
        <v>0</v>
      </c>
      <c r="AN946" s="22">
        <v>45491</v>
      </c>
      <c r="AO946" s="26">
        <f t="shared" ca="1" si="214"/>
        <v>0.2712535415932309</v>
      </c>
      <c r="AP946" s="29">
        <v>0</v>
      </c>
      <c r="AR946" s="22">
        <v>45491</v>
      </c>
      <c r="AS946" s="26">
        <f t="shared" ca="1" si="215"/>
        <v>0.41448549673070167</v>
      </c>
      <c r="AT946" s="29">
        <v>0</v>
      </c>
      <c r="AV946" s="22">
        <v>45491</v>
      </c>
      <c r="AW946" s="26">
        <f t="shared" ca="1" si="216"/>
        <v>0.30552780476031172</v>
      </c>
      <c r="AX946" s="29">
        <v>0</v>
      </c>
      <c r="AZ946" s="22">
        <v>45491</v>
      </c>
      <c r="BA946" s="26">
        <f t="shared" ca="1" si="217"/>
        <v>0.29073186128081563</v>
      </c>
      <c r="BB946" s="29">
        <v>0</v>
      </c>
      <c r="BC946"/>
      <c r="BD946" s="25"/>
      <c r="BF946" s="22">
        <v>45491</v>
      </c>
      <c r="BG946" s="26">
        <f t="shared" ca="1" si="218"/>
        <v>0.87440002850002052</v>
      </c>
      <c r="BH946" s="29">
        <v>0</v>
      </c>
      <c r="BJ946" s="22">
        <v>45491</v>
      </c>
      <c r="BK946" s="26">
        <f t="shared" ca="1" si="219"/>
        <v>0.30697308013572899</v>
      </c>
      <c r="BL946" s="29">
        <v>0</v>
      </c>
      <c r="BN946" s="22">
        <v>45491</v>
      </c>
      <c r="BO946" s="26">
        <f t="shared" ca="1" si="220"/>
        <v>0.81421444389518594</v>
      </c>
      <c r="BP946" s="29">
        <v>0</v>
      </c>
      <c r="BR946" s="22">
        <v>45491</v>
      </c>
      <c r="BS946" s="26">
        <f t="shared" ca="1" si="221"/>
        <v>1.8617578481928132E-2</v>
      </c>
      <c r="BT946" s="29">
        <v>0</v>
      </c>
      <c r="BV946" s="22">
        <v>45491</v>
      </c>
      <c r="BW946" s="26">
        <f t="shared" ca="1" si="222"/>
        <v>0.73691566465414549</v>
      </c>
      <c r="BX946" s="29">
        <v>0</v>
      </c>
    </row>
    <row r="947" spans="2:77" ht="12.75" x14ac:dyDescent="0.2">
      <c r="B947" s="22">
        <v>45492</v>
      </c>
      <c r="C947" s="26">
        <f t="shared" ca="1" si="205"/>
        <v>0.68317295773901221</v>
      </c>
      <c r="D947" s="29">
        <v>0</v>
      </c>
      <c r="F947" s="22"/>
      <c r="G947" s="26">
        <f t="shared" ca="1" si="206"/>
        <v>0.96196603479865816</v>
      </c>
      <c r="H947" s="29">
        <v>0</v>
      </c>
      <c r="J947" s="22">
        <v>45492</v>
      </c>
      <c r="K947" s="26">
        <f t="shared" ca="1" si="207"/>
        <v>0.69655558917422522</v>
      </c>
      <c r="L947" s="29">
        <v>0</v>
      </c>
      <c r="N947" s="22">
        <v>45492</v>
      </c>
      <c r="O947" s="26">
        <f t="shared" ca="1" si="208"/>
        <v>0.62079386041993367</v>
      </c>
      <c r="P947" s="29">
        <v>0</v>
      </c>
      <c r="R947" s="22">
        <v>45492</v>
      </c>
      <c r="S947" s="26">
        <f t="shared" ca="1" si="209"/>
        <v>0.75452150204415391</v>
      </c>
      <c r="T947" s="29">
        <v>0</v>
      </c>
      <c r="V947" s="22">
        <v>45492</v>
      </c>
      <c r="W947" s="26">
        <f t="shared" ca="1" si="210"/>
        <v>0.12610014554537585</v>
      </c>
      <c r="X947" s="29">
        <v>0</v>
      </c>
      <c r="Z947" s="22">
        <v>45492</v>
      </c>
      <c r="AA947" s="26">
        <f t="shared" ca="1" si="211"/>
        <v>0.8846010029802126</v>
      </c>
      <c r="AB947" s="29">
        <v>0</v>
      </c>
      <c r="AC947"/>
      <c r="AD947" s="25"/>
      <c r="AF947" s="22">
        <v>45492</v>
      </c>
      <c r="AG947" s="26">
        <f t="shared" ca="1" si="212"/>
        <v>0.36734076695893836</v>
      </c>
      <c r="AH947" s="29">
        <v>0</v>
      </c>
      <c r="AJ947" s="22">
        <v>45492</v>
      </c>
      <c r="AK947" s="26">
        <f t="shared" ca="1" si="213"/>
        <v>0.34778845024047933</v>
      </c>
      <c r="AL947" s="29">
        <v>0</v>
      </c>
      <c r="AN947" s="22">
        <v>45492</v>
      </c>
      <c r="AO947" s="26">
        <f t="shared" ca="1" si="214"/>
        <v>0.20447265223656352</v>
      </c>
      <c r="AP947" s="29">
        <v>0</v>
      </c>
      <c r="AR947" s="22">
        <v>45492</v>
      </c>
      <c r="AS947" s="26">
        <f t="shared" ca="1" si="215"/>
        <v>0.74813987396428272</v>
      </c>
      <c r="AT947" s="29">
        <v>0</v>
      </c>
      <c r="AV947" s="22">
        <v>45492</v>
      </c>
      <c r="AW947" s="26">
        <f t="shared" ca="1" si="216"/>
        <v>0.38195038910516355</v>
      </c>
      <c r="AX947" s="29">
        <v>0</v>
      </c>
      <c r="AZ947" s="22">
        <v>45492</v>
      </c>
      <c r="BA947" s="26">
        <f t="shared" ca="1" si="217"/>
        <v>0.26627582106414205</v>
      </c>
      <c r="BB947" s="29">
        <v>0</v>
      </c>
      <c r="BC947"/>
      <c r="BD947" s="25"/>
      <c r="BF947" s="22">
        <v>45492</v>
      </c>
      <c r="BG947" s="26">
        <f t="shared" ca="1" si="218"/>
        <v>0.77642134765248416</v>
      </c>
      <c r="BH947" s="29">
        <v>0</v>
      </c>
      <c r="BJ947" s="22">
        <v>45492</v>
      </c>
      <c r="BK947" s="26">
        <f t="shared" ca="1" si="219"/>
        <v>0.50552174044876197</v>
      </c>
      <c r="BL947" s="29">
        <v>0</v>
      </c>
      <c r="BN947" s="22">
        <v>45492</v>
      </c>
      <c r="BO947" s="26">
        <f t="shared" ca="1" si="220"/>
        <v>0.80544535466543932</v>
      </c>
      <c r="BP947" s="29">
        <v>0</v>
      </c>
      <c r="BR947" s="22">
        <v>45492</v>
      </c>
      <c r="BS947" s="26">
        <f t="shared" ca="1" si="221"/>
        <v>0.64944349171841487</v>
      </c>
      <c r="BT947" s="29">
        <v>0</v>
      </c>
      <c r="BV947" s="22">
        <v>45492</v>
      </c>
      <c r="BW947" s="26">
        <f t="shared" ca="1" si="222"/>
        <v>0.98554333464195742</v>
      </c>
      <c r="BX947" s="29">
        <v>0</v>
      </c>
    </row>
    <row r="948" spans="2:77" ht="12.75" x14ac:dyDescent="0.2">
      <c r="B948" s="22">
        <v>45493</v>
      </c>
      <c r="C948" s="26">
        <f t="shared" ca="1" si="205"/>
        <v>0.74973847964257756</v>
      </c>
      <c r="D948" s="29">
        <v>0</v>
      </c>
      <c r="F948" s="22"/>
      <c r="G948" s="26">
        <f t="shared" ca="1" si="206"/>
        <v>0.7708756691293065</v>
      </c>
      <c r="H948" s="29">
        <v>0</v>
      </c>
      <c r="J948" s="22">
        <v>45493</v>
      </c>
      <c r="K948" s="26">
        <f t="shared" ca="1" si="207"/>
        <v>0.85685891601131547</v>
      </c>
      <c r="L948" s="29">
        <v>0</v>
      </c>
      <c r="N948" s="22">
        <v>45493</v>
      </c>
      <c r="O948" s="26">
        <f t="shared" ca="1" si="208"/>
        <v>0.74410491264441325</v>
      </c>
      <c r="P948" s="29">
        <v>0</v>
      </c>
      <c r="R948" s="22">
        <v>45493</v>
      </c>
      <c r="S948" s="26">
        <f t="shared" ca="1" si="209"/>
        <v>5.2391977415268798E-2</v>
      </c>
      <c r="T948" s="29">
        <v>0</v>
      </c>
      <c r="V948" s="22">
        <v>45493</v>
      </c>
      <c r="W948" s="26">
        <f t="shared" ca="1" si="210"/>
        <v>0.42058199718364353</v>
      </c>
      <c r="X948" s="29">
        <v>0</v>
      </c>
      <c r="Z948" s="22">
        <v>45493</v>
      </c>
      <c r="AA948" s="26">
        <f t="shared" ca="1" si="211"/>
        <v>0.19970743617787368</v>
      </c>
      <c r="AB948" s="29">
        <v>0</v>
      </c>
      <c r="AC948"/>
      <c r="AD948" s="25"/>
      <c r="AF948" s="22">
        <v>45493</v>
      </c>
      <c r="AG948" s="26">
        <f t="shared" ca="1" si="212"/>
        <v>5.354069009473994E-3</v>
      </c>
      <c r="AH948" s="29">
        <v>0</v>
      </c>
      <c r="AJ948" s="22">
        <v>45493</v>
      </c>
      <c r="AK948" s="26">
        <f t="shared" ca="1" si="213"/>
        <v>2.2206418064068201E-2</v>
      </c>
      <c r="AL948" s="29">
        <v>0</v>
      </c>
      <c r="AN948" s="22">
        <v>45493</v>
      </c>
      <c r="AO948" s="26">
        <f t="shared" ca="1" si="214"/>
        <v>0.34416912314522841</v>
      </c>
      <c r="AP948" s="29">
        <v>0</v>
      </c>
      <c r="AR948" s="22">
        <v>45493</v>
      </c>
      <c r="AS948" s="26">
        <f t="shared" ca="1" si="215"/>
        <v>0.71572044292415016</v>
      </c>
      <c r="AT948" s="29">
        <v>0</v>
      </c>
      <c r="AV948" s="22">
        <v>45493</v>
      </c>
      <c r="AW948" s="26">
        <f t="shared" ca="1" si="216"/>
        <v>0.61584577467227197</v>
      </c>
      <c r="AX948" s="29">
        <v>0</v>
      </c>
      <c r="AZ948" s="22">
        <v>45493</v>
      </c>
      <c r="BA948" s="26">
        <f t="shared" ca="1" si="217"/>
        <v>0.7190342531980507</v>
      </c>
      <c r="BB948" s="29">
        <v>0</v>
      </c>
      <c r="BC948"/>
      <c r="BD948" s="25"/>
      <c r="BF948" s="22">
        <v>45493</v>
      </c>
      <c r="BG948" s="26">
        <f t="shared" ca="1" si="218"/>
        <v>0.56676136356929629</v>
      </c>
      <c r="BH948" s="29">
        <v>0</v>
      </c>
      <c r="BJ948" s="22">
        <v>45493</v>
      </c>
      <c r="BK948" s="26">
        <f t="shared" ca="1" si="219"/>
        <v>0.67042176421186495</v>
      </c>
      <c r="BL948" s="29">
        <v>0</v>
      </c>
      <c r="BN948" s="22">
        <v>45493</v>
      </c>
      <c r="BO948" s="26">
        <f t="shared" ca="1" si="220"/>
        <v>1.4000974498615704E-2</v>
      </c>
      <c r="BP948" s="29">
        <v>0</v>
      </c>
      <c r="BR948" s="22">
        <v>45493</v>
      </c>
      <c r="BS948" s="26">
        <f t="shared" ca="1" si="221"/>
        <v>0.83513060220149404</v>
      </c>
      <c r="BT948" s="29">
        <v>0</v>
      </c>
      <c r="BV948" s="22">
        <v>45493</v>
      </c>
      <c r="BW948" s="26">
        <f t="shared" ca="1" si="222"/>
        <v>0.55103461824080835</v>
      </c>
      <c r="BX948" s="29">
        <v>0</v>
      </c>
    </row>
    <row r="949" spans="2:77" ht="12.75" x14ac:dyDescent="0.2">
      <c r="B949" s="22">
        <v>45494</v>
      </c>
      <c r="C949" s="26">
        <f t="shared" ca="1" si="205"/>
        <v>0.93845886717178917</v>
      </c>
      <c r="D949" s="29">
        <v>0</v>
      </c>
      <c r="F949" s="22"/>
      <c r="G949" s="26">
        <f t="shared" ca="1" si="206"/>
        <v>0.13197467378540484</v>
      </c>
      <c r="H949" s="29">
        <v>0</v>
      </c>
      <c r="J949" s="22">
        <v>45494</v>
      </c>
      <c r="K949" s="26">
        <f t="shared" ca="1" si="207"/>
        <v>0.13546361899840587</v>
      </c>
      <c r="L949" s="29">
        <v>0</v>
      </c>
      <c r="N949" s="22">
        <v>45494</v>
      </c>
      <c r="O949" s="26">
        <f t="shared" ca="1" si="208"/>
        <v>0.78853572394549143</v>
      </c>
      <c r="P949" s="29">
        <v>0</v>
      </c>
      <c r="R949" s="22">
        <v>45494</v>
      </c>
      <c r="S949" s="26">
        <f t="shared" ca="1" si="209"/>
        <v>0.56117923947578796</v>
      </c>
      <c r="T949" s="29">
        <v>0</v>
      </c>
      <c r="V949" s="22">
        <v>45494</v>
      </c>
      <c r="W949" s="26">
        <f t="shared" ca="1" si="210"/>
        <v>0.76534217439922891</v>
      </c>
      <c r="X949" s="29">
        <v>0</v>
      </c>
      <c r="Z949" s="22">
        <v>45494</v>
      </c>
      <c r="AA949" s="26">
        <f t="shared" ca="1" si="211"/>
        <v>0.77601433879684423</v>
      </c>
      <c r="AB949" s="29">
        <v>0</v>
      </c>
      <c r="AC949"/>
      <c r="AD949" s="25"/>
      <c r="AF949" s="22">
        <v>45494</v>
      </c>
      <c r="AG949" s="26">
        <f t="shared" ca="1" si="212"/>
        <v>0.39766897512712918</v>
      </c>
      <c r="AH949" s="29">
        <v>0</v>
      </c>
      <c r="AJ949" s="22">
        <v>45494</v>
      </c>
      <c r="AK949" s="26">
        <f t="shared" ca="1" si="213"/>
        <v>0.30357655433175457</v>
      </c>
      <c r="AL949" s="29">
        <v>0</v>
      </c>
      <c r="AN949" s="22">
        <v>45494</v>
      </c>
      <c r="AO949" s="26">
        <f t="shared" ca="1" si="214"/>
        <v>0.82025705015919048</v>
      </c>
      <c r="AP949" s="29">
        <v>0</v>
      </c>
      <c r="AR949" s="22">
        <v>45494</v>
      </c>
      <c r="AS949" s="26">
        <f t="shared" ca="1" si="215"/>
        <v>0.52171386658090446</v>
      </c>
      <c r="AT949" s="29">
        <v>0</v>
      </c>
      <c r="AV949" s="22">
        <v>45494</v>
      </c>
      <c r="AW949" s="26">
        <f t="shared" ca="1" si="216"/>
        <v>0.43248013607885305</v>
      </c>
      <c r="AX949" s="29">
        <v>0</v>
      </c>
      <c r="AZ949" s="22">
        <v>45494</v>
      </c>
      <c r="BA949" s="26">
        <f t="shared" ca="1" si="217"/>
        <v>0.93531642281601546</v>
      </c>
      <c r="BB949" s="29">
        <v>0</v>
      </c>
      <c r="BC949"/>
      <c r="BD949" s="25"/>
      <c r="BF949" s="22">
        <v>45494</v>
      </c>
      <c r="BG949" s="26">
        <f t="shared" ca="1" si="218"/>
        <v>0.85734892652959349</v>
      </c>
      <c r="BH949" s="29">
        <v>0</v>
      </c>
      <c r="BJ949" s="22">
        <v>45494</v>
      </c>
      <c r="BK949" s="26">
        <f t="shared" ca="1" si="219"/>
        <v>0.5197234091657259</v>
      </c>
      <c r="BL949" s="29">
        <v>0</v>
      </c>
      <c r="BN949" s="22">
        <v>45494</v>
      </c>
      <c r="BO949" s="26">
        <f t="shared" ca="1" si="220"/>
        <v>0.50860624413526623</v>
      </c>
      <c r="BP949" s="29">
        <v>0</v>
      </c>
      <c r="BR949" s="22">
        <v>45494</v>
      </c>
      <c r="BS949" s="26">
        <f t="shared" ca="1" si="221"/>
        <v>0.60749310607024654</v>
      </c>
      <c r="BT949" s="29">
        <v>0</v>
      </c>
      <c r="BV949" s="22">
        <v>45494</v>
      </c>
      <c r="BW949" s="26">
        <f t="shared" ca="1" si="222"/>
        <v>0.48130540036109604</v>
      </c>
      <c r="BX949" s="29">
        <v>0</v>
      </c>
    </row>
    <row r="950" spans="2:77" ht="12.75" x14ac:dyDescent="0.2">
      <c r="B950" s="22">
        <v>45495</v>
      </c>
      <c r="C950" s="26">
        <f t="shared" ca="1" si="205"/>
        <v>0.16940181282927158</v>
      </c>
      <c r="D950" s="29">
        <v>0</v>
      </c>
      <c r="F950" s="22"/>
      <c r="G950" s="26">
        <f t="shared" ca="1" si="206"/>
        <v>0.17273321749047121</v>
      </c>
      <c r="H950" s="29">
        <v>0</v>
      </c>
      <c r="J950" s="22">
        <v>45495</v>
      </c>
      <c r="K950" s="26">
        <f t="shared" ca="1" si="207"/>
        <v>0.58158766707828735</v>
      </c>
      <c r="L950" s="29">
        <v>0</v>
      </c>
      <c r="N950" s="22">
        <v>45495</v>
      </c>
      <c r="O950" s="26">
        <f t="shared" ca="1" si="208"/>
        <v>0.91683645677718717</v>
      </c>
      <c r="P950" s="29">
        <v>0</v>
      </c>
      <c r="R950" s="22">
        <v>45495</v>
      </c>
      <c r="S950" s="26">
        <f t="shared" ca="1" si="209"/>
        <v>0.60565861936587939</v>
      </c>
      <c r="T950" s="29">
        <v>0</v>
      </c>
      <c r="V950" s="22">
        <v>45495</v>
      </c>
      <c r="W950" s="26">
        <f t="shared" ca="1" si="210"/>
        <v>0.71626139311947146</v>
      </c>
      <c r="X950" s="29">
        <v>0</v>
      </c>
      <c r="Z950" s="22">
        <v>45495</v>
      </c>
      <c r="AA950" s="26">
        <f t="shared" ca="1" si="211"/>
        <v>0.7215761439450491</v>
      </c>
      <c r="AB950" s="29">
        <v>0</v>
      </c>
      <c r="AC950"/>
      <c r="AD950" s="25"/>
      <c r="AF950" s="22">
        <v>45495</v>
      </c>
      <c r="AG950" s="26">
        <f t="shared" ca="1" si="212"/>
        <v>0.12589510035279439</v>
      </c>
      <c r="AH950" s="29">
        <v>0</v>
      </c>
      <c r="AJ950" s="22">
        <v>45495</v>
      </c>
      <c r="AK950" s="26">
        <f t="shared" ca="1" si="213"/>
        <v>0.38756074353076175</v>
      </c>
      <c r="AL950" s="29">
        <v>0</v>
      </c>
      <c r="AN950" s="22">
        <v>45495</v>
      </c>
      <c r="AO950" s="26">
        <f t="shared" ca="1" si="214"/>
        <v>0.90644153403845407</v>
      </c>
      <c r="AP950" s="29">
        <v>0</v>
      </c>
      <c r="AR950" s="22">
        <v>45495</v>
      </c>
      <c r="AS950" s="26">
        <f t="shared" ca="1" si="215"/>
        <v>0.32578199998426627</v>
      </c>
      <c r="AT950" s="29">
        <v>0</v>
      </c>
      <c r="AV950" s="22">
        <v>45495</v>
      </c>
      <c r="AW950" s="26">
        <f t="shared" ca="1" si="216"/>
        <v>0.74907911922077286</v>
      </c>
      <c r="AX950" s="29">
        <v>0</v>
      </c>
      <c r="AZ950" s="22">
        <v>45495</v>
      </c>
      <c r="BA950" s="26">
        <f t="shared" ca="1" si="217"/>
        <v>0.16675927947912805</v>
      </c>
      <c r="BB950" s="29">
        <v>0</v>
      </c>
      <c r="BC950"/>
      <c r="BD950" s="25"/>
      <c r="BF950" s="22">
        <v>45495</v>
      </c>
      <c r="BG950" s="26">
        <f t="shared" ca="1" si="218"/>
        <v>0.28552645204507887</v>
      </c>
      <c r="BH950" s="29">
        <v>0</v>
      </c>
      <c r="BJ950" s="22">
        <v>45495</v>
      </c>
      <c r="BK950" s="26">
        <f t="shared" ca="1" si="219"/>
        <v>0.4407771254832199</v>
      </c>
      <c r="BL950" s="29">
        <v>0</v>
      </c>
      <c r="BN950" s="22">
        <v>45495</v>
      </c>
      <c r="BO950" s="26">
        <f t="shared" ca="1" si="220"/>
        <v>0.49854404794283946</v>
      </c>
      <c r="BP950" s="29">
        <v>0</v>
      </c>
      <c r="BR950" s="22">
        <v>45495</v>
      </c>
      <c r="BS950" s="26">
        <f t="shared" ca="1" si="221"/>
        <v>0.96412772140299596</v>
      </c>
      <c r="BT950" s="29">
        <v>0</v>
      </c>
      <c r="BV950" s="22">
        <v>45495</v>
      </c>
      <c r="BW950" s="26">
        <f t="shared" ca="1" si="222"/>
        <v>0.82793255780431929</v>
      </c>
      <c r="BX950" s="29">
        <v>0</v>
      </c>
    </row>
    <row r="951" spans="2:77" ht="12.75" x14ac:dyDescent="0.2">
      <c r="B951" s="22">
        <v>45496</v>
      </c>
      <c r="C951" s="26">
        <f t="shared" ca="1" si="205"/>
        <v>0.35547739173186566</v>
      </c>
      <c r="D951" s="29">
        <v>0</v>
      </c>
      <c r="F951" s="22"/>
      <c r="G951" s="26">
        <f t="shared" ca="1" si="206"/>
        <v>0.47216995606116774</v>
      </c>
      <c r="H951" s="29">
        <v>0</v>
      </c>
      <c r="J951" s="22">
        <v>45496</v>
      </c>
      <c r="K951" s="26">
        <f t="shared" ca="1" si="207"/>
        <v>0.40611207606649358</v>
      </c>
      <c r="L951" s="29">
        <v>0</v>
      </c>
      <c r="N951" s="22">
        <v>45496</v>
      </c>
      <c r="O951" s="26">
        <f t="shared" ca="1" si="208"/>
        <v>0.41087470911042667</v>
      </c>
      <c r="P951" s="29">
        <v>0</v>
      </c>
      <c r="R951" s="22">
        <v>45496</v>
      </c>
      <c r="S951" s="26">
        <f t="shared" ca="1" si="209"/>
        <v>0.76501534549420391</v>
      </c>
      <c r="T951" s="29">
        <v>0</v>
      </c>
      <c r="V951" s="22">
        <v>45496</v>
      </c>
      <c r="W951" s="26">
        <f t="shared" ca="1" si="210"/>
        <v>0.27652789278690804</v>
      </c>
      <c r="X951" s="29">
        <v>0</v>
      </c>
      <c r="Z951" s="22">
        <v>45496</v>
      </c>
      <c r="AA951" s="26">
        <f t="shared" ca="1" si="211"/>
        <v>0.67711326536729344</v>
      </c>
      <c r="AB951" s="29">
        <v>0</v>
      </c>
      <c r="AC951"/>
      <c r="AD951" s="25"/>
      <c r="AF951" s="22">
        <v>45496</v>
      </c>
      <c r="AG951" s="26">
        <f t="shared" ca="1" si="212"/>
        <v>0.33740643890000743</v>
      </c>
      <c r="AH951" s="29">
        <v>0</v>
      </c>
      <c r="AJ951" s="22">
        <v>45496</v>
      </c>
      <c r="AK951" s="26">
        <f t="shared" ca="1" si="213"/>
        <v>0.93224388458932217</v>
      </c>
      <c r="AL951" s="29">
        <v>0</v>
      </c>
      <c r="AN951" s="22">
        <v>45496</v>
      </c>
      <c r="AO951" s="26">
        <f t="shared" ca="1" si="214"/>
        <v>0.12634895131217261</v>
      </c>
      <c r="AP951" s="29">
        <v>0</v>
      </c>
      <c r="AR951" s="22">
        <v>45496</v>
      </c>
      <c r="AS951" s="26">
        <f t="shared" ca="1" si="215"/>
        <v>0.97234412737637099</v>
      </c>
      <c r="AT951" s="29">
        <v>0</v>
      </c>
      <c r="AV951" s="22">
        <v>45496</v>
      </c>
      <c r="AW951" s="26">
        <f t="shared" ca="1" si="216"/>
        <v>0.68338643656586795</v>
      </c>
      <c r="AX951" s="29">
        <v>0</v>
      </c>
      <c r="AZ951" s="22">
        <v>45496</v>
      </c>
      <c r="BA951" s="26">
        <f t="shared" ca="1" si="217"/>
        <v>0.28859422188111616</v>
      </c>
      <c r="BB951" s="29">
        <v>0</v>
      </c>
      <c r="BC951"/>
      <c r="BD951" s="25"/>
      <c r="BF951" s="22">
        <v>45496</v>
      </c>
      <c r="BG951" s="26">
        <f t="shared" ca="1" si="218"/>
        <v>0.13869321270412804</v>
      </c>
      <c r="BH951" s="29">
        <v>0</v>
      </c>
      <c r="BJ951" s="22">
        <v>45496</v>
      </c>
      <c r="BK951" s="26">
        <f t="shared" ca="1" si="219"/>
        <v>0.17741690151913359</v>
      </c>
      <c r="BL951" s="29">
        <v>0</v>
      </c>
      <c r="BN951" s="22">
        <v>45496</v>
      </c>
      <c r="BO951" s="26">
        <f t="shared" ca="1" si="220"/>
        <v>0.74986934329200783</v>
      </c>
      <c r="BP951" s="29">
        <v>0</v>
      </c>
      <c r="BR951" s="22">
        <v>45496</v>
      </c>
      <c r="BS951" s="26">
        <f t="shared" ca="1" si="221"/>
        <v>0.90993333726709602</v>
      </c>
      <c r="BT951" s="29">
        <v>0</v>
      </c>
      <c r="BV951" s="22">
        <v>45496</v>
      </c>
      <c r="BW951" s="26">
        <f t="shared" ca="1" si="222"/>
        <v>9.0968891969376631E-2</v>
      </c>
      <c r="BX951" s="29">
        <v>0</v>
      </c>
    </row>
    <row r="952" spans="2:77" ht="12.75" x14ac:dyDescent="0.2">
      <c r="B952" s="22">
        <v>45497</v>
      </c>
      <c r="C952" s="26">
        <f t="shared" ca="1" si="205"/>
        <v>0.92803766778154551</v>
      </c>
      <c r="D952" s="29">
        <v>0</v>
      </c>
      <c r="F952" s="22"/>
      <c r="G952" s="26">
        <f t="shared" ca="1" si="206"/>
        <v>0.26319269169793069</v>
      </c>
      <c r="H952" s="29">
        <v>0</v>
      </c>
      <c r="J952" s="22">
        <v>45497</v>
      </c>
      <c r="K952" s="26">
        <f t="shared" ca="1" si="207"/>
        <v>0.35418889333101577</v>
      </c>
      <c r="L952" s="29">
        <v>0</v>
      </c>
      <c r="N952" s="22">
        <v>45497</v>
      </c>
      <c r="O952" s="26">
        <f t="shared" ca="1" si="208"/>
        <v>0.52111044815079766</v>
      </c>
      <c r="P952" s="29">
        <v>0</v>
      </c>
      <c r="R952" s="22">
        <v>45497</v>
      </c>
      <c r="S952" s="26">
        <f t="shared" ca="1" si="209"/>
        <v>0.92391639956102056</v>
      </c>
      <c r="T952" s="29">
        <v>0</v>
      </c>
      <c r="V952" s="22">
        <v>45497</v>
      </c>
      <c r="W952" s="26">
        <f t="shared" ca="1" si="210"/>
        <v>0.20888729481280732</v>
      </c>
      <c r="X952" s="29">
        <v>0</v>
      </c>
      <c r="Z952" s="22">
        <v>45497</v>
      </c>
      <c r="AA952" s="26">
        <f t="shared" ca="1" si="211"/>
        <v>0.65974105625831492</v>
      </c>
      <c r="AB952" s="29">
        <v>0</v>
      </c>
      <c r="AC952"/>
      <c r="AD952" s="25"/>
      <c r="AF952" s="22">
        <v>45497</v>
      </c>
      <c r="AG952" s="26">
        <f t="shared" ca="1" si="212"/>
        <v>0.95897863515909787</v>
      </c>
      <c r="AH952" s="29">
        <v>0</v>
      </c>
      <c r="AJ952" s="22">
        <v>45497</v>
      </c>
      <c r="AK952" s="26">
        <f t="shared" ca="1" si="213"/>
        <v>0.72957899365576928</v>
      </c>
      <c r="AL952" s="29">
        <v>0</v>
      </c>
      <c r="AN952" s="22">
        <v>45497</v>
      </c>
      <c r="AO952" s="26">
        <f t="shared" ca="1" si="214"/>
        <v>0.34337784619787515</v>
      </c>
      <c r="AP952" s="29">
        <v>0</v>
      </c>
      <c r="AR952" s="22">
        <v>45497</v>
      </c>
      <c r="AS952" s="26">
        <f t="shared" ca="1" si="215"/>
        <v>0.20910181643729087</v>
      </c>
      <c r="AT952" s="29">
        <v>0</v>
      </c>
      <c r="AV952" s="22">
        <v>45497</v>
      </c>
      <c r="AW952" s="26">
        <f t="shared" ca="1" si="216"/>
        <v>0.97923842584033616</v>
      </c>
      <c r="AX952" s="29">
        <v>0</v>
      </c>
      <c r="AZ952" s="22">
        <v>45497</v>
      </c>
      <c r="BA952" s="26">
        <f t="shared" ca="1" si="217"/>
        <v>0.56689314607500185</v>
      </c>
      <c r="BB952" s="29">
        <v>0</v>
      </c>
      <c r="BC952"/>
      <c r="BD952" s="25"/>
      <c r="BF952" s="22">
        <v>45497</v>
      </c>
      <c r="BG952" s="26">
        <f t="shared" ca="1" si="218"/>
        <v>0.18395817254101776</v>
      </c>
      <c r="BH952" s="29">
        <v>0</v>
      </c>
      <c r="BJ952" s="22">
        <v>45497</v>
      </c>
      <c r="BK952" s="26">
        <f t="shared" ca="1" si="219"/>
        <v>0.13935404114349437</v>
      </c>
      <c r="BL952" s="29">
        <v>0</v>
      </c>
      <c r="BN952" s="22">
        <v>45497</v>
      </c>
      <c r="BO952" s="26">
        <f t="shared" ca="1" si="220"/>
        <v>0.19653218077146217</v>
      </c>
      <c r="BP952" s="29">
        <v>0</v>
      </c>
      <c r="BR952" s="22">
        <v>45497</v>
      </c>
      <c r="BS952" s="26">
        <f t="shared" ca="1" si="221"/>
        <v>0.87430775873135425</v>
      </c>
      <c r="BT952" s="29">
        <v>0</v>
      </c>
      <c r="BV952" s="22">
        <v>45497</v>
      </c>
      <c r="BW952" s="26">
        <f t="shared" ca="1" si="222"/>
        <v>0.77757685665904219</v>
      </c>
      <c r="BX952" s="29">
        <v>0</v>
      </c>
    </row>
    <row r="953" spans="2:77" ht="12.75" x14ac:dyDescent="0.2">
      <c r="B953" s="22">
        <v>45498</v>
      </c>
      <c r="C953" s="26">
        <f t="shared" ca="1" si="205"/>
        <v>0.3681091640249875</v>
      </c>
      <c r="D953" s="29">
        <v>0</v>
      </c>
      <c r="F953" s="22"/>
      <c r="G953" s="26">
        <f t="shared" ca="1" si="206"/>
        <v>0.93435872463623626</v>
      </c>
      <c r="H953" s="29">
        <v>0</v>
      </c>
      <c r="J953" s="22">
        <v>45498</v>
      </c>
      <c r="K953" s="26">
        <f t="shared" ca="1" si="207"/>
        <v>0.91056699983300915</v>
      </c>
      <c r="L953" s="29">
        <v>0</v>
      </c>
      <c r="N953" s="22">
        <v>45498</v>
      </c>
      <c r="O953" s="26">
        <f t="shared" ca="1" si="208"/>
        <v>0.5542032152527675</v>
      </c>
      <c r="P953" s="29">
        <v>0</v>
      </c>
      <c r="R953" s="22">
        <v>45498</v>
      </c>
      <c r="S953" s="26">
        <f t="shared" ca="1" si="209"/>
        <v>0.78886431257332568</v>
      </c>
      <c r="T953" s="29">
        <v>0</v>
      </c>
      <c r="V953" s="22">
        <v>45498</v>
      </c>
      <c r="W953" s="26">
        <f t="shared" ca="1" si="210"/>
        <v>7.9448609508590229E-2</v>
      </c>
      <c r="X953" s="29">
        <v>0</v>
      </c>
      <c r="Z953" s="22">
        <v>45498</v>
      </c>
      <c r="AA953" s="26">
        <f t="shared" ca="1" si="211"/>
        <v>0.41163881778945033</v>
      </c>
      <c r="AB953" s="29">
        <v>0</v>
      </c>
      <c r="AC953"/>
      <c r="AD953" s="25"/>
      <c r="AF953" s="22">
        <v>45498</v>
      </c>
      <c r="AG953" s="26">
        <f t="shared" ca="1" si="212"/>
        <v>0.65411336525549824</v>
      </c>
      <c r="AH953" s="29">
        <v>0</v>
      </c>
      <c r="AJ953" s="22">
        <v>45498</v>
      </c>
      <c r="AK953" s="26">
        <f t="shared" ca="1" si="213"/>
        <v>2.8494644143335246E-2</v>
      </c>
      <c r="AL953" s="29">
        <v>0</v>
      </c>
      <c r="AN953" s="22">
        <v>45498</v>
      </c>
      <c r="AO953" s="26">
        <f t="shared" ca="1" si="214"/>
        <v>0.96983653405398806</v>
      </c>
      <c r="AP953" s="29">
        <v>0</v>
      </c>
      <c r="AR953" s="22">
        <v>45498</v>
      </c>
      <c r="AS953" s="26">
        <f t="shared" ca="1" si="215"/>
        <v>0.50778889367286451</v>
      </c>
      <c r="AT953" s="29">
        <v>0</v>
      </c>
      <c r="AV953" s="22">
        <v>45498</v>
      </c>
      <c r="AW953" s="26">
        <f t="shared" ca="1" si="216"/>
        <v>0.79702737651152411</v>
      </c>
      <c r="AX953" s="29">
        <v>0</v>
      </c>
      <c r="AZ953" s="22">
        <v>45498</v>
      </c>
      <c r="BA953" s="26">
        <f t="shared" ca="1" si="217"/>
        <v>0.25319971876676628</v>
      </c>
      <c r="BB953" s="29">
        <v>0</v>
      </c>
      <c r="BC953"/>
      <c r="BD953" s="25"/>
      <c r="BF953" s="22">
        <v>45498</v>
      </c>
      <c r="BG953" s="26">
        <f t="shared" ca="1" si="218"/>
        <v>0.97041718580444669</v>
      </c>
      <c r="BH953" s="29">
        <v>0</v>
      </c>
      <c r="BJ953" s="22">
        <v>45498</v>
      </c>
      <c r="BK953" s="26">
        <f t="shared" ca="1" si="219"/>
        <v>0.71049571683941715</v>
      </c>
      <c r="BL953" s="29">
        <v>0</v>
      </c>
      <c r="BN953" s="22">
        <v>45498</v>
      </c>
      <c r="BO953" s="26">
        <f t="shared" ca="1" si="220"/>
        <v>0.31231813007701215</v>
      </c>
      <c r="BP953" s="29">
        <v>0</v>
      </c>
      <c r="BR953" s="22">
        <v>45498</v>
      </c>
      <c r="BS953" s="26">
        <f t="shared" ca="1" si="221"/>
        <v>0.9683469218683417</v>
      </c>
      <c r="BT953" s="29">
        <v>0</v>
      </c>
      <c r="BV953" s="22">
        <v>45498</v>
      </c>
      <c r="BW953" s="26">
        <f t="shared" ca="1" si="222"/>
        <v>0.4595083221990367</v>
      </c>
      <c r="BX953" s="29">
        <v>0</v>
      </c>
    </row>
    <row r="954" spans="2:77" ht="12.75" x14ac:dyDescent="0.2">
      <c r="B954" s="22">
        <v>45499</v>
      </c>
      <c r="C954" s="26">
        <f t="shared" ca="1" si="205"/>
        <v>7.1078815047108446E-2</v>
      </c>
      <c r="D954" s="29">
        <v>0</v>
      </c>
      <c r="F954" s="22"/>
      <c r="G954" s="26">
        <f t="shared" ca="1" si="206"/>
        <v>0.54960141878068725</v>
      </c>
      <c r="H954" s="29">
        <v>0</v>
      </c>
      <c r="J954" s="22">
        <v>45499</v>
      </c>
      <c r="K954" s="26">
        <f t="shared" ca="1" si="207"/>
        <v>0.1321448433275676</v>
      </c>
      <c r="L954" s="29">
        <v>0</v>
      </c>
      <c r="N954" s="22">
        <v>45499</v>
      </c>
      <c r="O954" s="26">
        <f t="shared" ca="1" si="208"/>
        <v>0.75193714763007602</v>
      </c>
      <c r="P954" s="29">
        <v>0</v>
      </c>
      <c r="R954" s="22">
        <v>45499</v>
      </c>
      <c r="S954" s="26">
        <f t="shared" ca="1" si="209"/>
        <v>0.74560076778439044</v>
      </c>
      <c r="T954" s="29">
        <v>0</v>
      </c>
      <c r="V954" s="22">
        <v>45499</v>
      </c>
      <c r="W954" s="26">
        <f t="shared" ca="1" si="210"/>
        <v>0.21949424674772067</v>
      </c>
      <c r="X954" s="29">
        <v>0</v>
      </c>
      <c r="Z954" s="22">
        <v>45499</v>
      </c>
      <c r="AA954" s="26">
        <f t="shared" ca="1" si="211"/>
        <v>0.60418541312049912</v>
      </c>
      <c r="AB954" s="29">
        <v>0</v>
      </c>
      <c r="AC954"/>
      <c r="AD954" s="25"/>
      <c r="AF954" s="22">
        <v>45499</v>
      </c>
      <c r="AG954" s="26">
        <f t="shared" ca="1" si="212"/>
        <v>0.85913705443227184</v>
      </c>
      <c r="AH954" s="29">
        <v>0</v>
      </c>
      <c r="AJ954" s="22">
        <v>45499</v>
      </c>
      <c r="AK954" s="26">
        <f t="shared" ca="1" si="213"/>
        <v>0.91829710232865314</v>
      </c>
      <c r="AL954" s="29">
        <v>0</v>
      </c>
      <c r="AN954" s="22">
        <v>45499</v>
      </c>
      <c r="AO954" s="26">
        <f t="shared" ca="1" si="214"/>
        <v>0.22504395906766717</v>
      </c>
      <c r="AP954" s="29">
        <v>0</v>
      </c>
      <c r="AR954" s="22">
        <v>45499</v>
      </c>
      <c r="AS954" s="26">
        <f t="shared" ca="1" si="215"/>
        <v>0.93569483398020958</v>
      </c>
      <c r="AT954" s="29">
        <v>0</v>
      </c>
      <c r="AV954" s="22">
        <v>45499</v>
      </c>
      <c r="AW954" s="26">
        <f t="shared" ca="1" si="216"/>
        <v>0.18267287179575276</v>
      </c>
      <c r="AX954" s="29">
        <v>0</v>
      </c>
      <c r="AZ954" s="22">
        <v>45499</v>
      </c>
      <c r="BA954" s="26">
        <f t="shared" ca="1" si="217"/>
        <v>0.62936905007946797</v>
      </c>
      <c r="BB954" s="29">
        <v>0</v>
      </c>
      <c r="BC954"/>
      <c r="BD954" s="25"/>
      <c r="BF954" s="22">
        <v>45499</v>
      </c>
      <c r="BG954" s="26">
        <f t="shared" ca="1" si="218"/>
        <v>0.13730839545304974</v>
      </c>
      <c r="BH954" s="29">
        <v>0</v>
      </c>
      <c r="BJ954" s="22">
        <v>45499</v>
      </c>
      <c r="BK954" s="26">
        <f t="shared" ca="1" si="219"/>
        <v>0.55430056716488962</v>
      </c>
      <c r="BL954" s="29">
        <v>0</v>
      </c>
      <c r="BN954" s="22">
        <v>45499</v>
      </c>
      <c r="BO954" s="26">
        <f t="shared" ca="1" si="220"/>
        <v>0.22926753671693811</v>
      </c>
      <c r="BP954" s="29">
        <v>0</v>
      </c>
      <c r="BR954" s="22">
        <v>45499</v>
      </c>
      <c r="BS954" s="26">
        <f t="shared" ca="1" si="221"/>
        <v>0.4488816805286433</v>
      </c>
      <c r="BT954" s="29">
        <v>0</v>
      </c>
      <c r="BV954" s="22">
        <v>45499</v>
      </c>
      <c r="BW954" s="26">
        <f t="shared" ca="1" si="222"/>
        <v>0.8425315259302808</v>
      </c>
      <c r="BX954" s="29">
        <v>0</v>
      </c>
    </row>
    <row r="955" spans="2:77" ht="12.75" x14ac:dyDescent="0.2">
      <c r="B955" s="22">
        <v>45500</v>
      </c>
      <c r="C955" s="26">
        <f t="shared" ca="1" si="205"/>
        <v>0.44426348634492296</v>
      </c>
      <c r="D955" s="29">
        <v>0</v>
      </c>
      <c r="F955" s="22"/>
      <c r="G955" s="26">
        <f t="shared" ca="1" si="206"/>
        <v>0.12057640421009519</v>
      </c>
      <c r="H955" s="29">
        <v>0</v>
      </c>
      <c r="J955" s="22">
        <v>45500</v>
      </c>
      <c r="K955" s="26">
        <f t="shared" ca="1" si="207"/>
        <v>0.7119476564935997</v>
      </c>
      <c r="L955" s="29">
        <v>0</v>
      </c>
      <c r="N955" s="22">
        <v>45500</v>
      </c>
      <c r="O955" s="26">
        <f t="shared" ca="1" si="208"/>
        <v>0.8858511950138781</v>
      </c>
      <c r="P955" s="29">
        <v>0</v>
      </c>
      <c r="R955" s="22">
        <v>45500</v>
      </c>
      <c r="S955" s="26">
        <f t="shared" ca="1" si="209"/>
        <v>0.14789912015511086</v>
      </c>
      <c r="T955" s="29">
        <v>0</v>
      </c>
      <c r="V955" s="22">
        <v>45500</v>
      </c>
      <c r="W955" s="26">
        <f t="shared" ca="1" si="210"/>
        <v>0.50627718830053559</v>
      </c>
      <c r="X955" s="29">
        <v>0</v>
      </c>
      <c r="Z955" s="22">
        <v>45500</v>
      </c>
      <c r="AA955" s="26">
        <f t="shared" ca="1" si="211"/>
        <v>0.25513613210502772</v>
      </c>
      <c r="AB955" s="29">
        <v>0</v>
      </c>
      <c r="AC955"/>
      <c r="AD955" s="25"/>
      <c r="AF955" s="22">
        <v>45500</v>
      </c>
      <c r="AG955" s="26">
        <f t="shared" ca="1" si="212"/>
        <v>0.3815615941685554</v>
      </c>
      <c r="AH955" s="29">
        <v>0</v>
      </c>
      <c r="AJ955" s="22">
        <v>45500</v>
      </c>
      <c r="AK955" s="26">
        <f t="shared" ca="1" si="213"/>
        <v>0.40570155219469917</v>
      </c>
      <c r="AL955" s="29">
        <v>0</v>
      </c>
      <c r="AN955" s="22">
        <v>45500</v>
      </c>
      <c r="AO955" s="26">
        <f t="shared" ca="1" si="214"/>
        <v>0.54334283010679418</v>
      </c>
      <c r="AP955" s="29">
        <v>0</v>
      </c>
      <c r="AR955" s="22">
        <v>45500</v>
      </c>
      <c r="AS955" s="26">
        <f t="shared" ca="1" si="215"/>
        <v>0.3984077952075693</v>
      </c>
      <c r="AT955" s="29">
        <v>0</v>
      </c>
      <c r="AV955" s="22">
        <v>45500</v>
      </c>
      <c r="AW955" s="26">
        <f t="shared" ca="1" si="216"/>
        <v>0.17969892523066033</v>
      </c>
      <c r="AX955" s="29">
        <v>0</v>
      </c>
      <c r="AZ955" s="22">
        <v>45500</v>
      </c>
      <c r="BA955" s="26">
        <f t="shared" ca="1" si="217"/>
        <v>0.20331141680981879</v>
      </c>
      <c r="BB955" s="29">
        <v>0</v>
      </c>
      <c r="BC955"/>
      <c r="BD955" s="25"/>
      <c r="BF955" s="22">
        <v>45500</v>
      </c>
      <c r="BG955" s="26">
        <f t="shared" ca="1" si="218"/>
        <v>0.87064855204215341</v>
      </c>
      <c r="BH955" s="29">
        <v>0</v>
      </c>
      <c r="BJ955" s="22">
        <v>45500</v>
      </c>
      <c r="BK955" s="26">
        <f t="shared" ca="1" si="219"/>
        <v>0.1995290204048753</v>
      </c>
      <c r="BL955" s="29">
        <v>0</v>
      </c>
      <c r="BN955" s="22">
        <v>45500</v>
      </c>
      <c r="BO955" s="26">
        <f t="shared" ca="1" si="220"/>
        <v>0.17767554426491028</v>
      </c>
      <c r="BP955" s="29">
        <v>0</v>
      </c>
      <c r="BR955" s="22">
        <v>45500</v>
      </c>
      <c r="BS955" s="26">
        <f t="shared" ca="1" si="221"/>
        <v>8.103871141035357E-2</v>
      </c>
      <c r="BT955" s="29">
        <v>0</v>
      </c>
      <c r="BV955" s="22">
        <v>45500</v>
      </c>
      <c r="BW955" s="26">
        <f t="shared" ca="1" si="222"/>
        <v>0.4635590007079613</v>
      </c>
      <c r="BX955" s="29">
        <v>0</v>
      </c>
    </row>
    <row r="956" spans="2:77" ht="12.75" x14ac:dyDescent="0.2">
      <c r="B956" s="22">
        <v>45501</v>
      </c>
      <c r="C956" s="26">
        <f t="shared" ca="1" si="205"/>
        <v>0.89247641629552388</v>
      </c>
      <c r="D956" s="29">
        <v>0</v>
      </c>
      <c r="F956" s="22"/>
      <c r="G956" s="26">
        <f t="shared" ca="1" si="206"/>
        <v>0.14568173600681578</v>
      </c>
      <c r="H956" s="29">
        <v>0</v>
      </c>
      <c r="J956" s="22">
        <v>45501</v>
      </c>
      <c r="K956" s="26">
        <f t="shared" ca="1" si="207"/>
        <v>0.4892609253916701</v>
      </c>
      <c r="L956" s="29">
        <v>0</v>
      </c>
      <c r="N956" s="22">
        <v>45501</v>
      </c>
      <c r="O956" s="26">
        <f t="shared" ca="1" si="208"/>
        <v>0.79822853326800103</v>
      </c>
      <c r="P956" s="29">
        <v>0</v>
      </c>
      <c r="R956" s="22">
        <v>45501</v>
      </c>
      <c r="S956" s="26">
        <f t="shared" ca="1" si="209"/>
        <v>5.704751313837797E-2</v>
      </c>
      <c r="T956" s="29">
        <v>0</v>
      </c>
      <c r="V956" s="22">
        <v>45501</v>
      </c>
      <c r="W956" s="26">
        <f t="shared" ca="1" si="210"/>
        <v>7.4944820176411797E-2</v>
      </c>
      <c r="X956" s="29">
        <v>0</v>
      </c>
      <c r="Z956" s="22">
        <v>45501</v>
      </c>
      <c r="AA956" s="26">
        <f t="shared" ca="1" si="211"/>
        <v>0.65606751141060526</v>
      </c>
      <c r="AB956" s="29">
        <v>0</v>
      </c>
      <c r="AC956"/>
      <c r="AD956" s="25"/>
      <c r="AF956" s="22">
        <v>45501</v>
      </c>
      <c r="AG956" s="26">
        <f t="shared" ca="1" si="212"/>
        <v>2.0037840643802096E-2</v>
      </c>
      <c r="AH956" s="29">
        <v>0</v>
      </c>
      <c r="AJ956" s="22">
        <v>45501</v>
      </c>
      <c r="AK956" s="26">
        <f t="shared" ca="1" si="213"/>
        <v>0.63224889120935868</v>
      </c>
      <c r="AL956" s="29">
        <v>0</v>
      </c>
      <c r="AN956" s="22">
        <v>45501</v>
      </c>
      <c r="AO956" s="26">
        <f t="shared" ca="1" si="214"/>
        <v>0.81858736903097784</v>
      </c>
      <c r="AP956" s="29">
        <v>0</v>
      </c>
      <c r="AR956" s="22">
        <v>45501</v>
      </c>
      <c r="AS956" s="26">
        <f t="shared" ca="1" si="215"/>
        <v>0.54628912158787268</v>
      </c>
      <c r="AT956" s="29">
        <v>0</v>
      </c>
      <c r="AV956" s="22">
        <v>45501</v>
      </c>
      <c r="AW956" s="26">
        <f t="shared" ca="1" si="216"/>
        <v>0.66115251500193228</v>
      </c>
      <c r="AX956" s="29">
        <v>0</v>
      </c>
      <c r="AZ956" s="22">
        <v>45501</v>
      </c>
      <c r="BA956" s="26">
        <f t="shared" ca="1" si="217"/>
        <v>0.60449351614901703</v>
      </c>
      <c r="BB956" s="29">
        <v>0</v>
      </c>
      <c r="BC956"/>
      <c r="BD956" s="25"/>
      <c r="BF956" s="22">
        <v>45501</v>
      </c>
      <c r="BG956" s="26">
        <f t="shared" ca="1" si="218"/>
        <v>0.33606357731763603</v>
      </c>
      <c r="BH956" s="29">
        <v>0</v>
      </c>
      <c r="BJ956" s="22">
        <v>45501</v>
      </c>
      <c r="BK956" s="26">
        <f t="shared" ca="1" si="219"/>
        <v>0.91989615025438376</v>
      </c>
      <c r="BL956" s="29">
        <v>0</v>
      </c>
      <c r="BN956" s="22">
        <v>45501</v>
      </c>
      <c r="BO956" s="26">
        <f t="shared" ca="1" si="220"/>
        <v>0.90619330681438925</v>
      </c>
      <c r="BP956" s="29">
        <v>0</v>
      </c>
      <c r="BR956" s="22">
        <v>45501</v>
      </c>
      <c r="BS956" s="26">
        <f t="shared" ca="1" si="221"/>
        <v>0.92242148962581205</v>
      </c>
      <c r="BT956" s="29">
        <v>0</v>
      </c>
      <c r="BV956" s="22">
        <v>45501</v>
      </c>
      <c r="BW956" s="26">
        <f t="shared" ca="1" si="222"/>
        <v>8.7289926650048533E-2</v>
      </c>
      <c r="BX956" s="29">
        <v>0</v>
      </c>
    </row>
    <row r="957" spans="2:77" ht="12.75" x14ac:dyDescent="0.2">
      <c r="B957" s="22">
        <v>45502</v>
      </c>
      <c r="C957" s="26">
        <f t="shared" ca="1" si="205"/>
        <v>0.55711514569143361</v>
      </c>
      <c r="D957" s="29">
        <v>0</v>
      </c>
      <c r="F957" s="22"/>
      <c r="G957" s="26">
        <f t="shared" ca="1" si="206"/>
        <v>8.2475096511010815E-2</v>
      </c>
      <c r="H957" s="29">
        <v>0</v>
      </c>
      <c r="J957" s="22">
        <v>45502</v>
      </c>
      <c r="K957" s="26">
        <f t="shared" ca="1" si="207"/>
        <v>0.36248994041167981</v>
      </c>
      <c r="L957" s="29">
        <v>0</v>
      </c>
      <c r="N957" s="22">
        <v>45502</v>
      </c>
      <c r="O957" s="26">
        <f t="shared" ca="1" si="208"/>
        <v>0.17108739644089943</v>
      </c>
      <c r="P957" s="29">
        <v>0</v>
      </c>
      <c r="R957" s="22">
        <v>45502</v>
      </c>
      <c r="S957" s="26">
        <f t="shared" ca="1" si="209"/>
        <v>0.17547017512576768</v>
      </c>
      <c r="T957" s="29">
        <v>0</v>
      </c>
      <c r="V957" s="22">
        <v>45502</v>
      </c>
      <c r="W957" s="26">
        <f t="shared" ca="1" si="210"/>
        <v>0.57998092415171854</v>
      </c>
      <c r="X957" s="29">
        <v>0</v>
      </c>
      <c r="Z957" s="22">
        <v>45502</v>
      </c>
      <c r="AA957" s="26">
        <f t="shared" ca="1" si="211"/>
        <v>0.18590261133899411</v>
      </c>
      <c r="AB957" s="29">
        <v>0</v>
      </c>
      <c r="AC957"/>
      <c r="AD957" s="25"/>
      <c r="AF957" s="22">
        <v>45502</v>
      </c>
      <c r="AG957" s="26">
        <f t="shared" ca="1" si="212"/>
        <v>0.53859435365862252</v>
      </c>
      <c r="AH957" s="29">
        <v>0</v>
      </c>
      <c r="AJ957" s="22">
        <v>45502</v>
      </c>
      <c r="AK957" s="26">
        <f t="shared" ca="1" si="213"/>
        <v>0.8794173120584946</v>
      </c>
      <c r="AL957" s="29">
        <v>0</v>
      </c>
      <c r="AN957" s="22">
        <v>45502</v>
      </c>
      <c r="AO957" s="26">
        <f t="shared" ca="1" si="214"/>
        <v>0.73531323018054662</v>
      </c>
      <c r="AP957" s="29">
        <v>0</v>
      </c>
      <c r="AR957" s="22">
        <v>45502</v>
      </c>
      <c r="AS957" s="26">
        <f t="shared" ca="1" si="215"/>
        <v>0.54508965732814074</v>
      </c>
      <c r="AT957" s="29">
        <v>0</v>
      </c>
      <c r="AV957" s="22">
        <v>45502</v>
      </c>
      <c r="AW957" s="26">
        <f t="shared" ca="1" si="216"/>
        <v>0.11637655685084969</v>
      </c>
      <c r="AX957" s="29">
        <v>0</v>
      </c>
      <c r="AZ957" s="22">
        <v>45502</v>
      </c>
      <c r="BA957" s="26">
        <f t="shared" ca="1" si="217"/>
        <v>0.68378618496231858</v>
      </c>
      <c r="BB957" s="29">
        <v>0</v>
      </c>
      <c r="BC957"/>
      <c r="BD957" s="25"/>
      <c r="BF957" s="22">
        <v>45502</v>
      </c>
      <c r="BG957" s="26">
        <f t="shared" ca="1" si="218"/>
        <v>0.714740799014282</v>
      </c>
      <c r="BH957" s="29">
        <v>0</v>
      </c>
      <c r="BJ957" s="22">
        <v>45502</v>
      </c>
      <c r="BK957" s="26">
        <f t="shared" ca="1" si="219"/>
        <v>0.73375424203874506</v>
      </c>
      <c r="BL957" s="29">
        <v>0</v>
      </c>
      <c r="BN957" s="22">
        <v>45502</v>
      </c>
      <c r="BO957" s="26">
        <f t="shared" ca="1" si="220"/>
        <v>0.18106897866571203</v>
      </c>
      <c r="BP957" s="29">
        <v>0</v>
      </c>
      <c r="BR957" s="22">
        <v>45502</v>
      </c>
      <c r="BS957" s="26">
        <f t="shared" ca="1" si="221"/>
        <v>0.82631035181649437</v>
      </c>
      <c r="BT957" s="29">
        <v>0</v>
      </c>
      <c r="BV957" s="22">
        <v>45502</v>
      </c>
      <c r="BW957" s="26">
        <f t="shared" ca="1" si="222"/>
        <v>3.1974248590909582E-2</v>
      </c>
      <c r="BX957" s="29">
        <v>0</v>
      </c>
    </row>
    <row r="958" spans="2:77" ht="12.75" x14ac:dyDescent="0.2">
      <c r="B958" s="22">
        <v>45503</v>
      </c>
      <c r="C958" s="26">
        <f t="shared" ca="1" si="205"/>
        <v>0.56456701090749906</v>
      </c>
      <c r="D958" s="29">
        <v>0</v>
      </c>
      <c r="F958" s="22"/>
      <c r="G958" s="26">
        <f t="shared" ca="1" si="206"/>
        <v>0.10033736879347221</v>
      </c>
      <c r="H958" s="29">
        <v>0</v>
      </c>
      <c r="J958" s="22">
        <v>45503</v>
      </c>
      <c r="K958" s="26">
        <f t="shared" ca="1" si="207"/>
        <v>0.13830786096709813</v>
      </c>
      <c r="L958" s="29">
        <v>0</v>
      </c>
      <c r="N958" s="22">
        <v>45503</v>
      </c>
      <c r="O958" s="26">
        <f t="shared" ca="1" si="208"/>
        <v>0.46168735476476064</v>
      </c>
      <c r="P958" s="29">
        <v>0</v>
      </c>
      <c r="R958" s="22">
        <v>45503</v>
      </c>
      <c r="S958" s="26">
        <f t="shared" ca="1" si="209"/>
        <v>0.8590092416985361</v>
      </c>
      <c r="T958" s="29">
        <v>0</v>
      </c>
      <c r="V958" s="22">
        <v>45503</v>
      </c>
      <c r="W958" s="26">
        <f t="shared" ca="1" si="210"/>
        <v>0.95766732412948674</v>
      </c>
      <c r="X958" s="29">
        <v>0</v>
      </c>
      <c r="Z958" s="22">
        <v>45503</v>
      </c>
      <c r="AA958" s="26">
        <f t="shared" ca="1" si="211"/>
        <v>0.22375217764397837</v>
      </c>
      <c r="AB958" s="29">
        <v>0</v>
      </c>
      <c r="AC958"/>
      <c r="AD958" s="25"/>
      <c r="AF958" s="22">
        <v>45503</v>
      </c>
      <c r="AG958" s="26">
        <f t="shared" ca="1" si="212"/>
        <v>0.67497692602866832</v>
      </c>
      <c r="AH958" s="29">
        <v>0</v>
      </c>
      <c r="AJ958" s="22">
        <v>45503</v>
      </c>
      <c r="AK958" s="26">
        <f t="shared" ca="1" si="213"/>
        <v>0.71730202584564196</v>
      </c>
      <c r="AL958" s="29">
        <v>0</v>
      </c>
      <c r="AN958" s="22">
        <v>45503</v>
      </c>
      <c r="AO958" s="26">
        <f t="shared" ca="1" si="214"/>
        <v>0.99004980230513251</v>
      </c>
      <c r="AP958" s="29">
        <v>0</v>
      </c>
      <c r="AR958" s="22">
        <v>45503</v>
      </c>
      <c r="AS958" s="26">
        <f t="shared" ca="1" si="215"/>
        <v>0.20202050658025317</v>
      </c>
      <c r="AT958" s="29">
        <v>0</v>
      </c>
      <c r="AV958" s="22">
        <v>45503</v>
      </c>
      <c r="AW958" s="26">
        <f t="shared" ca="1" si="216"/>
        <v>0.28874223783778952</v>
      </c>
      <c r="AX958" s="29">
        <v>0</v>
      </c>
      <c r="AZ958" s="22">
        <v>45503</v>
      </c>
      <c r="BA958" s="26">
        <f t="shared" ca="1" si="217"/>
        <v>0.18150344007846564</v>
      </c>
      <c r="BB958" s="29">
        <v>0</v>
      </c>
      <c r="BC958"/>
      <c r="BD958" s="25"/>
      <c r="BF958" s="22">
        <v>45503</v>
      </c>
      <c r="BG958" s="26">
        <f t="shared" ca="1" si="218"/>
        <v>0.35174856126352572</v>
      </c>
      <c r="BH958" s="29">
        <v>0</v>
      </c>
      <c r="BJ958" s="22">
        <v>45503</v>
      </c>
      <c r="BK958" s="26">
        <f t="shared" ca="1" si="219"/>
        <v>6.5394418613352046E-2</v>
      </c>
      <c r="BL958" s="29">
        <v>0</v>
      </c>
      <c r="BN958" s="22">
        <v>45503</v>
      </c>
      <c r="BO958" s="26">
        <f t="shared" ca="1" si="220"/>
        <v>0.42840036215510169</v>
      </c>
      <c r="BP958" s="29">
        <v>0</v>
      </c>
      <c r="BR958" s="22">
        <v>45503</v>
      </c>
      <c r="BS958" s="26">
        <f t="shared" ca="1" si="221"/>
        <v>0.17380213216517448</v>
      </c>
      <c r="BT958" s="29">
        <v>0</v>
      </c>
      <c r="BV958" s="22">
        <v>45503</v>
      </c>
      <c r="BW958" s="26">
        <f t="shared" ca="1" si="222"/>
        <v>0.58080338519555819</v>
      </c>
      <c r="BX958" s="29">
        <v>0</v>
      </c>
    </row>
    <row r="959" spans="2:77" ht="12.75" x14ac:dyDescent="0.2">
      <c r="B959" s="22">
        <v>45504</v>
      </c>
      <c r="C959" s="26">
        <f t="shared" ca="1" si="205"/>
        <v>0.26254036626747823</v>
      </c>
      <c r="D959" s="29">
        <v>0</v>
      </c>
      <c r="E959">
        <v>376</v>
      </c>
      <c r="F959" s="22"/>
      <c r="G959" s="26">
        <f t="shared" ca="1" si="206"/>
        <v>0.98763071333863728</v>
      </c>
      <c r="H959" s="29">
        <v>0</v>
      </c>
      <c r="I959">
        <v>332</v>
      </c>
      <c r="J959" s="22">
        <v>45504</v>
      </c>
      <c r="K959" s="26">
        <f t="shared" ca="1" si="207"/>
        <v>0.15323896850182128</v>
      </c>
      <c r="L959" s="29">
        <v>0</v>
      </c>
      <c r="M959">
        <v>757</v>
      </c>
      <c r="N959" s="22">
        <v>45504</v>
      </c>
      <c r="O959" s="26">
        <f t="shared" ca="1" si="208"/>
        <v>5.0038950582528496E-2</v>
      </c>
      <c r="P959" s="29">
        <v>0</v>
      </c>
      <c r="Q959">
        <v>1165</v>
      </c>
      <c r="R959" s="22">
        <v>45504</v>
      </c>
      <c r="S959" s="26">
        <f t="shared" ca="1" si="209"/>
        <v>0.64313140718950912</v>
      </c>
      <c r="T959" s="29">
        <v>0</v>
      </c>
      <c r="U959">
        <v>709</v>
      </c>
      <c r="V959" s="22">
        <v>45504</v>
      </c>
      <c r="W959" s="26">
        <f t="shared" ca="1" si="210"/>
        <v>0.59231634031447866</v>
      </c>
      <c r="X959" s="29">
        <v>0</v>
      </c>
      <c r="Y959">
        <v>1160</v>
      </c>
      <c r="Z959" s="22">
        <v>45504</v>
      </c>
      <c r="AA959" s="26">
        <f t="shared" ca="1" si="211"/>
        <v>0.77335133495416697</v>
      </c>
      <c r="AB959" s="29">
        <v>0</v>
      </c>
      <c r="AC959">
        <v>1345</v>
      </c>
      <c r="AD959" s="25"/>
      <c r="AF959" s="22">
        <v>45504</v>
      </c>
      <c r="AG959" s="26">
        <f t="shared" ca="1" si="212"/>
        <v>0.59551412334258658</v>
      </c>
      <c r="AH959" s="29">
        <v>0</v>
      </c>
      <c r="AI959">
        <v>1498</v>
      </c>
      <c r="AJ959" s="22">
        <v>45504</v>
      </c>
      <c r="AK959" s="26">
        <f t="shared" ca="1" si="213"/>
        <v>0.21855493677586002</v>
      </c>
      <c r="AL959" s="29">
        <v>0</v>
      </c>
      <c r="AM959">
        <v>981</v>
      </c>
      <c r="AN959" s="22">
        <v>45504</v>
      </c>
      <c r="AO959" s="26">
        <f t="shared" ca="1" si="214"/>
        <v>0.74633368657182275</v>
      </c>
      <c r="AP959" s="29">
        <v>0</v>
      </c>
      <c r="AQ959">
        <v>772</v>
      </c>
      <c r="AR959" s="22">
        <v>45504</v>
      </c>
      <c r="AS959" s="26">
        <f t="shared" ca="1" si="215"/>
        <v>0.87616704793018718</v>
      </c>
      <c r="AT959" s="29">
        <v>0</v>
      </c>
      <c r="AU959">
        <v>865</v>
      </c>
      <c r="AV959" s="22">
        <v>45504</v>
      </c>
      <c r="AW959" s="26">
        <f t="shared" ca="1" si="216"/>
        <v>0.43712019349350029</v>
      </c>
      <c r="AX959" s="29">
        <v>0</v>
      </c>
      <c r="AY959">
        <v>870</v>
      </c>
      <c r="AZ959" s="22">
        <v>45504</v>
      </c>
      <c r="BA959" s="26">
        <f t="shared" ca="1" si="217"/>
        <v>4.827803975137468E-2</v>
      </c>
      <c r="BB959" s="29">
        <v>0</v>
      </c>
      <c r="BC959">
        <v>892</v>
      </c>
      <c r="BD959" s="25"/>
      <c r="BF959" s="22">
        <v>45504</v>
      </c>
      <c r="BG959" s="26">
        <f t="shared" ca="1" si="218"/>
        <v>0.90864135767462062</v>
      </c>
      <c r="BH959" s="29">
        <v>0</v>
      </c>
      <c r="BI959">
        <v>1065</v>
      </c>
      <c r="BJ959" s="22">
        <v>45504</v>
      </c>
      <c r="BK959" s="26">
        <f t="shared" ca="1" si="219"/>
        <v>0.97495180022175176</v>
      </c>
      <c r="BL959" s="29">
        <v>0</v>
      </c>
      <c r="BM959">
        <v>776</v>
      </c>
      <c r="BN959" s="22">
        <v>45504</v>
      </c>
      <c r="BO959" s="26">
        <f t="shared" ca="1" si="220"/>
        <v>0.85838037847499304</v>
      </c>
      <c r="BP959" s="29">
        <v>0</v>
      </c>
      <c r="BQ959">
        <v>721</v>
      </c>
      <c r="BR959" s="22">
        <v>45504</v>
      </c>
      <c r="BS959" s="26">
        <f t="shared" ca="1" si="221"/>
        <v>0.1857950720583913</v>
      </c>
      <c r="BT959" s="29">
        <v>0</v>
      </c>
      <c r="BU959">
        <v>848</v>
      </c>
      <c r="BV959" s="22">
        <v>45504</v>
      </c>
      <c r="BW959" s="26">
        <f t="shared" ca="1" si="222"/>
        <v>0.71165261474067798</v>
      </c>
      <c r="BX959" s="29">
        <v>0</v>
      </c>
      <c r="BY959">
        <v>951</v>
      </c>
    </row>
    <row r="960" spans="2:77" ht="12.75" x14ac:dyDescent="0.2">
      <c r="B960" s="22">
        <v>45505</v>
      </c>
      <c r="C960" s="26">
        <f t="shared" ca="1" si="205"/>
        <v>0.95629202702127469</v>
      </c>
      <c r="D960" s="29">
        <v>0</v>
      </c>
      <c r="F960" s="22"/>
      <c r="G960" s="26">
        <f t="shared" ca="1" si="206"/>
        <v>0.19122617813980991</v>
      </c>
      <c r="H960" s="29">
        <v>0</v>
      </c>
      <c r="I960">
        <v>0</v>
      </c>
      <c r="J960" s="22">
        <v>45505</v>
      </c>
      <c r="K960" s="26">
        <f t="shared" ca="1" si="207"/>
        <v>0.22098788857837126</v>
      </c>
      <c r="L960" s="29">
        <v>0</v>
      </c>
      <c r="N960" s="22">
        <v>45505</v>
      </c>
      <c r="O960" s="26">
        <f t="shared" ca="1" si="208"/>
        <v>0.92663861721675023</v>
      </c>
      <c r="P960" s="29">
        <v>0</v>
      </c>
      <c r="R960" s="22">
        <v>45505</v>
      </c>
      <c r="S960" s="26">
        <f t="shared" ca="1" si="209"/>
        <v>0.33605791812749619</v>
      </c>
      <c r="T960" s="29">
        <v>0</v>
      </c>
      <c r="V960" s="22">
        <v>45505</v>
      </c>
      <c r="W960" s="26">
        <f t="shared" ca="1" si="210"/>
        <v>0.9806825901952636</v>
      </c>
      <c r="X960" s="29">
        <v>0</v>
      </c>
      <c r="Z960" s="22">
        <v>45505</v>
      </c>
      <c r="AA960" s="26">
        <f t="shared" ca="1" si="211"/>
        <v>0.72995638075034952</v>
      </c>
      <c r="AB960" s="29">
        <v>0</v>
      </c>
      <c r="AC960"/>
      <c r="AD960" s="25"/>
      <c r="AF960" s="22">
        <v>45505</v>
      </c>
      <c r="AG960" s="26">
        <f t="shared" ca="1" si="212"/>
        <v>0.21624828980550703</v>
      </c>
      <c r="AH960" s="29">
        <v>0</v>
      </c>
      <c r="AJ960" s="22">
        <v>45505</v>
      </c>
      <c r="AK960" s="26">
        <f t="shared" ca="1" si="213"/>
        <v>0.54129647842221151</v>
      </c>
      <c r="AL960" s="29">
        <v>0</v>
      </c>
      <c r="AN960" s="22">
        <v>45505</v>
      </c>
      <c r="AO960" s="26">
        <f t="shared" ca="1" si="214"/>
        <v>0.32206320133856026</v>
      </c>
      <c r="AP960" s="29">
        <v>0</v>
      </c>
      <c r="AR960" s="22">
        <v>45505</v>
      </c>
      <c r="AS960" s="26">
        <f t="shared" ca="1" si="215"/>
        <v>5.41192993159757E-2</v>
      </c>
      <c r="AT960" s="29">
        <v>0</v>
      </c>
      <c r="AV960" s="22">
        <v>45505</v>
      </c>
      <c r="AW960" s="26">
        <f t="shared" ca="1" si="216"/>
        <v>0.63195360221418473</v>
      </c>
      <c r="AX960" s="29">
        <v>0</v>
      </c>
      <c r="AZ960" s="22">
        <v>45505</v>
      </c>
      <c r="BA960" s="26">
        <f t="shared" ca="1" si="217"/>
        <v>0.18310124700757746</v>
      </c>
      <c r="BB960" s="29">
        <v>0</v>
      </c>
      <c r="BC960"/>
      <c r="BD960" s="25"/>
      <c r="BF960" s="22">
        <v>45505</v>
      </c>
      <c r="BG960" s="26">
        <f t="shared" ca="1" si="218"/>
        <v>0.70950852599076242</v>
      </c>
      <c r="BH960" s="29">
        <v>0</v>
      </c>
      <c r="BJ960" s="22">
        <v>45505</v>
      </c>
      <c r="BK960" s="26">
        <f t="shared" ca="1" si="219"/>
        <v>0.3901458556280939</v>
      </c>
      <c r="BL960" s="29">
        <v>0</v>
      </c>
      <c r="BN960" s="22">
        <v>45505</v>
      </c>
      <c r="BO960" s="26">
        <f t="shared" ca="1" si="220"/>
        <v>0.44984712974021779</v>
      </c>
      <c r="BP960" s="29">
        <v>0</v>
      </c>
      <c r="BR960" s="22">
        <v>45505</v>
      </c>
      <c r="BS960" s="26">
        <f t="shared" ca="1" si="221"/>
        <v>0.60952081906146394</v>
      </c>
      <c r="BT960" s="29">
        <v>0</v>
      </c>
      <c r="BV960" s="22">
        <v>45505</v>
      </c>
      <c r="BW960" s="26">
        <f t="shared" ca="1" si="222"/>
        <v>0.15154032395174533</v>
      </c>
      <c r="BX960" s="29">
        <v>0</v>
      </c>
    </row>
    <row r="961" spans="2:76" ht="12.75" x14ac:dyDescent="0.2">
      <c r="B961" s="22">
        <v>45506</v>
      </c>
      <c r="C961" s="26">
        <f t="shared" ca="1" si="205"/>
        <v>0.72771565983196629</v>
      </c>
      <c r="D961" s="29">
        <v>0</v>
      </c>
      <c r="F961" s="22"/>
      <c r="G961" s="26">
        <f t="shared" ca="1" si="206"/>
        <v>0.49297730721630018</v>
      </c>
      <c r="H961" s="29">
        <v>0</v>
      </c>
      <c r="J961" s="22">
        <v>45506</v>
      </c>
      <c r="K961" s="26">
        <f t="shared" ca="1" si="207"/>
        <v>0.95145763680829765</v>
      </c>
      <c r="L961" s="29">
        <v>0</v>
      </c>
      <c r="N961" s="22">
        <v>45506</v>
      </c>
      <c r="O961" s="26">
        <f t="shared" ca="1" si="208"/>
        <v>0.32660277451295017</v>
      </c>
      <c r="P961" s="29">
        <v>0</v>
      </c>
      <c r="R961" s="22">
        <v>45506</v>
      </c>
      <c r="S961" s="26">
        <f t="shared" ca="1" si="209"/>
        <v>0.71465243732463035</v>
      </c>
      <c r="T961" s="29">
        <v>0</v>
      </c>
      <c r="V961" s="22">
        <v>45506</v>
      </c>
      <c r="W961" s="26">
        <f t="shared" ca="1" si="210"/>
        <v>0.70839270209728389</v>
      </c>
      <c r="X961" s="29">
        <v>0</v>
      </c>
      <c r="Z961" s="22">
        <v>45506</v>
      </c>
      <c r="AA961" s="26">
        <f t="shared" ca="1" si="211"/>
        <v>0.21377707442713012</v>
      </c>
      <c r="AB961" s="29">
        <v>0</v>
      </c>
      <c r="AC961"/>
      <c r="AD961" s="25"/>
      <c r="AF961" s="22">
        <v>45506</v>
      </c>
      <c r="AG961" s="26">
        <f t="shared" ca="1" si="212"/>
        <v>0.47873507161906736</v>
      </c>
      <c r="AH961" s="29">
        <v>0</v>
      </c>
      <c r="AJ961" s="22">
        <v>45506</v>
      </c>
      <c r="AK961" s="26">
        <f t="shared" ca="1" si="213"/>
        <v>0.65852313075696789</v>
      </c>
      <c r="AL961" s="29">
        <v>0</v>
      </c>
      <c r="AN961" s="22">
        <v>45506</v>
      </c>
      <c r="AO961" s="26">
        <f t="shared" ca="1" si="214"/>
        <v>0.94745117319474592</v>
      </c>
      <c r="AP961" s="29">
        <v>0</v>
      </c>
      <c r="AR961" s="22">
        <v>45506</v>
      </c>
      <c r="AS961" s="26">
        <f t="shared" ca="1" si="215"/>
        <v>0.16232431832170191</v>
      </c>
      <c r="AT961" s="29">
        <v>0</v>
      </c>
      <c r="AV961" s="22">
        <v>45506</v>
      </c>
      <c r="AW961" s="26">
        <f t="shared" ca="1" si="216"/>
        <v>0.18974771826197279</v>
      </c>
      <c r="AX961" s="29">
        <v>0</v>
      </c>
      <c r="AZ961" s="22">
        <v>45506</v>
      </c>
      <c r="BA961" s="26">
        <f t="shared" ca="1" si="217"/>
        <v>0.79876592072609875</v>
      </c>
      <c r="BB961" s="29">
        <v>0</v>
      </c>
      <c r="BC961"/>
      <c r="BD961" s="25"/>
      <c r="BF961" s="22">
        <v>45506</v>
      </c>
      <c r="BG961" s="26">
        <f t="shared" ca="1" si="218"/>
        <v>0.5216828340190246</v>
      </c>
      <c r="BH961" s="29">
        <v>0</v>
      </c>
      <c r="BJ961" s="22">
        <v>45506</v>
      </c>
      <c r="BK961" s="26">
        <f t="shared" ca="1" si="219"/>
        <v>0.50893664366809388</v>
      </c>
      <c r="BL961" s="29">
        <v>0</v>
      </c>
      <c r="BN961" s="22">
        <v>45506</v>
      </c>
      <c r="BO961" s="26">
        <f t="shared" ca="1" si="220"/>
        <v>0.22032608850551261</v>
      </c>
      <c r="BP961" s="29">
        <v>0</v>
      </c>
      <c r="BR961" s="22">
        <v>45506</v>
      </c>
      <c r="BS961" s="26">
        <f t="shared" ca="1" si="221"/>
        <v>0.13532145277961982</v>
      </c>
      <c r="BT961" s="29">
        <v>0</v>
      </c>
      <c r="BV961" s="22">
        <v>45506</v>
      </c>
      <c r="BW961" s="26">
        <f t="shared" ca="1" si="222"/>
        <v>0.25643630608385959</v>
      </c>
      <c r="BX961" s="29">
        <v>0</v>
      </c>
    </row>
    <row r="962" spans="2:76" ht="12.75" x14ac:dyDescent="0.2">
      <c r="B962" s="22">
        <v>45507</v>
      </c>
      <c r="C962" s="26">
        <f t="shared" ca="1" si="205"/>
        <v>0.9097142792991012</v>
      </c>
      <c r="D962" s="29">
        <v>0</v>
      </c>
      <c r="F962" s="22"/>
      <c r="G962" s="26">
        <f t="shared" ca="1" si="206"/>
        <v>0.18792422909408879</v>
      </c>
      <c r="H962" s="29">
        <v>0</v>
      </c>
      <c r="J962" s="22">
        <v>45507</v>
      </c>
      <c r="K962" s="26">
        <f t="shared" ca="1" si="207"/>
        <v>0.23466864726431225</v>
      </c>
      <c r="L962" s="29">
        <v>0</v>
      </c>
      <c r="N962" s="22">
        <v>45507</v>
      </c>
      <c r="O962" s="26">
        <f t="shared" ca="1" si="208"/>
        <v>0.12604665299419948</v>
      </c>
      <c r="P962" s="29">
        <v>0</v>
      </c>
      <c r="R962" s="22">
        <v>45507</v>
      </c>
      <c r="S962" s="26">
        <f t="shared" ca="1" si="209"/>
        <v>8.5781134279177329E-2</v>
      </c>
      <c r="T962" s="29">
        <v>0</v>
      </c>
      <c r="V962" s="22">
        <v>45507</v>
      </c>
      <c r="W962" s="26">
        <f t="shared" ca="1" si="210"/>
        <v>0.90828880173894577</v>
      </c>
      <c r="X962" s="29">
        <v>0</v>
      </c>
      <c r="Z962" s="22">
        <v>45507</v>
      </c>
      <c r="AA962" s="26">
        <f t="shared" ca="1" si="211"/>
        <v>0.94048973251306711</v>
      </c>
      <c r="AB962" s="29">
        <v>0</v>
      </c>
      <c r="AC962"/>
      <c r="AD962" s="25"/>
      <c r="AF962" s="22">
        <v>45507</v>
      </c>
      <c r="AG962" s="26">
        <f t="shared" ca="1" si="212"/>
        <v>0.86827057200267044</v>
      </c>
      <c r="AH962" s="29">
        <v>0</v>
      </c>
      <c r="AJ962" s="22">
        <v>45507</v>
      </c>
      <c r="AK962" s="26">
        <f t="shared" ca="1" si="213"/>
        <v>6.2482377895956454E-2</v>
      </c>
      <c r="AL962" s="29">
        <v>0</v>
      </c>
      <c r="AN962" s="22">
        <v>45507</v>
      </c>
      <c r="AO962" s="26">
        <f t="shared" ca="1" si="214"/>
        <v>0.86333021228268547</v>
      </c>
      <c r="AP962" s="29">
        <v>0</v>
      </c>
      <c r="AR962" s="22">
        <v>45507</v>
      </c>
      <c r="AS962" s="26">
        <f t="shared" ca="1" si="215"/>
        <v>0.63613726675956739</v>
      </c>
      <c r="AT962" s="29">
        <v>0</v>
      </c>
      <c r="AV962" s="22">
        <v>45507</v>
      </c>
      <c r="AW962" s="26">
        <f t="shared" ca="1" si="216"/>
        <v>0.37221929210575189</v>
      </c>
      <c r="AX962" s="29">
        <v>0</v>
      </c>
      <c r="AZ962" s="22">
        <v>45507</v>
      </c>
      <c r="BA962" s="26">
        <f t="shared" ca="1" si="217"/>
        <v>0.63152160821885306</v>
      </c>
      <c r="BB962" s="29">
        <v>0</v>
      </c>
      <c r="BC962"/>
      <c r="BD962" s="25"/>
      <c r="BF962" s="22">
        <v>45507</v>
      </c>
      <c r="BG962" s="26">
        <f t="shared" ca="1" si="218"/>
        <v>0.55929060379778517</v>
      </c>
      <c r="BH962" s="29">
        <v>0</v>
      </c>
      <c r="BJ962" s="22">
        <v>45507</v>
      </c>
      <c r="BK962" s="26">
        <f t="shared" ca="1" si="219"/>
        <v>0.38818604878157814</v>
      </c>
      <c r="BL962" s="29">
        <v>0</v>
      </c>
      <c r="BN962" s="22">
        <v>45507</v>
      </c>
      <c r="BO962" s="26">
        <f t="shared" ca="1" si="220"/>
        <v>0.13926962477128357</v>
      </c>
      <c r="BP962" s="29">
        <v>0</v>
      </c>
      <c r="BR962" s="22">
        <v>45507</v>
      </c>
      <c r="BS962" s="26">
        <f t="shared" ca="1" si="221"/>
        <v>0.69085006782588254</v>
      </c>
      <c r="BT962" s="29">
        <v>0</v>
      </c>
      <c r="BV962" s="22">
        <v>45507</v>
      </c>
      <c r="BW962" s="26">
        <f t="shared" ca="1" si="222"/>
        <v>0.84722026102828474</v>
      </c>
      <c r="BX962" s="29">
        <v>0</v>
      </c>
    </row>
    <row r="963" spans="2:76" ht="12.75" x14ac:dyDescent="0.2">
      <c r="B963" s="22">
        <v>45508</v>
      </c>
      <c r="C963" s="26">
        <f t="shared" ca="1" si="205"/>
        <v>0.114015700994897</v>
      </c>
      <c r="D963" s="29">
        <v>0</v>
      </c>
      <c r="F963" s="22"/>
      <c r="G963" s="26">
        <f t="shared" ca="1" si="206"/>
        <v>0.8102514184758437</v>
      </c>
      <c r="H963" s="29">
        <v>0</v>
      </c>
      <c r="J963" s="22">
        <v>45508</v>
      </c>
      <c r="K963" s="26">
        <f t="shared" ca="1" si="207"/>
        <v>0.20083910652947179</v>
      </c>
      <c r="L963" s="29">
        <v>0</v>
      </c>
      <c r="N963" s="22">
        <v>45508</v>
      </c>
      <c r="O963" s="26">
        <f t="shared" ca="1" si="208"/>
        <v>0.80102012442564963</v>
      </c>
      <c r="P963" s="29">
        <v>0</v>
      </c>
      <c r="R963" s="22">
        <v>45508</v>
      </c>
      <c r="S963" s="26">
        <f t="shared" ca="1" si="209"/>
        <v>0.72530765864187374</v>
      </c>
      <c r="T963" s="29">
        <v>0</v>
      </c>
      <c r="V963" s="22">
        <v>45508</v>
      </c>
      <c r="W963" s="26">
        <f t="shared" ca="1" si="210"/>
        <v>0.95260368767339609</v>
      </c>
      <c r="X963" s="29">
        <v>0</v>
      </c>
      <c r="Z963" s="22">
        <v>45508</v>
      </c>
      <c r="AA963" s="26">
        <f t="shared" ca="1" si="211"/>
        <v>0.57456543058277443</v>
      </c>
      <c r="AB963" s="29">
        <v>0</v>
      </c>
      <c r="AC963"/>
      <c r="AD963" s="25"/>
      <c r="AF963" s="22">
        <v>45508</v>
      </c>
      <c r="AG963" s="26">
        <f t="shared" ca="1" si="212"/>
        <v>0.62350934952564463</v>
      </c>
      <c r="AH963" s="29">
        <v>0</v>
      </c>
      <c r="AJ963" s="22">
        <v>45508</v>
      </c>
      <c r="AK963" s="26">
        <f t="shared" ca="1" si="213"/>
        <v>0.28574422930295085</v>
      </c>
      <c r="AL963" s="29">
        <v>0</v>
      </c>
      <c r="AN963" s="22">
        <v>45508</v>
      </c>
      <c r="AO963" s="26">
        <f t="shared" ca="1" si="214"/>
        <v>0.78616198682091676</v>
      </c>
      <c r="AP963" s="29">
        <v>0</v>
      </c>
      <c r="AR963" s="22">
        <v>45508</v>
      </c>
      <c r="AS963" s="26">
        <f t="shared" ca="1" si="215"/>
        <v>0.84581632229302051</v>
      </c>
      <c r="AT963" s="29">
        <v>0</v>
      </c>
      <c r="AV963" s="22">
        <v>45508</v>
      </c>
      <c r="AW963" s="26">
        <f t="shared" ca="1" si="216"/>
        <v>0.80811505992713673</v>
      </c>
      <c r="AX963" s="29">
        <v>0</v>
      </c>
      <c r="AZ963" s="22">
        <v>45508</v>
      </c>
      <c r="BA963" s="26">
        <f t="shared" ca="1" si="217"/>
        <v>0.81771160442182345</v>
      </c>
      <c r="BB963" s="29">
        <v>0</v>
      </c>
      <c r="BC963"/>
      <c r="BD963" s="25"/>
      <c r="BF963" s="22">
        <v>45508</v>
      </c>
      <c r="BG963" s="26">
        <f t="shared" ca="1" si="218"/>
        <v>0.15125673036147502</v>
      </c>
      <c r="BH963" s="29">
        <v>0</v>
      </c>
      <c r="BJ963" s="22">
        <v>45508</v>
      </c>
      <c r="BK963" s="26">
        <f t="shared" ca="1" si="219"/>
        <v>0.4355481396851324</v>
      </c>
      <c r="BL963" s="29">
        <v>0</v>
      </c>
      <c r="BN963" s="22">
        <v>45508</v>
      </c>
      <c r="BO963" s="26">
        <f t="shared" ca="1" si="220"/>
        <v>0.29335427450534524</v>
      </c>
      <c r="BP963" s="29">
        <v>0</v>
      </c>
      <c r="BR963" s="22">
        <v>45508</v>
      </c>
      <c r="BS963" s="26">
        <f t="shared" ca="1" si="221"/>
        <v>0.99059076286052317</v>
      </c>
      <c r="BT963" s="29">
        <v>0</v>
      </c>
      <c r="BV963" s="22">
        <v>45508</v>
      </c>
      <c r="BW963" s="26">
        <f t="shared" ca="1" si="222"/>
        <v>0.86775657746169799</v>
      </c>
      <c r="BX963" s="29">
        <v>0</v>
      </c>
    </row>
    <row r="964" spans="2:76" ht="12.75" x14ac:dyDescent="0.2">
      <c r="B964" s="22">
        <v>45509</v>
      </c>
      <c r="C964" s="26">
        <f t="shared" ca="1" si="205"/>
        <v>0.66999801171011752</v>
      </c>
      <c r="D964" s="29">
        <v>0</v>
      </c>
      <c r="F964" s="22"/>
      <c r="G964" s="26">
        <f t="shared" ca="1" si="206"/>
        <v>0.72019349885278472</v>
      </c>
      <c r="H964" s="29">
        <v>0</v>
      </c>
      <c r="J964" s="22">
        <v>45509</v>
      </c>
      <c r="K964" s="26">
        <f t="shared" ca="1" si="207"/>
        <v>0.8899055741055627</v>
      </c>
      <c r="L964" s="29">
        <v>0</v>
      </c>
      <c r="N964" s="22">
        <v>45509</v>
      </c>
      <c r="O964" s="26">
        <f t="shared" ca="1" si="208"/>
        <v>0.49306855184386811</v>
      </c>
      <c r="P964" s="29">
        <v>0</v>
      </c>
      <c r="R964" s="22">
        <v>45509</v>
      </c>
      <c r="S964" s="26">
        <f t="shared" ca="1" si="209"/>
        <v>0.34777578280018928</v>
      </c>
      <c r="T964" s="29">
        <v>0</v>
      </c>
      <c r="V964" s="22">
        <v>45509</v>
      </c>
      <c r="W964" s="26">
        <f t="shared" ca="1" si="210"/>
        <v>0.18777296419171796</v>
      </c>
      <c r="X964" s="29">
        <v>0</v>
      </c>
      <c r="Z964" s="22">
        <v>45509</v>
      </c>
      <c r="AA964" s="26">
        <f t="shared" ca="1" si="211"/>
        <v>0.49520338431464628</v>
      </c>
      <c r="AB964" s="29">
        <v>0</v>
      </c>
      <c r="AC964"/>
      <c r="AD964" s="25"/>
      <c r="AF964" s="22">
        <v>45509</v>
      </c>
      <c r="AG964" s="26">
        <f t="shared" ca="1" si="212"/>
        <v>0.13187423015702215</v>
      </c>
      <c r="AH964" s="29">
        <v>0</v>
      </c>
      <c r="AJ964" s="22">
        <v>45509</v>
      </c>
      <c r="AK964" s="26">
        <f t="shared" ca="1" si="213"/>
        <v>0.5480112398875614</v>
      </c>
      <c r="AL964" s="29">
        <v>0</v>
      </c>
      <c r="AN964" s="22">
        <v>45509</v>
      </c>
      <c r="AO964" s="26">
        <f t="shared" ca="1" si="214"/>
        <v>0.81940068242232222</v>
      </c>
      <c r="AP964" s="29">
        <v>0</v>
      </c>
      <c r="AR964" s="22">
        <v>45509</v>
      </c>
      <c r="AS964" s="26">
        <f t="shared" ca="1" si="215"/>
        <v>0.18067636197206949</v>
      </c>
      <c r="AT964" s="29">
        <v>0</v>
      </c>
      <c r="AV964" s="22">
        <v>45509</v>
      </c>
      <c r="AW964" s="26">
        <f t="shared" ca="1" si="216"/>
        <v>0.55326961661544871</v>
      </c>
      <c r="AX964" s="29">
        <v>0</v>
      </c>
      <c r="AZ964" s="22">
        <v>45509</v>
      </c>
      <c r="BA964" s="26">
        <f t="shared" ca="1" si="217"/>
        <v>0.76173430501649175</v>
      </c>
      <c r="BB964" s="29">
        <v>0</v>
      </c>
      <c r="BC964"/>
      <c r="BD964" s="25"/>
      <c r="BF964" s="22">
        <v>45509</v>
      </c>
      <c r="BG964" s="26">
        <f t="shared" ca="1" si="218"/>
        <v>0.18372707585736359</v>
      </c>
      <c r="BH964" s="29">
        <v>0</v>
      </c>
      <c r="BJ964" s="22">
        <v>45509</v>
      </c>
      <c r="BK964" s="26">
        <f t="shared" ca="1" si="219"/>
        <v>0.29283901329307838</v>
      </c>
      <c r="BL964" s="29">
        <v>0</v>
      </c>
      <c r="BN964" s="22">
        <v>45509</v>
      </c>
      <c r="BO964" s="26">
        <f t="shared" ca="1" si="220"/>
        <v>0.10850833822750428</v>
      </c>
      <c r="BP964" s="29">
        <v>0</v>
      </c>
      <c r="BR964" s="22">
        <v>45509</v>
      </c>
      <c r="BS964" s="26">
        <f t="shared" ca="1" si="221"/>
        <v>0.76800006242026764</v>
      </c>
      <c r="BT964" s="29">
        <v>0</v>
      </c>
      <c r="BV964" s="22">
        <v>45509</v>
      </c>
      <c r="BW964" s="26">
        <f t="shared" ca="1" si="222"/>
        <v>0.33774065917831286</v>
      </c>
      <c r="BX964" s="29">
        <v>0</v>
      </c>
    </row>
    <row r="965" spans="2:76" ht="12.75" x14ac:dyDescent="0.2">
      <c r="B965" s="22">
        <v>45510</v>
      </c>
      <c r="C965" s="26">
        <f t="shared" ca="1" si="205"/>
        <v>0.49512712509766954</v>
      </c>
      <c r="D965" s="29">
        <v>0</v>
      </c>
      <c r="F965" s="22"/>
      <c r="G965" s="26">
        <f t="shared" ca="1" si="206"/>
        <v>0.8098487058595758</v>
      </c>
      <c r="H965" s="29">
        <v>0</v>
      </c>
      <c r="J965" s="22">
        <v>45510</v>
      </c>
      <c r="K965" s="26">
        <f t="shared" ca="1" si="207"/>
        <v>0.73573544943837177</v>
      </c>
      <c r="L965" s="29">
        <v>0</v>
      </c>
      <c r="N965" s="22">
        <v>45510</v>
      </c>
      <c r="O965" s="26">
        <f t="shared" ca="1" si="208"/>
        <v>0.50653994491847287</v>
      </c>
      <c r="P965" s="29">
        <v>0</v>
      </c>
      <c r="R965" s="22">
        <v>45510</v>
      </c>
      <c r="S965" s="26">
        <f t="shared" ca="1" si="209"/>
        <v>8.1893514947056767E-2</v>
      </c>
      <c r="T965" s="29">
        <v>0</v>
      </c>
      <c r="V965" s="22">
        <v>45510</v>
      </c>
      <c r="W965" s="26">
        <f t="shared" ca="1" si="210"/>
        <v>0.31950572674031053</v>
      </c>
      <c r="X965" s="29">
        <v>0</v>
      </c>
      <c r="Z965" s="22">
        <v>45510</v>
      </c>
      <c r="AA965" s="26">
        <f t="shared" ca="1" si="211"/>
        <v>0.22593712165708157</v>
      </c>
      <c r="AB965" s="29">
        <v>0</v>
      </c>
      <c r="AC965"/>
      <c r="AD965" s="25"/>
      <c r="AF965" s="22">
        <v>45510</v>
      </c>
      <c r="AG965" s="26">
        <f t="shared" ca="1" si="212"/>
        <v>0.99167861137608371</v>
      </c>
      <c r="AH965" s="29">
        <v>0</v>
      </c>
      <c r="AJ965" s="22">
        <v>45510</v>
      </c>
      <c r="AK965" s="26">
        <f t="shared" ca="1" si="213"/>
        <v>0.95582513981698136</v>
      </c>
      <c r="AL965" s="29">
        <v>0</v>
      </c>
      <c r="AN965" s="22">
        <v>45510</v>
      </c>
      <c r="AO965" s="26">
        <f t="shared" ca="1" si="214"/>
        <v>0.78250961027226407</v>
      </c>
      <c r="AP965" s="29">
        <v>0</v>
      </c>
      <c r="AR965" s="22">
        <v>45510</v>
      </c>
      <c r="AS965" s="26">
        <f t="shared" ca="1" si="215"/>
        <v>0.23999793817937443</v>
      </c>
      <c r="AT965" s="29">
        <v>0</v>
      </c>
      <c r="AV965" s="22">
        <v>45510</v>
      </c>
      <c r="AW965" s="26">
        <f t="shared" ca="1" si="216"/>
        <v>0.51841570843120588</v>
      </c>
      <c r="AX965" s="29">
        <v>0</v>
      </c>
      <c r="AZ965" s="22">
        <v>45510</v>
      </c>
      <c r="BA965" s="26">
        <f t="shared" ca="1" si="217"/>
        <v>0.7757526977198782</v>
      </c>
      <c r="BB965" s="29">
        <v>0</v>
      </c>
      <c r="BC965"/>
      <c r="BD965" s="25"/>
      <c r="BF965" s="22">
        <v>45510</v>
      </c>
      <c r="BG965" s="26">
        <f t="shared" ca="1" si="218"/>
        <v>0.1546567772116697</v>
      </c>
      <c r="BH965" s="29">
        <v>0</v>
      </c>
      <c r="BJ965" s="22">
        <v>45510</v>
      </c>
      <c r="BK965" s="26">
        <f t="shared" ca="1" si="219"/>
        <v>1.9493738454188225E-2</v>
      </c>
      <c r="BL965" s="29">
        <v>0</v>
      </c>
      <c r="BN965" s="22">
        <v>45510</v>
      </c>
      <c r="BO965" s="26">
        <f t="shared" ca="1" si="220"/>
        <v>0.95100221203121227</v>
      </c>
      <c r="BP965" s="29">
        <v>0</v>
      </c>
      <c r="BR965" s="22">
        <v>45510</v>
      </c>
      <c r="BS965" s="26">
        <f t="shared" ca="1" si="221"/>
        <v>0.97733908694258143</v>
      </c>
      <c r="BT965" s="29">
        <v>0</v>
      </c>
      <c r="BV965" s="22">
        <v>45510</v>
      </c>
      <c r="BW965" s="26">
        <f t="shared" ca="1" si="222"/>
        <v>8.567260995363879E-2</v>
      </c>
      <c r="BX965" s="29">
        <v>0</v>
      </c>
    </row>
    <row r="966" spans="2:76" ht="12.75" x14ac:dyDescent="0.2">
      <c r="B966" s="22">
        <v>45511</v>
      </c>
      <c r="C966" s="26">
        <f t="shared" ca="1" si="205"/>
        <v>0.161908564487656</v>
      </c>
      <c r="D966" s="29">
        <v>0</v>
      </c>
      <c r="F966" s="22"/>
      <c r="G966" s="26">
        <f t="shared" ca="1" si="206"/>
        <v>0.72702503937771978</v>
      </c>
      <c r="H966" s="29">
        <v>0</v>
      </c>
      <c r="J966" s="22">
        <v>45511</v>
      </c>
      <c r="K966" s="26">
        <f t="shared" ca="1" si="207"/>
        <v>0.95857780730520881</v>
      </c>
      <c r="L966" s="29">
        <v>0</v>
      </c>
      <c r="N966" s="22">
        <v>45511</v>
      </c>
      <c r="O966" s="26">
        <f t="shared" ca="1" si="208"/>
        <v>0.37243608213926915</v>
      </c>
      <c r="P966" s="29">
        <v>0</v>
      </c>
      <c r="R966" s="22">
        <v>45511</v>
      </c>
      <c r="S966" s="26">
        <f t="shared" ca="1" si="209"/>
        <v>5.385849136296228E-2</v>
      </c>
      <c r="T966" s="29">
        <v>0</v>
      </c>
      <c r="V966" s="22">
        <v>45511</v>
      </c>
      <c r="W966" s="26">
        <f t="shared" ca="1" si="210"/>
        <v>0.88557070413188799</v>
      </c>
      <c r="X966" s="29">
        <v>0</v>
      </c>
      <c r="Z966" s="22">
        <v>45511</v>
      </c>
      <c r="AA966" s="26">
        <f t="shared" ca="1" si="211"/>
        <v>0.63008103836056295</v>
      </c>
      <c r="AB966" s="29">
        <v>0</v>
      </c>
      <c r="AC966"/>
      <c r="AD966" s="25"/>
      <c r="AF966" s="22">
        <v>45511</v>
      </c>
      <c r="AG966" s="26">
        <f t="shared" ca="1" si="212"/>
        <v>0.35250217014954521</v>
      </c>
      <c r="AH966" s="29">
        <v>0</v>
      </c>
      <c r="AJ966" s="22">
        <v>45511</v>
      </c>
      <c r="AK966" s="26">
        <f t="shared" ca="1" si="213"/>
        <v>0.79604742429099262</v>
      </c>
      <c r="AL966" s="29">
        <v>0</v>
      </c>
      <c r="AN966" s="22">
        <v>45511</v>
      </c>
      <c r="AO966" s="26">
        <f t="shared" ca="1" si="214"/>
        <v>0.82777162941707438</v>
      </c>
      <c r="AP966" s="29">
        <v>0</v>
      </c>
      <c r="AR966" s="22">
        <v>45511</v>
      </c>
      <c r="AS966" s="26">
        <f t="shared" ca="1" si="215"/>
        <v>0.44698708345304738</v>
      </c>
      <c r="AT966" s="29">
        <v>0</v>
      </c>
      <c r="AV966" s="22">
        <v>45511</v>
      </c>
      <c r="AW966" s="26">
        <f t="shared" ca="1" si="216"/>
        <v>0.68858505170868511</v>
      </c>
      <c r="AX966" s="29">
        <v>0</v>
      </c>
      <c r="AZ966" s="22">
        <v>45511</v>
      </c>
      <c r="BA966" s="26">
        <f t="shared" ca="1" si="217"/>
        <v>0.37815517301004065</v>
      </c>
      <c r="BB966" s="29">
        <v>0</v>
      </c>
      <c r="BC966"/>
      <c r="BD966" s="25"/>
      <c r="BF966" s="22">
        <v>45511</v>
      </c>
      <c r="BG966" s="26">
        <f t="shared" ca="1" si="218"/>
        <v>0.14799657911288444</v>
      </c>
      <c r="BH966" s="29">
        <v>0</v>
      </c>
      <c r="BJ966" s="22">
        <v>45511</v>
      </c>
      <c r="BK966" s="26">
        <f t="shared" ca="1" si="219"/>
        <v>0.90196960478131571</v>
      </c>
      <c r="BL966" s="29">
        <v>0</v>
      </c>
      <c r="BN966" s="22">
        <v>45511</v>
      </c>
      <c r="BO966" s="26">
        <f t="shared" ca="1" si="220"/>
        <v>0.88866677871288491</v>
      </c>
      <c r="BP966" s="29">
        <v>0</v>
      </c>
      <c r="BR966" s="22">
        <v>45511</v>
      </c>
      <c r="BS966" s="26">
        <f t="shared" ca="1" si="221"/>
        <v>0.67642126346195408</v>
      </c>
      <c r="BT966" s="29">
        <v>0</v>
      </c>
      <c r="BV966" s="22">
        <v>45511</v>
      </c>
      <c r="BW966" s="26">
        <f t="shared" ca="1" si="222"/>
        <v>0.77038915722083834</v>
      </c>
      <c r="BX966" s="29">
        <v>0</v>
      </c>
    </row>
    <row r="967" spans="2:76" ht="12.75" x14ac:dyDescent="0.2">
      <c r="B967" s="22">
        <v>45512</v>
      </c>
      <c r="C967" s="26">
        <f t="shared" ca="1" si="205"/>
        <v>6.3762974209365164E-2</v>
      </c>
      <c r="D967" s="29">
        <v>0</v>
      </c>
      <c r="F967" s="22"/>
      <c r="G967" s="26">
        <f t="shared" ca="1" si="206"/>
        <v>0.7585343250192581</v>
      </c>
      <c r="H967" s="29">
        <v>0</v>
      </c>
      <c r="J967" s="22">
        <v>45512</v>
      </c>
      <c r="K967" s="26">
        <f t="shared" ca="1" si="207"/>
        <v>0.35281655341033646</v>
      </c>
      <c r="L967" s="29">
        <v>0</v>
      </c>
      <c r="N967" s="22">
        <v>45512</v>
      </c>
      <c r="O967" s="26">
        <f t="shared" ca="1" si="208"/>
        <v>0.46750785377012893</v>
      </c>
      <c r="P967" s="29">
        <v>0</v>
      </c>
      <c r="R967" s="22">
        <v>45512</v>
      </c>
      <c r="S967" s="26">
        <f t="shared" ca="1" si="209"/>
        <v>0.26521623264421956</v>
      </c>
      <c r="T967" s="29">
        <v>0</v>
      </c>
      <c r="V967" s="22">
        <v>45512</v>
      </c>
      <c r="W967" s="26">
        <f t="shared" ca="1" si="210"/>
        <v>0.26163966335074396</v>
      </c>
      <c r="X967" s="29">
        <v>0</v>
      </c>
      <c r="Z967" s="22">
        <v>45512</v>
      </c>
      <c r="AA967" s="26">
        <f t="shared" ca="1" si="211"/>
        <v>0.76250711413075056</v>
      </c>
      <c r="AB967" s="29">
        <v>0</v>
      </c>
      <c r="AC967"/>
      <c r="AD967" s="25"/>
      <c r="AF967" s="22">
        <v>45512</v>
      </c>
      <c r="AG967" s="26">
        <f t="shared" ca="1" si="212"/>
        <v>0.10590083200533473</v>
      </c>
      <c r="AH967" s="29">
        <v>0</v>
      </c>
      <c r="AJ967" s="22">
        <v>45512</v>
      </c>
      <c r="AK967" s="26">
        <f t="shared" ca="1" si="213"/>
        <v>0.7320366755934441</v>
      </c>
      <c r="AL967" s="29">
        <v>0</v>
      </c>
      <c r="AN967" s="22">
        <v>45512</v>
      </c>
      <c r="AO967" s="26">
        <f t="shared" ca="1" si="214"/>
        <v>0.95598176618152297</v>
      </c>
      <c r="AP967" s="29">
        <v>0</v>
      </c>
      <c r="AR967" s="22">
        <v>45512</v>
      </c>
      <c r="AS967" s="26">
        <f t="shared" ca="1" si="215"/>
        <v>0.22088483396872083</v>
      </c>
      <c r="AT967" s="29">
        <v>0</v>
      </c>
      <c r="AV967" s="22">
        <v>45512</v>
      </c>
      <c r="AW967" s="26">
        <f t="shared" ca="1" si="216"/>
        <v>0.42619273427352389</v>
      </c>
      <c r="AX967" s="29">
        <v>0</v>
      </c>
      <c r="AZ967" s="22">
        <v>45512</v>
      </c>
      <c r="BA967" s="26">
        <f t="shared" ca="1" si="217"/>
        <v>0.65196387479150986</v>
      </c>
      <c r="BB967" s="29">
        <v>0</v>
      </c>
      <c r="BC967"/>
      <c r="BD967" s="25"/>
      <c r="BF967" s="22">
        <v>45512</v>
      </c>
      <c r="BG967" s="26">
        <f t="shared" ca="1" si="218"/>
        <v>0.22796553960097876</v>
      </c>
      <c r="BH967" s="29">
        <v>0</v>
      </c>
      <c r="BJ967" s="22">
        <v>45512</v>
      </c>
      <c r="BK967" s="26">
        <f t="shared" ca="1" si="219"/>
        <v>0.87398143512768633</v>
      </c>
      <c r="BL967" s="29">
        <v>0</v>
      </c>
      <c r="BN967" s="22">
        <v>45512</v>
      </c>
      <c r="BO967" s="26">
        <f t="shared" ca="1" si="220"/>
        <v>0.71850563602308926</v>
      </c>
      <c r="BP967" s="29">
        <v>0</v>
      </c>
      <c r="BR967" s="22">
        <v>45512</v>
      </c>
      <c r="BS967" s="26">
        <f t="shared" ca="1" si="221"/>
        <v>0.88253172648041078</v>
      </c>
      <c r="BT967" s="29">
        <v>0</v>
      </c>
      <c r="BV967" s="22">
        <v>45512</v>
      </c>
      <c r="BW967" s="26">
        <f t="shared" ca="1" si="222"/>
        <v>0.31488468145677118</v>
      </c>
      <c r="BX967" s="29">
        <v>0</v>
      </c>
    </row>
    <row r="968" spans="2:76" ht="12.75" x14ac:dyDescent="0.2">
      <c r="B968" s="22">
        <v>45513</v>
      </c>
      <c r="C968" s="26">
        <f t="shared" ca="1" si="205"/>
        <v>0.14926316784726135</v>
      </c>
      <c r="D968" s="29">
        <v>0</v>
      </c>
      <c r="F968" s="22"/>
      <c r="G968" s="26">
        <f t="shared" ca="1" si="206"/>
        <v>0.52024779694068979</v>
      </c>
      <c r="H968" s="29">
        <v>0</v>
      </c>
      <c r="J968" s="22">
        <v>45513</v>
      </c>
      <c r="K968" s="26">
        <f t="shared" ca="1" si="207"/>
        <v>1.1083966473935947E-2</v>
      </c>
      <c r="L968" s="29">
        <v>0</v>
      </c>
      <c r="N968" s="22">
        <v>45513</v>
      </c>
      <c r="O968" s="26">
        <f t="shared" ca="1" si="208"/>
        <v>0.73338153930108596</v>
      </c>
      <c r="P968" s="29">
        <v>0</v>
      </c>
      <c r="R968" s="22">
        <v>45513</v>
      </c>
      <c r="S968" s="26">
        <f t="shared" ca="1" si="209"/>
        <v>0.14990786625444097</v>
      </c>
      <c r="T968" s="29">
        <v>0</v>
      </c>
      <c r="V968" s="22">
        <v>45513</v>
      </c>
      <c r="W968" s="26">
        <f t="shared" ca="1" si="210"/>
        <v>0.45061382297435637</v>
      </c>
      <c r="X968" s="29">
        <v>0</v>
      </c>
      <c r="Z968" s="22">
        <v>45513</v>
      </c>
      <c r="AA968" s="26">
        <f t="shared" ca="1" si="211"/>
        <v>0.54698558205254133</v>
      </c>
      <c r="AB968" s="29">
        <v>0</v>
      </c>
      <c r="AC968"/>
      <c r="AD968" s="25"/>
      <c r="AF968" s="22">
        <v>45513</v>
      </c>
      <c r="AG968" s="26">
        <f t="shared" ca="1" si="212"/>
        <v>0.41177819846638652</v>
      </c>
      <c r="AH968" s="29">
        <v>0</v>
      </c>
      <c r="AJ968" s="22">
        <v>45513</v>
      </c>
      <c r="AK968" s="26">
        <f t="shared" ca="1" si="213"/>
        <v>0.63016549640282848</v>
      </c>
      <c r="AL968" s="29">
        <v>0</v>
      </c>
      <c r="AN968" s="22">
        <v>45513</v>
      </c>
      <c r="AO968" s="26">
        <f t="shared" ca="1" si="214"/>
        <v>0.25148969737101445</v>
      </c>
      <c r="AP968" s="29">
        <v>0</v>
      </c>
      <c r="AR968" s="22">
        <v>45513</v>
      </c>
      <c r="AS968" s="26">
        <f t="shared" ca="1" si="215"/>
        <v>0.46645384515885857</v>
      </c>
      <c r="AT968" s="29">
        <v>0</v>
      </c>
      <c r="AV968" s="22">
        <v>45513</v>
      </c>
      <c r="AW968" s="26">
        <f t="shared" ca="1" si="216"/>
        <v>0.64452663954238953</v>
      </c>
      <c r="AX968" s="29">
        <v>0</v>
      </c>
      <c r="AZ968" s="22">
        <v>45513</v>
      </c>
      <c r="BA968" s="26">
        <f t="shared" ca="1" si="217"/>
        <v>0.13096823490463494</v>
      </c>
      <c r="BB968" s="29">
        <v>0</v>
      </c>
      <c r="BC968"/>
      <c r="BD968" s="25"/>
      <c r="BF968" s="22">
        <v>45513</v>
      </c>
      <c r="BG968" s="26">
        <f t="shared" ca="1" si="218"/>
        <v>0.50468722944783273</v>
      </c>
      <c r="BH968" s="29">
        <v>0</v>
      </c>
      <c r="BJ968" s="22">
        <v>45513</v>
      </c>
      <c r="BK968" s="26">
        <f t="shared" ca="1" si="219"/>
        <v>0.15145221694170141</v>
      </c>
      <c r="BL968" s="29">
        <v>0</v>
      </c>
      <c r="BN968" s="22">
        <v>45513</v>
      </c>
      <c r="BO968" s="26">
        <f t="shared" ca="1" si="220"/>
        <v>0.69437914234443343</v>
      </c>
      <c r="BP968" s="29">
        <v>0</v>
      </c>
      <c r="BR968" s="22">
        <v>45513</v>
      </c>
      <c r="BS968" s="26">
        <f t="shared" ca="1" si="221"/>
        <v>0.9344843305187065</v>
      </c>
      <c r="BT968" s="29">
        <v>0</v>
      </c>
      <c r="BV968" s="22">
        <v>45513</v>
      </c>
      <c r="BW968" s="26">
        <f t="shared" ca="1" si="222"/>
        <v>8.7128736071870327E-2</v>
      </c>
      <c r="BX968" s="29">
        <v>0</v>
      </c>
    </row>
    <row r="969" spans="2:76" ht="12.75" x14ac:dyDescent="0.2">
      <c r="B969" s="22">
        <v>45514</v>
      </c>
      <c r="C969" s="26">
        <f t="shared" ca="1" si="205"/>
        <v>0.12213609689663218</v>
      </c>
      <c r="D969" s="29">
        <v>0</v>
      </c>
      <c r="F969" s="22"/>
      <c r="G969" s="26">
        <f t="shared" ca="1" si="206"/>
        <v>0.30978196971958649</v>
      </c>
      <c r="H969" s="29">
        <v>0</v>
      </c>
      <c r="J969" s="22">
        <v>45514</v>
      </c>
      <c r="K969" s="26">
        <f t="shared" ca="1" si="207"/>
        <v>0.57711392942638384</v>
      </c>
      <c r="L969" s="29">
        <v>0</v>
      </c>
      <c r="N969" s="22">
        <v>45514</v>
      </c>
      <c r="O969" s="26">
        <f t="shared" ca="1" si="208"/>
        <v>0.17305888312564754</v>
      </c>
      <c r="P969" s="29">
        <v>0</v>
      </c>
      <c r="R969" s="22">
        <v>45514</v>
      </c>
      <c r="S969" s="26">
        <f t="shared" ca="1" si="209"/>
        <v>0.10030140345471339</v>
      </c>
      <c r="T969" s="29">
        <v>0</v>
      </c>
      <c r="V969" s="22">
        <v>45514</v>
      </c>
      <c r="W969" s="26">
        <f t="shared" ca="1" si="210"/>
        <v>0.98484682148344649</v>
      </c>
      <c r="X969" s="29">
        <v>0</v>
      </c>
      <c r="Z969" s="22">
        <v>45514</v>
      </c>
      <c r="AA969" s="26">
        <f t="shared" ca="1" si="211"/>
        <v>0.30989502701357896</v>
      </c>
      <c r="AB969" s="29">
        <v>0</v>
      </c>
      <c r="AC969"/>
      <c r="AD969" s="25"/>
      <c r="AF969" s="22">
        <v>45514</v>
      </c>
      <c r="AG969" s="26">
        <f t="shared" ca="1" si="212"/>
        <v>0.48093326776936629</v>
      </c>
      <c r="AH969" s="29">
        <v>0</v>
      </c>
      <c r="AJ969" s="22">
        <v>45514</v>
      </c>
      <c r="AK969" s="26">
        <f t="shared" ca="1" si="213"/>
        <v>0.35790180481251144</v>
      </c>
      <c r="AL969" s="29">
        <v>0</v>
      </c>
      <c r="AN969" s="22">
        <v>45514</v>
      </c>
      <c r="AO969" s="26">
        <f t="shared" ca="1" si="214"/>
        <v>0.23297229858289714</v>
      </c>
      <c r="AP969" s="29">
        <v>0</v>
      </c>
      <c r="AR969" s="22">
        <v>45514</v>
      </c>
      <c r="AS969" s="26">
        <f t="shared" ca="1" si="215"/>
        <v>0.16263050424355485</v>
      </c>
      <c r="AT969" s="29">
        <v>0</v>
      </c>
      <c r="AV969" s="22">
        <v>45514</v>
      </c>
      <c r="AW969" s="26">
        <f t="shared" ca="1" si="216"/>
        <v>0.75706626405608779</v>
      </c>
      <c r="AX969" s="29">
        <v>0</v>
      </c>
      <c r="AZ969" s="22">
        <v>45514</v>
      </c>
      <c r="BA969" s="26">
        <f t="shared" ca="1" si="217"/>
        <v>0.44220287646898793</v>
      </c>
      <c r="BB969" s="29">
        <v>0</v>
      </c>
      <c r="BC969"/>
      <c r="BD969" s="25"/>
      <c r="BF969" s="22">
        <v>45514</v>
      </c>
      <c r="BG969" s="26">
        <f t="shared" ca="1" si="218"/>
        <v>0.33344910565255537</v>
      </c>
      <c r="BH969" s="29">
        <v>0</v>
      </c>
      <c r="BJ969" s="22">
        <v>45514</v>
      </c>
      <c r="BK969" s="26">
        <f t="shared" ca="1" si="219"/>
        <v>0.50953466337783326</v>
      </c>
      <c r="BL969" s="29">
        <v>0</v>
      </c>
      <c r="BN969" s="22">
        <v>45514</v>
      </c>
      <c r="BO969" s="26">
        <f t="shared" ca="1" si="220"/>
        <v>0.3437869396405</v>
      </c>
      <c r="BP969" s="29">
        <v>0</v>
      </c>
      <c r="BR969" s="22">
        <v>45514</v>
      </c>
      <c r="BS969" s="26">
        <f t="shared" ca="1" si="221"/>
        <v>0.47290556828922525</v>
      </c>
      <c r="BT969" s="29">
        <v>0</v>
      </c>
      <c r="BV969" s="22">
        <v>45514</v>
      </c>
      <c r="BW969" s="26">
        <f t="shared" ca="1" si="222"/>
        <v>0.74418210297086196</v>
      </c>
      <c r="BX969" s="29">
        <v>0</v>
      </c>
    </row>
    <row r="970" spans="2:76" ht="12.75" x14ac:dyDescent="0.2">
      <c r="B970" s="22">
        <v>45515</v>
      </c>
      <c r="C970" s="26">
        <f t="shared" ca="1" si="205"/>
        <v>0.79137663143930392</v>
      </c>
      <c r="D970" s="29">
        <v>0</v>
      </c>
      <c r="F970" s="22"/>
      <c r="G970" s="26">
        <f t="shared" ca="1" si="206"/>
        <v>0.35001248241343652</v>
      </c>
      <c r="H970" s="29">
        <v>0</v>
      </c>
      <c r="J970" s="22">
        <v>45515</v>
      </c>
      <c r="K970" s="26">
        <f t="shared" ca="1" si="207"/>
        <v>0.56146488817188112</v>
      </c>
      <c r="L970" s="29">
        <v>0</v>
      </c>
      <c r="N970" s="22">
        <v>45515</v>
      </c>
      <c r="O970" s="26">
        <f t="shared" ca="1" si="208"/>
        <v>0.5590244632124709</v>
      </c>
      <c r="P970" s="29">
        <v>0</v>
      </c>
      <c r="R970" s="22">
        <v>45515</v>
      </c>
      <c r="S970" s="26">
        <f t="shared" ca="1" si="209"/>
        <v>0.53534964823733722</v>
      </c>
      <c r="T970" s="29">
        <v>0</v>
      </c>
      <c r="V970" s="22">
        <v>45515</v>
      </c>
      <c r="W970" s="26">
        <f t="shared" ca="1" si="210"/>
        <v>0.35864791089187364</v>
      </c>
      <c r="X970" s="29">
        <v>0</v>
      </c>
      <c r="Z970" s="22">
        <v>45515</v>
      </c>
      <c r="AA970" s="26">
        <f t="shared" ca="1" si="211"/>
        <v>0.75777257462722214</v>
      </c>
      <c r="AB970" s="29">
        <v>0</v>
      </c>
      <c r="AC970"/>
      <c r="AD970" s="25"/>
      <c r="AF970" s="22">
        <v>45515</v>
      </c>
      <c r="AG970" s="26">
        <f t="shared" ca="1" si="212"/>
        <v>0.35620614751726276</v>
      </c>
      <c r="AH970" s="29">
        <v>0</v>
      </c>
      <c r="AJ970" s="22">
        <v>45515</v>
      </c>
      <c r="AK970" s="26">
        <f t="shared" ca="1" si="213"/>
        <v>0.13397944206093515</v>
      </c>
      <c r="AL970" s="29">
        <v>0</v>
      </c>
      <c r="AN970" s="22">
        <v>45515</v>
      </c>
      <c r="AO970" s="26">
        <f t="shared" ca="1" si="214"/>
        <v>0.28600721899124204</v>
      </c>
      <c r="AP970" s="29">
        <v>0</v>
      </c>
      <c r="AR970" s="22">
        <v>45515</v>
      </c>
      <c r="AS970" s="26">
        <f t="shared" ca="1" si="215"/>
        <v>0.2629681941972476</v>
      </c>
      <c r="AT970" s="29">
        <v>0</v>
      </c>
      <c r="AV970" s="22">
        <v>45515</v>
      </c>
      <c r="AW970" s="26">
        <f t="shared" ca="1" si="216"/>
        <v>0.76258327936437531</v>
      </c>
      <c r="AX970" s="29">
        <v>0</v>
      </c>
      <c r="AZ970" s="22">
        <v>45515</v>
      </c>
      <c r="BA970" s="26">
        <f t="shared" ca="1" si="217"/>
        <v>0.2541489792952526</v>
      </c>
      <c r="BB970" s="29">
        <v>0</v>
      </c>
      <c r="BC970"/>
      <c r="BD970" s="25"/>
      <c r="BF970" s="22">
        <v>45515</v>
      </c>
      <c r="BG970" s="26">
        <f t="shared" ca="1" si="218"/>
        <v>0.56453034710222438</v>
      </c>
      <c r="BH970" s="29">
        <v>0</v>
      </c>
      <c r="BJ970" s="22">
        <v>45515</v>
      </c>
      <c r="BK970" s="26">
        <f t="shared" ca="1" si="219"/>
        <v>0.58272454072021385</v>
      </c>
      <c r="BL970" s="29">
        <v>0</v>
      </c>
      <c r="BN970" s="22">
        <v>45515</v>
      </c>
      <c r="BO970" s="26">
        <f t="shared" ca="1" si="220"/>
        <v>0.48735358381518457</v>
      </c>
      <c r="BP970" s="29">
        <v>0</v>
      </c>
      <c r="BR970" s="22">
        <v>45515</v>
      </c>
      <c r="BS970" s="26">
        <f t="shared" ca="1" si="221"/>
        <v>0.29891940163668185</v>
      </c>
      <c r="BT970" s="29">
        <v>0</v>
      </c>
      <c r="BV970" s="22">
        <v>45515</v>
      </c>
      <c r="BW970" s="26">
        <f t="shared" ca="1" si="222"/>
        <v>0.39075182864889735</v>
      </c>
      <c r="BX970" s="29">
        <v>0</v>
      </c>
    </row>
    <row r="971" spans="2:76" ht="12.75" x14ac:dyDescent="0.2">
      <c r="B971" s="22">
        <v>45516</v>
      </c>
      <c r="C971" s="26">
        <f t="shared" ca="1" si="205"/>
        <v>0.58891402279004457</v>
      </c>
      <c r="D971" s="29">
        <v>0</v>
      </c>
      <c r="F971" s="22"/>
      <c r="G971" s="26">
        <f t="shared" ca="1" si="206"/>
        <v>0.9703093207195892</v>
      </c>
      <c r="H971" s="29">
        <v>0</v>
      </c>
      <c r="J971" s="22">
        <v>45516</v>
      </c>
      <c r="K971" s="26">
        <f t="shared" ca="1" si="207"/>
        <v>0.41802292378704009</v>
      </c>
      <c r="L971" s="29">
        <v>0</v>
      </c>
      <c r="N971" s="22">
        <v>45516</v>
      </c>
      <c r="O971" s="26">
        <f t="shared" ca="1" si="208"/>
        <v>0.88740292593917169</v>
      </c>
      <c r="P971" s="29">
        <v>0</v>
      </c>
      <c r="R971" s="22">
        <v>45516</v>
      </c>
      <c r="S971" s="26">
        <f t="shared" ca="1" si="209"/>
        <v>0.37362663934823104</v>
      </c>
      <c r="T971" s="29">
        <v>0</v>
      </c>
      <c r="V971" s="22">
        <v>45516</v>
      </c>
      <c r="W971" s="26">
        <f t="shared" ca="1" si="210"/>
        <v>0.1544565228826269</v>
      </c>
      <c r="X971" s="29">
        <v>0</v>
      </c>
      <c r="Z971" s="22">
        <v>45516</v>
      </c>
      <c r="AA971" s="26">
        <f t="shared" ca="1" si="211"/>
        <v>0.37869603258830542</v>
      </c>
      <c r="AB971" s="29">
        <v>0</v>
      </c>
      <c r="AC971"/>
      <c r="AD971" s="25"/>
      <c r="AF971" s="22">
        <v>45516</v>
      </c>
      <c r="AG971" s="26">
        <f t="shared" ca="1" si="212"/>
        <v>0.84085498029542838</v>
      </c>
      <c r="AH971" s="29">
        <v>0</v>
      </c>
      <c r="AJ971" s="22">
        <v>45516</v>
      </c>
      <c r="AK971" s="26">
        <f t="shared" ca="1" si="213"/>
        <v>0.36264214163087882</v>
      </c>
      <c r="AL971" s="29">
        <v>0</v>
      </c>
      <c r="AN971" s="22">
        <v>45516</v>
      </c>
      <c r="AO971" s="26">
        <f t="shared" ca="1" si="214"/>
        <v>0.28651206843189869</v>
      </c>
      <c r="AP971" s="29">
        <v>0</v>
      </c>
      <c r="AR971" s="22">
        <v>45516</v>
      </c>
      <c r="AS971" s="26">
        <f t="shared" ca="1" si="215"/>
        <v>0.87227392138452031</v>
      </c>
      <c r="AT971" s="29">
        <v>0</v>
      </c>
      <c r="AV971" s="22">
        <v>45516</v>
      </c>
      <c r="AW971" s="26">
        <f t="shared" ca="1" si="216"/>
        <v>0.63823871249682884</v>
      </c>
      <c r="AX971" s="29">
        <v>0</v>
      </c>
      <c r="AZ971" s="22">
        <v>45516</v>
      </c>
      <c r="BA971" s="26">
        <f t="shared" ca="1" si="217"/>
        <v>0.56592239977958647</v>
      </c>
      <c r="BB971" s="29">
        <v>0</v>
      </c>
      <c r="BC971"/>
      <c r="BD971" s="25"/>
      <c r="BF971" s="22">
        <v>45516</v>
      </c>
      <c r="BG971" s="26">
        <f t="shared" ca="1" si="218"/>
        <v>0.58597666151789118</v>
      </c>
      <c r="BH971" s="29">
        <v>0</v>
      </c>
      <c r="BJ971" s="22">
        <v>45516</v>
      </c>
      <c r="BK971" s="26">
        <f t="shared" ca="1" si="219"/>
        <v>0.69857202785259132</v>
      </c>
      <c r="BL971" s="29">
        <v>0</v>
      </c>
      <c r="BN971" s="22">
        <v>45516</v>
      </c>
      <c r="BO971" s="26">
        <f t="shared" ca="1" si="220"/>
        <v>0.46410288863221838</v>
      </c>
      <c r="BP971" s="29">
        <v>0</v>
      </c>
      <c r="BR971" s="22">
        <v>45516</v>
      </c>
      <c r="BS971" s="26">
        <f t="shared" ca="1" si="221"/>
        <v>0.31389739516819293</v>
      </c>
      <c r="BT971" s="29">
        <v>0</v>
      </c>
      <c r="BV971" s="22">
        <v>45516</v>
      </c>
      <c r="BW971" s="26">
        <f t="shared" ca="1" si="222"/>
        <v>0.32593002472615529</v>
      </c>
      <c r="BX971" s="29">
        <v>0</v>
      </c>
    </row>
    <row r="972" spans="2:76" ht="12.75" x14ac:dyDescent="0.2">
      <c r="B972" s="22">
        <v>45517</v>
      </c>
      <c r="C972" s="26">
        <f t="shared" ca="1" si="205"/>
        <v>0.78929674760126167</v>
      </c>
      <c r="D972" s="29">
        <v>0</v>
      </c>
      <c r="F972" s="22"/>
      <c r="G972" s="26">
        <f t="shared" ca="1" si="206"/>
        <v>5.8806453527650127E-2</v>
      </c>
      <c r="H972" s="29">
        <v>0</v>
      </c>
      <c r="J972" s="22">
        <v>45517</v>
      </c>
      <c r="K972" s="26">
        <f t="shared" ca="1" si="207"/>
        <v>5.3325879518319685E-2</v>
      </c>
      <c r="L972" s="29">
        <v>0</v>
      </c>
      <c r="N972" s="22">
        <v>45517</v>
      </c>
      <c r="O972" s="26">
        <f t="shared" ca="1" si="208"/>
        <v>0.88837665812001454</v>
      </c>
      <c r="P972" s="29">
        <v>0</v>
      </c>
      <c r="R972" s="22">
        <v>45517</v>
      </c>
      <c r="S972" s="26">
        <f t="shared" ca="1" si="209"/>
        <v>0.72874390161811053</v>
      </c>
      <c r="T972" s="29">
        <v>0</v>
      </c>
      <c r="V972" s="22">
        <v>45517</v>
      </c>
      <c r="W972" s="26">
        <f t="shared" ca="1" si="210"/>
        <v>0.60735153387533625</v>
      </c>
      <c r="X972" s="29">
        <v>0</v>
      </c>
      <c r="Z972" s="22">
        <v>45517</v>
      </c>
      <c r="AA972" s="26">
        <f t="shared" ca="1" si="211"/>
        <v>0.45413060594632981</v>
      </c>
      <c r="AB972" s="29">
        <v>0</v>
      </c>
      <c r="AC972"/>
      <c r="AD972" s="25"/>
      <c r="AF972" s="22">
        <v>45517</v>
      </c>
      <c r="AG972" s="26">
        <f t="shared" ca="1" si="212"/>
        <v>0.61139202023217964</v>
      </c>
      <c r="AH972" s="29">
        <v>0</v>
      </c>
      <c r="AJ972" s="22">
        <v>45517</v>
      </c>
      <c r="AK972" s="26">
        <f t="shared" ca="1" si="213"/>
        <v>0.78248702075886878</v>
      </c>
      <c r="AL972" s="29">
        <v>0</v>
      </c>
      <c r="AN972" s="22">
        <v>45517</v>
      </c>
      <c r="AO972" s="26">
        <f t="shared" ca="1" si="214"/>
        <v>0.7820187351465665</v>
      </c>
      <c r="AP972" s="29">
        <v>0</v>
      </c>
      <c r="AR972" s="22">
        <v>45517</v>
      </c>
      <c r="AS972" s="26">
        <f t="shared" ca="1" si="215"/>
        <v>0.12105543993730505</v>
      </c>
      <c r="AT972" s="29">
        <v>0</v>
      </c>
      <c r="AV972" s="22">
        <v>45517</v>
      </c>
      <c r="AW972" s="26">
        <f t="shared" ca="1" si="216"/>
        <v>0.80930456493405101</v>
      </c>
      <c r="AX972" s="29">
        <v>0</v>
      </c>
      <c r="AZ972" s="22">
        <v>45517</v>
      </c>
      <c r="BA972" s="26">
        <f t="shared" ca="1" si="217"/>
        <v>0.39072223970518583</v>
      </c>
      <c r="BB972" s="29">
        <v>0</v>
      </c>
      <c r="BC972"/>
      <c r="BD972" s="25"/>
      <c r="BF972" s="22">
        <v>45517</v>
      </c>
      <c r="BG972" s="26">
        <f t="shared" ca="1" si="218"/>
        <v>0.42795729221858503</v>
      </c>
      <c r="BH972" s="29">
        <v>0</v>
      </c>
      <c r="BJ972" s="22">
        <v>45517</v>
      </c>
      <c r="BK972" s="26">
        <f t="shared" ca="1" si="219"/>
        <v>0.78654698230325482</v>
      </c>
      <c r="BL972" s="29">
        <v>0</v>
      </c>
      <c r="BN972" s="22">
        <v>45517</v>
      </c>
      <c r="BO972" s="26">
        <f t="shared" ca="1" si="220"/>
        <v>0.41033486315352152</v>
      </c>
      <c r="BP972" s="29">
        <v>0</v>
      </c>
      <c r="BR972" s="22">
        <v>45517</v>
      </c>
      <c r="BS972" s="26">
        <f t="shared" ca="1" si="221"/>
        <v>0.81400015535939774</v>
      </c>
      <c r="BT972" s="29">
        <v>0</v>
      </c>
      <c r="BV972" s="22">
        <v>45517</v>
      </c>
      <c r="BW972" s="26">
        <f t="shared" ca="1" si="222"/>
        <v>0.13839604894145008</v>
      </c>
      <c r="BX972" s="29">
        <v>0</v>
      </c>
    </row>
    <row r="973" spans="2:76" ht="12.75" x14ac:dyDescent="0.2">
      <c r="B973" s="22">
        <v>45518</v>
      </c>
      <c r="C973" s="26">
        <f t="shared" ca="1" si="205"/>
        <v>0.82992552843254563</v>
      </c>
      <c r="D973" s="29">
        <v>0</v>
      </c>
      <c r="F973" s="22"/>
      <c r="G973" s="26">
        <f t="shared" ca="1" si="206"/>
        <v>0.22451106723132919</v>
      </c>
      <c r="H973" s="29">
        <v>0</v>
      </c>
      <c r="J973" s="22">
        <v>45518</v>
      </c>
      <c r="K973" s="26">
        <f t="shared" ca="1" si="207"/>
        <v>0.93768484156056675</v>
      </c>
      <c r="L973" s="29">
        <v>0</v>
      </c>
      <c r="N973" s="22">
        <v>45518</v>
      </c>
      <c r="O973" s="26">
        <f t="shared" ca="1" si="208"/>
        <v>0.96962743505516202</v>
      </c>
      <c r="P973" s="29">
        <v>0</v>
      </c>
      <c r="R973" s="22">
        <v>45518</v>
      </c>
      <c r="S973" s="26">
        <f t="shared" ca="1" si="209"/>
        <v>0.18083459447734873</v>
      </c>
      <c r="T973" s="29">
        <v>0</v>
      </c>
      <c r="V973" s="22">
        <v>45518</v>
      </c>
      <c r="W973" s="26">
        <f t="shared" ca="1" si="210"/>
        <v>0.85010584995057226</v>
      </c>
      <c r="X973" s="29">
        <v>0</v>
      </c>
      <c r="Z973" s="22">
        <v>45518</v>
      </c>
      <c r="AA973" s="26">
        <f t="shared" ca="1" si="211"/>
        <v>0.51626812209333228</v>
      </c>
      <c r="AB973" s="29">
        <v>0</v>
      </c>
      <c r="AC973"/>
      <c r="AD973" s="25"/>
      <c r="AF973" s="22">
        <v>45518</v>
      </c>
      <c r="AG973" s="26">
        <f t="shared" ca="1" si="212"/>
        <v>0.40196398117947385</v>
      </c>
      <c r="AH973" s="29">
        <v>0</v>
      </c>
      <c r="AJ973" s="22">
        <v>45518</v>
      </c>
      <c r="AK973" s="26">
        <f t="shared" ca="1" si="213"/>
        <v>8.3440368949214694E-2</v>
      </c>
      <c r="AL973" s="29">
        <v>0</v>
      </c>
      <c r="AN973" s="22">
        <v>45518</v>
      </c>
      <c r="AO973" s="26">
        <f t="shared" ca="1" si="214"/>
        <v>0.89169659672158741</v>
      </c>
      <c r="AP973" s="29">
        <v>0</v>
      </c>
      <c r="AR973" s="22">
        <v>45518</v>
      </c>
      <c r="AS973" s="26">
        <f t="shared" ca="1" si="215"/>
        <v>0.57096774324071842</v>
      </c>
      <c r="AT973" s="29">
        <v>0</v>
      </c>
      <c r="AV973" s="22">
        <v>45518</v>
      </c>
      <c r="AW973" s="26">
        <f t="shared" ca="1" si="216"/>
        <v>0.64809695617175256</v>
      </c>
      <c r="AX973" s="29">
        <v>0</v>
      </c>
      <c r="AZ973" s="22">
        <v>45518</v>
      </c>
      <c r="BA973" s="26">
        <f t="shared" ca="1" si="217"/>
        <v>0.68918730636523939</v>
      </c>
      <c r="BB973" s="29">
        <v>0</v>
      </c>
      <c r="BC973"/>
      <c r="BD973" s="25"/>
      <c r="BF973" s="22">
        <v>45518</v>
      </c>
      <c r="BG973" s="26">
        <f t="shared" ca="1" si="218"/>
        <v>0.14709470108586931</v>
      </c>
      <c r="BH973" s="29">
        <v>0</v>
      </c>
      <c r="BJ973" s="22">
        <v>45518</v>
      </c>
      <c r="BK973" s="26">
        <f t="shared" ca="1" si="219"/>
        <v>0.19521228618060926</v>
      </c>
      <c r="BL973" s="29">
        <v>0</v>
      </c>
      <c r="BN973" s="22">
        <v>45518</v>
      </c>
      <c r="BO973" s="26">
        <f t="shared" ca="1" si="220"/>
        <v>0.37647411857630741</v>
      </c>
      <c r="BP973" s="29">
        <v>0</v>
      </c>
      <c r="BR973" s="22">
        <v>45518</v>
      </c>
      <c r="BS973" s="26">
        <f t="shared" ca="1" si="221"/>
        <v>0.73481489019291446</v>
      </c>
      <c r="BT973" s="29">
        <v>0</v>
      </c>
      <c r="BV973" s="22">
        <v>45518</v>
      </c>
      <c r="BW973" s="26">
        <f t="shared" ca="1" si="222"/>
        <v>0.85918728032433411</v>
      </c>
      <c r="BX973" s="29">
        <v>0</v>
      </c>
    </row>
    <row r="974" spans="2:76" ht="12.75" x14ac:dyDescent="0.2">
      <c r="B974" s="22">
        <v>45519</v>
      </c>
      <c r="C974" s="26">
        <f t="shared" ca="1" si="205"/>
        <v>0.13982423734318528</v>
      </c>
      <c r="D974" s="29">
        <v>0</v>
      </c>
      <c r="F974" s="22"/>
      <c r="G974" s="26">
        <f t="shared" ca="1" si="206"/>
        <v>0.80246851949401332</v>
      </c>
      <c r="H974" s="29">
        <v>0</v>
      </c>
      <c r="J974" s="22">
        <v>45519</v>
      </c>
      <c r="K974" s="26">
        <f t="shared" ca="1" si="207"/>
        <v>0.67592045329189321</v>
      </c>
      <c r="L974" s="29">
        <v>0</v>
      </c>
      <c r="N974" s="22">
        <v>45519</v>
      </c>
      <c r="O974" s="26">
        <f t="shared" ca="1" si="208"/>
        <v>0.21327339793133671</v>
      </c>
      <c r="P974" s="29">
        <v>0</v>
      </c>
      <c r="R974" s="22">
        <v>45519</v>
      </c>
      <c r="S974" s="26">
        <f t="shared" ca="1" si="209"/>
        <v>0.89029220802366238</v>
      </c>
      <c r="T974" s="29">
        <v>0</v>
      </c>
      <c r="V974" s="22">
        <v>45519</v>
      </c>
      <c r="W974" s="26">
        <f t="shared" ca="1" si="210"/>
        <v>0.82894469865317788</v>
      </c>
      <c r="X974" s="29">
        <v>0</v>
      </c>
      <c r="Z974" s="22">
        <v>45519</v>
      </c>
      <c r="AA974" s="26">
        <f t="shared" ca="1" si="211"/>
        <v>0.44316285575309977</v>
      </c>
      <c r="AB974" s="29">
        <v>0</v>
      </c>
      <c r="AC974"/>
      <c r="AD974" s="25"/>
      <c r="AF974" s="22">
        <v>45519</v>
      </c>
      <c r="AG974" s="26">
        <f t="shared" ca="1" si="212"/>
        <v>0.49806472634491805</v>
      </c>
      <c r="AH974" s="29">
        <v>0</v>
      </c>
      <c r="AJ974" s="22">
        <v>45519</v>
      </c>
      <c r="AK974" s="26">
        <f t="shared" ca="1" si="213"/>
        <v>2.4746158884292879E-2</v>
      </c>
      <c r="AL974" s="29">
        <v>0</v>
      </c>
      <c r="AN974" s="22">
        <v>45519</v>
      </c>
      <c r="AO974" s="26">
        <f t="shared" ca="1" si="214"/>
        <v>0.14198675529146032</v>
      </c>
      <c r="AP974" s="29">
        <v>0</v>
      </c>
      <c r="AR974" s="22">
        <v>45519</v>
      </c>
      <c r="AS974" s="26">
        <f t="shared" ca="1" si="215"/>
        <v>0.51440283948621723</v>
      </c>
      <c r="AT974" s="29">
        <v>0</v>
      </c>
      <c r="AV974" s="22">
        <v>45519</v>
      </c>
      <c r="AW974" s="26">
        <f t="shared" ca="1" si="216"/>
        <v>6.7046930291706719E-2</v>
      </c>
      <c r="AX974" s="29">
        <v>0</v>
      </c>
      <c r="AZ974" s="22">
        <v>45519</v>
      </c>
      <c r="BA974" s="26">
        <f t="shared" ca="1" si="217"/>
        <v>0.24453346638527385</v>
      </c>
      <c r="BB974" s="29">
        <v>0</v>
      </c>
      <c r="BC974"/>
      <c r="BD974" s="25"/>
      <c r="BF974" s="22">
        <v>45519</v>
      </c>
      <c r="BG974" s="26">
        <f t="shared" ca="1" si="218"/>
        <v>0.80874187988523327</v>
      </c>
      <c r="BH974" s="29">
        <v>0</v>
      </c>
      <c r="BJ974" s="22">
        <v>45519</v>
      </c>
      <c r="BK974" s="26">
        <f t="shared" ca="1" si="219"/>
        <v>4.2634324594352124E-2</v>
      </c>
      <c r="BL974" s="29">
        <v>0</v>
      </c>
      <c r="BN974" s="22">
        <v>45519</v>
      </c>
      <c r="BO974" s="26">
        <f t="shared" ca="1" si="220"/>
        <v>0.89489705813996212</v>
      </c>
      <c r="BP974" s="29">
        <v>0</v>
      </c>
      <c r="BR974" s="22">
        <v>45519</v>
      </c>
      <c r="BS974" s="26">
        <f t="shared" ca="1" si="221"/>
        <v>5.8408566796427031E-2</v>
      </c>
      <c r="BT974" s="29">
        <v>0</v>
      </c>
      <c r="BV974" s="22">
        <v>45519</v>
      </c>
      <c r="BW974" s="26">
        <f t="shared" ca="1" si="222"/>
        <v>0.64777411081310465</v>
      </c>
      <c r="BX974" s="29">
        <v>0</v>
      </c>
    </row>
    <row r="975" spans="2:76" ht="12.75" x14ac:dyDescent="0.2">
      <c r="B975" s="22">
        <v>45520</v>
      </c>
      <c r="C975" s="26">
        <f t="shared" ca="1" si="205"/>
        <v>0.5845827858279824</v>
      </c>
      <c r="D975" s="29">
        <v>0</v>
      </c>
      <c r="F975" s="22"/>
      <c r="G975" s="26">
        <f t="shared" ca="1" si="206"/>
        <v>0.24831142855158983</v>
      </c>
      <c r="H975" s="29">
        <v>0</v>
      </c>
      <c r="J975" s="22">
        <v>45520</v>
      </c>
      <c r="K975" s="26">
        <f t="shared" ca="1" si="207"/>
        <v>0.16963665077719692</v>
      </c>
      <c r="L975" s="29">
        <v>0</v>
      </c>
      <c r="N975" s="22">
        <v>45520</v>
      </c>
      <c r="O975" s="26">
        <f t="shared" ca="1" si="208"/>
        <v>0.21802028486700609</v>
      </c>
      <c r="P975" s="29">
        <v>0</v>
      </c>
      <c r="R975" s="22">
        <v>45520</v>
      </c>
      <c r="S975" s="26">
        <f t="shared" ca="1" si="209"/>
        <v>0.96451883015900408</v>
      </c>
      <c r="T975" s="29">
        <v>0</v>
      </c>
      <c r="V975" s="22">
        <v>45520</v>
      </c>
      <c r="W975" s="26">
        <f t="shared" ca="1" si="210"/>
        <v>0.59586128169412245</v>
      </c>
      <c r="X975" s="29">
        <v>0</v>
      </c>
      <c r="Z975" s="22">
        <v>45520</v>
      </c>
      <c r="AA975" s="26">
        <f t="shared" ca="1" si="211"/>
        <v>0.46061541697501063</v>
      </c>
      <c r="AB975" s="29">
        <v>0</v>
      </c>
      <c r="AC975"/>
      <c r="AD975" s="25"/>
      <c r="AF975" s="22">
        <v>45520</v>
      </c>
      <c r="AG975" s="26">
        <f t="shared" ca="1" si="212"/>
        <v>0.37864467715053951</v>
      </c>
      <c r="AH975" s="29">
        <v>0</v>
      </c>
      <c r="AJ975" s="22">
        <v>45520</v>
      </c>
      <c r="AK975" s="26">
        <f t="shared" ca="1" si="213"/>
        <v>0.40183468378074516</v>
      </c>
      <c r="AL975" s="29">
        <v>0</v>
      </c>
      <c r="AN975" s="22">
        <v>45520</v>
      </c>
      <c r="AO975" s="26">
        <f t="shared" ca="1" si="214"/>
        <v>0.5349046860284401</v>
      </c>
      <c r="AP975" s="29">
        <v>0</v>
      </c>
      <c r="AR975" s="22">
        <v>45520</v>
      </c>
      <c r="AS975" s="26">
        <f t="shared" ca="1" si="215"/>
        <v>0.64086868740195213</v>
      </c>
      <c r="AT975" s="29">
        <v>0</v>
      </c>
      <c r="AV975" s="22">
        <v>45520</v>
      </c>
      <c r="AW975" s="26">
        <f t="shared" ca="1" si="216"/>
        <v>0.63957223761998583</v>
      </c>
      <c r="AX975" s="29">
        <v>0</v>
      </c>
      <c r="AZ975" s="22">
        <v>45520</v>
      </c>
      <c r="BA975" s="26">
        <f t="shared" ca="1" si="217"/>
        <v>0.98703202862053308</v>
      </c>
      <c r="BB975" s="29">
        <v>0</v>
      </c>
      <c r="BC975"/>
      <c r="BD975" s="25"/>
      <c r="BF975" s="22">
        <v>45520</v>
      </c>
      <c r="BG975" s="26">
        <f t="shared" ca="1" si="218"/>
        <v>0.67211690889896414</v>
      </c>
      <c r="BH975" s="29">
        <v>0</v>
      </c>
      <c r="BJ975" s="22">
        <v>45520</v>
      </c>
      <c r="BK975" s="26">
        <f t="shared" ca="1" si="219"/>
        <v>0.60706231112228859</v>
      </c>
      <c r="BL975" s="29">
        <v>0</v>
      </c>
      <c r="BN975" s="22">
        <v>45520</v>
      </c>
      <c r="BO975" s="26">
        <f t="shared" ca="1" si="220"/>
        <v>7.1271260968589378E-2</v>
      </c>
      <c r="BP975" s="29">
        <v>0</v>
      </c>
      <c r="BR975" s="22">
        <v>45520</v>
      </c>
      <c r="BS975" s="26">
        <f t="shared" ca="1" si="221"/>
        <v>0.62113900231160946</v>
      </c>
      <c r="BT975" s="29">
        <v>0</v>
      </c>
      <c r="BV975" s="22">
        <v>45520</v>
      </c>
      <c r="BW975" s="26">
        <f t="shared" ca="1" si="222"/>
        <v>0.49860907015931411</v>
      </c>
      <c r="BX975" s="29">
        <v>0</v>
      </c>
    </row>
    <row r="976" spans="2:76" ht="12.75" x14ac:dyDescent="0.2">
      <c r="B976" s="22">
        <v>45521</v>
      </c>
      <c r="C976" s="26">
        <f t="shared" ca="1" si="205"/>
        <v>0.4109646291244089</v>
      </c>
      <c r="D976" s="29">
        <v>0</v>
      </c>
      <c r="F976" s="22"/>
      <c r="G976" s="26">
        <f t="shared" ca="1" si="206"/>
        <v>0.45064373477962738</v>
      </c>
      <c r="H976" s="29">
        <v>0</v>
      </c>
      <c r="J976" s="22">
        <v>45521</v>
      </c>
      <c r="K976" s="26">
        <f t="shared" ca="1" si="207"/>
        <v>0.47178651805520166</v>
      </c>
      <c r="L976" s="29">
        <v>0</v>
      </c>
      <c r="N976" s="22">
        <v>45521</v>
      </c>
      <c r="O976" s="26">
        <f t="shared" ca="1" si="208"/>
        <v>0.74093212616864923</v>
      </c>
      <c r="P976" s="29">
        <v>0</v>
      </c>
      <c r="R976" s="22">
        <v>45521</v>
      </c>
      <c r="S976" s="26">
        <f t="shared" ca="1" si="209"/>
        <v>0.79630089121780423</v>
      </c>
      <c r="T976" s="29">
        <v>0</v>
      </c>
      <c r="V976" s="22">
        <v>45521</v>
      </c>
      <c r="W976" s="26">
        <f t="shared" ca="1" si="210"/>
        <v>0.80868903855926288</v>
      </c>
      <c r="X976" s="29">
        <v>0</v>
      </c>
      <c r="Z976" s="22">
        <v>45521</v>
      </c>
      <c r="AA976" s="26">
        <f t="shared" ca="1" si="211"/>
        <v>0.75741009377756296</v>
      </c>
      <c r="AB976" s="29">
        <v>0</v>
      </c>
      <c r="AC976"/>
      <c r="AD976" s="25"/>
      <c r="AF976" s="22">
        <v>45521</v>
      </c>
      <c r="AG976" s="26">
        <f t="shared" ca="1" si="212"/>
        <v>0.1591569815212035</v>
      </c>
      <c r="AH976" s="29">
        <v>0</v>
      </c>
      <c r="AJ976" s="22">
        <v>45521</v>
      </c>
      <c r="AK976" s="26">
        <f t="shared" ca="1" si="213"/>
        <v>0.95010749945305784</v>
      </c>
      <c r="AL976" s="29">
        <v>0</v>
      </c>
      <c r="AN976" s="22">
        <v>45521</v>
      </c>
      <c r="AO976" s="26">
        <f t="shared" ca="1" si="214"/>
        <v>0.51282465927599219</v>
      </c>
      <c r="AP976" s="29">
        <v>0</v>
      </c>
      <c r="AR976" s="22">
        <v>45521</v>
      </c>
      <c r="AS976" s="26">
        <f t="shared" ca="1" si="215"/>
        <v>0.51112719269856788</v>
      </c>
      <c r="AT976" s="29">
        <v>0</v>
      </c>
      <c r="AV976" s="22">
        <v>45521</v>
      </c>
      <c r="AW976" s="26">
        <f t="shared" ca="1" si="216"/>
        <v>1.6798343156596562E-3</v>
      </c>
      <c r="AX976" s="29">
        <v>0</v>
      </c>
      <c r="AZ976" s="22">
        <v>45521</v>
      </c>
      <c r="BA976" s="26">
        <f t="shared" ca="1" si="217"/>
        <v>0.11764043143462055</v>
      </c>
      <c r="BB976" s="29">
        <v>0</v>
      </c>
      <c r="BC976"/>
      <c r="BD976" s="25"/>
      <c r="BF976" s="22">
        <v>45521</v>
      </c>
      <c r="BG976" s="26">
        <f t="shared" ca="1" si="218"/>
        <v>0.34085492500450343</v>
      </c>
      <c r="BH976" s="29">
        <v>0</v>
      </c>
      <c r="BJ976" s="22">
        <v>45521</v>
      </c>
      <c r="BK976" s="26">
        <f t="shared" ca="1" si="219"/>
        <v>0.99216907461008053</v>
      </c>
      <c r="BL976" s="29">
        <v>0</v>
      </c>
      <c r="BN976" s="22">
        <v>45521</v>
      </c>
      <c r="BO976" s="26">
        <f t="shared" ca="1" si="220"/>
        <v>0.78447084658570188</v>
      </c>
      <c r="BP976" s="29">
        <v>0</v>
      </c>
      <c r="BR976" s="22">
        <v>45521</v>
      </c>
      <c r="BS976" s="26">
        <f t="shared" ca="1" si="221"/>
        <v>0.44989471313361129</v>
      </c>
      <c r="BT976" s="29">
        <v>0</v>
      </c>
      <c r="BV976" s="22">
        <v>45521</v>
      </c>
      <c r="BW976" s="26">
        <f t="shared" ca="1" si="222"/>
        <v>0.62069845418646385</v>
      </c>
      <c r="BX976" s="29">
        <v>0</v>
      </c>
    </row>
    <row r="977" spans="2:77" ht="12.75" x14ac:dyDescent="0.2">
      <c r="B977" s="22">
        <v>45522</v>
      </c>
      <c r="C977" s="26">
        <f t="shared" ca="1" si="205"/>
        <v>3.1018151891295531E-2</v>
      </c>
      <c r="D977" s="29">
        <v>0</v>
      </c>
      <c r="F977" s="22"/>
      <c r="G977" s="26">
        <f t="shared" ca="1" si="206"/>
        <v>0.36345345332615375</v>
      </c>
      <c r="H977" s="29">
        <v>0</v>
      </c>
      <c r="J977" s="22">
        <v>45522</v>
      </c>
      <c r="K977" s="26">
        <f t="shared" ca="1" si="207"/>
        <v>0.81425395906530762</v>
      </c>
      <c r="L977" s="29">
        <v>0</v>
      </c>
      <c r="N977" s="22">
        <v>45522</v>
      </c>
      <c r="O977" s="26">
        <f t="shared" ca="1" si="208"/>
        <v>0.26224370966629706</v>
      </c>
      <c r="P977" s="29">
        <v>0</v>
      </c>
      <c r="R977" s="22">
        <v>45522</v>
      </c>
      <c r="S977" s="26">
        <f t="shared" ca="1" si="209"/>
        <v>4.4401710832372765E-2</v>
      </c>
      <c r="T977" s="29">
        <v>0</v>
      </c>
      <c r="V977" s="22">
        <v>45522</v>
      </c>
      <c r="W977" s="26">
        <f t="shared" ca="1" si="210"/>
        <v>9.9058215223525314E-3</v>
      </c>
      <c r="X977" s="29">
        <v>0</v>
      </c>
      <c r="Z977" s="22">
        <v>45522</v>
      </c>
      <c r="AA977" s="26">
        <f t="shared" ca="1" si="211"/>
        <v>0.25780454887693816</v>
      </c>
      <c r="AB977" s="29">
        <v>0</v>
      </c>
      <c r="AC977"/>
      <c r="AD977" s="25"/>
      <c r="AF977" s="22">
        <v>45522</v>
      </c>
      <c r="AG977" s="26">
        <f t="shared" ca="1" si="212"/>
        <v>0.22039972872156888</v>
      </c>
      <c r="AH977" s="29">
        <v>0</v>
      </c>
      <c r="AJ977" s="22">
        <v>45522</v>
      </c>
      <c r="AK977" s="26">
        <f t="shared" ca="1" si="213"/>
        <v>0.3949551177094891</v>
      </c>
      <c r="AL977" s="29">
        <v>0</v>
      </c>
      <c r="AN977" s="22">
        <v>45522</v>
      </c>
      <c r="AO977" s="26">
        <f t="shared" ca="1" si="214"/>
        <v>0.41479280860821577</v>
      </c>
      <c r="AP977" s="29">
        <v>0</v>
      </c>
      <c r="AR977" s="22">
        <v>45522</v>
      </c>
      <c r="AS977" s="26">
        <f t="shared" ca="1" si="215"/>
        <v>0.91081758672248336</v>
      </c>
      <c r="AT977" s="29">
        <v>0</v>
      </c>
      <c r="AV977" s="22">
        <v>45522</v>
      </c>
      <c r="AW977" s="26">
        <f t="shared" ca="1" si="216"/>
        <v>0.69560293501939008</v>
      </c>
      <c r="AX977" s="29">
        <v>0</v>
      </c>
      <c r="AZ977" s="22">
        <v>45522</v>
      </c>
      <c r="BA977" s="26">
        <f t="shared" ca="1" si="217"/>
        <v>4.2431838679930167E-2</v>
      </c>
      <c r="BB977" s="29">
        <v>0</v>
      </c>
      <c r="BC977"/>
      <c r="BD977" s="25"/>
      <c r="BF977" s="22">
        <v>45522</v>
      </c>
      <c r="BG977" s="26">
        <f t="shared" ca="1" si="218"/>
        <v>0.53750390282927718</v>
      </c>
      <c r="BH977" s="29">
        <v>0</v>
      </c>
      <c r="BJ977" s="22">
        <v>45522</v>
      </c>
      <c r="BK977" s="26">
        <f t="shared" ca="1" si="219"/>
        <v>0.32104663828916047</v>
      </c>
      <c r="BL977" s="29">
        <v>0</v>
      </c>
      <c r="BN977" s="22">
        <v>45522</v>
      </c>
      <c r="BO977" s="26">
        <f t="shared" ca="1" si="220"/>
        <v>0.78948101781291113</v>
      </c>
      <c r="BP977" s="29">
        <v>0</v>
      </c>
      <c r="BR977" s="22">
        <v>45522</v>
      </c>
      <c r="BS977" s="26">
        <f t="shared" ca="1" si="221"/>
        <v>0.62699968558669938</v>
      </c>
      <c r="BT977" s="29">
        <v>0</v>
      </c>
      <c r="BV977" s="22">
        <v>45522</v>
      </c>
      <c r="BW977" s="26">
        <f t="shared" ca="1" si="222"/>
        <v>0.62489010738342254</v>
      </c>
      <c r="BX977" s="29">
        <v>0</v>
      </c>
    </row>
    <row r="978" spans="2:77" ht="12.75" x14ac:dyDescent="0.2">
      <c r="B978" s="22">
        <v>45523</v>
      </c>
      <c r="C978" s="26">
        <f t="shared" ca="1" si="205"/>
        <v>0.30528204120808389</v>
      </c>
      <c r="D978" s="29">
        <v>0</v>
      </c>
      <c r="F978" s="22"/>
      <c r="G978" s="26">
        <f t="shared" ca="1" si="206"/>
        <v>0.21184724778756292</v>
      </c>
      <c r="H978" s="29">
        <v>0</v>
      </c>
      <c r="J978" s="22">
        <v>45523</v>
      </c>
      <c r="K978" s="26">
        <f t="shared" ca="1" si="207"/>
        <v>6.5357727284857114E-3</v>
      </c>
      <c r="L978" s="29">
        <v>0</v>
      </c>
      <c r="N978" s="22">
        <v>45523</v>
      </c>
      <c r="O978" s="26">
        <f t="shared" ca="1" si="208"/>
        <v>0.15558505177406723</v>
      </c>
      <c r="P978" s="29">
        <v>0</v>
      </c>
      <c r="R978" s="22">
        <v>45523</v>
      </c>
      <c r="S978" s="26">
        <f t="shared" ca="1" si="209"/>
        <v>0.32513982426940247</v>
      </c>
      <c r="T978" s="29">
        <v>0</v>
      </c>
      <c r="V978" s="22">
        <v>45523</v>
      </c>
      <c r="W978" s="26">
        <f t="shared" ca="1" si="210"/>
        <v>0.15418029284028822</v>
      </c>
      <c r="X978" s="29">
        <v>0</v>
      </c>
      <c r="Z978" s="22">
        <v>45523</v>
      </c>
      <c r="AA978" s="26">
        <f t="shared" ca="1" si="211"/>
        <v>5.8268697396594238E-2</v>
      </c>
      <c r="AB978" s="29">
        <v>0</v>
      </c>
      <c r="AC978"/>
      <c r="AD978" s="25"/>
      <c r="AF978" s="22">
        <v>45523</v>
      </c>
      <c r="AG978" s="26">
        <f t="shared" ca="1" si="212"/>
        <v>0.7736747522258095</v>
      </c>
      <c r="AH978" s="29">
        <v>0</v>
      </c>
      <c r="AJ978" s="22">
        <v>45523</v>
      </c>
      <c r="AK978" s="26">
        <f t="shared" ca="1" si="213"/>
        <v>0.75567259391018093</v>
      </c>
      <c r="AL978" s="29">
        <v>0</v>
      </c>
      <c r="AN978" s="22">
        <v>45523</v>
      </c>
      <c r="AO978" s="26">
        <f t="shared" ca="1" si="214"/>
        <v>0.97216833456898233</v>
      </c>
      <c r="AP978" s="29">
        <v>0</v>
      </c>
      <c r="AR978" s="22">
        <v>45523</v>
      </c>
      <c r="AS978" s="26">
        <f t="shared" ca="1" si="215"/>
        <v>0.21313627022829273</v>
      </c>
      <c r="AT978" s="29">
        <v>0</v>
      </c>
      <c r="AV978" s="22">
        <v>45523</v>
      </c>
      <c r="AW978" s="26">
        <f t="shared" ca="1" si="216"/>
        <v>0.22018896257956344</v>
      </c>
      <c r="AX978" s="29">
        <v>0</v>
      </c>
      <c r="AZ978" s="22">
        <v>45523</v>
      </c>
      <c r="BA978" s="26">
        <f t="shared" ca="1" si="217"/>
        <v>0.43254578511671715</v>
      </c>
      <c r="BB978" s="29">
        <v>0</v>
      </c>
      <c r="BC978"/>
      <c r="BD978" s="25"/>
      <c r="BF978" s="22">
        <v>45523</v>
      </c>
      <c r="BG978" s="26">
        <f t="shared" ca="1" si="218"/>
        <v>0.92358376445314905</v>
      </c>
      <c r="BH978" s="29">
        <v>0</v>
      </c>
      <c r="BJ978" s="22">
        <v>45523</v>
      </c>
      <c r="BK978" s="26">
        <f t="shared" ca="1" si="219"/>
        <v>0.72708231143362612</v>
      </c>
      <c r="BL978" s="29">
        <v>0</v>
      </c>
      <c r="BN978" s="22">
        <v>45523</v>
      </c>
      <c r="BO978" s="26">
        <f t="shared" ca="1" si="220"/>
        <v>0.61090728063007993</v>
      </c>
      <c r="BP978" s="29">
        <v>0</v>
      </c>
      <c r="BR978" s="22">
        <v>45523</v>
      </c>
      <c r="BS978" s="26">
        <f t="shared" ca="1" si="221"/>
        <v>0.83747316550173345</v>
      </c>
      <c r="BT978" s="29">
        <v>0</v>
      </c>
      <c r="BV978" s="22">
        <v>45523</v>
      </c>
      <c r="BW978" s="26">
        <f t="shared" ca="1" si="222"/>
        <v>0.23288665303431899</v>
      </c>
      <c r="BX978" s="29">
        <v>0</v>
      </c>
    </row>
    <row r="979" spans="2:77" ht="12.75" x14ac:dyDescent="0.2">
      <c r="B979" s="22">
        <v>45524</v>
      </c>
      <c r="C979" s="26">
        <f t="shared" ca="1" si="205"/>
        <v>0.80046189118075972</v>
      </c>
      <c r="D979" s="29">
        <v>0</v>
      </c>
      <c r="F979" s="22"/>
      <c r="G979" s="26">
        <f t="shared" ca="1" si="206"/>
        <v>0.29041644359411456</v>
      </c>
      <c r="H979" s="29">
        <v>0</v>
      </c>
      <c r="J979" s="22">
        <v>45524</v>
      </c>
      <c r="K979" s="26">
        <f t="shared" ca="1" si="207"/>
        <v>0.35211325916888991</v>
      </c>
      <c r="L979" s="29">
        <v>0</v>
      </c>
      <c r="N979" s="22">
        <v>45524</v>
      </c>
      <c r="O979" s="26">
        <f t="shared" ca="1" si="208"/>
        <v>0.63402230412353322</v>
      </c>
      <c r="P979" s="29">
        <v>0</v>
      </c>
      <c r="R979" s="22">
        <v>45524</v>
      </c>
      <c r="S979" s="26">
        <f t="shared" ca="1" si="209"/>
        <v>0.56369784775069876</v>
      </c>
      <c r="T979" s="29">
        <v>0</v>
      </c>
      <c r="V979" s="22">
        <v>45524</v>
      </c>
      <c r="W979" s="26">
        <f t="shared" ca="1" si="210"/>
        <v>0.40558939832838503</v>
      </c>
      <c r="X979" s="29">
        <v>0</v>
      </c>
      <c r="Z979" s="22">
        <v>45524</v>
      </c>
      <c r="AA979" s="26">
        <f t="shared" ca="1" si="211"/>
        <v>0.71030714308788367</v>
      </c>
      <c r="AB979" s="29">
        <v>0</v>
      </c>
      <c r="AC979"/>
      <c r="AD979" s="25"/>
      <c r="AF979" s="22">
        <v>45524</v>
      </c>
      <c r="AG979" s="26">
        <f t="shared" ca="1" si="212"/>
        <v>0.71236254963513002</v>
      </c>
      <c r="AH979" s="29">
        <v>0</v>
      </c>
      <c r="AJ979" s="22">
        <v>45524</v>
      </c>
      <c r="AK979" s="26">
        <f t="shared" ca="1" si="213"/>
        <v>0.78700045971412003</v>
      </c>
      <c r="AL979" s="29">
        <v>0</v>
      </c>
      <c r="AN979" s="22">
        <v>45524</v>
      </c>
      <c r="AO979" s="26">
        <f t="shared" ca="1" si="214"/>
        <v>0.53077892911517488</v>
      </c>
      <c r="AP979" s="29">
        <v>0</v>
      </c>
      <c r="AR979" s="22">
        <v>45524</v>
      </c>
      <c r="AS979" s="26">
        <f t="shared" ca="1" si="215"/>
        <v>0.36529870731310143</v>
      </c>
      <c r="AT979" s="29">
        <v>0</v>
      </c>
      <c r="AV979" s="22">
        <v>45524</v>
      </c>
      <c r="AW979" s="26">
        <f t="shared" ca="1" si="216"/>
        <v>0.75472738238613035</v>
      </c>
      <c r="AX979" s="29">
        <v>0</v>
      </c>
      <c r="AZ979" s="22">
        <v>45524</v>
      </c>
      <c r="BA979" s="26">
        <f t="shared" ca="1" si="217"/>
        <v>1.8566882993383271E-2</v>
      </c>
      <c r="BB979" s="29">
        <v>0</v>
      </c>
      <c r="BC979"/>
      <c r="BD979" s="25"/>
      <c r="BF979" s="22">
        <v>45524</v>
      </c>
      <c r="BG979" s="26">
        <f t="shared" ca="1" si="218"/>
        <v>0.41513823028073082</v>
      </c>
      <c r="BH979" s="29">
        <v>0</v>
      </c>
      <c r="BJ979" s="22">
        <v>45524</v>
      </c>
      <c r="BK979" s="26">
        <f t="shared" ca="1" si="219"/>
        <v>0.92471528331417452</v>
      </c>
      <c r="BL979" s="29">
        <v>0</v>
      </c>
      <c r="BN979" s="22">
        <v>45524</v>
      </c>
      <c r="BO979" s="26">
        <f t="shared" ca="1" si="220"/>
        <v>0.29145065242227264</v>
      </c>
      <c r="BP979" s="29">
        <v>0</v>
      </c>
      <c r="BR979" s="22">
        <v>45524</v>
      </c>
      <c r="BS979" s="26">
        <f t="shared" ca="1" si="221"/>
        <v>0.56865657935874492</v>
      </c>
      <c r="BT979" s="29">
        <v>0</v>
      </c>
      <c r="BV979" s="22">
        <v>45524</v>
      </c>
      <c r="BW979" s="26">
        <f t="shared" ca="1" si="222"/>
        <v>0.89516648620774908</v>
      </c>
      <c r="BX979" s="29">
        <v>0</v>
      </c>
    </row>
    <row r="980" spans="2:77" ht="12.75" x14ac:dyDescent="0.2">
      <c r="B980" s="22">
        <v>45525</v>
      </c>
      <c r="C980" s="26">
        <f t="shared" ref="C980:C1043" ca="1" si="241">RAND()</f>
        <v>0.44154284870756166</v>
      </c>
      <c r="D980" s="29">
        <v>0</v>
      </c>
      <c r="F980" s="22"/>
      <c r="G980" s="26">
        <f t="shared" ca="1" si="206"/>
        <v>0.73186709383023385</v>
      </c>
      <c r="H980" s="29">
        <v>0</v>
      </c>
      <c r="J980" s="22">
        <v>45525</v>
      </c>
      <c r="K980" s="26">
        <f t="shared" ca="1" si="207"/>
        <v>0.16724378359524839</v>
      </c>
      <c r="L980" s="29">
        <v>0</v>
      </c>
      <c r="N980" s="22">
        <v>45525</v>
      </c>
      <c r="O980" s="26">
        <f t="shared" ca="1" si="208"/>
        <v>0.33953932634482942</v>
      </c>
      <c r="P980" s="29">
        <v>0</v>
      </c>
      <c r="R980" s="22">
        <v>45525</v>
      </c>
      <c r="S980" s="26">
        <f t="shared" ca="1" si="209"/>
        <v>5.8166536880410735E-2</v>
      </c>
      <c r="T980" s="29">
        <v>0</v>
      </c>
      <c r="V980" s="22">
        <v>45525</v>
      </c>
      <c r="W980" s="26">
        <f t="shared" ca="1" si="210"/>
        <v>0.16653387074406012</v>
      </c>
      <c r="X980" s="29">
        <v>0</v>
      </c>
      <c r="Z980" s="22">
        <v>45525</v>
      </c>
      <c r="AA980" s="26">
        <f t="shared" ca="1" si="211"/>
        <v>0.90527534821664435</v>
      </c>
      <c r="AB980" s="29">
        <v>0</v>
      </c>
      <c r="AC980"/>
      <c r="AD980" s="25"/>
      <c r="AF980" s="22">
        <v>45525</v>
      </c>
      <c r="AG980" s="26">
        <f t="shared" ca="1" si="212"/>
        <v>0.61499213332817382</v>
      </c>
      <c r="AH980" s="29">
        <v>0</v>
      </c>
      <c r="AJ980" s="22">
        <v>45525</v>
      </c>
      <c r="AK980" s="26">
        <f t="shared" ca="1" si="213"/>
        <v>0.17754830824132517</v>
      </c>
      <c r="AL980" s="29">
        <v>0</v>
      </c>
      <c r="AN980" s="22">
        <v>45525</v>
      </c>
      <c r="AO980" s="26">
        <f t="shared" ca="1" si="214"/>
        <v>0.68911725640808874</v>
      </c>
      <c r="AP980" s="29">
        <v>0</v>
      </c>
      <c r="AR980" s="22">
        <v>45525</v>
      </c>
      <c r="AS980" s="26">
        <f t="shared" ca="1" si="215"/>
        <v>0.85989693513768162</v>
      </c>
      <c r="AT980" s="29">
        <v>0</v>
      </c>
      <c r="AV980" s="22">
        <v>45525</v>
      </c>
      <c r="AW980" s="26">
        <f t="shared" ca="1" si="216"/>
        <v>6.3007917730249718E-2</v>
      </c>
      <c r="AX980" s="29">
        <v>0</v>
      </c>
      <c r="AZ980" s="22">
        <v>45525</v>
      </c>
      <c r="BA980" s="26">
        <f t="shared" ca="1" si="217"/>
        <v>0.15674544206803653</v>
      </c>
      <c r="BB980" s="29">
        <v>0</v>
      </c>
      <c r="BC980"/>
      <c r="BD980" s="25"/>
      <c r="BF980" s="22">
        <v>45525</v>
      </c>
      <c r="BG980" s="26">
        <f t="shared" ca="1" si="218"/>
        <v>0.59956899191211865</v>
      </c>
      <c r="BH980" s="29">
        <v>0</v>
      </c>
      <c r="BJ980" s="22">
        <v>45525</v>
      </c>
      <c r="BK980" s="26">
        <f t="shared" ca="1" si="219"/>
        <v>0.57860017821859244</v>
      </c>
      <c r="BL980" s="29">
        <v>0</v>
      </c>
      <c r="BN980" s="22">
        <v>45525</v>
      </c>
      <c r="BO980" s="26">
        <f t="shared" ca="1" si="220"/>
        <v>0.55430186729731978</v>
      </c>
      <c r="BP980" s="29">
        <v>0</v>
      </c>
      <c r="BR980" s="22">
        <v>45525</v>
      </c>
      <c r="BS980" s="26">
        <f t="shared" ca="1" si="221"/>
        <v>0.13489469273841548</v>
      </c>
      <c r="BT980" s="29">
        <v>0</v>
      </c>
      <c r="BV980" s="22">
        <v>45525</v>
      </c>
      <c r="BW980" s="26">
        <f t="shared" ca="1" si="222"/>
        <v>0.89957330162061078</v>
      </c>
      <c r="BX980" s="29">
        <v>0</v>
      </c>
    </row>
    <row r="981" spans="2:77" ht="12.75" x14ac:dyDescent="0.2">
      <c r="B981" s="22">
        <v>45526</v>
      </c>
      <c r="C981" s="26">
        <f t="shared" ca="1" si="241"/>
        <v>0.35197846443733061</v>
      </c>
      <c r="D981" s="29">
        <v>0</v>
      </c>
      <c r="F981" s="22"/>
      <c r="G981" s="26">
        <f t="shared" ca="1" si="206"/>
        <v>0.97049286964128811</v>
      </c>
      <c r="H981" s="29">
        <v>0</v>
      </c>
      <c r="J981" s="22">
        <v>45526</v>
      </c>
      <c r="K981" s="26">
        <f t="shared" ca="1" si="207"/>
        <v>0.44028727126864609</v>
      </c>
      <c r="L981" s="29">
        <v>0</v>
      </c>
      <c r="N981" s="22">
        <v>45526</v>
      </c>
      <c r="O981" s="26">
        <f t="shared" ca="1" si="208"/>
        <v>0.46869928149967766</v>
      </c>
      <c r="P981" s="29">
        <v>0</v>
      </c>
      <c r="R981" s="22">
        <v>45526</v>
      </c>
      <c r="S981" s="26">
        <f t="shared" ca="1" si="209"/>
        <v>9.8500146502700003E-2</v>
      </c>
      <c r="T981" s="29">
        <v>0</v>
      </c>
      <c r="V981" s="22">
        <v>45526</v>
      </c>
      <c r="W981" s="26">
        <f t="shared" ca="1" si="210"/>
        <v>0.45163718768655015</v>
      </c>
      <c r="X981" s="29">
        <v>0</v>
      </c>
      <c r="Z981" s="22">
        <v>45526</v>
      </c>
      <c r="AA981" s="26">
        <f t="shared" ca="1" si="211"/>
        <v>0.24594069223543535</v>
      </c>
      <c r="AB981" s="29">
        <v>0</v>
      </c>
      <c r="AC981"/>
      <c r="AD981" s="25"/>
      <c r="AF981" s="22">
        <v>45526</v>
      </c>
      <c r="AG981" s="26">
        <f t="shared" ca="1" si="212"/>
        <v>9.679361140842202E-2</v>
      </c>
      <c r="AH981" s="29">
        <v>0</v>
      </c>
      <c r="AJ981" s="22">
        <v>45526</v>
      </c>
      <c r="AK981" s="26">
        <f t="shared" ca="1" si="213"/>
        <v>1.7610285334435094E-4</v>
      </c>
      <c r="AL981" s="29">
        <v>0</v>
      </c>
      <c r="AN981" s="22">
        <v>45526</v>
      </c>
      <c r="AO981" s="26">
        <f t="shared" ca="1" si="214"/>
        <v>0.88115270581561711</v>
      </c>
      <c r="AP981" s="29">
        <v>0</v>
      </c>
      <c r="AR981" s="22">
        <v>45526</v>
      </c>
      <c r="AS981" s="26">
        <f t="shared" ca="1" si="215"/>
        <v>0.85342294028195032</v>
      </c>
      <c r="AT981" s="29">
        <v>0</v>
      </c>
      <c r="AV981" s="22">
        <v>45526</v>
      </c>
      <c r="AW981" s="26">
        <f t="shared" ca="1" si="216"/>
        <v>0.41427576646023401</v>
      </c>
      <c r="AX981" s="29">
        <v>0</v>
      </c>
      <c r="AZ981" s="22">
        <v>45526</v>
      </c>
      <c r="BA981" s="26">
        <f t="shared" ca="1" si="217"/>
        <v>0.92890293840493765</v>
      </c>
      <c r="BB981" s="29">
        <v>0</v>
      </c>
      <c r="BC981"/>
      <c r="BD981" s="25"/>
      <c r="BF981" s="22">
        <v>45526</v>
      </c>
      <c r="BG981" s="26">
        <f t="shared" ca="1" si="218"/>
        <v>0.25930155328199878</v>
      </c>
      <c r="BH981" s="29">
        <v>0</v>
      </c>
      <c r="BJ981" s="22">
        <v>45526</v>
      </c>
      <c r="BK981" s="26">
        <f t="shared" ca="1" si="219"/>
        <v>0.1974431500872349</v>
      </c>
      <c r="BL981" s="29">
        <v>0</v>
      </c>
      <c r="BN981" s="22">
        <v>45526</v>
      </c>
      <c r="BO981" s="26">
        <f t="shared" ca="1" si="220"/>
        <v>0.62263274326815332</v>
      </c>
      <c r="BP981" s="29">
        <v>0</v>
      </c>
      <c r="BR981" s="22">
        <v>45526</v>
      </c>
      <c r="BS981" s="26">
        <f t="shared" ca="1" si="221"/>
        <v>6.3148513703613074E-2</v>
      </c>
      <c r="BT981" s="29">
        <v>0</v>
      </c>
      <c r="BV981" s="22">
        <v>45526</v>
      </c>
      <c r="BW981" s="26">
        <f t="shared" ca="1" si="222"/>
        <v>0.93147348631374061</v>
      </c>
      <c r="BX981" s="29">
        <v>0</v>
      </c>
    </row>
    <row r="982" spans="2:77" ht="12.75" x14ac:dyDescent="0.2">
      <c r="B982" s="22">
        <v>45527</v>
      </c>
      <c r="C982" s="26">
        <f t="shared" ca="1" si="241"/>
        <v>0.34879573917068785</v>
      </c>
      <c r="D982" s="29">
        <v>0</v>
      </c>
      <c r="F982" s="22"/>
      <c r="G982" s="26">
        <f t="shared" ca="1" si="206"/>
        <v>0.93165256706734001</v>
      </c>
      <c r="H982" s="29">
        <v>0</v>
      </c>
      <c r="J982" s="22">
        <v>45527</v>
      </c>
      <c r="K982" s="26">
        <f t="shared" ca="1" si="207"/>
        <v>6.7450858435154748E-2</v>
      </c>
      <c r="L982" s="29">
        <v>0</v>
      </c>
      <c r="N982" s="22">
        <v>45527</v>
      </c>
      <c r="O982" s="26">
        <f t="shared" ca="1" si="208"/>
        <v>0.35921725556811235</v>
      </c>
      <c r="P982" s="29">
        <v>0</v>
      </c>
      <c r="R982" s="22">
        <v>45527</v>
      </c>
      <c r="S982" s="26">
        <f t="shared" ca="1" si="209"/>
        <v>0.46659230329070034</v>
      </c>
      <c r="T982" s="29">
        <v>0</v>
      </c>
      <c r="V982" s="22">
        <v>45527</v>
      </c>
      <c r="W982" s="26">
        <f t="shared" ca="1" si="210"/>
        <v>0.42617730607485571</v>
      </c>
      <c r="X982" s="29">
        <v>0</v>
      </c>
      <c r="Z982" s="22">
        <v>45527</v>
      </c>
      <c r="AA982" s="26">
        <f t="shared" ca="1" si="211"/>
        <v>0.2658540344899506</v>
      </c>
      <c r="AB982" s="29">
        <v>0</v>
      </c>
      <c r="AC982"/>
      <c r="AD982" s="25"/>
      <c r="AF982" s="22">
        <v>45527</v>
      </c>
      <c r="AG982" s="26">
        <f t="shared" ca="1" si="212"/>
        <v>0.35240443433576718</v>
      </c>
      <c r="AH982" s="29">
        <v>0</v>
      </c>
      <c r="AJ982" s="22">
        <v>45527</v>
      </c>
      <c r="AK982" s="26">
        <f t="shared" ca="1" si="213"/>
        <v>0.2889557553810056</v>
      </c>
      <c r="AL982" s="29">
        <v>0</v>
      </c>
      <c r="AN982" s="22">
        <v>45527</v>
      </c>
      <c r="AO982" s="26">
        <f t="shared" ca="1" si="214"/>
        <v>0.4813937292563939</v>
      </c>
      <c r="AP982" s="29">
        <v>0</v>
      </c>
      <c r="AR982" s="22">
        <v>45527</v>
      </c>
      <c r="AS982" s="26">
        <f t="shared" ca="1" si="215"/>
        <v>0.96692106553030976</v>
      </c>
      <c r="AT982" s="29">
        <v>0</v>
      </c>
      <c r="AV982" s="22">
        <v>45527</v>
      </c>
      <c r="AW982" s="26">
        <f t="shared" ca="1" si="216"/>
        <v>5.7527921230184242E-2</v>
      </c>
      <c r="AX982" s="29">
        <v>0</v>
      </c>
      <c r="AZ982" s="22">
        <v>45527</v>
      </c>
      <c r="BA982" s="26">
        <f t="shared" ca="1" si="217"/>
        <v>0.6844986733419417</v>
      </c>
      <c r="BB982" s="29">
        <v>0</v>
      </c>
      <c r="BC982"/>
      <c r="BD982" s="25"/>
      <c r="BF982" s="22">
        <v>45527</v>
      </c>
      <c r="BG982" s="26">
        <f t="shared" ca="1" si="218"/>
        <v>0.54944162522639506</v>
      </c>
      <c r="BH982" s="29">
        <v>0</v>
      </c>
      <c r="BJ982" s="22">
        <v>45527</v>
      </c>
      <c r="BK982" s="26">
        <f t="shared" ca="1" si="219"/>
        <v>0.13531117912844792</v>
      </c>
      <c r="BL982" s="29">
        <v>0</v>
      </c>
      <c r="BN982" s="22">
        <v>45527</v>
      </c>
      <c r="BO982" s="26">
        <f t="shared" ca="1" si="220"/>
        <v>0.72730144572938138</v>
      </c>
      <c r="BP982" s="29">
        <v>0</v>
      </c>
      <c r="BR982" s="22">
        <v>45527</v>
      </c>
      <c r="BS982" s="26">
        <f t="shared" ca="1" si="221"/>
        <v>0.30836525479791754</v>
      </c>
      <c r="BT982" s="29">
        <v>0</v>
      </c>
      <c r="BV982" s="22">
        <v>45527</v>
      </c>
      <c r="BW982" s="26">
        <f t="shared" ca="1" si="222"/>
        <v>0.98321146038719354</v>
      </c>
      <c r="BX982" s="29">
        <v>0</v>
      </c>
    </row>
    <row r="983" spans="2:77" ht="12.75" x14ac:dyDescent="0.2">
      <c r="B983" s="22">
        <v>45528</v>
      </c>
      <c r="C983" s="26">
        <f t="shared" ca="1" si="241"/>
        <v>0.53385709673266901</v>
      </c>
      <c r="D983" s="29">
        <v>0</v>
      </c>
      <c r="F983" s="22"/>
      <c r="G983" s="26">
        <f t="shared" ca="1" si="206"/>
        <v>0.88274760660477825</v>
      </c>
      <c r="H983" s="29">
        <v>0</v>
      </c>
      <c r="J983" s="22">
        <v>45528</v>
      </c>
      <c r="K983" s="26">
        <f t="shared" ca="1" si="207"/>
        <v>0.10129339213530575</v>
      </c>
      <c r="L983" s="29">
        <v>0</v>
      </c>
      <c r="N983" s="22">
        <v>45528</v>
      </c>
      <c r="O983" s="26">
        <f t="shared" ca="1" si="208"/>
        <v>0.39503829740971086</v>
      </c>
      <c r="P983" s="29">
        <v>0</v>
      </c>
      <c r="R983" s="22">
        <v>45528</v>
      </c>
      <c r="S983" s="26">
        <f t="shared" ca="1" si="209"/>
        <v>2.910380396468859E-2</v>
      </c>
      <c r="T983" s="29">
        <v>0</v>
      </c>
      <c r="V983" s="22">
        <v>45528</v>
      </c>
      <c r="W983" s="26">
        <f t="shared" ca="1" si="210"/>
        <v>0.35320334708004197</v>
      </c>
      <c r="X983" s="29">
        <v>0</v>
      </c>
      <c r="Z983" s="22">
        <v>45528</v>
      </c>
      <c r="AA983" s="26">
        <f t="shared" ca="1" si="211"/>
        <v>0.80309719717527939</v>
      </c>
      <c r="AB983" s="29">
        <v>0</v>
      </c>
      <c r="AC983"/>
      <c r="AD983" s="25"/>
      <c r="AF983" s="22">
        <v>45528</v>
      </c>
      <c r="AG983" s="26">
        <f t="shared" ca="1" si="212"/>
        <v>0.9799647024819047</v>
      </c>
      <c r="AH983" s="29">
        <v>0</v>
      </c>
      <c r="AJ983" s="22">
        <v>45528</v>
      </c>
      <c r="AK983" s="26">
        <f t="shared" ca="1" si="213"/>
        <v>0.15062241658346509</v>
      </c>
      <c r="AL983" s="29">
        <v>0</v>
      </c>
      <c r="AN983" s="22">
        <v>45528</v>
      </c>
      <c r="AO983" s="26">
        <f t="shared" ca="1" si="214"/>
        <v>0.96976997307654211</v>
      </c>
      <c r="AP983" s="29">
        <v>0</v>
      </c>
      <c r="AR983" s="22">
        <v>45528</v>
      </c>
      <c r="AS983" s="26">
        <f t="shared" ca="1" si="215"/>
        <v>0.86632060792568544</v>
      </c>
      <c r="AT983" s="29">
        <v>0</v>
      </c>
      <c r="AV983" s="22">
        <v>45528</v>
      </c>
      <c r="AW983" s="26">
        <f t="shared" ca="1" si="216"/>
        <v>0.53882717329531438</v>
      </c>
      <c r="AX983" s="29">
        <v>0</v>
      </c>
      <c r="AZ983" s="22">
        <v>45528</v>
      </c>
      <c r="BA983" s="26">
        <f t="shared" ca="1" si="217"/>
        <v>0.74853933118402216</v>
      </c>
      <c r="BB983" s="29">
        <v>0</v>
      </c>
      <c r="BC983"/>
      <c r="BD983" s="25"/>
      <c r="BF983" s="22">
        <v>45528</v>
      </c>
      <c r="BG983" s="26">
        <f t="shared" ca="1" si="218"/>
        <v>0.62391849494873697</v>
      </c>
      <c r="BH983" s="29">
        <v>0</v>
      </c>
      <c r="BJ983" s="22">
        <v>45528</v>
      </c>
      <c r="BK983" s="26">
        <f t="shared" ca="1" si="219"/>
        <v>0.1266410057372207</v>
      </c>
      <c r="BL983" s="29">
        <v>0</v>
      </c>
      <c r="BN983" s="22">
        <v>45528</v>
      </c>
      <c r="BO983" s="26">
        <f t="shared" ca="1" si="220"/>
        <v>0.60538268886271007</v>
      </c>
      <c r="BP983" s="29">
        <v>0</v>
      </c>
      <c r="BR983" s="22">
        <v>45528</v>
      </c>
      <c r="BS983" s="26">
        <f t="shared" ca="1" si="221"/>
        <v>0.87218268247399111</v>
      </c>
      <c r="BT983" s="29">
        <v>0</v>
      </c>
      <c r="BV983" s="22">
        <v>45528</v>
      </c>
      <c r="BW983" s="26">
        <f t="shared" ca="1" si="222"/>
        <v>6.0014430018719978E-2</v>
      </c>
      <c r="BX983" s="29">
        <v>0</v>
      </c>
    </row>
    <row r="984" spans="2:77" ht="12.75" x14ac:dyDescent="0.2">
      <c r="B984" s="22">
        <v>45529</v>
      </c>
      <c r="C984" s="26">
        <f t="shared" ca="1" si="241"/>
        <v>0.50518296596723444</v>
      </c>
      <c r="D984" s="29">
        <v>0</v>
      </c>
      <c r="F984" s="22"/>
      <c r="G984" s="26">
        <f t="shared" ca="1" si="206"/>
        <v>0.39903097901178419</v>
      </c>
      <c r="H984" s="29">
        <v>0</v>
      </c>
      <c r="J984" s="22">
        <v>45529</v>
      </c>
      <c r="K984" s="26">
        <f t="shared" ca="1" si="207"/>
        <v>1.2798186062914607E-2</v>
      </c>
      <c r="L984" s="29">
        <v>0</v>
      </c>
      <c r="N984" s="22">
        <v>45529</v>
      </c>
      <c r="O984" s="26">
        <f t="shared" ca="1" si="208"/>
        <v>0.72477749231347999</v>
      </c>
      <c r="P984" s="29">
        <v>0</v>
      </c>
      <c r="R984" s="22">
        <v>45529</v>
      </c>
      <c r="S984" s="26">
        <f t="shared" ca="1" si="209"/>
        <v>0.5430212717137145</v>
      </c>
      <c r="T984" s="29">
        <v>0</v>
      </c>
      <c r="V984" s="22">
        <v>45529</v>
      </c>
      <c r="W984" s="26">
        <f t="shared" ca="1" si="210"/>
        <v>2.3487273005374121E-2</v>
      </c>
      <c r="X984" s="29">
        <v>0</v>
      </c>
      <c r="Z984" s="22">
        <v>45529</v>
      </c>
      <c r="AA984" s="26">
        <f t="shared" ca="1" si="211"/>
        <v>0.99701353707682927</v>
      </c>
      <c r="AB984" s="29">
        <v>0</v>
      </c>
      <c r="AC984"/>
      <c r="AD984" s="25"/>
      <c r="AF984" s="22">
        <v>45529</v>
      </c>
      <c r="AG984" s="26">
        <f t="shared" ca="1" si="212"/>
        <v>0.42291110236035179</v>
      </c>
      <c r="AH984" s="29">
        <v>0</v>
      </c>
      <c r="AJ984" s="22">
        <v>45529</v>
      </c>
      <c r="AK984" s="26">
        <f t="shared" ca="1" si="213"/>
        <v>2.3968677620572643E-2</v>
      </c>
      <c r="AL984" s="29">
        <v>0</v>
      </c>
      <c r="AN984" s="22">
        <v>45529</v>
      </c>
      <c r="AO984" s="26">
        <f t="shared" ca="1" si="214"/>
        <v>0.79937459743190664</v>
      </c>
      <c r="AP984" s="29">
        <v>0</v>
      </c>
      <c r="AR984" s="22">
        <v>45529</v>
      </c>
      <c r="AS984" s="26">
        <f t="shared" ca="1" si="215"/>
        <v>0.86676953395598144</v>
      </c>
      <c r="AT984" s="29">
        <v>0</v>
      </c>
      <c r="AV984" s="22">
        <v>45529</v>
      </c>
      <c r="AW984" s="26">
        <f t="shared" ca="1" si="216"/>
        <v>0.4117214385159963</v>
      </c>
      <c r="AX984" s="29">
        <v>0</v>
      </c>
      <c r="AZ984" s="22">
        <v>45529</v>
      </c>
      <c r="BA984" s="26">
        <f t="shared" ca="1" si="217"/>
        <v>0.45821550230696861</v>
      </c>
      <c r="BB984" s="29">
        <v>0</v>
      </c>
      <c r="BC984"/>
      <c r="BD984" s="25"/>
      <c r="BF984" s="22">
        <v>45529</v>
      </c>
      <c r="BG984" s="26">
        <f t="shared" ca="1" si="218"/>
        <v>0.23890933932876357</v>
      </c>
      <c r="BH984" s="29">
        <v>0</v>
      </c>
      <c r="BJ984" s="22">
        <v>45529</v>
      </c>
      <c r="BK984" s="26">
        <f t="shared" ca="1" si="219"/>
        <v>0.84506809704849817</v>
      </c>
      <c r="BL984" s="29">
        <v>0</v>
      </c>
      <c r="BN984" s="22">
        <v>45529</v>
      </c>
      <c r="BO984" s="26">
        <f t="shared" ca="1" si="220"/>
        <v>0.99565423968471056</v>
      </c>
      <c r="BP984" s="29">
        <v>0</v>
      </c>
      <c r="BR984" s="22">
        <v>45529</v>
      </c>
      <c r="BS984" s="26">
        <f t="shared" ca="1" si="221"/>
        <v>0.22957632545240891</v>
      </c>
      <c r="BT984" s="29">
        <v>0</v>
      </c>
      <c r="BV984" s="22">
        <v>45529</v>
      </c>
      <c r="BW984" s="26">
        <f t="shared" ca="1" si="222"/>
        <v>0.88813938597025732</v>
      </c>
      <c r="BX984" s="29">
        <v>0</v>
      </c>
    </row>
    <row r="985" spans="2:77" ht="12.75" x14ac:dyDescent="0.2">
      <c r="B985" s="22">
        <v>45530</v>
      </c>
      <c r="C985" s="26">
        <f t="shared" ca="1" si="241"/>
        <v>0.14630284154610096</v>
      </c>
      <c r="D985" s="29">
        <v>0</v>
      </c>
      <c r="F985" s="22"/>
      <c r="G985" s="26">
        <f t="shared" ca="1" si="206"/>
        <v>0.85126468708233116</v>
      </c>
      <c r="H985" s="29">
        <v>0</v>
      </c>
      <c r="J985" s="22">
        <v>45530</v>
      </c>
      <c r="K985" s="26">
        <f t="shared" ca="1" si="207"/>
        <v>0.73574725494846538</v>
      </c>
      <c r="L985" s="29">
        <v>0</v>
      </c>
      <c r="N985" s="22">
        <v>45530</v>
      </c>
      <c r="O985" s="26">
        <f t="shared" ca="1" si="208"/>
        <v>0.91701518921915792</v>
      </c>
      <c r="P985" s="29">
        <v>0</v>
      </c>
      <c r="R985" s="22">
        <v>45530</v>
      </c>
      <c r="S985" s="26">
        <f t="shared" ca="1" si="209"/>
        <v>0.14567046732970412</v>
      </c>
      <c r="T985" s="29">
        <v>0</v>
      </c>
      <c r="V985" s="22">
        <v>45530</v>
      </c>
      <c r="W985" s="26">
        <f t="shared" ca="1" si="210"/>
        <v>0.98763732997461984</v>
      </c>
      <c r="X985" s="29">
        <v>0</v>
      </c>
      <c r="Z985" s="22">
        <v>45530</v>
      </c>
      <c r="AA985" s="26">
        <f t="shared" ca="1" si="211"/>
        <v>0.11902840947849702</v>
      </c>
      <c r="AB985" s="29">
        <v>0</v>
      </c>
      <c r="AC985"/>
      <c r="AD985" s="25"/>
      <c r="AF985" s="22">
        <v>45530</v>
      </c>
      <c r="AG985" s="26">
        <f t="shared" ca="1" si="212"/>
        <v>0.65345993873693442</v>
      </c>
      <c r="AH985" s="29">
        <v>0</v>
      </c>
      <c r="AJ985" s="22">
        <v>45530</v>
      </c>
      <c r="AK985" s="26">
        <f t="shared" ca="1" si="213"/>
        <v>0.45625547602641459</v>
      </c>
      <c r="AL985" s="29">
        <v>0</v>
      </c>
      <c r="AN985" s="22">
        <v>45530</v>
      </c>
      <c r="AO985" s="26">
        <f t="shared" ca="1" si="214"/>
        <v>0.12311916567591774</v>
      </c>
      <c r="AP985" s="29">
        <v>0</v>
      </c>
      <c r="AR985" s="22">
        <v>45530</v>
      </c>
      <c r="AS985" s="26">
        <f t="shared" ca="1" si="215"/>
        <v>0.37845144239021711</v>
      </c>
      <c r="AT985" s="29">
        <v>0</v>
      </c>
      <c r="AV985" s="22">
        <v>45530</v>
      </c>
      <c r="AW985" s="26">
        <f t="shared" ca="1" si="216"/>
        <v>0.12772836448849878</v>
      </c>
      <c r="AX985" s="29">
        <v>0</v>
      </c>
      <c r="AZ985" s="22">
        <v>45530</v>
      </c>
      <c r="BA985" s="26">
        <f t="shared" ca="1" si="217"/>
        <v>0.2073495478322942</v>
      </c>
      <c r="BB985" s="29">
        <v>0</v>
      </c>
      <c r="BC985"/>
      <c r="BD985" s="25"/>
      <c r="BF985" s="22">
        <v>45530</v>
      </c>
      <c r="BG985" s="26">
        <f t="shared" ca="1" si="218"/>
        <v>0.70480072967642815</v>
      </c>
      <c r="BH985" s="29">
        <v>0</v>
      </c>
      <c r="BJ985" s="22">
        <v>45530</v>
      </c>
      <c r="BK985" s="26">
        <f t="shared" ca="1" si="219"/>
        <v>0.88904418339913971</v>
      </c>
      <c r="BL985" s="29">
        <v>0</v>
      </c>
      <c r="BN985" s="22">
        <v>45530</v>
      </c>
      <c r="BO985" s="26">
        <f t="shared" ca="1" si="220"/>
        <v>8.3006748546561315E-2</v>
      </c>
      <c r="BP985" s="29">
        <v>0</v>
      </c>
      <c r="BR985" s="22">
        <v>45530</v>
      </c>
      <c r="BS985" s="26">
        <f t="shared" ca="1" si="221"/>
        <v>0.18803835952769188</v>
      </c>
      <c r="BT985" s="29">
        <v>0</v>
      </c>
      <c r="BV985" s="22">
        <v>45530</v>
      </c>
      <c r="BW985" s="26">
        <f t="shared" ca="1" si="222"/>
        <v>0.93162480009941229</v>
      </c>
      <c r="BX985" s="29">
        <v>0</v>
      </c>
    </row>
    <row r="986" spans="2:77" ht="12.75" x14ac:dyDescent="0.2">
      <c r="B986" s="22">
        <v>45531</v>
      </c>
      <c r="C986" s="26">
        <f t="shared" ca="1" si="241"/>
        <v>0.60409230198969444</v>
      </c>
      <c r="D986" s="29">
        <v>0</v>
      </c>
      <c r="F986" s="22"/>
      <c r="G986" s="26">
        <f t="shared" ca="1" si="206"/>
        <v>3.8621910655646019E-2</v>
      </c>
      <c r="H986" s="29">
        <v>0</v>
      </c>
      <c r="J986" s="22">
        <v>45531</v>
      </c>
      <c r="K986" s="26">
        <f t="shared" ca="1" si="207"/>
        <v>5.5848629862083832E-2</v>
      </c>
      <c r="L986" s="29">
        <v>0</v>
      </c>
      <c r="N986" s="22">
        <v>45531</v>
      </c>
      <c r="O986" s="26">
        <f t="shared" ca="1" si="208"/>
        <v>0.94454441524955723</v>
      </c>
      <c r="P986" s="29">
        <v>0</v>
      </c>
      <c r="R986" s="22">
        <v>45531</v>
      </c>
      <c r="S986" s="26">
        <f t="shared" ca="1" si="209"/>
        <v>0.55009417320480714</v>
      </c>
      <c r="T986" s="29">
        <v>0</v>
      </c>
      <c r="V986" s="22">
        <v>45531</v>
      </c>
      <c r="W986" s="26">
        <f t="shared" ca="1" si="210"/>
        <v>0.70020678259167179</v>
      </c>
      <c r="X986" s="29">
        <v>0</v>
      </c>
      <c r="Z986" s="22">
        <v>45531</v>
      </c>
      <c r="AA986" s="26">
        <f t="shared" ca="1" si="211"/>
        <v>0.20678605662356253</v>
      </c>
      <c r="AB986" s="29">
        <v>0</v>
      </c>
      <c r="AC986"/>
      <c r="AD986" s="25"/>
      <c r="AF986" s="22">
        <v>45531</v>
      </c>
      <c r="AG986" s="26">
        <f t="shared" ca="1" si="212"/>
        <v>6.098892498483488E-2</v>
      </c>
      <c r="AH986" s="29">
        <v>0</v>
      </c>
      <c r="AJ986" s="22">
        <v>45531</v>
      </c>
      <c r="AK986" s="26">
        <f t="shared" ca="1" si="213"/>
        <v>5.6204149557081196E-2</v>
      </c>
      <c r="AL986" s="29">
        <v>0</v>
      </c>
      <c r="AN986" s="22">
        <v>45531</v>
      </c>
      <c r="AO986" s="26">
        <f t="shared" ca="1" si="214"/>
        <v>0.1281443256529945</v>
      </c>
      <c r="AP986" s="29">
        <v>0</v>
      </c>
      <c r="AR986" s="22">
        <v>45531</v>
      </c>
      <c r="AS986" s="26">
        <f t="shared" ca="1" si="215"/>
        <v>0.78158595916547402</v>
      </c>
      <c r="AT986" s="29">
        <v>0</v>
      </c>
      <c r="AV986" s="22">
        <v>45531</v>
      </c>
      <c r="AW986" s="26">
        <f t="shared" ca="1" si="216"/>
        <v>0.68495811281261776</v>
      </c>
      <c r="AX986" s="29">
        <v>0</v>
      </c>
      <c r="AZ986" s="22">
        <v>45531</v>
      </c>
      <c r="BA986" s="26">
        <f t="shared" ca="1" si="217"/>
        <v>0.34042511869014835</v>
      </c>
      <c r="BB986" s="29">
        <v>0</v>
      </c>
      <c r="BC986"/>
      <c r="BD986" s="25"/>
      <c r="BF986" s="22">
        <v>45531</v>
      </c>
      <c r="BG986" s="26">
        <f t="shared" ca="1" si="218"/>
        <v>0.65433027198940974</v>
      </c>
      <c r="BH986" s="29">
        <v>0</v>
      </c>
      <c r="BJ986" s="22">
        <v>45531</v>
      </c>
      <c r="BK986" s="26">
        <f t="shared" ca="1" si="219"/>
        <v>0.93866063699915125</v>
      </c>
      <c r="BL986" s="29">
        <v>0</v>
      </c>
      <c r="BN986" s="22">
        <v>45531</v>
      </c>
      <c r="BO986" s="26">
        <f t="shared" ca="1" si="220"/>
        <v>0.49670869583933053</v>
      </c>
      <c r="BP986" s="29">
        <v>0</v>
      </c>
      <c r="BR986" s="22">
        <v>45531</v>
      </c>
      <c r="BS986" s="26">
        <f t="shared" ca="1" si="221"/>
        <v>0.32036962071157726</v>
      </c>
      <c r="BT986" s="29">
        <v>0</v>
      </c>
      <c r="BV986" s="22">
        <v>45531</v>
      </c>
      <c r="BW986" s="26">
        <f t="shared" ca="1" si="222"/>
        <v>0.16430698097712659</v>
      </c>
      <c r="BX986" s="29">
        <v>0</v>
      </c>
    </row>
    <row r="987" spans="2:77" ht="12.75" x14ac:dyDescent="0.2">
      <c r="B987" s="22">
        <v>45532</v>
      </c>
      <c r="C987" s="26">
        <f t="shared" ca="1" si="241"/>
        <v>0.77608259323107898</v>
      </c>
      <c r="D987" s="29">
        <v>0</v>
      </c>
      <c r="F987" s="22"/>
      <c r="G987" s="26">
        <f t="shared" ca="1" si="206"/>
        <v>0.32632354901780347</v>
      </c>
      <c r="H987" s="29">
        <v>0</v>
      </c>
      <c r="J987" s="22">
        <v>45532</v>
      </c>
      <c r="K987" s="26">
        <f t="shared" ca="1" si="207"/>
        <v>0.10497804259881238</v>
      </c>
      <c r="L987" s="29">
        <v>0</v>
      </c>
      <c r="N987" s="22">
        <v>45532</v>
      </c>
      <c r="O987" s="26">
        <f t="shared" ca="1" si="208"/>
        <v>0.12302458323678089</v>
      </c>
      <c r="P987" s="29">
        <v>0</v>
      </c>
      <c r="R987" s="22">
        <v>45532</v>
      </c>
      <c r="S987" s="26">
        <f t="shared" ca="1" si="209"/>
        <v>0.65607742402455604</v>
      </c>
      <c r="T987" s="29">
        <v>0</v>
      </c>
      <c r="V987" s="22">
        <v>45532</v>
      </c>
      <c r="W987" s="26">
        <f t="shared" ca="1" si="210"/>
        <v>8.3899771359629116E-2</v>
      </c>
      <c r="X987" s="29">
        <v>0</v>
      </c>
      <c r="Z987" s="22">
        <v>45532</v>
      </c>
      <c r="AA987" s="26">
        <f t="shared" ca="1" si="211"/>
        <v>0.78002512222202647</v>
      </c>
      <c r="AB987" s="29">
        <v>0</v>
      </c>
      <c r="AC987"/>
      <c r="AD987" s="25"/>
      <c r="AF987" s="22">
        <v>45532</v>
      </c>
      <c r="AG987" s="26">
        <f t="shared" ca="1" si="212"/>
        <v>0.71002448045049327</v>
      </c>
      <c r="AH987" s="29">
        <v>0</v>
      </c>
      <c r="AJ987" s="22">
        <v>45532</v>
      </c>
      <c r="AK987" s="26">
        <f t="shared" ca="1" si="213"/>
        <v>0.49104542728346168</v>
      </c>
      <c r="AL987" s="29">
        <v>0</v>
      </c>
      <c r="AN987" s="22">
        <v>45532</v>
      </c>
      <c r="AO987" s="26">
        <f t="shared" ca="1" si="214"/>
        <v>0.69659872166062764</v>
      </c>
      <c r="AP987" s="29">
        <v>0</v>
      </c>
      <c r="AR987" s="22">
        <v>45532</v>
      </c>
      <c r="AS987" s="26">
        <f t="shared" ca="1" si="215"/>
        <v>0.69062152596789428</v>
      </c>
      <c r="AT987" s="29">
        <v>0</v>
      </c>
      <c r="AV987" s="22">
        <v>45532</v>
      </c>
      <c r="AW987" s="26">
        <f t="shared" ca="1" si="216"/>
        <v>0.58841864676947597</v>
      </c>
      <c r="AX987" s="29">
        <v>0</v>
      </c>
      <c r="AZ987" s="22">
        <v>45532</v>
      </c>
      <c r="BA987" s="26">
        <f t="shared" ca="1" si="217"/>
        <v>8.0016200552828765E-2</v>
      </c>
      <c r="BB987" s="29">
        <v>0</v>
      </c>
      <c r="BC987"/>
      <c r="BD987" s="25"/>
      <c r="BF987" s="22">
        <v>45532</v>
      </c>
      <c r="BG987" s="26">
        <f t="shared" ca="1" si="218"/>
        <v>0.90345654574911971</v>
      </c>
      <c r="BH987" s="29">
        <v>0</v>
      </c>
      <c r="BJ987" s="22">
        <v>45532</v>
      </c>
      <c r="BK987" s="26">
        <f t="shared" ca="1" si="219"/>
        <v>4.4700970299779152E-2</v>
      </c>
      <c r="BL987" s="29">
        <v>0</v>
      </c>
      <c r="BN987" s="22">
        <v>45532</v>
      </c>
      <c r="BO987" s="26">
        <f t="shared" ca="1" si="220"/>
        <v>0.29347897096197029</v>
      </c>
      <c r="BP987" s="29">
        <v>0</v>
      </c>
      <c r="BR987" s="22">
        <v>45532</v>
      </c>
      <c r="BS987" s="26">
        <f t="shared" ca="1" si="221"/>
        <v>0.29737888313411021</v>
      </c>
      <c r="BT987" s="29">
        <v>0</v>
      </c>
      <c r="BV987" s="22">
        <v>45532</v>
      </c>
      <c r="BW987" s="26">
        <f t="shared" ca="1" si="222"/>
        <v>0.34000657615404184</v>
      </c>
      <c r="BX987" s="29">
        <v>0</v>
      </c>
    </row>
    <row r="988" spans="2:77" ht="12.75" x14ac:dyDescent="0.2">
      <c r="B988" s="22">
        <v>45533</v>
      </c>
      <c r="C988" s="26">
        <f t="shared" ca="1" si="241"/>
        <v>0.48646892131976027</v>
      </c>
      <c r="D988" s="29">
        <v>0</v>
      </c>
      <c r="F988" s="22"/>
      <c r="G988" s="26">
        <f t="shared" ca="1" si="206"/>
        <v>0.24729581750408669</v>
      </c>
      <c r="H988" s="29">
        <v>0</v>
      </c>
      <c r="J988" s="22">
        <v>45533</v>
      </c>
      <c r="K988" s="26">
        <f t="shared" ca="1" si="207"/>
        <v>0.15815338372491383</v>
      </c>
      <c r="L988" s="29">
        <v>0</v>
      </c>
      <c r="N988" s="22">
        <v>45533</v>
      </c>
      <c r="O988" s="26">
        <f t="shared" ca="1" si="208"/>
        <v>0.53661047091555547</v>
      </c>
      <c r="P988" s="29">
        <v>0</v>
      </c>
      <c r="R988" s="22">
        <v>45533</v>
      </c>
      <c r="S988" s="26">
        <f t="shared" ca="1" si="209"/>
        <v>0.92113951544820971</v>
      </c>
      <c r="T988" s="29">
        <v>0</v>
      </c>
      <c r="V988" s="22">
        <v>45533</v>
      </c>
      <c r="W988" s="26">
        <f t="shared" ca="1" si="210"/>
        <v>0.71203865484419637</v>
      </c>
      <c r="X988" s="29">
        <v>0</v>
      </c>
      <c r="Z988" s="22">
        <v>45533</v>
      </c>
      <c r="AA988" s="26">
        <f t="shared" ca="1" si="211"/>
        <v>0.2721867800985982</v>
      </c>
      <c r="AB988" s="29">
        <v>0</v>
      </c>
      <c r="AC988"/>
      <c r="AD988" s="25"/>
      <c r="AF988" s="22">
        <v>45533</v>
      </c>
      <c r="AG988" s="26">
        <f t="shared" ca="1" si="212"/>
        <v>0.45848979604207796</v>
      </c>
      <c r="AH988" s="29">
        <v>0</v>
      </c>
      <c r="AJ988" s="22">
        <v>45533</v>
      </c>
      <c r="AK988" s="26">
        <f t="shared" ca="1" si="213"/>
        <v>0.75074292676647925</v>
      </c>
      <c r="AL988" s="29">
        <v>0</v>
      </c>
      <c r="AN988" s="22">
        <v>45533</v>
      </c>
      <c r="AO988" s="26">
        <f t="shared" ca="1" si="214"/>
        <v>0.83569548380258318</v>
      </c>
      <c r="AP988" s="29">
        <v>0</v>
      </c>
      <c r="AR988" s="22">
        <v>45533</v>
      </c>
      <c r="AS988" s="26">
        <f t="shared" ca="1" si="215"/>
        <v>0.83053711286870002</v>
      </c>
      <c r="AT988" s="29">
        <v>0</v>
      </c>
      <c r="AV988" s="22">
        <v>45533</v>
      </c>
      <c r="AW988" s="26">
        <f t="shared" ca="1" si="216"/>
        <v>0.81218921442695757</v>
      </c>
      <c r="AX988" s="29">
        <v>0</v>
      </c>
      <c r="AZ988" s="22">
        <v>45533</v>
      </c>
      <c r="BA988" s="26">
        <f t="shared" ca="1" si="217"/>
        <v>0.47306110467822071</v>
      </c>
      <c r="BB988" s="29">
        <v>0</v>
      </c>
      <c r="BC988"/>
      <c r="BD988" s="25"/>
      <c r="BF988" s="22">
        <v>45533</v>
      </c>
      <c r="BG988" s="26">
        <f t="shared" ca="1" si="218"/>
        <v>0.93861056903912488</v>
      </c>
      <c r="BH988" s="29">
        <v>0</v>
      </c>
      <c r="BJ988" s="22">
        <v>45533</v>
      </c>
      <c r="BK988" s="26">
        <f t="shared" ca="1" si="219"/>
        <v>0.24149330915820966</v>
      </c>
      <c r="BL988" s="29">
        <v>0</v>
      </c>
      <c r="BN988" s="22">
        <v>45533</v>
      </c>
      <c r="BO988" s="26">
        <f t="shared" ca="1" si="220"/>
        <v>0.13340874366557376</v>
      </c>
      <c r="BP988" s="29">
        <v>0</v>
      </c>
      <c r="BR988" s="22">
        <v>45533</v>
      </c>
      <c r="BS988" s="26">
        <f t="shared" ca="1" si="221"/>
        <v>0.34323406289863856</v>
      </c>
      <c r="BT988" s="29">
        <v>0</v>
      </c>
      <c r="BV988" s="22">
        <v>45533</v>
      </c>
      <c r="BW988" s="26">
        <f t="shared" ca="1" si="222"/>
        <v>0.76880124267230676</v>
      </c>
      <c r="BX988" s="29">
        <v>0</v>
      </c>
    </row>
    <row r="989" spans="2:77" ht="12.75" x14ac:dyDescent="0.2">
      <c r="B989" s="22">
        <v>45534</v>
      </c>
      <c r="C989" s="26">
        <f t="shared" ca="1" si="241"/>
        <v>0.17634428423298942</v>
      </c>
      <c r="D989" s="29">
        <v>0</v>
      </c>
      <c r="F989" s="22"/>
      <c r="G989" s="26">
        <f t="shared" ca="1" si="206"/>
        <v>0.85818590371021897</v>
      </c>
      <c r="H989" s="29">
        <v>0</v>
      </c>
      <c r="J989" s="22">
        <v>45534</v>
      </c>
      <c r="K989" s="26">
        <f t="shared" ca="1" si="207"/>
        <v>0.8948319686828945</v>
      </c>
      <c r="L989" s="29">
        <v>0</v>
      </c>
      <c r="N989" s="22">
        <v>45534</v>
      </c>
      <c r="O989" s="26">
        <f t="shared" ca="1" si="208"/>
        <v>0.74556043254230053</v>
      </c>
      <c r="P989" s="29">
        <v>0</v>
      </c>
      <c r="R989" s="22">
        <v>45534</v>
      </c>
      <c r="S989" s="26">
        <f t="shared" ca="1" si="209"/>
        <v>0.22144076485310205</v>
      </c>
      <c r="T989" s="29">
        <v>0</v>
      </c>
      <c r="V989" s="22">
        <v>45534</v>
      </c>
      <c r="W989" s="26">
        <f t="shared" ca="1" si="210"/>
        <v>0.22128024981385341</v>
      </c>
      <c r="X989" s="29">
        <v>0</v>
      </c>
      <c r="Z989" s="22">
        <v>45534</v>
      </c>
      <c r="AA989" s="26">
        <f t="shared" ca="1" si="211"/>
        <v>0.53648940791143751</v>
      </c>
      <c r="AB989" s="29">
        <v>0</v>
      </c>
      <c r="AC989"/>
      <c r="AD989" s="25"/>
      <c r="AF989" s="22">
        <v>45534</v>
      </c>
      <c r="AG989" s="26">
        <f t="shared" ca="1" si="212"/>
        <v>0.76320607333941548</v>
      </c>
      <c r="AH989" s="29">
        <v>0</v>
      </c>
      <c r="AJ989" s="22">
        <v>45534</v>
      </c>
      <c r="AK989" s="26">
        <f t="shared" ca="1" si="213"/>
        <v>0.46916212900065046</v>
      </c>
      <c r="AL989" s="29">
        <v>0</v>
      </c>
      <c r="AN989" s="22">
        <v>45534</v>
      </c>
      <c r="AO989" s="26">
        <f t="shared" ca="1" si="214"/>
        <v>0.86179191118332088</v>
      </c>
      <c r="AP989" s="29">
        <v>0</v>
      </c>
      <c r="AR989" s="22">
        <v>45534</v>
      </c>
      <c r="AS989" s="26">
        <f t="shared" ca="1" si="215"/>
        <v>0.85930115444739386</v>
      </c>
      <c r="AT989" s="29">
        <v>0</v>
      </c>
      <c r="AV989" s="22">
        <v>45534</v>
      </c>
      <c r="AW989" s="26">
        <f t="shared" ca="1" si="216"/>
        <v>0.97357314533663131</v>
      </c>
      <c r="AX989" s="29">
        <v>0</v>
      </c>
      <c r="AZ989" s="22">
        <v>45534</v>
      </c>
      <c r="BA989" s="26">
        <f t="shared" ca="1" si="217"/>
        <v>0.69913169388314012</v>
      </c>
      <c r="BB989" s="29">
        <v>0</v>
      </c>
      <c r="BC989"/>
      <c r="BD989" s="25"/>
      <c r="BF989" s="22">
        <v>45534</v>
      </c>
      <c r="BG989" s="26">
        <f t="shared" ca="1" si="218"/>
        <v>0.27901073698941126</v>
      </c>
      <c r="BH989" s="29">
        <v>0</v>
      </c>
      <c r="BJ989" s="22">
        <v>45534</v>
      </c>
      <c r="BK989" s="26">
        <f t="shared" ca="1" si="219"/>
        <v>0.9164194320420358</v>
      </c>
      <c r="BL989" s="29">
        <v>0</v>
      </c>
      <c r="BN989" s="22">
        <v>45534</v>
      </c>
      <c r="BO989" s="26">
        <f t="shared" ca="1" si="220"/>
        <v>0.85529962409499571</v>
      </c>
      <c r="BP989" s="29">
        <v>0</v>
      </c>
      <c r="BR989" s="22">
        <v>45534</v>
      </c>
      <c r="BS989" s="26">
        <f t="shared" ca="1" si="221"/>
        <v>0.98977459227130338</v>
      </c>
      <c r="BT989" s="29">
        <v>0</v>
      </c>
      <c r="BV989" s="22">
        <v>45534</v>
      </c>
      <c r="BW989" s="26">
        <f t="shared" ca="1" si="222"/>
        <v>0.31885032888090625</v>
      </c>
      <c r="BX989" s="29">
        <v>0</v>
      </c>
    </row>
    <row r="990" spans="2:77" ht="12.75" x14ac:dyDescent="0.2">
      <c r="B990" s="22">
        <v>45535</v>
      </c>
      <c r="C990" s="26">
        <f t="shared" ca="1" si="241"/>
        <v>0.873247086910932</v>
      </c>
      <c r="D990" s="29">
        <f t="shared" ref="D990:D1035" ca="1" si="242">ROUNDUP(_xlfn.NORM.INV(C990,C$10,C$12),0)</f>
        <v>98</v>
      </c>
      <c r="E990">
        <v>113</v>
      </c>
      <c r="F990" s="22"/>
      <c r="G990" s="26">
        <f t="shared" ca="1" si="206"/>
        <v>7.9692267860224097E-2</v>
      </c>
      <c r="H990" s="29">
        <f t="shared" ref="H990:H1035" ca="1" si="243">ROUNDUP(_xlfn.NORM.INV(G990,G$10,G$12),0)</f>
        <v>196</v>
      </c>
      <c r="I990">
        <v>55</v>
      </c>
      <c r="J990" s="22">
        <v>45535</v>
      </c>
      <c r="K990" s="26">
        <f t="shared" ca="1" si="207"/>
        <v>0.81924887362081633</v>
      </c>
      <c r="L990" s="29">
        <f t="shared" ref="L990:L1035" ca="1" si="244">ROUNDUP(_xlfn.NORM.INV(K990,K$10,K$12),0)</f>
        <v>160</v>
      </c>
      <c r="M990">
        <v>159</v>
      </c>
      <c r="N990" s="22">
        <v>45535</v>
      </c>
      <c r="O990" s="26">
        <f t="shared" ca="1" si="208"/>
        <v>0.67617612484408984</v>
      </c>
      <c r="P990" s="29">
        <f t="shared" ref="P990:P1035" ca="1" si="245">ROUNDUP(_xlfn.NORM.INV(O990,O$10,O$12),0)</f>
        <v>237</v>
      </c>
      <c r="Q990">
        <v>227</v>
      </c>
      <c r="R990" s="22">
        <v>45535</v>
      </c>
      <c r="S990" s="26">
        <f t="shared" ca="1" si="209"/>
        <v>0.84575157357834041</v>
      </c>
      <c r="T990" s="29">
        <f t="shared" ref="T990:T1035" ca="1" si="246">ROUNDUP(_xlfn.NORM.INV(S990,S$10,S$12),0)</f>
        <v>149</v>
      </c>
      <c r="U990">
        <v>165</v>
      </c>
      <c r="V990" s="22">
        <v>45535</v>
      </c>
      <c r="W990" s="26">
        <f t="shared" ca="1" si="210"/>
        <v>0.15795729644511647</v>
      </c>
      <c r="X990" s="29">
        <f t="shared" ref="X990:X1035" ca="1" si="247">ROUNDUP(_xlfn.NORM.INV(W990,W$10,W$12),0)</f>
        <v>210</v>
      </c>
      <c r="Y990">
        <v>212</v>
      </c>
      <c r="Z990" s="22">
        <v>45535</v>
      </c>
      <c r="AA990" s="26">
        <f t="shared" ca="1" si="211"/>
        <v>0.99632793077797832</v>
      </c>
      <c r="AB990" s="29">
        <f t="shared" ref="AB990:AB1035" ca="1" si="248">ROUNDUP(_xlfn.NORM.INV(AA990,AA$10,AA$12),0)</f>
        <v>319</v>
      </c>
      <c r="AC990">
        <v>268</v>
      </c>
      <c r="AD990" s="25"/>
      <c r="AF990" s="22">
        <v>45535</v>
      </c>
      <c r="AG990" s="26">
        <f t="shared" ca="1" si="212"/>
        <v>0.71207786969057585</v>
      </c>
      <c r="AH990" s="29">
        <f t="shared" ref="AH990:AH1035" ca="1" si="249">ROUNDUP(_xlfn.NORM.INV(AG990,AG$10,AG$12),0)</f>
        <v>376</v>
      </c>
      <c r="AI990">
        <v>366</v>
      </c>
      <c r="AJ990" s="22">
        <v>45535</v>
      </c>
      <c r="AK990" s="26">
        <f t="shared" ca="1" si="213"/>
        <v>0.48698074501063326</v>
      </c>
      <c r="AL990" s="29">
        <f t="shared" ref="AL990:AL1035" ca="1" si="250">ROUNDUP(_xlfn.NORM.INV(AK990,AK$10,AK$12),0)</f>
        <v>169</v>
      </c>
      <c r="AM990">
        <v>153</v>
      </c>
      <c r="AN990" s="22">
        <v>45535</v>
      </c>
      <c r="AO990" s="26">
        <f t="shared" ca="1" si="214"/>
        <v>0.84092582500136082</v>
      </c>
      <c r="AP990" s="29">
        <f t="shared" ref="AP990:AP1035" ca="1" si="251">ROUNDUP(_xlfn.NORM.INV(AO990,AO$10,AO$12),0)</f>
        <v>294</v>
      </c>
      <c r="AQ990">
        <v>202</v>
      </c>
      <c r="AR990" s="22">
        <v>45535</v>
      </c>
      <c r="AS990" s="26">
        <f t="shared" ca="1" si="215"/>
        <v>0.39526812582213233</v>
      </c>
      <c r="AT990" s="29">
        <f t="shared" ref="AT990:AT1035" ca="1" si="252">ROUNDUP(_xlfn.NORM.INV(AS990,AS$10,AS$12),0)</f>
        <v>184</v>
      </c>
      <c r="AU990">
        <v>206</v>
      </c>
      <c r="AV990" s="22">
        <v>45535</v>
      </c>
      <c r="AW990" s="26">
        <f t="shared" ca="1" si="216"/>
        <v>0.34997531812674321</v>
      </c>
      <c r="AX990" s="29">
        <f t="shared" ref="AX990:AX1035" ca="1" si="253">ROUNDUP(_xlfn.NORM.INV(AW990,AW$10,AW$12),0)</f>
        <v>185</v>
      </c>
      <c r="AY990">
        <v>199</v>
      </c>
      <c r="AZ990" s="22">
        <v>45535</v>
      </c>
      <c r="BA990" s="26">
        <f t="shared" ca="1" si="217"/>
        <v>0.47161121454641486</v>
      </c>
      <c r="BB990" s="29">
        <f t="shared" ref="BB990:BB1035" ca="1" si="254">ROUNDUP(_xlfn.NORM.INV(BA990,BA$10,BA$12),0)</f>
        <v>230</v>
      </c>
      <c r="BC990">
        <v>137</v>
      </c>
      <c r="BD990" s="25"/>
      <c r="BF990" s="22">
        <v>45535</v>
      </c>
      <c r="BG990" s="26">
        <f t="shared" ca="1" si="218"/>
        <v>0.63404217491991255</v>
      </c>
      <c r="BH990" s="29">
        <f t="shared" ref="BH990:BH1035" ca="1" si="255">ROUNDUP(_xlfn.NORM.INV(BG990,BG$10,BG$12),0)</f>
        <v>219</v>
      </c>
      <c r="BI990">
        <v>109</v>
      </c>
      <c r="BJ990" s="22">
        <v>45535</v>
      </c>
      <c r="BK990" s="26">
        <f t="shared" ca="1" si="219"/>
        <v>3.384779687537276E-2</v>
      </c>
      <c r="BL990" s="29">
        <f t="shared" ref="BL990:BL1035" ca="1" si="256">ROUNDUP(_xlfn.NORM.INV(BK990,BK$10,BK$12),0)</f>
        <v>87</v>
      </c>
      <c r="BM990">
        <v>127</v>
      </c>
      <c r="BN990" s="22">
        <v>45535</v>
      </c>
      <c r="BO990" s="26">
        <f t="shared" ca="1" si="220"/>
        <v>0.64388552122403697</v>
      </c>
      <c r="BP990" s="29">
        <f t="shared" ref="BP990:BP1035" ca="1" si="257">ROUNDUP(_xlfn.NORM.INV(BO990,BO$10,BO$12),0)</f>
        <v>237</v>
      </c>
      <c r="BQ990">
        <v>145</v>
      </c>
      <c r="BR990" s="22">
        <v>45535</v>
      </c>
      <c r="BS990" s="26">
        <f t="shared" ca="1" si="221"/>
        <v>0.95678716890482329</v>
      </c>
      <c r="BT990" s="29">
        <f t="shared" ref="BT990:BT1035" ca="1" si="258">ROUNDUP(_xlfn.NORM.INV(BS990,BS$10,BS$12),0)</f>
        <v>235</v>
      </c>
      <c r="BU990">
        <v>133</v>
      </c>
      <c r="BV990" s="22">
        <v>45535</v>
      </c>
      <c r="BW990" s="26">
        <f t="shared" ca="1" si="222"/>
        <v>0.82959466378643421</v>
      </c>
      <c r="BX990" s="29">
        <f t="shared" ref="BX990:BX1035" ca="1" si="259">ROUNDUP(_xlfn.NORM.INV(BW990,BW$10,BW$12),0)</f>
        <v>276</v>
      </c>
      <c r="BY990">
        <v>215</v>
      </c>
    </row>
    <row r="991" spans="2:77" ht="12.75" x14ac:dyDescent="0.2">
      <c r="B991" s="22">
        <v>45536</v>
      </c>
      <c r="C991" s="26">
        <f t="shared" ca="1" si="241"/>
        <v>0.95613196670338629</v>
      </c>
      <c r="D991" s="29">
        <f ca="1">ROUNDUP(_xlfn.NORM.INV(C990,C$10,C$12),0)</f>
        <v>98</v>
      </c>
      <c r="F991" s="22"/>
      <c r="G991" s="26">
        <f t="shared" ca="1" si="206"/>
        <v>0.83156592016113562</v>
      </c>
      <c r="H991" s="29">
        <f ca="1">ROUNDUP(_xlfn.NORM.INV(G990,G$10,G$12),0)</f>
        <v>196</v>
      </c>
      <c r="I991">
        <v>0</v>
      </c>
      <c r="J991" s="22">
        <v>45536</v>
      </c>
      <c r="K991" s="26">
        <f t="shared" ca="1" si="207"/>
        <v>0.67008204620180711</v>
      </c>
      <c r="L991" s="29">
        <f ca="1">ROUNDUP(_xlfn.NORM.INV(K990,K$10,K$12),0)</f>
        <v>160</v>
      </c>
      <c r="N991" s="22">
        <v>45536</v>
      </c>
      <c r="O991" s="26">
        <f t="shared" ca="1" si="208"/>
        <v>0.75403097057567658</v>
      </c>
      <c r="P991" s="29">
        <f ca="1">ROUNDUP(_xlfn.NORM.INV(O990,O$10,O$12),0)</f>
        <v>237</v>
      </c>
      <c r="R991" s="22">
        <v>45536</v>
      </c>
      <c r="S991" s="26">
        <f t="shared" ca="1" si="209"/>
        <v>0.97325038756813742</v>
      </c>
      <c r="T991" s="29">
        <f ca="1">ROUNDUP(_xlfn.NORM.INV(S990,S$10,S$12),0)</f>
        <v>149</v>
      </c>
      <c r="V991" s="22">
        <v>45536</v>
      </c>
      <c r="W991" s="26">
        <f t="shared" ca="1" si="210"/>
        <v>0.16628138493824152</v>
      </c>
      <c r="X991" s="29">
        <f ca="1">ROUNDUP(_xlfn.NORM.INV(W990,W$10,W$12),0)</f>
        <v>210</v>
      </c>
      <c r="Z991" s="22">
        <v>45536</v>
      </c>
      <c r="AA991" s="26">
        <f t="shared" ca="1" si="211"/>
        <v>0.4202472093969104</v>
      </c>
      <c r="AB991" s="29">
        <f ca="1">ROUNDUP(_xlfn.NORM.INV(AA990,AA$10,AA$12),0)</f>
        <v>319</v>
      </c>
      <c r="AC991"/>
      <c r="AD991" s="25"/>
      <c r="AF991" s="22">
        <v>45536</v>
      </c>
      <c r="AG991" s="26">
        <f t="shared" ca="1" si="212"/>
        <v>0.25409233844087198</v>
      </c>
      <c r="AH991" s="29">
        <f ca="1">ROUNDUP(_xlfn.NORM.INV(AG990,AG$10,AG$12),0)</f>
        <v>376</v>
      </c>
      <c r="AJ991" s="22">
        <v>45536</v>
      </c>
      <c r="AK991" s="26">
        <f t="shared" ca="1" si="213"/>
        <v>0.83118523445440196</v>
      </c>
      <c r="AL991" s="29">
        <f ca="1">ROUNDUP(_xlfn.NORM.INV(AK990,AK$10,AK$12),0)</f>
        <v>169</v>
      </c>
      <c r="AN991" s="22">
        <v>45536</v>
      </c>
      <c r="AO991" s="26">
        <f t="shared" ca="1" si="214"/>
        <v>0.42884290504733336</v>
      </c>
      <c r="AP991" s="29">
        <f ca="1">ROUNDUP(_xlfn.NORM.INV(AO990,AO$10,AO$12),0)</f>
        <v>294</v>
      </c>
      <c r="AR991" s="22">
        <v>45536</v>
      </c>
      <c r="AS991" s="26">
        <f t="shared" ca="1" si="215"/>
        <v>0.61295722603599678</v>
      </c>
      <c r="AT991" s="29">
        <f ca="1">ROUNDUP(_xlfn.NORM.INV(AS990,AS$10,AS$12),0)</f>
        <v>184</v>
      </c>
      <c r="AV991" s="22">
        <v>45536</v>
      </c>
      <c r="AW991" s="26">
        <f t="shared" ca="1" si="216"/>
        <v>3.8883766701049538E-2</v>
      </c>
      <c r="AX991" s="29">
        <f ca="1">ROUNDUP(_xlfn.NORM.INV(AW990,AW$10,AW$12),0)</f>
        <v>185</v>
      </c>
      <c r="AZ991" s="22">
        <v>45536</v>
      </c>
      <c r="BA991" s="26">
        <f t="shared" ca="1" si="217"/>
        <v>0.15186494447418564</v>
      </c>
      <c r="BB991" s="29">
        <f ca="1">ROUNDUP(_xlfn.NORM.INV(BA990,BA$10,BA$12),0)</f>
        <v>230</v>
      </c>
      <c r="BC991"/>
      <c r="BD991" s="25"/>
      <c r="BF991" s="22">
        <v>45536</v>
      </c>
      <c r="BG991" s="26">
        <f t="shared" ca="1" si="218"/>
        <v>0.68397217780019781</v>
      </c>
      <c r="BH991" s="29">
        <f ca="1">ROUNDUP(_xlfn.NORM.INV(BG990,BG$10,BG$12),0)</f>
        <v>219</v>
      </c>
      <c r="BJ991" s="22">
        <v>45536</v>
      </c>
      <c r="BK991" s="26">
        <f t="shared" ca="1" si="219"/>
        <v>0.95736012628914391</v>
      </c>
      <c r="BL991" s="29">
        <f ca="1">ROUNDUP(_xlfn.NORM.INV(BK990,BK$10,BK$12),0)</f>
        <v>87</v>
      </c>
      <c r="BN991" s="22">
        <v>45536</v>
      </c>
      <c r="BO991" s="26">
        <f t="shared" ca="1" si="220"/>
        <v>0.45058613319251073</v>
      </c>
      <c r="BP991" s="29">
        <f ca="1">ROUNDUP(_xlfn.NORM.INV(BO990,BO$10,BO$12),0)</f>
        <v>237</v>
      </c>
      <c r="BR991" s="22">
        <v>45536</v>
      </c>
      <c r="BS991" s="26">
        <f t="shared" ca="1" si="221"/>
        <v>0.76270755370229271</v>
      </c>
      <c r="BT991" s="29">
        <f ca="1">ROUNDUP(_xlfn.NORM.INV(BS990,BS$10,BS$12),0)</f>
        <v>235</v>
      </c>
      <c r="BV991" s="22">
        <v>45536</v>
      </c>
      <c r="BW991" s="26">
        <f t="shared" ca="1" si="222"/>
        <v>0.2348429613511932</v>
      </c>
      <c r="BX991" s="29">
        <f ca="1">ROUNDUP(_xlfn.NORM.INV(BW990,BW$10,BW$12),0)</f>
        <v>276</v>
      </c>
    </row>
    <row r="992" spans="2:77" ht="12.75" x14ac:dyDescent="0.2">
      <c r="B992" s="22">
        <v>45537</v>
      </c>
      <c r="C992" s="26">
        <f t="shared" ca="1" si="241"/>
        <v>0.73804592994702711</v>
      </c>
      <c r="D992" s="29">
        <f t="shared" ca="1" si="242"/>
        <v>88</v>
      </c>
      <c r="F992" s="22"/>
      <c r="G992" s="26">
        <f t="shared" ca="1" si="206"/>
        <v>0.98564320430949826</v>
      </c>
      <c r="H992" s="29">
        <f t="shared" ca="1" si="243"/>
        <v>247</v>
      </c>
      <c r="J992" s="22">
        <v>45537</v>
      </c>
      <c r="K992" s="26">
        <f t="shared" ca="1" si="207"/>
        <v>0.75870055365732192</v>
      </c>
      <c r="L992" s="29">
        <f t="shared" ca="1" si="244"/>
        <v>158</v>
      </c>
      <c r="N992" s="22">
        <v>45537</v>
      </c>
      <c r="O992" s="26">
        <f t="shared" ca="1" si="208"/>
        <v>0.44718813097270227</v>
      </c>
      <c r="P992" s="29">
        <f t="shared" ca="1" si="245"/>
        <v>228</v>
      </c>
      <c r="R992" s="22">
        <v>45537</v>
      </c>
      <c r="S992" s="26">
        <f t="shared" ca="1" si="209"/>
        <v>0.60743245905650323</v>
      </c>
      <c r="T992" s="29">
        <f t="shared" ca="1" si="246"/>
        <v>142</v>
      </c>
      <c r="V992" s="22">
        <v>45537</v>
      </c>
      <c r="W992" s="26">
        <f t="shared" ca="1" si="210"/>
        <v>0.62340347168729782</v>
      </c>
      <c r="X992" s="29">
        <f t="shared" ca="1" si="247"/>
        <v>230</v>
      </c>
      <c r="Z992" s="22">
        <v>45537</v>
      </c>
      <c r="AA992" s="26">
        <f t="shared" ca="1" si="211"/>
        <v>0.65033061071360121</v>
      </c>
      <c r="AB992" s="29">
        <f t="shared" ca="1" si="248"/>
        <v>277</v>
      </c>
      <c r="AC992"/>
      <c r="AD992" s="25"/>
      <c r="AF992" s="22">
        <v>45537</v>
      </c>
      <c r="AG992" s="26">
        <f t="shared" ca="1" si="212"/>
        <v>4.7950605201346974E-2</v>
      </c>
      <c r="AH992" s="29">
        <f t="shared" ca="1" si="249"/>
        <v>182</v>
      </c>
      <c r="AJ992" s="22">
        <v>45537</v>
      </c>
      <c r="AK992" s="26">
        <f t="shared" ca="1" si="213"/>
        <v>0.90239315394614694</v>
      </c>
      <c r="AL992" s="29">
        <f t="shared" ca="1" si="250"/>
        <v>230</v>
      </c>
      <c r="AN992" s="22">
        <v>45537</v>
      </c>
      <c r="AO992" s="26">
        <f t="shared" ca="1" si="214"/>
        <v>0.63535481879549582</v>
      </c>
      <c r="AP992" s="29">
        <f t="shared" ca="1" si="251"/>
        <v>254</v>
      </c>
      <c r="AR992" s="22">
        <v>45537</v>
      </c>
      <c r="AS992" s="26">
        <f t="shared" ca="1" si="215"/>
        <v>0.71980131789595292</v>
      </c>
      <c r="AT992" s="29">
        <f t="shared" ca="1" si="252"/>
        <v>229</v>
      </c>
      <c r="AV992" s="22">
        <v>45537</v>
      </c>
      <c r="AW992" s="26">
        <f t="shared" ca="1" si="216"/>
        <v>0.10361561281075748</v>
      </c>
      <c r="AX992" s="29">
        <f t="shared" ca="1" si="253"/>
        <v>137</v>
      </c>
      <c r="AZ992" s="22">
        <v>45537</v>
      </c>
      <c r="BA992" s="26">
        <f t="shared" ca="1" si="217"/>
        <v>0.98100662609279587</v>
      </c>
      <c r="BB992" s="29">
        <f t="shared" ca="1" si="254"/>
        <v>363</v>
      </c>
      <c r="BC992"/>
      <c r="BD992" s="25"/>
      <c r="BF992" s="22">
        <v>45537</v>
      </c>
      <c r="BG992" s="26">
        <f t="shared" ca="1" si="218"/>
        <v>0.22158884684054725</v>
      </c>
      <c r="BH992" s="29">
        <f t="shared" ca="1" si="255"/>
        <v>160</v>
      </c>
      <c r="BJ992" s="22">
        <v>45537</v>
      </c>
      <c r="BK992" s="26">
        <f t="shared" ca="1" si="219"/>
        <v>0.27406632682384058</v>
      </c>
      <c r="BL992" s="29">
        <f t="shared" ca="1" si="256"/>
        <v>142</v>
      </c>
      <c r="BN992" s="22">
        <v>45537</v>
      </c>
      <c r="BO992" s="26">
        <f t="shared" ca="1" si="220"/>
        <v>0.46697404557158895</v>
      </c>
      <c r="BP992" s="29">
        <f t="shared" ca="1" si="257"/>
        <v>211</v>
      </c>
      <c r="BR992" s="22">
        <v>45537</v>
      </c>
      <c r="BS992" s="26">
        <f t="shared" ca="1" si="221"/>
        <v>0.30559686550080656</v>
      </c>
      <c r="BT992" s="29">
        <f t="shared" ca="1" si="258"/>
        <v>139</v>
      </c>
      <c r="BV992" s="22">
        <v>45537</v>
      </c>
      <c r="BW992" s="26">
        <f t="shared" ca="1" si="222"/>
        <v>0.62147936362452283</v>
      </c>
      <c r="BX992" s="29">
        <f t="shared" ca="1" si="259"/>
        <v>238</v>
      </c>
    </row>
    <row r="993" spans="2:76" ht="12.75" x14ac:dyDescent="0.2">
      <c r="B993" s="22">
        <v>45538</v>
      </c>
      <c r="C993" s="26">
        <f t="shared" ca="1" si="241"/>
        <v>0.94168261445076895</v>
      </c>
      <c r="D993" s="29">
        <f t="shared" ca="1" si="242"/>
        <v>107</v>
      </c>
      <c r="F993" s="22"/>
      <c r="G993" s="26">
        <f t="shared" ca="1" si="206"/>
        <v>0.44037584169560406</v>
      </c>
      <c r="H993" s="29">
        <f t="shared" ca="1" si="243"/>
        <v>214</v>
      </c>
      <c r="J993" s="22">
        <v>45538</v>
      </c>
      <c r="K993" s="26">
        <f t="shared" ca="1" si="207"/>
        <v>0.74956582873035327</v>
      </c>
      <c r="L993" s="29">
        <f t="shared" ca="1" si="244"/>
        <v>157</v>
      </c>
      <c r="N993" s="22">
        <v>45538</v>
      </c>
      <c r="O993" s="26">
        <f t="shared" ca="1" si="208"/>
        <v>0.18787612299334977</v>
      </c>
      <c r="P993" s="29">
        <f t="shared" ca="1" si="245"/>
        <v>216</v>
      </c>
      <c r="R993" s="22">
        <v>45538</v>
      </c>
      <c r="S993" s="26">
        <f t="shared" ca="1" si="209"/>
        <v>0.66835879055360192</v>
      </c>
      <c r="T993" s="29">
        <f t="shared" ca="1" si="246"/>
        <v>143</v>
      </c>
      <c r="V993" s="22">
        <v>45538</v>
      </c>
      <c r="W993" s="26">
        <f t="shared" ca="1" si="210"/>
        <v>4.2257308922629244E-2</v>
      </c>
      <c r="X993" s="29">
        <f t="shared" ca="1" si="247"/>
        <v>200</v>
      </c>
      <c r="Z993" s="22">
        <v>45538</v>
      </c>
      <c r="AA993" s="26">
        <f t="shared" ca="1" si="211"/>
        <v>0.51137279552684367</v>
      </c>
      <c r="AB993" s="29">
        <f t="shared" ca="1" si="248"/>
        <v>271</v>
      </c>
      <c r="AC993"/>
      <c r="AD993" s="25"/>
      <c r="AF993" s="22">
        <v>45538</v>
      </c>
      <c r="AG993" s="26">
        <f t="shared" ca="1" si="212"/>
        <v>0.94491973205080737</v>
      </c>
      <c r="AH993" s="29">
        <f t="shared" ca="1" si="249"/>
        <v>467</v>
      </c>
      <c r="AJ993" s="22">
        <v>45538</v>
      </c>
      <c r="AK993" s="26">
        <f t="shared" ca="1" si="213"/>
        <v>5.2343964873960425E-2</v>
      </c>
      <c r="AL993" s="29">
        <f t="shared" ca="1" si="250"/>
        <v>97</v>
      </c>
      <c r="AN993" s="22">
        <v>45538</v>
      </c>
      <c r="AO993" s="26">
        <f t="shared" ca="1" si="214"/>
        <v>0.3046118490180546</v>
      </c>
      <c r="AP993" s="29">
        <f t="shared" ca="1" si="251"/>
        <v>201</v>
      </c>
      <c r="AR993" s="22">
        <v>45538</v>
      </c>
      <c r="AS993" s="26">
        <f t="shared" ca="1" si="215"/>
        <v>0.68386286794362672</v>
      </c>
      <c r="AT993" s="29">
        <f t="shared" ca="1" si="252"/>
        <v>224</v>
      </c>
      <c r="AV993" s="22">
        <v>45538</v>
      </c>
      <c r="AW993" s="26">
        <f t="shared" ca="1" si="216"/>
        <v>0.92846495863534972</v>
      </c>
      <c r="AX993" s="29">
        <f t="shared" ca="1" si="253"/>
        <v>286</v>
      </c>
      <c r="AZ993" s="22">
        <v>45538</v>
      </c>
      <c r="BA993" s="26">
        <f t="shared" ca="1" si="217"/>
        <v>0.77693072290272325</v>
      </c>
      <c r="BB993" s="29">
        <f t="shared" ca="1" si="254"/>
        <v>281</v>
      </c>
      <c r="BC993"/>
      <c r="BD993" s="25"/>
      <c r="BF993" s="22">
        <v>45538</v>
      </c>
      <c r="BG993" s="26">
        <f t="shared" ca="1" si="218"/>
        <v>0.72474760942249716</v>
      </c>
      <c r="BH993" s="29">
        <f t="shared" ca="1" si="255"/>
        <v>233</v>
      </c>
      <c r="BJ993" s="22">
        <v>45538</v>
      </c>
      <c r="BK993" s="26">
        <f t="shared" ca="1" si="219"/>
        <v>0.57524063188999053</v>
      </c>
      <c r="BL993" s="29">
        <f t="shared" ca="1" si="256"/>
        <v>178</v>
      </c>
      <c r="BN993" s="22">
        <v>45538</v>
      </c>
      <c r="BO993" s="26">
        <f t="shared" ca="1" si="220"/>
        <v>0.55332963420160197</v>
      </c>
      <c r="BP993" s="29">
        <f t="shared" ca="1" si="257"/>
        <v>224</v>
      </c>
      <c r="BR993" s="22">
        <v>45538</v>
      </c>
      <c r="BS993" s="26">
        <f t="shared" ca="1" si="221"/>
        <v>0.42180574608272658</v>
      </c>
      <c r="BT993" s="29">
        <f t="shared" ca="1" si="258"/>
        <v>153</v>
      </c>
      <c r="BV993" s="22">
        <v>45538</v>
      </c>
      <c r="BW993" s="26">
        <f t="shared" ca="1" si="222"/>
        <v>0.69541791371683959</v>
      </c>
      <c r="BX993" s="29">
        <f t="shared" ca="1" si="259"/>
        <v>250</v>
      </c>
    </row>
    <row r="994" spans="2:76" ht="12.75" x14ac:dyDescent="0.2">
      <c r="B994" s="22">
        <v>45539</v>
      </c>
      <c r="C994" s="26">
        <f t="shared" ca="1" si="241"/>
        <v>0.76127217492510335</v>
      </c>
      <c r="D994" s="29">
        <f t="shared" ca="1" si="242"/>
        <v>90</v>
      </c>
      <c r="F994" s="22"/>
      <c r="G994" s="26">
        <f t="shared" ref="G994:G1057" ca="1" si="260">RAND()</f>
        <v>0.91055745146832889</v>
      </c>
      <c r="H994" s="29">
        <f t="shared" ca="1" si="243"/>
        <v>235</v>
      </c>
      <c r="J994" s="22">
        <v>45539</v>
      </c>
      <c r="K994" s="26">
        <f t="shared" ref="K994:K1057" ca="1" si="261">RAND()</f>
        <v>0.35331348989836597</v>
      </c>
      <c r="L994" s="29">
        <f t="shared" ca="1" si="244"/>
        <v>147</v>
      </c>
      <c r="N994" s="22">
        <v>45539</v>
      </c>
      <c r="O994" s="26">
        <f t="shared" ref="O994:O1057" ca="1" si="262">RAND()</f>
        <v>4.9796037608955679E-2</v>
      </c>
      <c r="P994" s="29">
        <f t="shared" ca="1" si="245"/>
        <v>205</v>
      </c>
      <c r="R994" s="22">
        <v>45539</v>
      </c>
      <c r="S994" s="26">
        <f t="shared" ref="S994:S1057" ca="1" si="263">RAND()</f>
        <v>0.43112880820658916</v>
      </c>
      <c r="T994" s="29">
        <f t="shared" ca="1" si="246"/>
        <v>138</v>
      </c>
      <c r="V994" s="22">
        <v>45539</v>
      </c>
      <c r="W994" s="26">
        <f t="shared" ref="W994:W1057" ca="1" si="264">RAND()</f>
        <v>0.790159843064283</v>
      </c>
      <c r="X994" s="29">
        <f t="shared" ca="1" si="247"/>
        <v>238</v>
      </c>
      <c r="Z994" s="22">
        <v>45539</v>
      </c>
      <c r="AA994" s="26">
        <f t="shared" ref="AA994:AA1057" ca="1" si="265">RAND()</f>
        <v>0.94144277137565402</v>
      </c>
      <c r="AB994" s="29">
        <f t="shared" ca="1" si="248"/>
        <v>299</v>
      </c>
      <c r="AC994"/>
      <c r="AD994" s="25"/>
      <c r="AF994" s="22">
        <v>45539</v>
      </c>
      <c r="AG994" s="26">
        <f t="shared" ref="AG994:AG1057" ca="1" si="266">RAND()</f>
        <v>0.95825142566507582</v>
      </c>
      <c r="AH994" s="29">
        <f t="shared" ca="1" si="249"/>
        <v>478</v>
      </c>
      <c r="AJ994" s="22">
        <v>45539</v>
      </c>
      <c r="AK994" s="26">
        <f t="shared" ref="AK994:AK1057" ca="1" si="267">RAND()</f>
        <v>0.12752965322076426</v>
      </c>
      <c r="AL994" s="29">
        <f t="shared" ca="1" si="250"/>
        <v>119</v>
      </c>
      <c r="AN994" s="22">
        <v>45539</v>
      </c>
      <c r="AO994" s="26">
        <f t="shared" ref="AO994:AO1057" ca="1" si="268">RAND()</f>
        <v>3.5272762129051283E-2</v>
      </c>
      <c r="AP994" s="29">
        <f t="shared" ca="1" si="251"/>
        <v>121</v>
      </c>
      <c r="AR994" s="22">
        <v>45539</v>
      </c>
      <c r="AS994" s="26">
        <f t="shared" ref="AS994:AS1057" ca="1" si="269">RAND()</f>
        <v>0.53410938898992666</v>
      </c>
      <c r="AT994" s="29">
        <f t="shared" ca="1" si="252"/>
        <v>203</v>
      </c>
      <c r="AV994" s="22">
        <v>45539</v>
      </c>
      <c r="AW994" s="26">
        <f t="shared" ref="AW994:AW1057" ca="1" si="270">RAND()</f>
        <v>0.4690129903965462</v>
      </c>
      <c r="AX994" s="29">
        <f t="shared" ca="1" si="253"/>
        <v>202</v>
      </c>
      <c r="AZ994" s="22">
        <v>45539</v>
      </c>
      <c r="BA994" s="26">
        <f t="shared" ref="BA994:BA1057" ca="1" si="271">RAND()</f>
        <v>0.8914695773270146</v>
      </c>
      <c r="BB994" s="29">
        <f t="shared" ca="1" si="254"/>
        <v>311</v>
      </c>
      <c r="BC994"/>
      <c r="BD994" s="25"/>
      <c r="BF994" s="22">
        <v>45539</v>
      </c>
      <c r="BG994" s="26">
        <f t="shared" ref="BG994:BG1057" ca="1" si="272">RAND()</f>
        <v>0.84612790425194773</v>
      </c>
      <c r="BH994" s="29">
        <f t="shared" ca="1" si="255"/>
        <v>256</v>
      </c>
      <c r="BJ994" s="22">
        <v>45539</v>
      </c>
      <c r="BK994" s="26">
        <f t="shared" ref="BK994:BK1057" ca="1" si="273">RAND()</f>
        <v>0.77185632820416128</v>
      </c>
      <c r="BL994" s="29">
        <f t="shared" ca="1" si="256"/>
        <v>203</v>
      </c>
      <c r="BN994" s="22">
        <v>45539</v>
      </c>
      <c r="BO994" s="26">
        <f t="shared" ref="BO994:BO1057" ca="1" si="274">RAND()</f>
        <v>0.93796759042080691</v>
      </c>
      <c r="BP994" s="29">
        <f t="shared" ca="1" si="257"/>
        <v>305</v>
      </c>
      <c r="BR994" s="22">
        <v>45539</v>
      </c>
      <c r="BS994" s="26">
        <f t="shared" ref="BS994:BS1057" ca="1" si="275">RAND()</f>
        <v>0.4838382793382856</v>
      </c>
      <c r="BT994" s="29">
        <f t="shared" ca="1" si="258"/>
        <v>159</v>
      </c>
      <c r="BV994" s="22">
        <v>45539</v>
      </c>
      <c r="BW994" s="26">
        <f t="shared" ref="BW994:BW1057" ca="1" si="276">RAND()</f>
        <v>6.6126577405592024E-2</v>
      </c>
      <c r="BX994" s="29">
        <f t="shared" ca="1" si="259"/>
        <v>132</v>
      </c>
    </row>
    <row r="995" spans="2:76" ht="12.75" x14ac:dyDescent="0.2">
      <c r="B995" s="22">
        <v>45540</v>
      </c>
      <c r="C995" s="26">
        <f t="shared" ca="1" si="241"/>
        <v>0.88550074503064513</v>
      </c>
      <c r="D995" s="29">
        <f t="shared" ca="1" si="242"/>
        <v>100</v>
      </c>
      <c r="F995" s="22"/>
      <c r="G995" s="26">
        <f t="shared" ca="1" si="260"/>
        <v>0.69046414735634665</v>
      </c>
      <c r="H995" s="29">
        <f t="shared" ca="1" si="243"/>
        <v>223</v>
      </c>
      <c r="J995" s="22">
        <v>45540</v>
      </c>
      <c r="K995" s="26">
        <f t="shared" ca="1" si="261"/>
        <v>0.58540840804128436</v>
      </c>
      <c r="L995" s="29">
        <f t="shared" ca="1" si="244"/>
        <v>153</v>
      </c>
      <c r="N995" s="22">
        <v>45540</v>
      </c>
      <c r="O995" s="26">
        <f t="shared" ca="1" si="262"/>
        <v>0.81106911895957601</v>
      </c>
      <c r="P995" s="29">
        <f t="shared" ca="1" si="245"/>
        <v>243</v>
      </c>
      <c r="R995" s="22">
        <v>45540</v>
      </c>
      <c r="S995" s="26">
        <f t="shared" ca="1" si="263"/>
        <v>0.13424326930058383</v>
      </c>
      <c r="T995" s="29">
        <f t="shared" ca="1" si="246"/>
        <v>129</v>
      </c>
      <c r="V995" s="22">
        <v>45540</v>
      </c>
      <c r="W995" s="26">
        <f t="shared" ca="1" si="264"/>
        <v>0.1777853435436566</v>
      </c>
      <c r="X995" s="29">
        <f t="shared" ca="1" si="247"/>
        <v>212</v>
      </c>
      <c r="Z995" s="22">
        <v>45540</v>
      </c>
      <c r="AA995" s="26">
        <f t="shared" ca="1" si="265"/>
        <v>0.43921125791893034</v>
      </c>
      <c r="AB995" s="29">
        <f t="shared" ca="1" si="248"/>
        <v>268</v>
      </c>
      <c r="AC995"/>
      <c r="AD995" s="25"/>
      <c r="AF995" s="22">
        <v>45540</v>
      </c>
      <c r="AG995" s="26">
        <f t="shared" ca="1" si="266"/>
        <v>0.64607637518874317</v>
      </c>
      <c r="AH995" s="29">
        <f t="shared" ca="1" si="249"/>
        <v>360</v>
      </c>
      <c r="AJ995" s="22">
        <v>45540</v>
      </c>
      <c r="AK995" s="26">
        <f t="shared" ca="1" si="267"/>
        <v>0.96073301943845579</v>
      </c>
      <c r="AL995" s="29">
        <f t="shared" ca="1" si="250"/>
        <v>251</v>
      </c>
      <c r="AN995" s="22">
        <v>45540</v>
      </c>
      <c r="AO995" s="26">
        <f t="shared" ca="1" si="268"/>
        <v>0.49255640634788367</v>
      </c>
      <c r="AP995" s="29">
        <f t="shared" ca="1" si="251"/>
        <v>231</v>
      </c>
      <c r="AR995" s="22">
        <v>45540</v>
      </c>
      <c r="AS995" s="26">
        <f t="shared" ca="1" si="269"/>
        <v>6.6369484914873711E-2</v>
      </c>
      <c r="AT995" s="29">
        <f t="shared" ca="1" si="252"/>
        <v>119</v>
      </c>
      <c r="AV995" s="22">
        <v>45540</v>
      </c>
      <c r="AW995" s="26">
        <f t="shared" ca="1" si="270"/>
        <v>0.52629168202421628</v>
      </c>
      <c r="AX995" s="29">
        <f t="shared" ca="1" si="253"/>
        <v>210</v>
      </c>
      <c r="AZ995" s="22">
        <v>45540</v>
      </c>
      <c r="BA995" s="26">
        <f t="shared" ca="1" si="271"/>
        <v>0.80675207489930723</v>
      </c>
      <c r="BB995" s="29">
        <f t="shared" ca="1" si="254"/>
        <v>288</v>
      </c>
      <c r="BC995"/>
      <c r="BD995" s="25"/>
      <c r="BF995" s="22">
        <v>45540</v>
      </c>
      <c r="BG995" s="26">
        <f t="shared" ca="1" si="272"/>
        <v>0.38286196207419387</v>
      </c>
      <c r="BH995" s="29">
        <f t="shared" ca="1" si="255"/>
        <v>185</v>
      </c>
      <c r="BJ995" s="22">
        <v>45540</v>
      </c>
      <c r="BK995" s="26">
        <f t="shared" ca="1" si="273"/>
        <v>0.80770715957417927</v>
      </c>
      <c r="BL995" s="29">
        <f t="shared" ca="1" si="256"/>
        <v>208</v>
      </c>
      <c r="BN995" s="22">
        <v>45540</v>
      </c>
      <c r="BO995" s="26">
        <f t="shared" ca="1" si="274"/>
        <v>0.82747430201327743</v>
      </c>
      <c r="BP995" s="29">
        <f t="shared" ca="1" si="257"/>
        <v>271</v>
      </c>
      <c r="BR995" s="22">
        <v>45540</v>
      </c>
      <c r="BS995" s="26">
        <f t="shared" ca="1" si="275"/>
        <v>0.73962310964737021</v>
      </c>
      <c r="BT995" s="29">
        <f t="shared" ca="1" si="258"/>
        <v>189</v>
      </c>
      <c r="BV995" s="22">
        <v>45540</v>
      </c>
      <c r="BW995" s="26">
        <f t="shared" ca="1" si="276"/>
        <v>0.57362348368473404</v>
      </c>
      <c r="BX995" s="29">
        <f t="shared" ca="1" si="259"/>
        <v>231</v>
      </c>
    </row>
    <row r="996" spans="2:76" ht="12.75" x14ac:dyDescent="0.2">
      <c r="B996" s="22">
        <v>45541</v>
      </c>
      <c r="C996" s="26">
        <f t="shared" ca="1" si="241"/>
        <v>0.34979623055276521</v>
      </c>
      <c r="D996" s="29">
        <f t="shared" ca="1" si="242"/>
        <v>68</v>
      </c>
      <c r="F996" s="22"/>
      <c r="G996" s="26">
        <f t="shared" ca="1" si="260"/>
        <v>0.81984400662070411</v>
      </c>
      <c r="H996" s="29">
        <f t="shared" ca="1" si="243"/>
        <v>229</v>
      </c>
      <c r="J996" s="22">
        <v>45541</v>
      </c>
      <c r="K996" s="26">
        <f t="shared" ca="1" si="261"/>
        <v>0.64172965662024894</v>
      </c>
      <c r="L996" s="29">
        <f t="shared" ca="1" si="244"/>
        <v>154</v>
      </c>
      <c r="N996" s="22">
        <v>45541</v>
      </c>
      <c r="O996" s="26">
        <f t="shared" ca="1" si="262"/>
        <v>0.6110451574509167</v>
      </c>
      <c r="P996" s="29">
        <f t="shared" ca="1" si="245"/>
        <v>234</v>
      </c>
      <c r="R996" s="22">
        <v>45541</v>
      </c>
      <c r="S996" s="26">
        <f t="shared" ca="1" si="263"/>
        <v>0.19571976565109694</v>
      </c>
      <c r="T996" s="29">
        <f t="shared" ca="1" si="246"/>
        <v>131</v>
      </c>
      <c r="V996" s="22">
        <v>45541</v>
      </c>
      <c r="W996" s="26">
        <f t="shared" ca="1" si="264"/>
        <v>0.72316271547364697</v>
      </c>
      <c r="X996" s="29">
        <f t="shared" ca="1" si="247"/>
        <v>234</v>
      </c>
      <c r="Z996" s="22">
        <v>45541</v>
      </c>
      <c r="AA996" s="26">
        <f t="shared" ca="1" si="265"/>
        <v>0.61750705648114779</v>
      </c>
      <c r="AB996" s="29">
        <f t="shared" ca="1" si="248"/>
        <v>276</v>
      </c>
      <c r="AC996"/>
      <c r="AD996" s="25"/>
      <c r="AF996" s="22">
        <v>45541</v>
      </c>
      <c r="AG996" s="26">
        <f t="shared" ca="1" si="266"/>
        <v>0.63426910145967164</v>
      </c>
      <c r="AH996" s="29">
        <f t="shared" ca="1" si="249"/>
        <v>357</v>
      </c>
      <c r="AJ996" s="22">
        <v>45541</v>
      </c>
      <c r="AK996" s="26">
        <f t="shared" ca="1" si="267"/>
        <v>3.6207473378663591E-2</v>
      </c>
      <c r="AL996" s="29">
        <f t="shared" ca="1" si="250"/>
        <v>89</v>
      </c>
      <c r="AN996" s="22">
        <v>45541</v>
      </c>
      <c r="AO996" s="26">
        <f t="shared" ca="1" si="268"/>
        <v>0.63430015794383954</v>
      </c>
      <c r="AP996" s="29">
        <f t="shared" ca="1" si="251"/>
        <v>254</v>
      </c>
      <c r="AR996" s="22">
        <v>45541</v>
      </c>
      <c r="AS996" s="26">
        <f t="shared" ca="1" si="269"/>
        <v>0.59801166255269678</v>
      </c>
      <c r="AT996" s="29">
        <f t="shared" ca="1" si="252"/>
        <v>212</v>
      </c>
      <c r="AV996" s="22">
        <v>45541</v>
      </c>
      <c r="AW996" s="26">
        <f t="shared" ca="1" si="270"/>
        <v>0.82638695819918928</v>
      </c>
      <c r="AX996" s="29">
        <f t="shared" ca="1" si="253"/>
        <v>258</v>
      </c>
      <c r="AZ996" s="22">
        <v>45541</v>
      </c>
      <c r="BA996" s="26">
        <f t="shared" ca="1" si="271"/>
        <v>0.53275197712810174</v>
      </c>
      <c r="BB996" s="29">
        <f t="shared" ca="1" si="254"/>
        <v>239</v>
      </c>
      <c r="BC996"/>
      <c r="BD996" s="25"/>
      <c r="BF996" s="22">
        <v>45541</v>
      </c>
      <c r="BG996" s="26">
        <f t="shared" ca="1" si="272"/>
        <v>0.19667830062395897</v>
      </c>
      <c r="BH996" s="29">
        <f t="shared" ca="1" si="255"/>
        <v>155</v>
      </c>
      <c r="BJ996" s="22">
        <v>45541</v>
      </c>
      <c r="BK996" s="26">
        <f t="shared" ca="1" si="273"/>
        <v>6.2019426734007399E-2</v>
      </c>
      <c r="BL996" s="29">
        <f t="shared" ca="1" si="256"/>
        <v>100</v>
      </c>
      <c r="BN996" s="22">
        <v>45541</v>
      </c>
      <c r="BO996" s="26">
        <f t="shared" ca="1" si="274"/>
        <v>0.83868405737904561</v>
      </c>
      <c r="BP996" s="29">
        <f t="shared" ca="1" si="257"/>
        <v>273</v>
      </c>
      <c r="BR996" s="22">
        <v>45541</v>
      </c>
      <c r="BS996" s="26">
        <f t="shared" ca="1" si="275"/>
        <v>0.62001378923856132</v>
      </c>
      <c r="BT996" s="29">
        <f t="shared" ca="1" si="258"/>
        <v>174</v>
      </c>
      <c r="BV996" s="22">
        <v>45541</v>
      </c>
      <c r="BW996" s="26">
        <f t="shared" ca="1" si="276"/>
        <v>0.59908890202916176</v>
      </c>
      <c r="BX996" s="29">
        <f t="shared" ca="1" si="259"/>
        <v>234</v>
      </c>
    </row>
    <row r="997" spans="2:76" ht="12.75" x14ac:dyDescent="0.2">
      <c r="B997" s="22">
        <v>45542</v>
      </c>
      <c r="C997" s="26">
        <f t="shared" ca="1" si="241"/>
        <v>0.32317504926664242</v>
      </c>
      <c r="D997" s="29">
        <f t="shared" ca="1" si="242"/>
        <v>66</v>
      </c>
      <c r="F997" s="22"/>
      <c r="G997" s="26">
        <f t="shared" ca="1" si="260"/>
        <v>0.63186445079659936</v>
      </c>
      <c r="H997" s="29">
        <f t="shared" ca="1" si="243"/>
        <v>221</v>
      </c>
      <c r="J997" s="22">
        <v>45542</v>
      </c>
      <c r="K997" s="26">
        <f t="shared" ca="1" si="261"/>
        <v>0.79325322243158003</v>
      </c>
      <c r="L997" s="29">
        <f t="shared" ca="1" si="244"/>
        <v>159</v>
      </c>
      <c r="N997" s="22">
        <v>45542</v>
      </c>
      <c r="O997" s="26">
        <f t="shared" ca="1" si="262"/>
        <v>0.10869881895380396</v>
      </c>
      <c r="P997" s="29">
        <f t="shared" ca="1" si="245"/>
        <v>211</v>
      </c>
      <c r="R997" s="22">
        <v>45542</v>
      </c>
      <c r="S997" s="26">
        <f t="shared" ca="1" si="263"/>
        <v>0.40935444331428683</v>
      </c>
      <c r="T997" s="29">
        <f t="shared" ca="1" si="246"/>
        <v>137</v>
      </c>
      <c r="V997" s="22">
        <v>45542</v>
      </c>
      <c r="W997" s="26">
        <f t="shared" ca="1" si="264"/>
        <v>0.93637693774343878</v>
      </c>
      <c r="X997" s="29">
        <f t="shared" ca="1" si="247"/>
        <v>248</v>
      </c>
      <c r="Z997" s="22">
        <v>45542</v>
      </c>
      <c r="AA997" s="26">
        <f t="shared" ca="1" si="265"/>
        <v>0.21073424795836826</v>
      </c>
      <c r="AB997" s="29">
        <f t="shared" ca="1" si="248"/>
        <v>256</v>
      </c>
      <c r="AC997"/>
      <c r="AD997" s="25"/>
      <c r="AF997" s="22">
        <v>45542</v>
      </c>
      <c r="AG997" s="26">
        <f t="shared" ca="1" si="266"/>
        <v>0.86241974051228831</v>
      </c>
      <c r="AH997" s="29">
        <f t="shared" ca="1" si="249"/>
        <v>423</v>
      </c>
      <c r="AJ997" s="22">
        <v>45542</v>
      </c>
      <c r="AK997" s="26">
        <f t="shared" ca="1" si="267"/>
        <v>0.68214530871421497</v>
      </c>
      <c r="AL997" s="29">
        <f t="shared" ca="1" si="250"/>
        <v>192</v>
      </c>
      <c r="AN997" s="22">
        <v>45542</v>
      </c>
      <c r="AO997" s="26">
        <f t="shared" ca="1" si="268"/>
        <v>0.77901817095079462</v>
      </c>
      <c r="AP997" s="29">
        <f t="shared" ca="1" si="251"/>
        <v>280</v>
      </c>
      <c r="AR997" s="22">
        <v>45542</v>
      </c>
      <c r="AS997" s="26">
        <f t="shared" ca="1" si="269"/>
        <v>0.52831864289657182</v>
      </c>
      <c r="AT997" s="29">
        <f t="shared" ca="1" si="252"/>
        <v>202</v>
      </c>
      <c r="AV997" s="22">
        <v>45542</v>
      </c>
      <c r="AW997" s="26">
        <f t="shared" ca="1" si="270"/>
        <v>0.11266072393836157</v>
      </c>
      <c r="AX997" s="29">
        <f t="shared" ca="1" si="253"/>
        <v>140</v>
      </c>
      <c r="AZ997" s="22">
        <v>45542</v>
      </c>
      <c r="BA997" s="26">
        <f t="shared" ca="1" si="271"/>
        <v>0.21669207682718683</v>
      </c>
      <c r="BB997" s="29">
        <f t="shared" ca="1" si="254"/>
        <v>185</v>
      </c>
      <c r="BC997"/>
      <c r="BD997" s="25"/>
      <c r="BF997" s="22">
        <v>45542</v>
      </c>
      <c r="BG997" s="26">
        <f t="shared" ca="1" si="272"/>
        <v>0.88144477686620204</v>
      </c>
      <c r="BH997" s="29">
        <f t="shared" ca="1" si="255"/>
        <v>264</v>
      </c>
      <c r="BJ997" s="22">
        <v>45542</v>
      </c>
      <c r="BK997" s="26">
        <f t="shared" ca="1" si="273"/>
        <v>3.2570645755080174E-2</v>
      </c>
      <c r="BL997" s="29">
        <f t="shared" ca="1" si="256"/>
        <v>86</v>
      </c>
      <c r="BN997" s="22">
        <v>45542</v>
      </c>
      <c r="BO997" s="26">
        <f t="shared" ca="1" si="274"/>
        <v>0.10235958121903643</v>
      </c>
      <c r="BP997" s="29">
        <f t="shared" ca="1" si="257"/>
        <v>143</v>
      </c>
      <c r="BR997" s="22">
        <v>45542</v>
      </c>
      <c r="BS997" s="26">
        <f t="shared" ca="1" si="275"/>
        <v>0.34569018951730801</v>
      </c>
      <c r="BT997" s="29">
        <f t="shared" ca="1" si="258"/>
        <v>144</v>
      </c>
      <c r="BV997" s="22">
        <v>45542</v>
      </c>
      <c r="BW997" s="26">
        <f t="shared" ca="1" si="276"/>
        <v>0.86083793454668822</v>
      </c>
      <c r="BX997" s="29">
        <f t="shared" ca="1" si="259"/>
        <v>283</v>
      </c>
    </row>
    <row r="998" spans="2:76" ht="12.75" x14ac:dyDescent="0.2">
      <c r="B998" s="22">
        <v>45543</v>
      </c>
      <c r="C998" s="26">
        <f t="shared" ca="1" si="241"/>
        <v>0.83182586132810343</v>
      </c>
      <c r="D998" s="29">
        <f t="shared" ca="1" si="242"/>
        <v>95</v>
      </c>
      <c r="F998" s="22"/>
      <c r="G998" s="26">
        <f t="shared" ca="1" si="260"/>
        <v>0.72045470966529845</v>
      </c>
      <c r="H998" s="29">
        <f t="shared" ca="1" si="243"/>
        <v>224</v>
      </c>
      <c r="J998" s="22">
        <v>45543</v>
      </c>
      <c r="K998" s="26">
        <f t="shared" ca="1" si="261"/>
        <v>0.90614933457447977</v>
      </c>
      <c r="L998" s="29">
        <f t="shared" ca="1" si="244"/>
        <v>164</v>
      </c>
      <c r="N998" s="22">
        <v>45543</v>
      </c>
      <c r="O998" s="26">
        <f t="shared" ca="1" si="262"/>
        <v>0.84929441003127515</v>
      </c>
      <c r="P998" s="29">
        <f t="shared" ca="1" si="245"/>
        <v>246</v>
      </c>
      <c r="R998" s="22">
        <v>45543</v>
      </c>
      <c r="S998" s="26">
        <f t="shared" ca="1" si="263"/>
        <v>0.86729319030977603</v>
      </c>
      <c r="T998" s="29">
        <f t="shared" ca="1" si="246"/>
        <v>150</v>
      </c>
      <c r="V998" s="22">
        <v>45543</v>
      </c>
      <c r="W998" s="26">
        <f t="shared" ca="1" si="264"/>
        <v>0.74158368703035726</v>
      </c>
      <c r="X998" s="29">
        <f t="shared" ca="1" si="247"/>
        <v>235</v>
      </c>
      <c r="Z998" s="22">
        <v>45543</v>
      </c>
      <c r="AA998" s="26">
        <f t="shared" ca="1" si="265"/>
        <v>0.25732595759354349</v>
      </c>
      <c r="AB998" s="29">
        <f t="shared" ca="1" si="248"/>
        <v>259</v>
      </c>
      <c r="AC998"/>
      <c r="AD998" s="25"/>
      <c r="AF998" s="22">
        <v>45543</v>
      </c>
      <c r="AG998" s="26">
        <f t="shared" ca="1" si="266"/>
        <v>0.15657027262137391</v>
      </c>
      <c r="AH998" s="29">
        <f t="shared" ca="1" si="249"/>
        <v>240</v>
      </c>
      <c r="AJ998" s="22">
        <v>45543</v>
      </c>
      <c r="AK998" s="26">
        <f t="shared" ca="1" si="267"/>
        <v>0.33941237312243189</v>
      </c>
      <c r="AL998" s="29">
        <f t="shared" ca="1" si="250"/>
        <v>152</v>
      </c>
      <c r="AN998" s="22">
        <v>45543</v>
      </c>
      <c r="AO998" s="26">
        <f t="shared" ca="1" si="268"/>
        <v>0.694389905608369</v>
      </c>
      <c r="AP998" s="29">
        <f t="shared" ca="1" si="251"/>
        <v>264</v>
      </c>
      <c r="AR998" s="22">
        <v>45543</v>
      </c>
      <c r="AS998" s="26">
        <f t="shared" ca="1" si="269"/>
        <v>0.66465054034783866</v>
      </c>
      <c r="AT998" s="29">
        <f t="shared" ca="1" si="252"/>
        <v>221</v>
      </c>
      <c r="AV998" s="22">
        <v>45543</v>
      </c>
      <c r="AW998" s="26">
        <f t="shared" ca="1" si="270"/>
        <v>0.36390173778328261</v>
      </c>
      <c r="AX998" s="29">
        <f t="shared" ca="1" si="253"/>
        <v>187</v>
      </c>
      <c r="AZ998" s="22">
        <v>45543</v>
      </c>
      <c r="BA998" s="26">
        <f t="shared" ca="1" si="271"/>
        <v>0.21746367863406635</v>
      </c>
      <c r="BB998" s="29">
        <f t="shared" ca="1" si="254"/>
        <v>185</v>
      </c>
      <c r="BC998"/>
      <c r="BD998" s="25"/>
      <c r="BF998" s="22">
        <v>45543</v>
      </c>
      <c r="BG998" s="26">
        <f t="shared" ca="1" si="272"/>
        <v>0.15688234736564599</v>
      </c>
      <c r="BH998" s="29">
        <f t="shared" ca="1" si="255"/>
        <v>147</v>
      </c>
      <c r="BJ998" s="22">
        <v>45543</v>
      </c>
      <c r="BK998" s="26">
        <f t="shared" ca="1" si="273"/>
        <v>0.73973236885341642</v>
      </c>
      <c r="BL998" s="29">
        <f t="shared" ca="1" si="256"/>
        <v>198</v>
      </c>
      <c r="BN998" s="22">
        <v>45543</v>
      </c>
      <c r="BO998" s="26">
        <f t="shared" ca="1" si="274"/>
        <v>0.67040260173288335</v>
      </c>
      <c r="BP998" s="29">
        <f t="shared" ca="1" si="257"/>
        <v>242</v>
      </c>
      <c r="BR998" s="22">
        <v>45543</v>
      </c>
      <c r="BS998" s="26">
        <f t="shared" ca="1" si="275"/>
        <v>0.4113195351364396</v>
      </c>
      <c r="BT998" s="29">
        <f t="shared" ca="1" si="258"/>
        <v>152</v>
      </c>
      <c r="BV998" s="22">
        <v>45543</v>
      </c>
      <c r="BW998" s="26">
        <f t="shared" ca="1" si="276"/>
        <v>0.6689368049643527</v>
      </c>
      <c r="BX998" s="29">
        <f t="shared" ca="1" si="259"/>
        <v>245</v>
      </c>
    </row>
    <row r="999" spans="2:76" ht="12.75" x14ac:dyDescent="0.2">
      <c r="B999" s="22">
        <v>45544</v>
      </c>
      <c r="C999" s="26">
        <f t="shared" ca="1" si="241"/>
        <v>0.95670093285399638</v>
      </c>
      <c r="D999" s="29">
        <f t="shared" ca="1" si="242"/>
        <v>110</v>
      </c>
      <c r="F999" s="22"/>
      <c r="G999" s="26">
        <f t="shared" ca="1" si="260"/>
        <v>0.39453859258162083</v>
      </c>
      <c r="H999" s="29">
        <f t="shared" ca="1" si="243"/>
        <v>212</v>
      </c>
      <c r="J999" s="22">
        <v>45544</v>
      </c>
      <c r="K999" s="26">
        <f t="shared" ca="1" si="261"/>
        <v>0.52866587653934882</v>
      </c>
      <c r="L999" s="29">
        <f t="shared" ca="1" si="244"/>
        <v>151</v>
      </c>
      <c r="N999" s="22">
        <v>45544</v>
      </c>
      <c r="O999" s="26">
        <f t="shared" ca="1" si="262"/>
        <v>0.66273066222010468</v>
      </c>
      <c r="P999" s="29">
        <f t="shared" ca="1" si="245"/>
        <v>236</v>
      </c>
      <c r="R999" s="22">
        <v>45544</v>
      </c>
      <c r="S999" s="26">
        <f t="shared" ca="1" si="263"/>
        <v>0.16021637894207941</v>
      </c>
      <c r="T999" s="29">
        <f t="shared" ca="1" si="246"/>
        <v>130</v>
      </c>
      <c r="V999" s="22">
        <v>45544</v>
      </c>
      <c r="W999" s="26">
        <f t="shared" ca="1" si="264"/>
        <v>0.81352197833324047</v>
      </c>
      <c r="X999" s="29">
        <f t="shared" ca="1" si="247"/>
        <v>239</v>
      </c>
      <c r="Z999" s="22">
        <v>45544</v>
      </c>
      <c r="AA999" s="26">
        <f t="shared" ca="1" si="265"/>
        <v>0.68376241071612942</v>
      </c>
      <c r="AB999" s="29">
        <f t="shared" ca="1" si="248"/>
        <v>279</v>
      </c>
      <c r="AC999"/>
      <c r="AD999" s="25"/>
      <c r="AF999" s="22">
        <v>45544</v>
      </c>
      <c r="AG999" s="26">
        <f t="shared" ca="1" si="266"/>
        <v>0.37626136840070445</v>
      </c>
      <c r="AH999" s="29">
        <f t="shared" ca="1" si="249"/>
        <v>300</v>
      </c>
      <c r="AJ999" s="22">
        <v>45544</v>
      </c>
      <c r="AK999" s="26">
        <f t="shared" ca="1" si="267"/>
        <v>2.3989794464398417E-2</v>
      </c>
      <c r="AL999" s="29">
        <f t="shared" ca="1" si="250"/>
        <v>81</v>
      </c>
      <c r="AN999" s="22">
        <v>45544</v>
      </c>
      <c r="AO999" s="26">
        <f t="shared" ca="1" si="268"/>
        <v>0.87913901042208054</v>
      </c>
      <c r="AP999" s="29">
        <f t="shared" ca="1" si="251"/>
        <v>305</v>
      </c>
      <c r="AR999" s="22">
        <v>45544</v>
      </c>
      <c r="AS999" s="26">
        <f t="shared" ca="1" si="269"/>
        <v>0.99603014331146689</v>
      </c>
      <c r="AT999" s="29">
        <f t="shared" ca="1" si="252"/>
        <v>339</v>
      </c>
      <c r="AV999" s="22">
        <v>45544</v>
      </c>
      <c r="AW999" s="26">
        <f t="shared" ca="1" si="270"/>
        <v>0.58073343901335872</v>
      </c>
      <c r="AX999" s="29">
        <f t="shared" ca="1" si="253"/>
        <v>217</v>
      </c>
      <c r="AZ999" s="22">
        <v>45544</v>
      </c>
      <c r="BA999" s="26">
        <f t="shared" ca="1" si="271"/>
        <v>0.64676452637038817</v>
      </c>
      <c r="BB999" s="29">
        <f t="shared" ca="1" si="254"/>
        <v>258</v>
      </c>
      <c r="BC999"/>
      <c r="BD999" s="25"/>
      <c r="BF999" s="22">
        <v>45544</v>
      </c>
      <c r="BG999" s="26">
        <f t="shared" ca="1" si="272"/>
        <v>0.89707585042280658</v>
      </c>
      <c r="BH999" s="29">
        <f t="shared" ca="1" si="255"/>
        <v>269</v>
      </c>
      <c r="BJ999" s="22">
        <v>45544</v>
      </c>
      <c r="BK999" s="26">
        <f t="shared" ca="1" si="273"/>
        <v>0.59982282886898153</v>
      </c>
      <c r="BL999" s="29">
        <f t="shared" ca="1" si="256"/>
        <v>180</v>
      </c>
      <c r="BN999" s="22">
        <v>45544</v>
      </c>
      <c r="BO999" s="26">
        <f t="shared" ca="1" si="274"/>
        <v>0.22482968335758324</v>
      </c>
      <c r="BP999" s="29">
        <f t="shared" ca="1" si="257"/>
        <v>173</v>
      </c>
      <c r="BR999" s="22">
        <v>45544</v>
      </c>
      <c r="BS999" s="26">
        <f t="shared" ca="1" si="275"/>
        <v>0.21621046709883296</v>
      </c>
      <c r="BT999" s="29">
        <f t="shared" ca="1" si="258"/>
        <v>128</v>
      </c>
      <c r="BV999" s="22">
        <v>45544</v>
      </c>
      <c r="BW999" s="26">
        <f t="shared" ca="1" si="276"/>
        <v>0.59533129349771885</v>
      </c>
      <c r="BX999" s="29">
        <f t="shared" ca="1" si="259"/>
        <v>234</v>
      </c>
    </row>
    <row r="1000" spans="2:76" ht="12.75" x14ac:dyDescent="0.2">
      <c r="B1000" s="22">
        <v>45545</v>
      </c>
      <c r="C1000" s="26">
        <f t="shared" ca="1" si="241"/>
        <v>0.70805409700427269</v>
      </c>
      <c r="D1000" s="29">
        <f t="shared" ca="1" si="242"/>
        <v>86</v>
      </c>
      <c r="F1000" s="22"/>
      <c r="G1000" s="26">
        <f t="shared" ca="1" si="260"/>
        <v>0.50933337559818292</v>
      </c>
      <c r="H1000" s="29">
        <f t="shared" ca="1" si="243"/>
        <v>216</v>
      </c>
      <c r="J1000" s="22">
        <v>45545</v>
      </c>
      <c r="K1000" s="26">
        <f t="shared" ca="1" si="261"/>
        <v>0.24083634204576965</v>
      </c>
      <c r="L1000" s="29">
        <f t="shared" ca="1" si="244"/>
        <v>143</v>
      </c>
      <c r="N1000" s="22">
        <v>45545</v>
      </c>
      <c r="O1000" s="26">
        <f t="shared" ca="1" si="262"/>
        <v>0.83575808338892843</v>
      </c>
      <c r="P1000" s="29">
        <f t="shared" ca="1" si="245"/>
        <v>245</v>
      </c>
      <c r="R1000" s="22">
        <v>45545</v>
      </c>
      <c r="S1000" s="26">
        <f t="shared" ca="1" si="263"/>
        <v>0.60283082841052327</v>
      </c>
      <c r="T1000" s="29">
        <f t="shared" ca="1" si="246"/>
        <v>142</v>
      </c>
      <c r="V1000" s="22">
        <v>45545</v>
      </c>
      <c r="W1000" s="26">
        <f t="shared" ca="1" si="264"/>
        <v>8.2651152563515407E-2</v>
      </c>
      <c r="X1000" s="29">
        <f t="shared" ca="1" si="247"/>
        <v>205</v>
      </c>
      <c r="Z1000" s="22">
        <v>45545</v>
      </c>
      <c r="AA1000" s="26">
        <f t="shared" ca="1" si="265"/>
        <v>0.9504324109920852</v>
      </c>
      <c r="AB1000" s="29">
        <f t="shared" ca="1" si="248"/>
        <v>300</v>
      </c>
      <c r="AC1000"/>
      <c r="AD1000" s="25"/>
      <c r="AF1000" s="22">
        <v>45545</v>
      </c>
      <c r="AG1000" s="26">
        <f t="shared" ca="1" si="266"/>
        <v>0.89078191761807923</v>
      </c>
      <c r="AH1000" s="29">
        <f t="shared" ca="1" si="249"/>
        <v>435</v>
      </c>
      <c r="AJ1000" s="22">
        <v>45545</v>
      </c>
      <c r="AK1000" s="26">
        <f t="shared" ca="1" si="267"/>
        <v>0.50388369176080516</v>
      </c>
      <c r="AL1000" s="29">
        <f t="shared" ca="1" si="250"/>
        <v>171</v>
      </c>
      <c r="AN1000" s="22">
        <v>45545</v>
      </c>
      <c r="AO1000" s="26">
        <f t="shared" ca="1" si="268"/>
        <v>0.41835524986024286</v>
      </c>
      <c r="AP1000" s="29">
        <f t="shared" ca="1" si="251"/>
        <v>220</v>
      </c>
      <c r="AR1000" s="22">
        <v>45545</v>
      </c>
      <c r="AS1000" s="26">
        <f t="shared" ca="1" si="269"/>
        <v>0.10341094955674002</v>
      </c>
      <c r="AT1000" s="29">
        <f t="shared" ca="1" si="252"/>
        <v>132</v>
      </c>
      <c r="AV1000" s="22">
        <v>45545</v>
      </c>
      <c r="AW1000" s="26">
        <f t="shared" ca="1" si="270"/>
        <v>0.12049721839508387</v>
      </c>
      <c r="AX1000" s="29">
        <f t="shared" ca="1" si="253"/>
        <v>142</v>
      </c>
      <c r="AZ1000" s="22">
        <v>45545</v>
      </c>
      <c r="BA1000" s="26">
        <f t="shared" ca="1" si="271"/>
        <v>4.7679957768521408E-2</v>
      </c>
      <c r="BB1000" s="29">
        <f t="shared" ca="1" si="254"/>
        <v>130</v>
      </c>
      <c r="BC1000"/>
      <c r="BD1000" s="25"/>
      <c r="BF1000" s="22">
        <v>45545</v>
      </c>
      <c r="BG1000" s="26">
        <f t="shared" ca="1" si="272"/>
        <v>0.39671099908518526</v>
      </c>
      <c r="BH1000" s="29">
        <f t="shared" ca="1" si="255"/>
        <v>187</v>
      </c>
      <c r="BJ1000" s="22">
        <v>45545</v>
      </c>
      <c r="BK1000" s="26">
        <f t="shared" ca="1" si="273"/>
        <v>0.32904257946012749</v>
      </c>
      <c r="BL1000" s="29">
        <f t="shared" ca="1" si="256"/>
        <v>149</v>
      </c>
      <c r="BN1000" s="22">
        <v>45545</v>
      </c>
      <c r="BO1000" s="26">
        <f t="shared" ca="1" si="274"/>
        <v>0.46193923447852792</v>
      </c>
      <c r="BP1000" s="29">
        <f t="shared" ca="1" si="257"/>
        <v>211</v>
      </c>
      <c r="BR1000" s="22">
        <v>45545</v>
      </c>
      <c r="BS1000" s="26">
        <f t="shared" ca="1" si="275"/>
        <v>0.325579775215041</v>
      </c>
      <c r="BT1000" s="29">
        <f t="shared" ca="1" si="258"/>
        <v>142</v>
      </c>
      <c r="BV1000" s="22">
        <v>45545</v>
      </c>
      <c r="BW1000" s="26">
        <f t="shared" ca="1" si="276"/>
        <v>0.48608642290697524</v>
      </c>
      <c r="BX1000" s="29">
        <f t="shared" ca="1" si="259"/>
        <v>218</v>
      </c>
    </row>
    <row r="1001" spans="2:76" ht="12.75" x14ac:dyDescent="0.2">
      <c r="B1001" s="22">
        <v>45546</v>
      </c>
      <c r="C1001" s="26">
        <f t="shared" ca="1" si="241"/>
        <v>0.83740263874686793</v>
      </c>
      <c r="D1001" s="29">
        <f t="shared" ca="1" si="242"/>
        <v>95</v>
      </c>
      <c r="F1001" s="22"/>
      <c r="G1001" s="26">
        <f t="shared" ca="1" si="260"/>
        <v>0.90170569246198784</v>
      </c>
      <c r="H1001" s="29">
        <f t="shared" ca="1" si="243"/>
        <v>234</v>
      </c>
      <c r="J1001" s="22">
        <v>45546</v>
      </c>
      <c r="K1001" s="26">
        <f t="shared" ca="1" si="261"/>
        <v>0.53551951398603237</v>
      </c>
      <c r="L1001" s="29">
        <f t="shared" ca="1" si="244"/>
        <v>151</v>
      </c>
      <c r="N1001" s="22">
        <v>45546</v>
      </c>
      <c r="O1001" s="26">
        <f t="shared" ca="1" si="262"/>
        <v>0.56456487086557039</v>
      </c>
      <c r="P1001" s="29">
        <f t="shared" ca="1" si="245"/>
        <v>232</v>
      </c>
      <c r="R1001" s="22">
        <v>45546</v>
      </c>
      <c r="S1001" s="26">
        <f t="shared" ca="1" si="263"/>
        <v>0.55857466565093861</v>
      </c>
      <c r="T1001" s="29">
        <f t="shared" ca="1" si="246"/>
        <v>141</v>
      </c>
      <c r="V1001" s="22">
        <v>45546</v>
      </c>
      <c r="W1001" s="26">
        <f t="shared" ca="1" si="264"/>
        <v>0.48815475136332542</v>
      </c>
      <c r="X1001" s="29">
        <f t="shared" ca="1" si="247"/>
        <v>225</v>
      </c>
      <c r="Z1001" s="22">
        <v>45546</v>
      </c>
      <c r="AA1001" s="26">
        <f t="shared" ca="1" si="265"/>
        <v>1.9902863720261954E-2</v>
      </c>
      <c r="AB1001" s="29">
        <f t="shared" ca="1" si="248"/>
        <v>233</v>
      </c>
      <c r="AC1001"/>
      <c r="AD1001" s="25"/>
      <c r="AF1001" s="22">
        <v>45546</v>
      </c>
      <c r="AG1001" s="26">
        <f t="shared" ca="1" si="266"/>
        <v>0.9426264385459483</v>
      </c>
      <c r="AH1001" s="29">
        <f t="shared" ca="1" si="249"/>
        <v>465</v>
      </c>
      <c r="AJ1001" s="22">
        <v>45546</v>
      </c>
      <c r="AK1001" s="26">
        <f t="shared" ca="1" si="267"/>
        <v>0.36607773700446011</v>
      </c>
      <c r="AL1001" s="29">
        <f t="shared" ca="1" si="250"/>
        <v>155</v>
      </c>
      <c r="AN1001" s="22">
        <v>45546</v>
      </c>
      <c r="AO1001" s="26">
        <f t="shared" ca="1" si="268"/>
        <v>0.25487814098108408</v>
      </c>
      <c r="AP1001" s="29">
        <f t="shared" ca="1" si="251"/>
        <v>192</v>
      </c>
      <c r="AR1001" s="22">
        <v>45546</v>
      </c>
      <c r="AS1001" s="26">
        <f t="shared" ca="1" si="269"/>
        <v>0.85378028406338147</v>
      </c>
      <c r="AT1001" s="29">
        <f t="shared" ca="1" si="252"/>
        <v>254</v>
      </c>
      <c r="AV1001" s="22">
        <v>45546</v>
      </c>
      <c r="AW1001" s="26">
        <f t="shared" ca="1" si="270"/>
        <v>0.69922004176430019</v>
      </c>
      <c r="AX1001" s="29">
        <f t="shared" ca="1" si="253"/>
        <v>235</v>
      </c>
      <c r="AZ1001" s="22">
        <v>45546</v>
      </c>
      <c r="BA1001" s="26">
        <f t="shared" ca="1" si="271"/>
        <v>0.47248872542741915</v>
      </c>
      <c r="BB1001" s="29">
        <f t="shared" ca="1" si="254"/>
        <v>230</v>
      </c>
      <c r="BC1001"/>
      <c r="BD1001" s="25"/>
      <c r="BF1001" s="22">
        <v>45546</v>
      </c>
      <c r="BG1001" s="26">
        <f t="shared" ca="1" si="272"/>
        <v>0.87014937603646669</v>
      </c>
      <c r="BH1001" s="29">
        <f t="shared" ca="1" si="255"/>
        <v>261</v>
      </c>
      <c r="BJ1001" s="22">
        <v>45546</v>
      </c>
      <c r="BK1001" s="26">
        <f t="shared" ca="1" si="273"/>
        <v>0.79161349938319792</v>
      </c>
      <c r="BL1001" s="29">
        <f t="shared" ca="1" si="256"/>
        <v>206</v>
      </c>
      <c r="BN1001" s="22">
        <v>45546</v>
      </c>
      <c r="BO1001" s="26">
        <f t="shared" ca="1" si="274"/>
        <v>0.94182246068430642</v>
      </c>
      <c r="BP1001" s="29">
        <f t="shared" ca="1" si="257"/>
        <v>307</v>
      </c>
      <c r="BR1001" s="22">
        <v>45546</v>
      </c>
      <c r="BS1001" s="26">
        <f t="shared" ca="1" si="275"/>
        <v>0.16610731897662234</v>
      </c>
      <c r="BT1001" s="29">
        <f t="shared" ca="1" si="258"/>
        <v>120</v>
      </c>
      <c r="BV1001" s="22">
        <v>45546</v>
      </c>
      <c r="BW1001" s="26">
        <f t="shared" ca="1" si="276"/>
        <v>0.67735468657243458</v>
      </c>
      <c r="BX1001" s="29">
        <f t="shared" ca="1" si="259"/>
        <v>247</v>
      </c>
    </row>
    <row r="1002" spans="2:76" ht="12.75" x14ac:dyDescent="0.2">
      <c r="B1002" s="22">
        <v>45547</v>
      </c>
      <c r="C1002" s="26">
        <f t="shared" ca="1" si="241"/>
        <v>0.87405902385880474</v>
      </c>
      <c r="D1002" s="29">
        <f t="shared" ca="1" si="242"/>
        <v>98</v>
      </c>
      <c r="F1002" s="22"/>
      <c r="G1002" s="26">
        <f t="shared" ca="1" si="260"/>
        <v>0.2743125769101542</v>
      </c>
      <c r="H1002" s="29">
        <f t="shared" ca="1" si="243"/>
        <v>207</v>
      </c>
      <c r="J1002" s="22">
        <v>45547</v>
      </c>
      <c r="K1002" s="26">
        <f t="shared" ca="1" si="261"/>
        <v>0.56059932901172838</v>
      </c>
      <c r="L1002" s="29">
        <f t="shared" ca="1" si="244"/>
        <v>152</v>
      </c>
      <c r="N1002" s="22">
        <v>45547</v>
      </c>
      <c r="O1002" s="26">
        <f t="shared" ca="1" si="262"/>
        <v>0.52059306983208364</v>
      </c>
      <c r="P1002" s="29">
        <f t="shared" ca="1" si="245"/>
        <v>231</v>
      </c>
      <c r="R1002" s="22">
        <v>45547</v>
      </c>
      <c r="S1002" s="26">
        <f t="shared" ca="1" si="263"/>
        <v>0.10322152571432242</v>
      </c>
      <c r="T1002" s="29">
        <f t="shared" ca="1" si="246"/>
        <v>128</v>
      </c>
      <c r="V1002" s="22">
        <v>45547</v>
      </c>
      <c r="W1002" s="26">
        <f t="shared" ca="1" si="264"/>
        <v>0.85442664029032223</v>
      </c>
      <c r="X1002" s="29">
        <f t="shared" ca="1" si="247"/>
        <v>241</v>
      </c>
      <c r="Z1002" s="22">
        <v>45547</v>
      </c>
      <c r="AA1002" s="26">
        <f t="shared" ca="1" si="265"/>
        <v>0.31397200682526216</v>
      </c>
      <c r="AB1002" s="29">
        <f t="shared" ca="1" si="248"/>
        <v>262</v>
      </c>
      <c r="AC1002"/>
      <c r="AD1002" s="25"/>
      <c r="AF1002" s="22">
        <v>45547</v>
      </c>
      <c r="AG1002" s="26">
        <f t="shared" ca="1" si="266"/>
        <v>0.70844148412926666</v>
      </c>
      <c r="AH1002" s="29">
        <f t="shared" ca="1" si="249"/>
        <v>375</v>
      </c>
      <c r="AJ1002" s="22">
        <v>45547</v>
      </c>
      <c r="AK1002" s="26">
        <f t="shared" ca="1" si="267"/>
        <v>0.30947575192657129</v>
      </c>
      <c r="AL1002" s="29">
        <f t="shared" ca="1" si="250"/>
        <v>148</v>
      </c>
      <c r="AN1002" s="22">
        <v>45547</v>
      </c>
      <c r="AO1002" s="26">
        <f t="shared" ca="1" si="268"/>
        <v>0.13145446690122842</v>
      </c>
      <c r="AP1002" s="29">
        <f t="shared" ca="1" si="251"/>
        <v>163</v>
      </c>
      <c r="AR1002" s="22">
        <v>45547</v>
      </c>
      <c r="AS1002" s="26">
        <f t="shared" ca="1" si="269"/>
        <v>0.86372797807574708</v>
      </c>
      <c r="AT1002" s="29">
        <f t="shared" ca="1" si="252"/>
        <v>256</v>
      </c>
      <c r="AV1002" s="22">
        <v>45547</v>
      </c>
      <c r="AW1002" s="26">
        <f t="shared" ca="1" si="270"/>
        <v>5.7880195849942861E-2</v>
      </c>
      <c r="AX1002" s="29">
        <f t="shared" ca="1" si="253"/>
        <v>120</v>
      </c>
      <c r="AZ1002" s="22">
        <v>45547</v>
      </c>
      <c r="BA1002" s="26">
        <f t="shared" ca="1" si="271"/>
        <v>0.31219617843380554</v>
      </c>
      <c r="BB1002" s="29">
        <f t="shared" ca="1" si="254"/>
        <v>204</v>
      </c>
      <c r="BC1002"/>
      <c r="BD1002" s="25"/>
      <c r="BF1002" s="22">
        <v>45547</v>
      </c>
      <c r="BG1002" s="26">
        <f t="shared" ca="1" si="272"/>
        <v>3.1087310087675402E-2</v>
      </c>
      <c r="BH1002" s="29">
        <f t="shared" ca="1" si="255"/>
        <v>101</v>
      </c>
      <c r="BJ1002" s="22">
        <v>45547</v>
      </c>
      <c r="BK1002" s="26">
        <f t="shared" ca="1" si="273"/>
        <v>0.41356998389573296</v>
      </c>
      <c r="BL1002" s="29">
        <f t="shared" ca="1" si="256"/>
        <v>159</v>
      </c>
      <c r="BN1002" s="22">
        <v>45547</v>
      </c>
      <c r="BO1002" s="26">
        <f t="shared" ca="1" si="274"/>
        <v>0.60265480459392928</v>
      </c>
      <c r="BP1002" s="29">
        <f t="shared" ca="1" si="257"/>
        <v>231</v>
      </c>
      <c r="BR1002" s="22">
        <v>45547</v>
      </c>
      <c r="BS1002" s="26">
        <f t="shared" ca="1" si="275"/>
        <v>0.62638656647811164</v>
      </c>
      <c r="BT1002" s="29">
        <f t="shared" ca="1" si="258"/>
        <v>175</v>
      </c>
      <c r="BV1002" s="22">
        <v>45547</v>
      </c>
      <c r="BW1002" s="26">
        <f t="shared" ca="1" si="276"/>
        <v>0.22504063589102496</v>
      </c>
      <c r="BX1002" s="29">
        <f t="shared" ca="1" si="259"/>
        <v>176</v>
      </c>
    </row>
    <row r="1003" spans="2:76" ht="12.75" x14ac:dyDescent="0.2">
      <c r="B1003" s="22">
        <v>45548</v>
      </c>
      <c r="C1003" s="26">
        <f t="shared" ca="1" si="241"/>
        <v>0.44225106875556996</v>
      </c>
      <c r="D1003" s="29">
        <f t="shared" ca="1" si="242"/>
        <v>73</v>
      </c>
      <c r="F1003" s="22"/>
      <c r="G1003" s="26">
        <f t="shared" ca="1" si="260"/>
        <v>0.41404034280958246</v>
      </c>
      <c r="H1003" s="29">
        <f t="shared" ca="1" si="243"/>
        <v>213</v>
      </c>
      <c r="J1003" s="22">
        <v>45548</v>
      </c>
      <c r="K1003" s="26">
        <f t="shared" ca="1" si="261"/>
        <v>0.7623526344013366</v>
      </c>
      <c r="L1003" s="29">
        <f t="shared" ca="1" si="244"/>
        <v>158</v>
      </c>
      <c r="N1003" s="22">
        <v>45548</v>
      </c>
      <c r="O1003" s="26">
        <f t="shared" ca="1" si="262"/>
        <v>0.18568812732790529</v>
      </c>
      <c r="P1003" s="29">
        <f t="shared" ca="1" si="245"/>
        <v>216</v>
      </c>
      <c r="R1003" s="22">
        <v>45548</v>
      </c>
      <c r="S1003" s="26">
        <f t="shared" ca="1" si="263"/>
        <v>0.34418471932870176</v>
      </c>
      <c r="T1003" s="29">
        <f t="shared" ca="1" si="246"/>
        <v>136</v>
      </c>
      <c r="V1003" s="22">
        <v>45548</v>
      </c>
      <c r="W1003" s="26">
        <f t="shared" ca="1" si="264"/>
        <v>0.12704435122587443</v>
      </c>
      <c r="X1003" s="29">
        <f t="shared" ca="1" si="247"/>
        <v>208</v>
      </c>
      <c r="Z1003" s="22">
        <v>45548</v>
      </c>
      <c r="AA1003" s="26">
        <f t="shared" ca="1" si="265"/>
        <v>0.70784283235713064</v>
      </c>
      <c r="AB1003" s="29">
        <f t="shared" ca="1" si="248"/>
        <v>280</v>
      </c>
      <c r="AC1003"/>
      <c r="AD1003" s="25"/>
      <c r="AF1003" s="22">
        <v>45548</v>
      </c>
      <c r="AG1003" s="26">
        <f t="shared" ca="1" si="266"/>
        <v>0.83559946945729124</v>
      </c>
      <c r="AH1003" s="29">
        <f t="shared" ca="1" si="249"/>
        <v>413</v>
      </c>
      <c r="AJ1003" s="22">
        <v>45548</v>
      </c>
      <c r="AK1003" s="26">
        <f t="shared" ca="1" si="267"/>
        <v>0.30822298477560006</v>
      </c>
      <c r="AL1003" s="29">
        <f t="shared" ca="1" si="250"/>
        <v>148</v>
      </c>
      <c r="AN1003" s="22">
        <v>45548</v>
      </c>
      <c r="AO1003" s="26">
        <f t="shared" ca="1" si="268"/>
        <v>0.35075701171170059</v>
      </c>
      <c r="AP1003" s="29">
        <f t="shared" ca="1" si="251"/>
        <v>209</v>
      </c>
      <c r="AR1003" s="22">
        <v>45548</v>
      </c>
      <c r="AS1003" s="26">
        <f t="shared" ca="1" si="269"/>
        <v>9.5014995107114308E-2</v>
      </c>
      <c r="AT1003" s="29">
        <f t="shared" ca="1" si="252"/>
        <v>129</v>
      </c>
      <c r="AV1003" s="22">
        <v>45548</v>
      </c>
      <c r="AW1003" s="26">
        <f t="shared" ca="1" si="270"/>
        <v>0.77278355164921742</v>
      </c>
      <c r="AX1003" s="29">
        <f t="shared" ca="1" si="253"/>
        <v>247</v>
      </c>
      <c r="AZ1003" s="22">
        <v>45548</v>
      </c>
      <c r="BA1003" s="26">
        <f t="shared" ca="1" si="271"/>
        <v>0.8360327520548857</v>
      </c>
      <c r="BB1003" s="29">
        <f t="shared" ca="1" si="254"/>
        <v>295</v>
      </c>
      <c r="BC1003"/>
      <c r="BD1003" s="25"/>
      <c r="BF1003" s="22">
        <v>45548</v>
      </c>
      <c r="BG1003" s="26">
        <f t="shared" ca="1" si="272"/>
        <v>9.2584331906791939E-2</v>
      </c>
      <c r="BH1003" s="29">
        <f t="shared" ca="1" si="255"/>
        <v>130</v>
      </c>
      <c r="BJ1003" s="22">
        <v>45548</v>
      </c>
      <c r="BK1003" s="26">
        <f t="shared" ca="1" si="273"/>
        <v>0.36976987765366998</v>
      </c>
      <c r="BL1003" s="29">
        <f t="shared" ca="1" si="256"/>
        <v>154</v>
      </c>
      <c r="BN1003" s="22">
        <v>45548</v>
      </c>
      <c r="BO1003" s="26">
        <f t="shared" ca="1" si="274"/>
        <v>0.24461298880739268</v>
      </c>
      <c r="BP1003" s="29">
        <f t="shared" ca="1" si="257"/>
        <v>176</v>
      </c>
      <c r="BR1003" s="22">
        <v>45548</v>
      </c>
      <c r="BS1003" s="26">
        <f t="shared" ca="1" si="275"/>
        <v>0.46213909123293817</v>
      </c>
      <c r="BT1003" s="29">
        <f t="shared" ca="1" si="258"/>
        <v>157</v>
      </c>
      <c r="BV1003" s="22">
        <v>45548</v>
      </c>
      <c r="BW1003" s="26">
        <f t="shared" ca="1" si="276"/>
        <v>0.1366227881265939</v>
      </c>
      <c r="BX1003" s="29">
        <f t="shared" ca="1" si="259"/>
        <v>156</v>
      </c>
    </row>
    <row r="1004" spans="2:76" ht="12.75" x14ac:dyDescent="0.2">
      <c r="B1004" s="22">
        <v>45549</v>
      </c>
      <c r="C1004" s="26">
        <f t="shared" ca="1" si="241"/>
        <v>0.9185324418048878</v>
      </c>
      <c r="D1004" s="29">
        <f t="shared" ca="1" si="242"/>
        <v>103</v>
      </c>
      <c r="F1004" s="22"/>
      <c r="G1004" s="26">
        <f t="shared" ca="1" si="260"/>
        <v>7.9054547666780661E-2</v>
      </c>
      <c r="H1004" s="29">
        <f t="shared" ca="1" si="243"/>
        <v>196</v>
      </c>
      <c r="J1004" s="22">
        <v>45549</v>
      </c>
      <c r="K1004" s="26">
        <f t="shared" ca="1" si="261"/>
        <v>0.11914881914934328</v>
      </c>
      <c r="L1004" s="29">
        <f t="shared" ca="1" si="244"/>
        <v>139</v>
      </c>
      <c r="N1004" s="22">
        <v>45549</v>
      </c>
      <c r="O1004" s="26">
        <f t="shared" ca="1" si="262"/>
        <v>0.21460871811154103</v>
      </c>
      <c r="P1004" s="29">
        <f t="shared" ca="1" si="245"/>
        <v>218</v>
      </c>
      <c r="R1004" s="22">
        <v>45549</v>
      </c>
      <c r="S1004" s="26">
        <f t="shared" ca="1" si="263"/>
        <v>0.79592471127652276</v>
      </c>
      <c r="T1004" s="29">
        <f t="shared" ca="1" si="246"/>
        <v>147</v>
      </c>
      <c r="V1004" s="22">
        <v>45549</v>
      </c>
      <c r="W1004" s="26">
        <f t="shared" ca="1" si="264"/>
        <v>0.24380568833859428</v>
      </c>
      <c r="X1004" s="29">
        <f t="shared" ca="1" si="247"/>
        <v>215</v>
      </c>
      <c r="Z1004" s="22">
        <v>45549</v>
      </c>
      <c r="AA1004" s="26">
        <f t="shared" ca="1" si="265"/>
        <v>0.96514084686225887</v>
      </c>
      <c r="AB1004" s="29">
        <f t="shared" ca="1" si="248"/>
        <v>303</v>
      </c>
      <c r="AC1004"/>
      <c r="AD1004" s="25"/>
      <c r="AF1004" s="22">
        <v>45549</v>
      </c>
      <c r="AG1004" s="26">
        <f t="shared" ca="1" si="266"/>
        <v>0.30681142398401606</v>
      </c>
      <c r="AH1004" s="29">
        <f t="shared" ca="1" si="249"/>
        <v>283</v>
      </c>
      <c r="AJ1004" s="22">
        <v>45549</v>
      </c>
      <c r="AK1004" s="26">
        <f t="shared" ca="1" si="267"/>
        <v>2.6893535214834285E-2</v>
      </c>
      <c r="AL1004" s="29">
        <f t="shared" ca="1" si="250"/>
        <v>83</v>
      </c>
      <c r="AN1004" s="22">
        <v>45549</v>
      </c>
      <c r="AO1004" s="26">
        <f t="shared" ca="1" si="268"/>
        <v>0.31815869530043428</v>
      </c>
      <c r="AP1004" s="29">
        <f t="shared" ca="1" si="251"/>
        <v>203</v>
      </c>
      <c r="AR1004" s="22">
        <v>45549</v>
      </c>
      <c r="AS1004" s="26">
        <f t="shared" ca="1" si="269"/>
        <v>0.1621537107417037</v>
      </c>
      <c r="AT1004" s="29">
        <f t="shared" ca="1" si="252"/>
        <v>146</v>
      </c>
      <c r="AV1004" s="22">
        <v>45549</v>
      </c>
      <c r="AW1004" s="26">
        <f t="shared" ca="1" si="270"/>
        <v>0.29518501994802659</v>
      </c>
      <c r="AX1004" s="29">
        <f t="shared" ca="1" si="253"/>
        <v>177</v>
      </c>
      <c r="AZ1004" s="22">
        <v>45549</v>
      </c>
      <c r="BA1004" s="26">
        <f t="shared" ca="1" si="271"/>
        <v>0.70792281702597637</v>
      </c>
      <c r="BB1004" s="29">
        <f t="shared" ca="1" si="254"/>
        <v>268</v>
      </c>
      <c r="BC1004"/>
      <c r="BD1004" s="25"/>
      <c r="BF1004" s="22">
        <v>45549</v>
      </c>
      <c r="BG1004" s="26">
        <f t="shared" ca="1" si="272"/>
        <v>0.830050353967418</v>
      </c>
      <c r="BH1004" s="29">
        <f t="shared" ca="1" si="255"/>
        <v>252</v>
      </c>
      <c r="BJ1004" s="22">
        <v>45549</v>
      </c>
      <c r="BK1004" s="26">
        <f t="shared" ca="1" si="273"/>
        <v>0.21771588125779695</v>
      </c>
      <c r="BL1004" s="29">
        <f t="shared" ca="1" si="256"/>
        <v>134</v>
      </c>
      <c r="BN1004" s="22">
        <v>45549</v>
      </c>
      <c r="BO1004" s="26">
        <f t="shared" ca="1" si="274"/>
        <v>0.29310317110491624</v>
      </c>
      <c r="BP1004" s="29">
        <f t="shared" ca="1" si="257"/>
        <v>185</v>
      </c>
      <c r="BR1004" s="22">
        <v>45549</v>
      </c>
      <c r="BS1004" s="26">
        <f t="shared" ca="1" si="275"/>
        <v>0.76524576956799251</v>
      </c>
      <c r="BT1004" s="29">
        <f t="shared" ca="1" si="258"/>
        <v>192</v>
      </c>
      <c r="BV1004" s="22">
        <v>45549</v>
      </c>
      <c r="BW1004" s="26">
        <f t="shared" ca="1" si="276"/>
        <v>0.11417244678538363</v>
      </c>
      <c r="BX1004" s="29">
        <f t="shared" ca="1" si="259"/>
        <v>149</v>
      </c>
    </row>
    <row r="1005" spans="2:76" ht="12.75" x14ac:dyDescent="0.2">
      <c r="B1005" s="22">
        <v>45550</v>
      </c>
      <c r="C1005" s="26">
        <f t="shared" ca="1" si="241"/>
        <v>0.2129740761463097</v>
      </c>
      <c r="D1005" s="29">
        <f t="shared" ca="1" si="242"/>
        <v>60</v>
      </c>
      <c r="F1005" s="22"/>
      <c r="G1005" s="26">
        <f t="shared" ca="1" si="260"/>
        <v>0.25459391682911414</v>
      </c>
      <c r="H1005" s="29">
        <f t="shared" ca="1" si="243"/>
        <v>206</v>
      </c>
      <c r="J1005" s="22">
        <v>45550</v>
      </c>
      <c r="K1005" s="26">
        <f t="shared" ca="1" si="261"/>
        <v>9.8618461407848468E-2</v>
      </c>
      <c r="L1005" s="29">
        <f t="shared" ca="1" si="244"/>
        <v>138</v>
      </c>
      <c r="N1005" s="22">
        <v>45550</v>
      </c>
      <c r="O1005" s="26">
        <f t="shared" ca="1" si="262"/>
        <v>0.6505480757293175</v>
      </c>
      <c r="P1005" s="29">
        <f t="shared" ca="1" si="245"/>
        <v>236</v>
      </c>
      <c r="R1005" s="22">
        <v>45550</v>
      </c>
      <c r="S1005" s="26">
        <f t="shared" ca="1" si="263"/>
        <v>0.84194628436805341</v>
      </c>
      <c r="T1005" s="29">
        <f t="shared" ca="1" si="246"/>
        <v>149</v>
      </c>
      <c r="V1005" s="22">
        <v>45550</v>
      </c>
      <c r="W1005" s="26">
        <f t="shared" ca="1" si="264"/>
        <v>0.96342490876354236</v>
      </c>
      <c r="X1005" s="29">
        <f t="shared" ca="1" si="247"/>
        <v>252</v>
      </c>
      <c r="Z1005" s="22">
        <v>45550</v>
      </c>
      <c r="AA1005" s="26">
        <f t="shared" ca="1" si="265"/>
        <v>0.8409669011168297</v>
      </c>
      <c r="AB1005" s="29">
        <f t="shared" ca="1" si="248"/>
        <v>288</v>
      </c>
      <c r="AC1005"/>
      <c r="AD1005" s="25"/>
      <c r="AF1005" s="22">
        <v>45550</v>
      </c>
      <c r="AG1005" s="26">
        <f t="shared" ca="1" si="266"/>
        <v>0.44372891079089882</v>
      </c>
      <c r="AH1005" s="29">
        <f t="shared" ca="1" si="249"/>
        <v>315</v>
      </c>
      <c r="AJ1005" s="22">
        <v>45550</v>
      </c>
      <c r="AK1005" s="26">
        <f t="shared" ca="1" si="267"/>
        <v>0.64924350652857554</v>
      </c>
      <c r="AL1005" s="29">
        <f t="shared" ca="1" si="250"/>
        <v>188</v>
      </c>
      <c r="AN1005" s="22">
        <v>45550</v>
      </c>
      <c r="AO1005" s="26">
        <f t="shared" ca="1" si="268"/>
        <v>0.36876116753898869</v>
      </c>
      <c r="AP1005" s="29">
        <f t="shared" ca="1" si="251"/>
        <v>212</v>
      </c>
      <c r="AR1005" s="22">
        <v>45550</v>
      </c>
      <c r="AS1005" s="26">
        <f t="shared" ca="1" si="269"/>
        <v>0.78609975248252828</v>
      </c>
      <c r="AT1005" s="29">
        <f t="shared" ca="1" si="252"/>
        <v>240</v>
      </c>
      <c r="AV1005" s="22">
        <v>45550</v>
      </c>
      <c r="AW1005" s="26">
        <f t="shared" ca="1" si="270"/>
        <v>6.730076841387167E-2</v>
      </c>
      <c r="AX1005" s="29">
        <f t="shared" ca="1" si="253"/>
        <v>124</v>
      </c>
      <c r="AZ1005" s="22">
        <v>45550</v>
      </c>
      <c r="BA1005" s="26">
        <f t="shared" ca="1" si="271"/>
        <v>0.73943901171575832</v>
      </c>
      <c r="BB1005" s="29">
        <f t="shared" ca="1" si="254"/>
        <v>274</v>
      </c>
      <c r="BC1005"/>
      <c r="BD1005" s="25"/>
      <c r="BF1005" s="22">
        <v>45550</v>
      </c>
      <c r="BG1005" s="26">
        <f t="shared" ca="1" si="272"/>
        <v>0.78331058263575093</v>
      </c>
      <c r="BH1005" s="29">
        <f t="shared" ca="1" si="255"/>
        <v>243</v>
      </c>
      <c r="BJ1005" s="22">
        <v>45550</v>
      </c>
      <c r="BK1005" s="26">
        <f t="shared" ca="1" si="273"/>
        <v>0.4385365097966295</v>
      </c>
      <c r="BL1005" s="29">
        <f t="shared" ca="1" si="256"/>
        <v>162</v>
      </c>
      <c r="BN1005" s="22">
        <v>45550</v>
      </c>
      <c r="BO1005" s="26">
        <f t="shared" ca="1" si="274"/>
        <v>0.47744001161927352</v>
      </c>
      <c r="BP1005" s="29">
        <f t="shared" ca="1" si="257"/>
        <v>213</v>
      </c>
      <c r="BR1005" s="22">
        <v>45550</v>
      </c>
      <c r="BS1005" s="26">
        <f t="shared" ca="1" si="275"/>
        <v>0.22852153126245367</v>
      </c>
      <c r="BT1005" s="29">
        <f t="shared" ca="1" si="258"/>
        <v>129</v>
      </c>
      <c r="BV1005" s="22">
        <v>45550</v>
      </c>
      <c r="BW1005" s="26">
        <f t="shared" ca="1" si="276"/>
        <v>0.29578373027787885</v>
      </c>
      <c r="BX1005" s="29">
        <f t="shared" ca="1" si="259"/>
        <v>188</v>
      </c>
    </row>
    <row r="1006" spans="2:76" ht="12.75" x14ac:dyDescent="0.2">
      <c r="B1006" s="22">
        <v>45551</v>
      </c>
      <c r="C1006" s="26">
        <f t="shared" ca="1" si="241"/>
        <v>0.2142855066688153</v>
      </c>
      <c r="D1006" s="29">
        <f t="shared" ca="1" si="242"/>
        <v>60</v>
      </c>
      <c r="F1006" s="22"/>
      <c r="G1006" s="26">
        <f t="shared" ca="1" si="260"/>
        <v>0.24435228074674142</v>
      </c>
      <c r="H1006" s="29">
        <f t="shared" ca="1" si="243"/>
        <v>206</v>
      </c>
      <c r="J1006" s="22">
        <v>45551</v>
      </c>
      <c r="K1006" s="26">
        <f t="shared" ca="1" si="261"/>
        <v>0.73134212835522194</v>
      </c>
      <c r="L1006" s="29">
        <f t="shared" ca="1" si="244"/>
        <v>157</v>
      </c>
      <c r="N1006" s="22">
        <v>45551</v>
      </c>
      <c r="O1006" s="26">
        <f t="shared" ca="1" si="262"/>
        <v>0.21596712979429855</v>
      </c>
      <c r="P1006" s="29">
        <f t="shared" ca="1" si="245"/>
        <v>218</v>
      </c>
      <c r="R1006" s="22">
        <v>45551</v>
      </c>
      <c r="S1006" s="26">
        <f t="shared" ca="1" si="263"/>
        <v>0.73481650245151009</v>
      </c>
      <c r="T1006" s="29">
        <f t="shared" ca="1" si="246"/>
        <v>145</v>
      </c>
      <c r="V1006" s="22">
        <v>45551</v>
      </c>
      <c r="W1006" s="26">
        <f t="shared" ca="1" si="264"/>
        <v>0.22298353580798302</v>
      </c>
      <c r="X1006" s="29">
        <f t="shared" ca="1" si="247"/>
        <v>214</v>
      </c>
      <c r="Z1006" s="22">
        <v>45551</v>
      </c>
      <c r="AA1006" s="26">
        <f t="shared" ca="1" si="265"/>
        <v>0.64300601090025311</v>
      </c>
      <c r="AB1006" s="29">
        <f t="shared" ca="1" si="248"/>
        <v>277</v>
      </c>
      <c r="AC1006"/>
      <c r="AD1006" s="25"/>
      <c r="AF1006" s="22">
        <v>45551</v>
      </c>
      <c r="AG1006" s="26">
        <f t="shared" ca="1" si="266"/>
        <v>2.030796837237514E-2</v>
      </c>
      <c r="AH1006" s="29">
        <f t="shared" ca="1" si="249"/>
        <v>149</v>
      </c>
      <c r="AJ1006" s="22">
        <v>45551</v>
      </c>
      <c r="AK1006" s="26">
        <f t="shared" ca="1" si="267"/>
        <v>0.14281027803655189</v>
      </c>
      <c r="AL1006" s="29">
        <f t="shared" ca="1" si="250"/>
        <v>122</v>
      </c>
      <c r="AN1006" s="22">
        <v>45551</v>
      </c>
      <c r="AO1006" s="26">
        <f t="shared" ca="1" si="268"/>
        <v>0.99210730240940359</v>
      </c>
      <c r="AP1006" s="29">
        <f t="shared" ca="1" si="251"/>
        <v>382</v>
      </c>
      <c r="AR1006" s="22">
        <v>45551</v>
      </c>
      <c r="AS1006" s="26">
        <f t="shared" ca="1" si="269"/>
        <v>0.67900040147006102</v>
      </c>
      <c r="AT1006" s="29">
        <f t="shared" ca="1" si="252"/>
        <v>223</v>
      </c>
      <c r="AV1006" s="22">
        <v>45551</v>
      </c>
      <c r="AW1006" s="26">
        <f t="shared" ca="1" si="270"/>
        <v>0.63665943479697629</v>
      </c>
      <c r="AX1006" s="29">
        <f t="shared" ca="1" si="253"/>
        <v>225</v>
      </c>
      <c r="AZ1006" s="22">
        <v>45551</v>
      </c>
      <c r="BA1006" s="26">
        <f t="shared" ca="1" si="271"/>
        <v>0.14787554082931975</v>
      </c>
      <c r="BB1006" s="29">
        <f t="shared" ca="1" si="254"/>
        <v>169</v>
      </c>
      <c r="BC1006"/>
      <c r="BD1006" s="25"/>
      <c r="BF1006" s="22">
        <v>45551</v>
      </c>
      <c r="BG1006" s="26">
        <f t="shared" ca="1" si="272"/>
        <v>0.8419546180205203</v>
      </c>
      <c r="BH1006" s="29">
        <f t="shared" ca="1" si="255"/>
        <v>255</v>
      </c>
      <c r="BJ1006" s="22">
        <v>45551</v>
      </c>
      <c r="BK1006" s="26">
        <f t="shared" ca="1" si="273"/>
        <v>0.20619838185458073</v>
      </c>
      <c r="BL1006" s="29">
        <f t="shared" ca="1" si="256"/>
        <v>132</v>
      </c>
      <c r="BN1006" s="22">
        <v>45551</v>
      </c>
      <c r="BO1006" s="26">
        <f t="shared" ca="1" si="274"/>
        <v>0.9035954259224378</v>
      </c>
      <c r="BP1006" s="29">
        <f t="shared" ca="1" si="257"/>
        <v>291</v>
      </c>
      <c r="BR1006" s="22">
        <v>45551</v>
      </c>
      <c r="BS1006" s="26">
        <f t="shared" ca="1" si="275"/>
        <v>8.4067771534323432E-2</v>
      </c>
      <c r="BT1006" s="29">
        <f t="shared" ca="1" si="258"/>
        <v>102</v>
      </c>
      <c r="BV1006" s="22">
        <v>45551</v>
      </c>
      <c r="BW1006" s="26">
        <f t="shared" ca="1" si="276"/>
        <v>8.0800384385256496E-2</v>
      </c>
      <c r="BX1006" s="29">
        <f t="shared" ca="1" si="259"/>
        <v>138</v>
      </c>
    </row>
    <row r="1007" spans="2:76" ht="12.75" x14ac:dyDescent="0.2">
      <c r="B1007" s="22">
        <v>45552</v>
      </c>
      <c r="C1007" s="26">
        <f t="shared" ca="1" si="241"/>
        <v>2.4349265842565582E-2</v>
      </c>
      <c r="D1007" s="29">
        <f t="shared" ca="1" si="242"/>
        <v>36</v>
      </c>
      <c r="F1007" s="22"/>
      <c r="G1007" s="26">
        <f t="shared" ca="1" si="260"/>
        <v>0.99044146755137719</v>
      </c>
      <c r="H1007" s="29">
        <f t="shared" ca="1" si="243"/>
        <v>250</v>
      </c>
      <c r="J1007" s="22">
        <v>45552</v>
      </c>
      <c r="K1007" s="26">
        <f t="shared" ca="1" si="261"/>
        <v>0.79295010776019392</v>
      </c>
      <c r="L1007" s="29">
        <f t="shared" ca="1" si="244"/>
        <v>159</v>
      </c>
      <c r="N1007" s="22">
        <v>45552</v>
      </c>
      <c r="O1007" s="26">
        <f t="shared" ca="1" si="262"/>
        <v>0.69196866562790882</v>
      </c>
      <c r="P1007" s="29">
        <f t="shared" ca="1" si="245"/>
        <v>238</v>
      </c>
      <c r="R1007" s="22">
        <v>45552</v>
      </c>
      <c r="S1007" s="26">
        <f t="shared" ca="1" si="263"/>
        <v>0.33165183572815404</v>
      </c>
      <c r="T1007" s="29">
        <f t="shared" ca="1" si="246"/>
        <v>135</v>
      </c>
      <c r="V1007" s="22">
        <v>45552</v>
      </c>
      <c r="W1007" s="26">
        <f t="shared" ca="1" si="264"/>
        <v>0.39062698757197034</v>
      </c>
      <c r="X1007" s="29">
        <f t="shared" ca="1" si="247"/>
        <v>221</v>
      </c>
      <c r="Z1007" s="22">
        <v>45552</v>
      </c>
      <c r="AA1007" s="26">
        <f t="shared" ca="1" si="265"/>
        <v>0.46759884756922732</v>
      </c>
      <c r="AB1007" s="29">
        <f t="shared" ca="1" si="248"/>
        <v>269</v>
      </c>
      <c r="AC1007"/>
      <c r="AD1007" s="25"/>
      <c r="AF1007" s="22">
        <v>45552</v>
      </c>
      <c r="AG1007" s="26">
        <f t="shared" ca="1" si="266"/>
        <v>0.7577372707469282</v>
      </c>
      <c r="AH1007" s="29">
        <f t="shared" ca="1" si="249"/>
        <v>388</v>
      </c>
      <c r="AJ1007" s="22">
        <v>45552</v>
      </c>
      <c r="AK1007" s="26">
        <f t="shared" ca="1" si="267"/>
        <v>0.92567803490878997</v>
      </c>
      <c r="AL1007" s="29">
        <f t="shared" ca="1" si="250"/>
        <v>237</v>
      </c>
      <c r="AN1007" s="22">
        <v>45552</v>
      </c>
      <c r="AO1007" s="26">
        <f t="shared" ca="1" si="268"/>
        <v>0.26849402143629908</v>
      </c>
      <c r="AP1007" s="29">
        <f t="shared" ca="1" si="251"/>
        <v>194</v>
      </c>
      <c r="AR1007" s="22">
        <v>45552</v>
      </c>
      <c r="AS1007" s="26">
        <f t="shared" ca="1" si="269"/>
        <v>0.968754081795695</v>
      </c>
      <c r="AT1007" s="29">
        <f t="shared" ca="1" si="252"/>
        <v>297</v>
      </c>
      <c r="AV1007" s="22">
        <v>45552</v>
      </c>
      <c r="AW1007" s="26">
        <f t="shared" ca="1" si="270"/>
        <v>0.9055750976598923</v>
      </c>
      <c r="AX1007" s="29">
        <f t="shared" ca="1" si="253"/>
        <v>278</v>
      </c>
      <c r="AZ1007" s="22">
        <v>45552</v>
      </c>
      <c r="BA1007" s="26">
        <f t="shared" ca="1" si="271"/>
        <v>0.62991913178721848</v>
      </c>
      <c r="BB1007" s="29">
        <f t="shared" ca="1" si="254"/>
        <v>255</v>
      </c>
      <c r="BC1007"/>
      <c r="BD1007" s="25"/>
      <c r="BF1007" s="22">
        <v>45552</v>
      </c>
      <c r="BG1007" s="26">
        <f t="shared" ca="1" si="272"/>
        <v>0.42130120812242122</v>
      </c>
      <c r="BH1007" s="29">
        <f t="shared" ca="1" si="255"/>
        <v>190</v>
      </c>
      <c r="BJ1007" s="22">
        <v>45552</v>
      </c>
      <c r="BK1007" s="26">
        <f t="shared" ca="1" si="273"/>
        <v>0.35220902554099742</v>
      </c>
      <c r="BL1007" s="29">
        <f t="shared" ca="1" si="256"/>
        <v>152</v>
      </c>
      <c r="BN1007" s="22">
        <v>45552</v>
      </c>
      <c r="BO1007" s="26">
        <f t="shared" ca="1" si="274"/>
        <v>0.7972980837759619</v>
      </c>
      <c r="BP1007" s="29">
        <f t="shared" ca="1" si="257"/>
        <v>264</v>
      </c>
      <c r="BR1007" s="22">
        <v>45552</v>
      </c>
      <c r="BS1007" s="26">
        <f t="shared" ca="1" si="275"/>
        <v>0.208391886097818</v>
      </c>
      <c r="BT1007" s="29">
        <f t="shared" ca="1" si="258"/>
        <v>126</v>
      </c>
      <c r="BV1007" s="22">
        <v>45552</v>
      </c>
      <c r="BW1007" s="26">
        <f t="shared" ca="1" si="276"/>
        <v>0.81612035829045504</v>
      </c>
      <c r="BX1007" s="29">
        <f t="shared" ca="1" si="259"/>
        <v>272</v>
      </c>
    </row>
    <row r="1008" spans="2:76" ht="12.75" x14ac:dyDescent="0.2">
      <c r="B1008" s="22">
        <v>45553</v>
      </c>
      <c r="C1008" s="26">
        <f t="shared" ca="1" si="241"/>
        <v>0.71086907941873123</v>
      </c>
      <c r="D1008" s="29">
        <f t="shared" ca="1" si="242"/>
        <v>87</v>
      </c>
      <c r="F1008" s="22"/>
      <c r="G1008" s="26">
        <f t="shared" ca="1" si="260"/>
        <v>0.32491196327056959</v>
      </c>
      <c r="H1008" s="29">
        <f t="shared" ca="1" si="243"/>
        <v>209</v>
      </c>
      <c r="J1008" s="22">
        <v>45553</v>
      </c>
      <c r="K1008" s="26">
        <f t="shared" ca="1" si="261"/>
        <v>0.47161460751073103</v>
      </c>
      <c r="L1008" s="29">
        <f t="shared" ca="1" si="244"/>
        <v>150</v>
      </c>
      <c r="N1008" s="22">
        <v>45553</v>
      </c>
      <c r="O1008" s="26">
        <f t="shared" ca="1" si="262"/>
        <v>0.93474150468262363</v>
      </c>
      <c r="P1008" s="29">
        <f t="shared" ca="1" si="245"/>
        <v>253</v>
      </c>
      <c r="R1008" s="22">
        <v>45553</v>
      </c>
      <c r="S1008" s="26">
        <f t="shared" ca="1" si="263"/>
        <v>0.70615864916520477</v>
      </c>
      <c r="T1008" s="29">
        <f t="shared" ca="1" si="246"/>
        <v>144</v>
      </c>
      <c r="V1008" s="22">
        <v>45553</v>
      </c>
      <c r="W1008" s="26">
        <f t="shared" ca="1" si="264"/>
        <v>0.19811939035172688</v>
      </c>
      <c r="X1008" s="29">
        <f t="shared" ca="1" si="247"/>
        <v>213</v>
      </c>
      <c r="Z1008" s="22">
        <v>45553</v>
      </c>
      <c r="AA1008" s="26">
        <f t="shared" ca="1" si="265"/>
        <v>0.70941064393948183</v>
      </c>
      <c r="AB1008" s="29">
        <f t="shared" ca="1" si="248"/>
        <v>280</v>
      </c>
      <c r="AC1008"/>
      <c r="AD1008" s="25"/>
      <c r="AF1008" s="22">
        <v>45553</v>
      </c>
      <c r="AG1008" s="26">
        <f t="shared" ca="1" si="266"/>
        <v>0.46430208946833373</v>
      </c>
      <c r="AH1008" s="29">
        <f t="shared" ca="1" si="249"/>
        <v>320</v>
      </c>
      <c r="AJ1008" s="22">
        <v>45553</v>
      </c>
      <c r="AK1008" s="26">
        <f t="shared" ca="1" si="267"/>
        <v>0.74048126484804733</v>
      </c>
      <c r="AL1008" s="29">
        <f t="shared" ca="1" si="250"/>
        <v>200</v>
      </c>
      <c r="AN1008" s="22">
        <v>45553</v>
      </c>
      <c r="AO1008" s="26">
        <f t="shared" ca="1" si="268"/>
        <v>0.51480096367829531</v>
      </c>
      <c r="AP1008" s="29">
        <f t="shared" ca="1" si="251"/>
        <v>235</v>
      </c>
      <c r="AR1008" s="22">
        <v>45553</v>
      </c>
      <c r="AS1008" s="26">
        <f t="shared" ca="1" si="269"/>
        <v>0.69869781327022085</v>
      </c>
      <c r="AT1008" s="29">
        <f t="shared" ca="1" si="252"/>
        <v>226</v>
      </c>
      <c r="AV1008" s="22">
        <v>45553</v>
      </c>
      <c r="AW1008" s="26">
        <f t="shared" ca="1" si="270"/>
        <v>0.38547511979720772</v>
      </c>
      <c r="AX1008" s="29">
        <f t="shared" ca="1" si="253"/>
        <v>190</v>
      </c>
      <c r="AZ1008" s="22">
        <v>45553</v>
      </c>
      <c r="BA1008" s="26">
        <f t="shared" ca="1" si="271"/>
        <v>0.8721567215406919</v>
      </c>
      <c r="BB1008" s="29">
        <f t="shared" ca="1" si="254"/>
        <v>305</v>
      </c>
      <c r="BC1008"/>
      <c r="BD1008" s="25"/>
      <c r="BF1008" s="22">
        <v>45553</v>
      </c>
      <c r="BG1008" s="26">
        <f t="shared" ca="1" si="272"/>
        <v>3.3146808094612346E-2</v>
      </c>
      <c r="BH1008" s="29">
        <f t="shared" ca="1" si="255"/>
        <v>103</v>
      </c>
      <c r="BJ1008" s="22">
        <v>45553</v>
      </c>
      <c r="BK1008" s="26">
        <f t="shared" ca="1" si="273"/>
        <v>0.90209707045053367</v>
      </c>
      <c r="BL1008" s="29">
        <f t="shared" ca="1" si="256"/>
        <v>227</v>
      </c>
      <c r="BN1008" s="22">
        <v>45553</v>
      </c>
      <c r="BO1008" s="26">
        <f t="shared" ca="1" si="274"/>
        <v>0.27846789161963514</v>
      </c>
      <c r="BP1008" s="29">
        <f t="shared" ca="1" si="257"/>
        <v>182</v>
      </c>
      <c r="BR1008" s="22">
        <v>45553</v>
      </c>
      <c r="BS1008" s="26">
        <f t="shared" ca="1" si="275"/>
        <v>0.21540546618449785</v>
      </c>
      <c r="BT1008" s="29">
        <f t="shared" ca="1" si="258"/>
        <v>127</v>
      </c>
      <c r="BV1008" s="22">
        <v>45553</v>
      </c>
      <c r="BW1008" s="26">
        <f t="shared" ca="1" si="276"/>
        <v>0.42131040967871392</v>
      </c>
      <c r="BX1008" s="29">
        <f t="shared" ca="1" si="259"/>
        <v>208</v>
      </c>
    </row>
    <row r="1009" spans="2:77" ht="12.75" x14ac:dyDescent="0.2">
      <c r="B1009" s="22">
        <v>45554</v>
      </c>
      <c r="C1009" s="26">
        <f t="shared" ca="1" si="241"/>
        <v>0.41776091259836701</v>
      </c>
      <c r="D1009" s="29">
        <f t="shared" ca="1" si="242"/>
        <v>71</v>
      </c>
      <c r="F1009" s="22"/>
      <c r="G1009" s="26">
        <f t="shared" ca="1" si="260"/>
        <v>0.47495642620363077</v>
      </c>
      <c r="H1009" s="29">
        <f t="shared" ca="1" si="243"/>
        <v>215</v>
      </c>
      <c r="J1009" s="22">
        <v>45554</v>
      </c>
      <c r="K1009" s="26">
        <f t="shared" ca="1" si="261"/>
        <v>0.4761079688803338</v>
      </c>
      <c r="L1009" s="29">
        <f t="shared" ca="1" si="244"/>
        <v>150</v>
      </c>
      <c r="N1009" s="22">
        <v>45554</v>
      </c>
      <c r="O1009" s="26">
        <f t="shared" ca="1" si="262"/>
        <v>0.47112137908994889</v>
      </c>
      <c r="P1009" s="29">
        <f t="shared" ca="1" si="245"/>
        <v>229</v>
      </c>
      <c r="R1009" s="22">
        <v>45554</v>
      </c>
      <c r="S1009" s="26">
        <f t="shared" ca="1" si="263"/>
        <v>0.60343361296658371</v>
      </c>
      <c r="T1009" s="29">
        <f t="shared" ca="1" si="246"/>
        <v>142</v>
      </c>
      <c r="V1009" s="22">
        <v>45554</v>
      </c>
      <c r="W1009" s="26">
        <f t="shared" ca="1" si="264"/>
        <v>3.1411566285752035E-2</v>
      </c>
      <c r="X1009" s="29">
        <f t="shared" ca="1" si="247"/>
        <v>198</v>
      </c>
      <c r="Z1009" s="22">
        <v>45554</v>
      </c>
      <c r="AA1009" s="26">
        <f t="shared" ca="1" si="265"/>
        <v>0.96524316385481745</v>
      </c>
      <c r="AB1009" s="29">
        <f t="shared" ca="1" si="248"/>
        <v>303</v>
      </c>
      <c r="AC1009"/>
      <c r="AD1009" s="25"/>
      <c r="AF1009" s="22">
        <v>45554</v>
      </c>
      <c r="AG1009" s="26">
        <f t="shared" ca="1" si="266"/>
        <v>0.53202463178267589</v>
      </c>
      <c r="AH1009" s="29">
        <f t="shared" ca="1" si="249"/>
        <v>335</v>
      </c>
      <c r="AJ1009" s="22">
        <v>45554</v>
      </c>
      <c r="AK1009" s="26">
        <f t="shared" ca="1" si="267"/>
        <v>0.58444264685917213</v>
      </c>
      <c r="AL1009" s="29">
        <f t="shared" ca="1" si="250"/>
        <v>181</v>
      </c>
      <c r="AN1009" s="22">
        <v>45554</v>
      </c>
      <c r="AO1009" s="26">
        <f t="shared" ca="1" si="268"/>
        <v>0.9659994980563551</v>
      </c>
      <c r="AP1009" s="29">
        <f t="shared" ca="1" si="251"/>
        <v>345</v>
      </c>
      <c r="AR1009" s="22">
        <v>45554</v>
      </c>
      <c r="AS1009" s="26">
        <f t="shared" ca="1" si="269"/>
        <v>0.87724005405092653</v>
      </c>
      <c r="AT1009" s="29">
        <f t="shared" ca="1" si="252"/>
        <v>260</v>
      </c>
      <c r="AV1009" s="22">
        <v>45554</v>
      </c>
      <c r="AW1009" s="26">
        <f t="shared" ca="1" si="270"/>
        <v>0.10166358189738012</v>
      </c>
      <c r="AX1009" s="29">
        <f t="shared" ca="1" si="253"/>
        <v>136</v>
      </c>
      <c r="AZ1009" s="22">
        <v>45554</v>
      </c>
      <c r="BA1009" s="26">
        <f t="shared" ca="1" si="271"/>
        <v>0.10677402155520632</v>
      </c>
      <c r="BB1009" s="29">
        <f t="shared" ca="1" si="254"/>
        <v>157</v>
      </c>
      <c r="BC1009"/>
      <c r="BD1009" s="25"/>
      <c r="BF1009" s="22">
        <v>45554</v>
      </c>
      <c r="BG1009" s="26">
        <f t="shared" ca="1" si="272"/>
        <v>0.289012322596361</v>
      </c>
      <c r="BH1009" s="29">
        <f t="shared" ca="1" si="255"/>
        <v>171</v>
      </c>
      <c r="BJ1009" s="22">
        <v>45554</v>
      </c>
      <c r="BK1009" s="26">
        <f t="shared" ca="1" si="273"/>
        <v>1.8759890562014547E-2</v>
      </c>
      <c r="BL1009" s="29">
        <f t="shared" ca="1" si="256"/>
        <v>76</v>
      </c>
      <c r="BN1009" s="22">
        <v>45554</v>
      </c>
      <c r="BO1009" s="26">
        <f t="shared" ca="1" si="274"/>
        <v>0.15204777129330027</v>
      </c>
      <c r="BP1009" s="29">
        <f t="shared" ca="1" si="257"/>
        <v>157</v>
      </c>
      <c r="BR1009" s="22">
        <v>45554</v>
      </c>
      <c r="BS1009" s="26">
        <f t="shared" ca="1" si="275"/>
        <v>0.50404240736146655</v>
      </c>
      <c r="BT1009" s="29">
        <f t="shared" ca="1" si="258"/>
        <v>162</v>
      </c>
      <c r="BV1009" s="22">
        <v>45554</v>
      </c>
      <c r="BW1009" s="26">
        <f t="shared" ca="1" si="276"/>
        <v>0.33157803668972474</v>
      </c>
      <c r="BX1009" s="29">
        <f t="shared" ca="1" si="259"/>
        <v>194</v>
      </c>
    </row>
    <row r="1010" spans="2:77" ht="12.75" x14ac:dyDescent="0.2">
      <c r="B1010" s="22">
        <v>45555</v>
      </c>
      <c r="C1010" s="26">
        <f t="shared" ca="1" si="241"/>
        <v>0.63064264455882246</v>
      </c>
      <c r="D1010" s="29">
        <f t="shared" ca="1" si="242"/>
        <v>82</v>
      </c>
      <c r="F1010" s="22"/>
      <c r="G1010" s="26">
        <f t="shared" ca="1" si="260"/>
        <v>0.58360543534640497</v>
      </c>
      <c r="H1010" s="29">
        <f t="shared" ca="1" si="243"/>
        <v>219</v>
      </c>
      <c r="J1010" s="22">
        <v>45555</v>
      </c>
      <c r="K1010" s="26">
        <f t="shared" ca="1" si="261"/>
        <v>0.69830116392109132</v>
      </c>
      <c r="L1010" s="29">
        <f t="shared" ca="1" si="244"/>
        <v>156</v>
      </c>
      <c r="N1010" s="22">
        <v>45555</v>
      </c>
      <c r="O1010" s="26">
        <f t="shared" ca="1" si="262"/>
        <v>6.4200683253452628E-2</v>
      </c>
      <c r="P1010" s="29">
        <f t="shared" ca="1" si="245"/>
        <v>207</v>
      </c>
      <c r="R1010" s="22">
        <v>45555</v>
      </c>
      <c r="S1010" s="26">
        <f t="shared" ca="1" si="263"/>
        <v>0.4522408506707376</v>
      </c>
      <c r="T1010" s="29">
        <f t="shared" ca="1" si="246"/>
        <v>138</v>
      </c>
      <c r="V1010" s="22">
        <v>45555</v>
      </c>
      <c r="W1010" s="26">
        <f t="shared" ca="1" si="264"/>
        <v>0.32805536018980508</v>
      </c>
      <c r="X1010" s="29">
        <f t="shared" ca="1" si="247"/>
        <v>219</v>
      </c>
      <c r="Z1010" s="22">
        <v>45555</v>
      </c>
      <c r="AA1010" s="26">
        <f t="shared" ca="1" si="265"/>
        <v>0.37585733666910759</v>
      </c>
      <c r="AB1010" s="29">
        <f t="shared" ca="1" si="248"/>
        <v>265</v>
      </c>
      <c r="AC1010"/>
      <c r="AD1010" s="25"/>
      <c r="AF1010" s="22">
        <v>45555</v>
      </c>
      <c r="AG1010" s="26">
        <f t="shared" ca="1" si="266"/>
        <v>0.89260068640362122</v>
      </c>
      <c r="AH1010" s="29">
        <f t="shared" ca="1" si="249"/>
        <v>436</v>
      </c>
      <c r="AJ1010" s="22">
        <v>45555</v>
      </c>
      <c r="AK1010" s="26">
        <f t="shared" ca="1" si="267"/>
        <v>0.36874041047026507</v>
      </c>
      <c r="AL1010" s="29">
        <f t="shared" ca="1" si="250"/>
        <v>156</v>
      </c>
      <c r="AN1010" s="22">
        <v>45555</v>
      </c>
      <c r="AO1010" s="26">
        <f t="shared" ca="1" si="268"/>
        <v>0.7783169255070651</v>
      </c>
      <c r="AP1010" s="29">
        <f t="shared" ca="1" si="251"/>
        <v>280</v>
      </c>
      <c r="AR1010" s="22">
        <v>45555</v>
      </c>
      <c r="AS1010" s="26">
        <f t="shared" ca="1" si="269"/>
        <v>0.56154371668818681</v>
      </c>
      <c r="AT1010" s="29">
        <f t="shared" ca="1" si="252"/>
        <v>207</v>
      </c>
      <c r="AV1010" s="22">
        <v>45555</v>
      </c>
      <c r="AW1010" s="26">
        <f t="shared" ca="1" si="270"/>
        <v>0.60086929788282206</v>
      </c>
      <c r="AX1010" s="29">
        <f t="shared" ca="1" si="253"/>
        <v>220</v>
      </c>
      <c r="AZ1010" s="22">
        <v>45555</v>
      </c>
      <c r="BA1010" s="26">
        <f t="shared" ca="1" si="271"/>
        <v>0.63623482366091511</v>
      </c>
      <c r="BB1010" s="29">
        <f t="shared" ca="1" si="254"/>
        <v>256</v>
      </c>
      <c r="BC1010"/>
      <c r="BD1010" s="25"/>
      <c r="BF1010" s="22">
        <v>45555</v>
      </c>
      <c r="BG1010" s="26">
        <f t="shared" ca="1" si="272"/>
        <v>0.11930553974638802</v>
      </c>
      <c r="BH1010" s="29">
        <f t="shared" ca="1" si="255"/>
        <v>138</v>
      </c>
      <c r="BJ1010" s="22">
        <v>45555</v>
      </c>
      <c r="BK1010" s="26">
        <f t="shared" ca="1" si="273"/>
        <v>0.39548844584204157</v>
      </c>
      <c r="BL1010" s="29">
        <f t="shared" ca="1" si="256"/>
        <v>157</v>
      </c>
      <c r="BN1010" s="22">
        <v>45555</v>
      </c>
      <c r="BO1010" s="26">
        <f t="shared" ca="1" si="274"/>
        <v>0.33905984823522373</v>
      </c>
      <c r="BP1010" s="29">
        <f t="shared" ca="1" si="257"/>
        <v>192</v>
      </c>
      <c r="BR1010" s="22">
        <v>45555</v>
      </c>
      <c r="BS1010" s="26">
        <f t="shared" ca="1" si="275"/>
        <v>0.57402196095920455</v>
      </c>
      <c r="BT1010" s="29">
        <f t="shared" ca="1" si="258"/>
        <v>169</v>
      </c>
      <c r="BV1010" s="22">
        <v>45555</v>
      </c>
      <c r="BW1010" s="26">
        <f t="shared" ca="1" si="276"/>
        <v>0.95581399895733632</v>
      </c>
      <c r="BX1010" s="29">
        <f t="shared" ca="1" si="259"/>
        <v>319</v>
      </c>
    </row>
    <row r="1011" spans="2:77" ht="15.75" customHeight="1" x14ac:dyDescent="0.2">
      <c r="B1011" s="22">
        <v>45556</v>
      </c>
      <c r="C1011" s="26">
        <f t="shared" ca="1" si="241"/>
        <v>0.61651030684088048</v>
      </c>
      <c r="D1011" s="29">
        <f t="shared" ca="1" si="242"/>
        <v>81</v>
      </c>
      <c r="F1011" s="22"/>
      <c r="G1011" s="26">
        <f t="shared" ca="1" si="260"/>
        <v>0.26583172024600898</v>
      </c>
      <c r="H1011" s="29">
        <f t="shared" ca="1" si="243"/>
        <v>207</v>
      </c>
      <c r="J1011" s="22">
        <v>45556</v>
      </c>
      <c r="K1011" s="26">
        <f t="shared" ca="1" si="261"/>
        <v>0.52343063379443999</v>
      </c>
      <c r="L1011" s="29">
        <f t="shared" ca="1" si="244"/>
        <v>151</v>
      </c>
      <c r="N1011" s="22">
        <v>45556</v>
      </c>
      <c r="O1011" s="26">
        <f t="shared" ca="1" si="262"/>
        <v>0.47941004901557527</v>
      </c>
      <c r="P1011" s="29">
        <f t="shared" ca="1" si="245"/>
        <v>229</v>
      </c>
      <c r="R1011" s="22">
        <v>45556</v>
      </c>
      <c r="S1011" s="26">
        <f t="shared" ca="1" si="263"/>
        <v>0.89898709759866424</v>
      </c>
      <c r="T1011" s="29">
        <f t="shared" ca="1" si="246"/>
        <v>151</v>
      </c>
      <c r="V1011" s="22">
        <v>45556</v>
      </c>
      <c r="W1011" s="26">
        <f t="shared" ca="1" si="264"/>
        <v>0.11808552977164877</v>
      </c>
      <c r="X1011" s="29">
        <f t="shared" ca="1" si="247"/>
        <v>208</v>
      </c>
      <c r="Z1011" s="22">
        <v>45556</v>
      </c>
      <c r="AA1011" s="26">
        <f t="shared" ca="1" si="265"/>
        <v>0.53902738586624999</v>
      </c>
      <c r="AB1011" s="29">
        <f t="shared" ca="1" si="248"/>
        <v>272</v>
      </c>
      <c r="AC1011"/>
      <c r="AD1011" s="25"/>
      <c r="AF1011" s="22">
        <v>45556</v>
      </c>
      <c r="AG1011" s="26">
        <f t="shared" ca="1" si="266"/>
        <v>0.83815623785308746</v>
      </c>
      <c r="AH1011" s="29">
        <f t="shared" ca="1" si="249"/>
        <v>414</v>
      </c>
      <c r="AJ1011" s="22">
        <v>45556</v>
      </c>
      <c r="AK1011" s="26">
        <f t="shared" ca="1" si="267"/>
        <v>0.50063600555812704</v>
      </c>
      <c r="AL1011" s="29">
        <f t="shared" ca="1" si="250"/>
        <v>171</v>
      </c>
      <c r="AN1011" s="22">
        <v>45556</v>
      </c>
      <c r="AO1011" s="26">
        <f t="shared" ca="1" si="268"/>
        <v>0.23183936235267677</v>
      </c>
      <c r="AP1011" s="29">
        <f t="shared" ca="1" si="251"/>
        <v>187</v>
      </c>
      <c r="AR1011" s="22">
        <v>45556</v>
      </c>
      <c r="AS1011" s="26">
        <f t="shared" ca="1" si="269"/>
        <v>0.28836829168041134</v>
      </c>
      <c r="AT1011" s="29">
        <f t="shared" ca="1" si="252"/>
        <v>169</v>
      </c>
      <c r="AV1011" s="22">
        <v>45556</v>
      </c>
      <c r="AW1011" s="26">
        <f t="shared" ca="1" si="270"/>
        <v>6.685364317831155E-2</v>
      </c>
      <c r="AX1011" s="29">
        <f t="shared" ca="1" si="253"/>
        <v>124</v>
      </c>
      <c r="AZ1011" s="22">
        <v>45556</v>
      </c>
      <c r="BA1011" s="26">
        <f t="shared" ca="1" si="271"/>
        <v>0.54201523211174774</v>
      </c>
      <c r="BB1011" s="29">
        <f t="shared" ca="1" si="254"/>
        <v>241</v>
      </c>
      <c r="BC1011"/>
      <c r="BD1011" s="25"/>
      <c r="BF1011" s="22">
        <v>45556</v>
      </c>
      <c r="BG1011" s="26">
        <f t="shared" ca="1" si="272"/>
        <v>0.4953567190881768</v>
      </c>
      <c r="BH1011" s="29">
        <f t="shared" ca="1" si="255"/>
        <v>200</v>
      </c>
      <c r="BJ1011" s="22">
        <v>45556</v>
      </c>
      <c r="BK1011" s="26">
        <f t="shared" ca="1" si="273"/>
        <v>0.86542780425779364</v>
      </c>
      <c r="BL1011" s="29">
        <f t="shared" ca="1" si="256"/>
        <v>219</v>
      </c>
      <c r="BN1011" s="22">
        <v>45556</v>
      </c>
      <c r="BO1011" s="26">
        <f t="shared" ca="1" si="274"/>
        <v>0.16672005842813609</v>
      </c>
      <c r="BP1011" s="29">
        <f t="shared" ca="1" si="257"/>
        <v>161</v>
      </c>
      <c r="BR1011" s="22">
        <v>45556</v>
      </c>
      <c r="BS1011" s="26">
        <f t="shared" ca="1" si="275"/>
        <v>0.72430087293755219</v>
      </c>
      <c r="BT1011" s="29">
        <f t="shared" ca="1" si="258"/>
        <v>187</v>
      </c>
      <c r="BV1011" s="22">
        <v>45556</v>
      </c>
      <c r="BW1011" s="26">
        <f t="shared" ca="1" si="276"/>
        <v>4.9325762546900798E-2</v>
      </c>
      <c r="BX1011" s="29">
        <f t="shared" ca="1" si="259"/>
        <v>123</v>
      </c>
    </row>
    <row r="1012" spans="2:77" ht="15.75" customHeight="1" x14ac:dyDescent="0.2">
      <c r="B1012" s="22">
        <v>45557</v>
      </c>
      <c r="C1012" s="26">
        <f t="shared" ca="1" si="241"/>
        <v>0.64136966437030063</v>
      </c>
      <c r="D1012" s="29">
        <f t="shared" ca="1" si="242"/>
        <v>83</v>
      </c>
      <c r="F1012" s="22"/>
      <c r="G1012" s="26">
        <f t="shared" ca="1" si="260"/>
        <v>0.52871179413229774</v>
      </c>
      <c r="H1012" s="29">
        <f t="shared" ca="1" si="243"/>
        <v>217</v>
      </c>
      <c r="J1012" s="22">
        <v>45557</v>
      </c>
      <c r="K1012" s="26">
        <f t="shared" ca="1" si="261"/>
        <v>0.34113879753062593</v>
      </c>
      <c r="L1012" s="29">
        <f t="shared" ca="1" si="244"/>
        <v>146</v>
      </c>
      <c r="N1012" s="22">
        <v>45557</v>
      </c>
      <c r="O1012" s="26">
        <f t="shared" ca="1" si="262"/>
        <v>0.26492088956536408</v>
      </c>
      <c r="P1012" s="29">
        <f t="shared" ca="1" si="245"/>
        <v>220</v>
      </c>
      <c r="R1012" s="22">
        <v>45557</v>
      </c>
      <c r="S1012" s="26">
        <f t="shared" ca="1" si="263"/>
        <v>5.3536132671064385E-2</v>
      </c>
      <c r="T1012" s="29">
        <f t="shared" ca="1" si="246"/>
        <v>124</v>
      </c>
      <c r="V1012" s="22">
        <v>45557</v>
      </c>
      <c r="W1012" s="26">
        <f t="shared" ca="1" si="264"/>
        <v>0.37805689596398528</v>
      </c>
      <c r="X1012" s="29">
        <f t="shared" ca="1" si="247"/>
        <v>221</v>
      </c>
      <c r="Z1012" s="22">
        <v>45557</v>
      </c>
      <c r="AA1012" s="26">
        <f t="shared" ca="1" si="265"/>
        <v>0.9417424175960265</v>
      </c>
      <c r="AB1012" s="29">
        <f t="shared" ca="1" si="248"/>
        <v>299</v>
      </c>
      <c r="AC1012"/>
      <c r="AD1012" s="25"/>
      <c r="AF1012" s="22">
        <v>45557</v>
      </c>
      <c r="AG1012" s="26">
        <f t="shared" ca="1" si="266"/>
        <v>0.17311472718187559</v>
      </c>
      <c r="AH1012" s="29">
        <f t="shared" ca="1" si="249"/>
        <v>245</v>
      </c>
      <c r="AJ1012" s="22">
        <v>45557</v>
      </c>
      <c r="AK1012" s="26">
        <f t="shared" ca="1" si="267"/>
        <v>0.41878145750621187</v>
      </c>
      <c r="AL1012" s="29">
        <f t="shared" ca="1" si="250"/>
        <v>162</v>
      </c>
      <c r="AN1012" s="22">
        <v>45557</v>
      </c>
      <c r="AO1012" s="26">
        <f t="shared" ca="1" si="268"/>
        <v>0.72302762747692007</v>
      </c>
      <c r="AP1012" s="29">
        <f t="shared" ca="1" si="251"/>
        <v>269</v>
      </c>
      <c r="AR1012" s="22">
        <v>45557</v>
      </c>
      <c r="AS1012" s="26">
        <f t="shared" ca="1" si="269"/>
        <v>0.31470735250315207</v>
      </c>
      <c r="AT1012" s="29">
        <f t="shared" ca="1" si="252"/>
        <v>173</v>
      </c>
      <c r="AV1012" s="22">
        <v>45557</v>
      </c>
      <c r="AW1012" s="26">
        <f t="shared" ca="1" si="270"/>
        <v>0.32905206346390581</v>
      </c>
      <c r="AX1012" s="29">
        <f t="shared" ca="1" si="253"/>
        <v>182</v>
      </c>
      <c r="AZ1012" s="22">
        <v>45557</v>
      </c>
      <c r="BA1012" s="26">
        <f t="shared" ca="1" si="271"/>
        <v>0.95682643929141309</v>
      </c>
      <c r="BB1012" s="29">
        <f t="shared" ca="1" si="254"/>
        <v>341</v>
      </c>
      <c r="BC1012"/>
      <c r="BD1012" s="25"/>
      <c r="BF1012" s="22">
        <v>45557</v>
      </c>
      <c r="BG1012" s="26">
        <f t="shared" ca="1" si="272"/>
        <v>0.65571389157826077</v>
      </c>
      <c r="BH1012" s="29">
        <f t="shared" ca="1" si="255"/>
        <v>222</v>
      </c>
      <c r="BJ1012" s="22">
        <v>45557</v>
      </c>
      <c r="BK1012" s="26">
        <f t="shared" ca="1" si="273"/>
        <v>1.1295355222602943E-2</v>
      </c>
      <c r="BL1012" s="29">
        <f t="shared" ca="1" si="256"/>
        <v>67</v>
      </c>
      <c r="BN1012" s="22">
        <v>45557</v>
      </c>
      <c r="BO1012" s="26">
        <f t="shared" ca="1" si="274"/>
        <v>0.97877338215391474</v>
      </c>
      <c r="BP1012" s="29">
        <f t="shared" ca="1" si="257"/>
        <v>333</v>
      </c>
      <c r="BR1012" s="22">
        <v>45557</v>
      </c>
      <c r="BS1012" s="26">
        <f t="shared" ca="1" si="275"/>
        <v>0.14754323177710205</v>
      </c>
      <c r="BT1012" s="29">
        <f t="shared" ca="1" si="258"/>
        <v>116</v>
      </c>
      <c r="BV1012" s="22">
        <v>45557</v>
      </c>
      <c r="BW1012" s="26">
        <f t="shared" ca="1" si="276"/>
        <v>0.48561780178099778</v>
      </c>
      <c r="BX1012" s="29">
        <f t="shared" ca="1" si="259"/>
        <v>218</v>
      </c>
    </row>
    <row r="1013" spans="2:77" ht="15.75" customHeight="1" x14ac:dyDescent="0.2">
      <c r="B1013" s="22">
        <v>45558</v>
      </c>
      <c r="C1013" s="26">
        <f t="shared" ca="1" si="241"/>
        <v>0.52224459304117066</v>
      </c>
      <c r="D1013" s="29">
        <f t="shared" ca="1" si="242"/>
        <v>77</v>
      </c>
      <c r="F1013" s="22"/>
      <c r="G1013" s="26">
        <f t="shared" ca="1" si="260"/>
        <v>0.90152454102945934</v>
      </c>
      <c r="H1013" s="29">
        <f t="shared" ca="1" si="243"/>
        <v>234</v>
      </c>
      <c r="J1013" s="22">
        <v>45558</v>
      </c>
      <c r="K1013" s="26">
        <f t="shared" ca="1" si="261"/>
        <v>0.72203719224335738</v>
      </c>
      <c r="L1013" s="29">
        <f t="shared" ca="1" si="244"/>
        <v>156</v>
      </c>
      <c r="N1013" s="22">
        <v>45558</v>
      </c>
      <c r="O1013" s="26">
        <f t="shared" ca="1" si="262"/>
        <v>0.55878699646468577</v>
      </c>
      <c r="P1013" s="29">
        <f t="shared" ca="1" si="245"/>
        <v>232</v>
      </c>
      <c r="R1013" s="22">
        <v>45558</v>
      </c>
      <c r="S1013" s="26">
        <f t="shared" ca="1" si="263"/>
        <v>0.25788627632544581</v>
      </c>
      <c r="T1013" s="29">
        <f t="shared" ca="1" si="246"/>
        <v>133</v>
      </c>
      <c r="V1013" s="22">
        <v>45558</v>
      </c>
      <c r="W1013" s="26">
        <f t="shared" ca="1" si="264"/>
        <v>1.8972926468073914E-2</v>
      </c>
      <c r="X1013" s="29">
        <f t="shared" ca="1" si="247"/>
        <v>194</v>
      </c>
      <c r="Z1013" s="22">
        <v>45558</v>
      </c>
      <c r="AA1013" s="26">
        <f t="shared" ca="1" si="265"/>
        <v>0.3568491423440906</v>
      </c>
      <c r="AB1013" s="29">
        <f t="shared" ca="1" si="248"/>
        <v>264</v>
      </c>
      <c r="AC1013"/>
      <c r="AD1013" s="25"/>
      <c r="AF1013" s="22">
        <v>45558</v>
      </c>
      <c r="AG1013" s="26">
        <f t="shared" ca="1" si="266"/>
        <v>8.7329107790590221E-2</v>
      </c>
      <c r="AH1013" s="29">
        <f t="shared" ca="1" si="249"/>
        <v>209</v>
      </c>
      <c r="AJ1013" s="22">
        <v>45558</v>
      </c>
      <c r="AK1013" s="26">
        <f t="shared" ca="1" si="267"/>
        <v>0.10563008037232147</v>
      </c>
      <c r="AL1013" s="29">
        <f t="shared" ca="1" si="250"/>
        <v>114</v>
      </c>
      <c r="AN1013" s="22">
        <v>45558</v>
      </c>
      <c r="AO1013" s="26">
        <f t="shared" ca="1" si="268"/>
        <v>0.66138642926533353</v>
      </c>
      <c r="AP1013" s="29">
        <f t="shared" ca="1" si="251"/>
        <v>258</v>
      </c>
      <c r="AR1013" s="22">
        <v>45558</v>
      </c>
      <c r="AS1013" s="26">
        <f t="shared" ca="1" si="269"/>
        <v>0.5982728427151669</v>
      </c>
      <c r="AT1013" s="29">
        <f t="shared" ca="1" si="252"/>
        <v>212</v>
      </c>
      <c r="AV1013" s="22">
        <v>45558</v>
      </c>
      <c r="AW1013" s="26">
        <f t="shared" ca="1" si="270"/>
        <v>0.65134278782507848</v>
      </c>
      <c r="AX1013" s="29">
        <f t="shared" ca="1" si="253"/>
        <v>227</v>
      </c>
      <c r="AZ1013" s="22">
        <v>45558</v>
      </c>
      <c r="BA1013" s="26">
        <f t="shared" ca="1" si="271"/>
        <v>0.8235031242103259</v>
      </c>
      <c r="BB1013" s="29">
        <f t="shared" ca="1" si="254"/>
        <v>292</v>
      </c>
      <c r="BC1013"/>
      <c r="BD1013" s="25"/>
      <c r="BF1013" s="22">
        <v>45558</v>
      </c>
      <c r="BG1013" s="26">
        <f t="shared" ca="1" si="272"/>
        <v>4.9665470025658354E-2</v>
      </c>
      <c r="BH1013" s="29">
        <f t="shared" ca="1" si="255"/>
        <v>113</v>
      </c>
      <c r="BJ1013" s="22">
        <v>45558</v>
      </c>
      <c r="BK1013" s="26">
        <f t="shared" ca="1" si="273"/>
        <v>0.60397691153011102</v>
      </c>
      <c r="BL1013" s="29">
        <f t="shared" ca="1" si="256"/>
        <v>181</v>
      </c>
      <c r="BN1013" s="22">
        <v>45558</v>
      </c>
      <c r="BO1013" s="26">
        <f t="shared" ca="1" si="274"/>
        <v>0.31109324376288627</v>
      </c>
      <c r="BP1013" s="29">
        <f t="shared" ca="1" si="257"/>
        <v>188</v>
      </c>
      <c r="BR1013" s="22">
        <v>45558</v>
      </c>
      <c r="BS1013" s="26">
        <f t="shared" ca="1" si="275"/>
        <v>0.23953526607432163</v>
      </c>
      <c r="BT1013" s="29">
        <f t="shared" ca="1" si="258"/>
        <v>131</v>
      </c>
      <c r="BV1013" s="22">
        <v>45558</v>
      </c>
      <c r="BW1013" s="26">
        <f t="shared" ca="1" si="276"/>
        <v>0.98348344149755251</v>
      </c>
      <c r="BX1013" s="29">
        <f t="shared" ca="1" si="259"/>
        <v>344</v>
      </c>
    </row>
    <row r="1014" spans="2:77" ht="15.75" customHeight="1" x14ac:dyDescent="0.2">
      <c r="B1014" s="22">
        <v>45559</v>
      </c>
      <c r="C1014" s="26">
        <f t="shared" ca="1" si="241"/>
        <v>2.3733227947490776E-2</v>
      </c>
      <c r="D1014" s="29">
        <f t="shared" ca="1" si="242"/>
        <v>36</v>
      </c>
      <c r="F1014" s="22"/>
      <c r="G1014" s="26">
        <f t="shared" ca="1" si="260"/>
        <v>4.1560454656445756E-2</v>
      </c>
      <c r="H1014" s="29">
        <f t="shared" ca="1" si="243"/>
        <v>191</v>
      </c>
      <c r="J1014" s="22">
        <v>45559</v>
      </c>
      <c r="K1014" s="26">
        <f t="shared" ca="1" si="261"/>
        <v>0.19355449054490947</v>
      </c>
      <c r="L1014" s="29">
        <f t="shared" ca="1" si="244"/>
        <v>142</v>
      </c>
      <c r="N1014" s="22">
        <v>45559</v>
      </c>
      <c r="O1014" s="26">
        <f t="shared" ca="1" si="262"/>
        <v>0.90548246994927684</v>
      </c>
      <c r="P1014" s="29">
        <f t="shared" ca="1" si="245"/>
        <v>250</v>
      </c>
      <c r="R1014" s="22">
        <v>45559</v>
      </c>
      <c r="S1014" s="26">
        <f t="shared" ca="1" si="263"/>
        <v>0.14024556886106887</v>
      </c>
      <c r="T1014" s="29">
        <f t="shared" ca="1" si="246"/>
        <v>129</v>
      </c>
      <c r="V1014" s="22">
        <v>45559</v>
      </c>
      <c r="W1014" s="26">
        <f t="shared" ca="1" si="264"/>
        <v>0.51166746980840216</v>
      </c>
      <c r="X1014" s="29">
        <f t="shared" ca="1" si="247"/>
        <v>226</v>
      </c>
      <c r="Z1014" s="22">
        <v>45559</v>
      </c>
      <c r="AA1014" s="26">
        <f t="shared" ca="1" si="265"/>
        <v>0.84441949788002724</v>
      </c>
      <c r="AB1014" s="29">
        <f t="shared" ca="1" si="248"/>
        <v>289</v>
      </c>
      <c r="AC1014"/>
      <c r="AD1014" s="25"/>
      <c r="AF1014" s="22">
        <v>45559</v>
      </c>
      <c r="AG1014" s="26">
        <f t="shared" ca="1" si="266"/>
        <v>4.8420226756916041E-2</v>
      </c>
      <c r="AH1014" s="29">
        <f t="shared" ca="1" si="249"/>
        <v>183</v>
      </c>
      <c r="AJ1014" s="22">
        <v>45559</v>
      </c>
      <c r="AK1014" s="26">
        <f t="shared" ca="1" si="267"/>
        <v>3.5383561583356427E-2</v>
      </c>
      <c r="AL1014" s="29">
        <f t="shared" ca="1" si="250"/>
        <v>89</v>
      </c>
      <c r="AN1014" s="22">
        <v>45559</v>
      </c>
      <c r="AO1014" s="26">
        <f t="shared" ca="1" si="268"/>
        <v>0.91351169315166547</v>
      </c>
      <c r="AP1014" s="29">
        <f t="shared" ca="1" si="251"/>
        <v>317</v>
      </c>
      <c r="AR1014" s="22">
        <v>45559</v>
      </c>
      <c r="AS1014" s="26">
        <f t="shared" ca="1" si="269"/>
        <v>0.63638529185369885</v>
      </c>
      <c r="AT1014" s="29">
        <f t="shared" ca="1" si="252"/>
        <v>217</v>
      </c>
      <c r="AV1014" s="22">
        <v>45559</v>
      </c>
      <c r="AW1014" s="26">
        <f t="shared" ca="1" si="270"/>
        <v>0.39571167064061163</v>
      </c>
      <c r="AX1014" s="29">
        <f t="shared" ca="1" si="253"/>
        <v>192</v>
      </c>
      <c r="AZ1014" s="22">
        <v>45559</v>
      </c>
      <c r="BA1014" s="26">
        <f t="shared" ca="1" si="271"/>
        <v>0.69865296110470654</v>
      </c>
      <c r="BB1014" s="29">
        <f t="shared" ca="1" si="254"/>
        <v>266</v>
      </c>
      <c r="BC1014"/>
      <c r="BD1014" s="25"/>
      <c r="BF1014" s="22">
        <v>45559</v>
      </c>
      <c r="BG1014" s="26">
        <f t="shared" ca="1" si="272"/>
        <v>0.90901879143319197</v>
      </c>
      <c r="BH1014" s="29">
        <f t="shared" ca="1" si="255"/>
        <v>272</v>
      </c>
      <c r="BJ1014" s="22">
        <v>45559</v>
      </c>
      <c r="BK1014" s="26">
        <f t="shared" ca="1" si="273"/>
        <v>0.50239422232149533</v>
      </c>
      <c r="BL1014" s="29">
        <f t="shared" ca="1" si="256"/>
        <v>169</v>
      </c>
      <c r="BN1014" s="22">
        <v>45559</v>
      </c>
      <c r="BO1014" s="26">
        <f t="shared" ca="1" si="274"/>
        <v>0.47964282607911091</v>
      </c>
      <c r="BP1014" s="29">
        <f t="shared" ca="1" si="257"/>
        <v>213</v>
      </c>
      <c r="BR1014" s="22">
        <v>45559</v>
      </c>
      <c r="BS1014" s="26">
        <f t="shared" ca="1" si="275"/>
        <v>0.97901882702783527</v>
      </c>
      <c r="BT1014" s="29">
        <f t="shared" ca="1" si="258"/>
        <v>248</v>
      </c>
      <c r="BV1014" s="22">
        <v>45559</v>
      </c>
      <c r="BW1014" s="26">
        <f t="shared" ca="1" si="276"/>
        <v>4.9268728054213673E-3</v>
      </c>
      <c r="BX1014" s="29">
        <f t="shared" ca="1" si="259"/>
        <v>69</v>
      </c>
    </row>
    <row r="1015" spans="2:77" ht="15.75" customHeight="1" x14ac:dyDescent="0.2">
      <c r="B1015" s="22">
        <v>45560</v>
      </c>
      <c r="C1015" s="26">
        <f t="shared" ca="1" si="241"/>
        <v>0.3038747313604262</v>
      </c>
      <c r="D1015" s="29">
        <f t="shared" ca="1" si="242"/>
        <v>65</v>
      </c>
      <c r="F1015" s="22"/>
      <c r="G1015" s="26">
        <f t="shared" ca="1" si="260"/>
        <v>0.87603894447255692</v>
      </c>
      <c r="H1015" s="29">
        <f t="shared" ca="1" si="243"/>
        <v>232</v>
      </c>
      <c r="J1015" s="22">
        <v>45560</v>
      </c>
      <c r="K1015" s="26">
        <f t="shared" ca="1" si="261"/>
        <v>0.11335566793950469</v>
      </c>
      <c r="L1015" s="29">
        <f t="shared" ca="1" si="244"/>
        <v>138</v>
      </c>
      <c r="N1015" s="22">
        <v>45560</v>
      </c>
      <c r="O1015" s="26">
        <f t="shared" ca="1" si="262"/>
        <v>0.89887784125426939</v>
      </c>
      <c r="P1015" s="29">
        <f t="shared" ca="1" si="245"/>
        <v>249</v>
      </c>
      <c r="R1015" s="22">
        <v>45560</v>
      </c>
      <c r="S1015" s="26">
        <f t="shared" ca="1" si="263"/>
        <v>0.73491701861187764</v>
      </c>
      <c r="T1015" s="29">
        <f t="shared" ca="1" si="246"/>
        <v>145</v>
      </c>
      <c r="V1015" s="22">
        <v>45560</v>
      </c>
      <c r="W1015" s="26">
        <f t="shared" ca="1" si="264"/>
        <v>0.26469059522166827</v>
      </c>
      <c r="X1015" s="29">
        <f t="shared" ca="1" si="247"/>
        <v>216</v>
      </c>
      <c r="Z1015" s="22">
        <v>45560</v>
      </c>
      <c r="AA1015" s="26">
        <f t="shared" ca="1" si="265"/>
        <v>0.33070470514191441</v>
      </c>
      <c r="AB1015" s="29">
        <f t="shared" ca="1" si="248"/>
        <v>263</v>
      </c>
      <c r="AC1015"/>
      <c r="AD1015" s="25"/>
      <c r="AF1015" s="22">
        <v>45560</v>
      </c>
      <c r="AG1015" s="26">
        <f t="shared" ca="1" si="266"/>
        <v>0.58772820850558427</v>
      </c>
      <c r="AH1015" s="29">
        <f t="shared" ca="1" si="249"/>
        <v>347</v>
      </c>
      <c r="AJ1015" s="22">
        <v>45560</v>
      </c>
      <c r="AK1015" s="26">
        <f t="shared" ca="1" si="267"/>
        <v>0.27706692122590182</v>
      </c>
      <c r="AL1015" s="29">
        <f t="shared" ca="1" si="250"/>
        <v>144</v>
      </c>
      <c r="AN1015" s="22">
        <v>45560</v>
      </c>
      <c r="AO1015" s="26">
        <f t="shared" ca="1" si="268"/>
        <v>0.43553513918472486</v>
      </c>
      <c r="AP1015" s="29">
        <f t="shared" ca="1" si="251"/>
        <v>223</v>
      </c>
      <c r="AR1015" s="22">
        <v>45560</v>
      </c>
      <c r="AS1015" s="26">
        <f t="shared" ca="1" si="269"/>
        <v>0.71257448933127387</v>
      </c>
      <c r="AT1015" s="29">
        <f t="shared" ca="1" si="252"/>
        <v>228</v>
      </c>
      <c r="AV1015" s="22">
        <v>45560</v>
      </c>
      <c r="AW1015" s="26">
        <f t="shared" ca="1" si="270"/>
        <v>0.91693262030126199</v>
      </c>
      <c r="AX1015" s="29">
        <f t="shared" ca="1" si="253"/>
        <v>282</v>
      </c>
      <c r="AZ1015" s="22">
        <v>45560</v>
      </c>
      <c r="BA1015" s="26">
        <f t="shared" ca="1" si="271"/>
        <v>0.55417632023918784</v>
      </c>
      <c r="BB1015" s="29">
        <f t="shared" ca="1" si="254"/>
        <v>243</v>
      </c>
      <c r="BC1015"/>
      <c r="BD1015" s="25"/>
      <c r="BF1015" s="22">
        <v>45560</v>
      </c>
      <c r="BG1015" s="26">
        <f t="shared" ca="1" si="272"/>
        <v>0.78308378213302254</v>
      </c>
      <c r="BH1015" s="29">
        <f t="shared" ca="1" si="255"/>
        <v>243</v>
      </c>
      <c r="BJ1015" s="22">
        <v>45560</v>
      </c>
      <c r="BK1015" s="26">
        <f t="shared" ca="1" si="273"/>
        <v>0.95180644706260975</v>
      </c>
      <c r="BL1015" s="29">
        <f t="shared" ca="1" si="256"/>
        <v>244</v>
      </c>
      <c r="BN1015" s="22">
        <v>45560</v>
      </c>
      <c r="BO1015" s="26">
        <f t="shared" ca="1" si="274"/>
        <v>4.4969845373861395E-2</v>
      </c>
      <c r="BP1015" s="29">
        <f t="shared" ca="1" si="257"/>
        <v>119</v>
      </c>
      <c r="BR1015" s="22">
        <v>45560</v>
      </c>
      <c r="BS1015" s="26">
        <f t="shared" ca="1" si="275"/>
        <v>0.24073609638257665</v>
      </c>
      <c r="BT1015" s="29">
        <f t="shared" ca="1" si="258"/>
        <v>131</v>
      </c>
      <c r="BV1015" s="22">
        <v>45560</v>
      </c>
      <c r="BW1015" s="26">
        <f t="shared" ca="1" si="276"/>
        <v>0.21041519436225886</v>
      </c>
      <c r="BX1015" s="29">
        <f t="shared" ca="1" si="259"/>
        <v>173</v>
      </c>
    </row>
    <row r="1016" spans="2:77" ht="15.75" customHeight="1" x14ac:dyDescent="0.2">
      <c r="B1016" s="22">
        <v>45561</v>
      </c>
      <c r="C1016" s="26">
        <f t="shared" ca="1" si="241"/>
        <v>0.97991907108177834</v>
      </c>
      <c r="D1016" s="29">
        <f t="shared" ca="1" si="242"/>
        <v>117</v>
      </c>
      <c r="F1016" s="22"/>
      <c r="G1016" s="26">
        <f t="shared" ca="1" si="260"/>
        <v>0.3017011891281749</v>
      </c>
      <c r="H1016" s="29">
        <f t="shared" ca="1" si="243"/>
        <v>208</v>
      </c>
      <c r="J1016" s="22">
        <v>45561</v>
      </c>
      <c r="K1016" s="26">
        <f t="shared" ca="1" si="261"/>
        <v>0.33118018299552365</v>
      </c>
      <c r="L1016" s="29">
        <f t="shared" ca="1" si="244"/>
        <v>146</v>
      </c>
      <c r="N1016" s="22">
        <v>45561</v>
      </c>
      <c r="O1016" s="26">
        <f t="shared" ca="1" si="262"/>
        <v>0.55682950448168778</v>
      </c>
      <c r="P1016" s="29">
        <f t="shared" ca="1" si="245"/>
        <v>232</v>
      </c>
      <c r="R1016" s="22">
        <v>45561</v>
      </c>
      <c r="S1016" s="26">
        <f t="shared" ca="1" si="263"/>
        <v>0.32335632913964418</v>
      </c>
      <c r="T1016" s="29">
        <f t="shared" ca="1" si="246"/>
        <v>135</v>
      </c>
      <c r="V1016" s="22">
        <v>45561</v>
      </c>
      <c r="W1016" s="26">
        <f t="shared" ca="1" si="264"/>
        <v>0.75544445836988205</v>
      </c>
      <c r="X1016" s="29">
        <f t="shared" ca="1" si="247"/>
        <v>236</v>
      </c>
      <c r="Z1016" s="22">
        <v>45561</v>
      </c>
      <c r="AA1016" s="26">
        <f t="shared" ca="1" si="265"/>
        <v>0.33438486668811196</v>
      </c>
      <c r="AB1016" s="29">
        <f t="shared" ca="1" si="248"/>
        <v>263</v>
      </c>
      <c r="AC1016"/>
      <c r="AD1016" s="25"/>
      <c r="AF1016" s="22">
        <v>45561</v>
      </c>
      <c r="AG1016" s="26">
        <f t="shared" ca="1" si="266"/>
        <v>7.0758517372020435E-2</v>
      </c>
      <c r="AH1016" s="29">
        <f t="shared" ca="1" si="249"/>
        <v>199</v>
      </c>
      <c r="AJ1016" s="22">
        <v>45561</v>
      </c>
      <c r="AK1016" s="26">
        <f t="shared" ca="1" si="267"/>
        <v>7.342361240494133E-2</v>
      </c>
      <c r="AL1016" s="29">
        <f t="shared" ca="1" si="250"/>
        <v>105</v>
      </c>
      <c r="AN1016" s="22">
        <v>45561</v>
      </c>
      <c r="AO1016" s="26">
        <f t="shared" ca="1" si="268"/>
        <v>0.15096979330446858</v>
      </c>
      <c r="AP1016" s="29">
        <f t="shared" ca="1" si="251"/>
        <v>169</v>
      </c>
      <c r="AR1016" s="22">
        <v>45561</v>
      </c>
      <c r="AS1016" s="26">
        <f t="shared" ca="1" si="269"/>
        <v>0.98888453621525751</v>
      </c>
      <c r="AT1016" s="29">
        <f t="shared" ca="1" si="252"/>
        <v>319</v>
      </c>
      <c r="AV1016" s="22">
        <v>45561</v>
      </c>
      <c r="AW1016" s="26">
        <f t="shared" ca="1" si="270"/>
        <v>0.80768202735891115</v>
      </c>
      <c r="AX1016" s="29">
        <f t="shared" ca="1" si="253"/>
        <v>254</v>
      </c>
      <c r="AZ1016" s="22">
        <v>45561</v>
      </c>
      <c r="BA1016" s="26">
        <f t="shared" ca="1" si="271"/>
        <v>0.21136196662202122</v>
      </c>
      <c r="BB1016" s="29">
        <f t="shared" ca="1" si="254"/>
        <v>184</v>
      </c>
      <c r="BC1016"/>
      <c r="BD1016" s="25"/>
      <c r="BF1016" s="22">
        <v>45561</v>
      </c>
      <c r="BG1016" s="26">
        <f t="shared" ca="1" si="272"/>
        <v>0.17480412896039843</v>
      </c>
      <c r="BH1016" s="29">
        <f t="shared" ca="1" si="255"/>
        <v>151</v>
      </c>
      <c r="BJ1016" s="22">
        <v>45561</v>
      </c>
      <c r="BK1016" s="26">
        <f t="shared" ca="1" si="273"/>
        <v>0.81023094953538266</v>
      </c>
      <c r="BL1016" s="29">
        <f t="shared" ca="1" si="256"/>
        <v>209</v>
      </c>
      <c r="BN1016" s="22">
        <v>45561</v>
      </c>
      <c r="BO1016" s="26">
        <f t="shared" ca="1" si="274"/>
        <v>5.472097949657051E-2</v>
      </c>
      <c r="BP1016" s="29">
        <f t="shared" ca="1" si="257"/>
        <v>124</v>
      </c>
      <c r="BR1016" s="22">
        <v>45561</v>
      </c>
      <c r="BS1016" s="26">
        <f t="shared" ca="1" si="275"/>
        <v>0.55142811727582197</v>
      </c>
      <c r="BT1016" s="29">
        <f t="shared" ca="1" si="258"/>
        <v>167</v>
      </c>
      <c r="BV1016" s="22">
        <v>45561</v>
      </c>
      <c r="BW1016" s="26">
        <f t="shared" ca="1" si="276"/>
        <v>0.32704255189757692</v>
      </c>
      <c r="BX1016" s="29">
        <f t="shared" ca="1" si="259"/>
        <v>194</v>
      </c>
    </row>
    <row r="1017" spans="2:77" ht="15.75" customHeight="1" x14ac:dyDescent="0.2">
      <c r="B1017" s="22">
        <v>45562</v>
      </c>
      <c r="C1017" s="26">
        <f t="shared" ca="1" si="241"/>
        <v>0.2871630973073187</v>
      </c>
      <c r="D1017" s="29">
        <f t="shared" ca="1" si="242"/>
        <v>64</v>
      </c>
      <c r="F1017" s="22"/>
      <c r="G1017" s="26">
        <f t="shared" ca="1" si="260"/>
        <v>0.22138951094359971</v>
      </c>
      <c r="H1017" s="29">
        <f t="shared" ca="1" si="243"/>
        <v>205</v>
      </c>
      <c r="J1017" s="22">
        <v>45562</v>
      </c>
      <c r="K1017" s="26">
        <f t="shared" ca="1" si="261"/>
        <v>0.63936373209171338</v>
      </c>
      <c r="L1017" s="29">
        <f t="shared" ca="1" si="244"/>
        <v>154</v>
      </c>
      <c r="N1017" s="22">
        <v>45562</v>
      </c>
      <c r="O1017" s="26">
        <f t="shared" ca="1" si="262"/>
        <v>3.5193586044659053E-2</v>
      </c>
      <c r="P1017" s="29">
        <f t="shared" ca="1" si="245"/>
        <v>202</v>
      </c>
      <c r="R1017" s="22">
        <v>45562</v>
      </c>
      <c r="S1017" s="26">
        <f t="shared" ca="1" si="263"/>
        <v>0.79812956351832032</v>
      </c>
      <c r="T1017" s="29">
        <f t="shared" ca="1" si="246"/>
        <v>147</v>
      </c>
      <c r="V1017" s="22">
        <v>45562</v>
      </c>
      <c r="W1017" s="26">
        <f t="shared" ca="1" si="264"/>
        <v>0.63675509828379639</v>
      </c>
      <c r="X1017" s="29">
        <f t="shared" ca="1" si="247"/>
        <v>231</v>
      </c>
      <c r="Z1017" s="22">
        <v>45562</v>
      </c>
      <c r="AA1017" s="26">
        <f t="shared" ca="1" si="265"/>
        <v>6.5892717448998606E-2</v>
      </c>
      <c r="AB1017" s="29">
        <f t="shared" ca="1" si="248"/>
        <v>243</v>
      </c>
      <c r="AC1017"/>
      <c r="AD1017" s="25"/>
      <c r="AF1017" s="22">
        <v>45562</v>
      </c>
      <c r="AG1017" s="26">
        <f t="shared" ca="1" si="266"/>
        <v>0.29267870948563079</v>
      </c>
      <c r="AH1017" s="29">
        <f t="shared" ca="1" si="249"/>
        <v>280</v>
      </c>
      <c r="AJ1017" s="22">
        <v>45562</v>
      </c>
      <c r="AK1017" s="26">
        <f t="shared" ca="1" si="267"/>
        <v>0.57128849433172124</v>
      </c>
      <c r="AL1017" s="29">
        <f t="shared" ca="1" si="250"/>
        <v>179</v>
      </c>
      <c r="AN1017" s="22">
        <v>45562</v>
      </c>
      <c r="AO1017" s="26">
        <f t="shared" ca="1" si="268"/>
        <v>0.25144399973201625</v>
      </c>
      <c r="AP1017" s="29">
        <f t="shared" ca="1" si="251"/>
        <v>191</v>
      </c>
      <c r="AR1017" s="22">
        <v>45562</v>
      </c>
      <c r="AS1017" s="26">
        <f t="shared" ca="1" si="269"/>
        <v>0.15997370286490842</v>
      </c>
      <c r="AT1017" s="29">
        <f t="shared" ca="1" si="252"/>
        <v>146</v>
      </c>
      <c r="AV1017" s="22">
        <v>45562</v>
      </c>
      <c r="AW1017" s="26">
        <f t="shared" ca="1" si="270"/>
        <v>0.16172498601002716</v>
      </c>
      <c r="AX1017" s="29">
        <f t="shared" ca="1" si="253"/>
        <v>152</v>
      </c>
      <c r="AZ1017" s="22">
        <v>45562</v>
      </c>
      <c r="BA1017" s="26">
        <f t="shared" ca="1" si="271"/>
        <v>0.4103094592498171</v>
      </c>
      <c r="BB1017" s="29">
        <f t="shared" ca="1" si="254"/>
        <v>220</v>
      </c>
      <c r="BC1017"/>
      <c r="BD1017" s="25"/>
      <c r="BF1017" s="22">
        <v>45562</v>
      </c>
      <c r="BG1017" s="26">
        <f t="shared" ca="1" si="272"/>
        <v>0.94013705603232056</v>
      </c>
      <c r="BH1017" s="29">
        <f t="shared" ca="1" si="255"/>
        <v>284</v>
      </c>
      <c r="BJ1017" s="22">
        <v>45562</v>
      </c>
      <c r="BK1017" s="26">
        <f t="shared" ca="1" si="273"/>
        <v>0.3619530981187713</v>
      </c>
      <c r="BL1017" s="29">
        <f t="shared" ca="1" si="256"/>
        <v>153</v>
      </c>
      <c r="BN1017" s="22">
        <v>45562</v>
      </c>
      <c r="BO1017" s="26">
        <f t="shared" ca="1" si="274"/>
        <v>0.60580116856950272</v>
      </c>
      <c r="BP1017" s="29">
        <f t="shared" ca="1" si="257"/>
        <v>232</v>
      </c>
      <c r="BR1017" s="22">
        <v>45562</v>
      </c>
      <c r="BS1017" s="26">
        <f t="shared" ca="1" si="275"/>
        <v>0.21323698345301556</v>
      </c>
      <c r="BT1017" s="29">
        <f t="shared" ca="1" si="258"/>
        <v>127</v>
      </c>
      <c r="BV1017" s="22">
        <v>45562</v>
      </c>
      <c r="BW1017" s="26">
        <f t="shared" ca="1" si="276"/>
        <v>0.57226900092450339</v>
      </c>
      <c r="BX1017" s="29">
        <f t="shared" ca="1" si="259"/>
        <v>230</v>
      </c>
    </row>
    <row r="1018" spans="2:77" ht="15.75" customHeight="1" x14ac:dyDescent="0.2">
      <c r="B1018" s="22">
        <v>45563</v>
      </c>
      <c r="C1018" s="26">
        <f t="shared" ca="1" si="241"/>
        <v>0.92027471548292084</v>
      </c>
      <c r="D1018" s="29">
        <f t="shared" ca="1" si="242"/>
        <v>104</v>
      </c>
      <c r="F1018" s="22"/>
      <c r="G1018" s="26">
        <f t="shared" ca="1" si="260"/>
        <v>0.15670302939627312</v>
      </c>
      <c r="H1018" s="29">
        <f t="shared" ca="1" si="243"/>
        <v>201</v>
      </c>
      <c r="J1018" s="22">
        <v>45563</v>
      </c>
      <c r="K1018" s="26">
        <f t="shared" ca="1" si="261"/>
        <v>0.34301338597358011</v>
      </c>
      <c r="L1018" s="29">
        <f t="shared" ca="1" si="244"/>
        <v>146</v>
      </c>
      <c r="N1018" s="22">
        <v>45563</v>
      </c>
      <c r="O1018" s="26">
        <f t="shared" ca="1" si="262"/>
        <v>0.50850546515006512</v>
      </c>
      <c r="P1018" s="29">
        <f t="shared" ca="1" si="245"/>
        <v>230</v>
      </c>
      <c r="R1018" s="22">
        <v>45563</v>
      </c>
      <c r="S1018" s="26">
        <f t="shared" ca="1" si="263"/>
        <v>0.96337153171822676</v>
      </c>
      <c r="T1018" s="29">
        <f t="shared" ca="1" si="246"/>
        <v>156</v>
      </c>
      <c r="V1018" s="22">
        <v>45563</v>
      </c>
      <c r="W1018" s="26">
        <f t="shared" ca="1" si="264"/>
        <v>6.8512131908826546E-2</v>
      </c>
      <c r="X1018" s="29">
        <f t="shared" ca="1" si="247"/>
        <v>203</v>
      </c>
      <c r="Z1018" s="22">
        <v>45563</v>
      </c>
      <c r="AA1018" s="26">
        <f t="shared" ca="1" si="265"/>
        <v>0.93166647415024106</v>
      </c>
      <c r="AB1018" s="29">
        <f t="shared" ca="1" si="248"/>
        <v>297</v>
      </c>
      <c r="AC1018"/>
      <c r="AD1018" s="25"/>
      <c r="AF1018" s="22">
        <v>45563</v>
      </c>
      <c r="AG1018" s="26">
        <f t="shared" ca="1" si="266"/>
        <v>0.95408203055026775</v>
      </c>
      <c r="AH1018" s="29">
        <f t="shared" ca="1" si="249"/>
        <v>475</v>
      </c>
      <c r="AJ1018" s="22">
        <v>45563</v>
      </c>
      <c r="AK1018" s="26">
        <f t="shared" ca="1" si="267"/>
        <v>0.94529845784585742</v>
      </c>
      <c r="AL1018" s="29">
        <f t="shared" ca="1" si="250"/>
        <v>244</v>
      </c>
      <c r="AN1018" s="22">
        <v>45563</v>
      </c>
      <c r="AO1018" s="26">
        <f t="shared" ca="1" si="268"/>
        <v>0.33208288088399895</v>
      </c>
      <c r="AP1018" s="29">
        <f t="shared" ca="1" si="251"/>
        <v>206</v>
      </c>
      <c r="AR1018" s="22">
        <v>45563</v>
      </c>
      <c r="AS1018" s="26">
        <f t="shared" ca="1" si="269"/>
        <v>0.66734196826270309</v>
      </c>
      <c r="AT1018" s="29">
        <f t="shared" ca="1" si="252"/>
        <v>221</v>
      </c>
      <c r="AV1018" s="22">
        <v>45563</v>
      </c>
      <c r="AW1018" s="26">
        <f t="shared" ca="1" si="270"/>
        <v>0.64324842525735249</v>
      </c>
      <c r="AX1018" s="29">
        <f t="shared" ca="1" si="253"/>
        <v>226</v>
      </c>
      <c r="AZ1018" s="22">
        <v>45563</v>
      </c>
      <c r="BA1018" s="26">
        <f t="shared" ca="1" si="271"/>
        <v>0.62341839627803775</v>
      </c>
      <c r="BB1018" s="29">
        <f t="shared" ca="1" si="254"/>
        <v>254</v>
      </c>
      <c r="BC1018"/>
      <c r="BD1018" s="25"/>
      <c r="BF1018" s="22">
        <v>45563</v>
      </c>
      <c r="BG1018" s="26">
        <f t="shared" ca="1" si="272"/>
        <v>0.75271460563633974</v>
      </c>
      <c r="BH1018" s="29">
        <f t="shared" ca="1" si="255"/>
        <v>238</v>
      </c>
      <c r="BJ1018" s="22">
        <v>45563</v>
      </c>
      <c r="BK1018" s="26">
        <f t="shared" ca="1" si="273"/>
        <v>0.87344304186817034</v>
      </c>
      <c r="BL1018" s="29">
        <f t="shared" ca="1" si="256"/>
        <v>220</v>
      </c>
      <c r="BN1018" s="22">
        <v>45563</v>
      </c>
      <c r="BO1018" s="26">
        <f t="shared" ca="1" si="274"/>
        <v>5.1387921281274007E-3</v>
      </c>
      <c r="BP1018" s="29">
        <f t="shared" ca="1" si="257"/>
        <v>69</v>
      </c>
      <c r="BR1018" s="22">
        <v>45563</v>
      </c>
      <c r="BS1018" s="26">
        <f t="shared" ca="1" si="275"/>
        <v>0.43901262383056461</v>
      </c>
      <c r="BT1018" s="29">
        <f t="shared" ca="1" si="258"/>
        <v>155</v>
      </c>
      <c r="BV1018" s="22">
        <v>45563</v>
      </c>
      <c r="BW1018" s="26">
        <f t="shared" ca="1" si="276"/>
        <v>0.14538760266604744</v>
      </c>
      <c r="BX1018" s="29">
        <f t="shared" ca="1" si="259"/>
        <v>158</v>
      </c>
    </row>
    <row r="1019" spans="2:77" ht="15.75" customHeight="1" x14ac:dyDescent="0.2">
      <c r="B1019" s="22">
        <v>45564</v>
      </c>
      <c r="C1019" s="26">
        <f t="shared" ca="1" si="241"/>
        <v>0.24814437308138071</v>
      </c>
      <c r="D1019" s="29">
        <f t="shared" ca="1" si="242"/>
        <v>62</v>
      </c>
      <c r="F1019" s="22"/>
      <c r="G1019" s="26">
        <f t="shared" ca="1" si="260"/>
        <v>0.67863655110901677</v>
      </c>
      <c r="H1019" s="29">
        <f t="shared" ca="1" si="243"/>
        <v>223</v>
      </c>
      <c r="J1019" s="22">
        <v>45564</v>
      </c>
      <c r="K1019" s="26">
        <f t="shared" ca="1" si="261"/>
        <v>0.90679286783762403</v>
      </c>
      <c r="L1019" s="29">
        <f t="shared" ca="1" si="244"/>
        <v>164</v>
      </c>
      <c r="N1019" s="22">
        <v>45564</v>
      </c>
      <c r="O1019" s="26">
        <f t="shared" ca="1" si="262"/>
        <v>0.77547673180527421</v>
      </c>
      <c r="P1019" s="29">
        <f t="shared" ca="1" si="245"/>
        <v>241</v>
      </c>
      <c r="R1019" s="22">
        <v>45564</v>
      </c>
      <c r="S1019" s="26">
        <f t="shared" ca="1" si="263"/>
        <v>0.18025483265004294</v>
      </c>
      <c r="T1019" s="29">
        <f t="shared" ca="1" si="246"/>
        <v>131</v>
      </c>
      <c r="V1019" s="22">
        <v>45564</v>
      </c>
      <c r="W1019" s="26">
        <f t="shared" ca="1" si="264"/>
        <v>0.13342555766514641</v>
      </c>
      <c r="X1019" s="29">
        <f t="shared" ca="1" si="247"/>
        <v>209</v>
      </c>
      <c r="Z1019" s="22">
        <v>45564</v>
      </c>
      <c r="AA1019" s="26">
        <f t="shared" ca="1" si="265"/>
        <v>0.84550622327054925</v>
      </c>
      <c r="AB1019" s="29">
        <f t="shared" ca="1" si="248"/>
        <v>289</v>
      </c>
      <c r="AC1019"/>
      <c r="AD1019" s="25"/>
      <c r="AF1019" s="22">
        <v>45564</v>
      </c>
      <c r="AG1019" s="26">
        <f t="shared" ca="1" si="266"/>
        <v>0.18948616402286611</v>
      </c>
      <c r="AH1019" s="29">
        <f t="shared" ca="1" si="249"/>
        <v>251</v>
      </c>
      <c r="AJ1019" s="22">
        <v>45564</v>
      </c>
      <c r="AK1019" s="26">
        <f t="shared" ca="1" si="267"/>
        <v>0.97731634006953361</v>
      </c>
      <c r="AL1019" s="29">
        <f t="shared" ca="1" si="250"/>
        <v>262</v>
      </c>
      <c r="AN1019" s="22">
        <v>45564</v>
      </c>
      <c r="AO1019" s="26">
        <f t="shared" ca="1" si="268"/>
        <v>0.93679170170251014</v>
      </c>
      <c r="AP1019" s="29">
        <f t="shared" ca="1" si="251"/>
        <v>327</v>
      </c>
      <c r="AR1019" s="22">
        <v>45564</v>
      </c>
      <c r="AS1019" s="26">
        <f t="shared" ca="1" si="269"/>
        <v>0.4666847583147109</v>
      </c>
      <c r="AT1019" s="29">
        <f t="shared" ca="1" si="252"/>
        <v>194</v>
      </c>
      <c r="AV1019" s="22">
        <v>45564</v>
      </c>
      <c r="AW1019" s="26">
        <f t="shared" ca="1" si="270"/>
        <v>0.66425819642393102</v>
      </c>
      <c r="AX1019" s="29">
        <f t="shared" ca="1" si="253"/>
        <v>229</v>
      </c>
      <c r="AZ1019" s="22">
        <v>45564</v>
      </c>
      <c r="BA1019" s="26">
        <f t="shared" ca="1" si="271"/>
        <v>0.68232569113399333</v>
      </c>
      <c r="BB1019" s="29">
        <f t="shared" ca="1" si="254"/>
        <v>264</v>
      </c>
      <c r="BC1019"/>
      <c r="BD1019" s="25"/>
      <c r="BF1019" s="22">
        <v>45564</v>
      </c>
      <c r="BG1019" s="26">
        <f t="shared" ca="1" si="272"/>
        <v>0.31123964774470436</v>
      </c>
      <c r="BH1019" s="29">
        <f t="shared" ca="1" si="255"/>
        <v>175</v>
      </c>
      <c r="BJ1019" s="22">
        <v>45564</v>
      </c>
      <c r="BK1019" s="26">
        <f t="shared" ca="1" si="273"/>
        <v>0.90606277507271082</v>
      </c>
      <c r="BL1019" s="29">
        <f t="shared" ca="1" si="256"/>
        <v>228</v>
      </c>
      <c r="BN1019" s="22">
        <v>45564</v>
      </c>
      <c r="BO1019" s="26">
        <f t="shared" ca="1" si="274"/>
        <v>0.87715972214097504</v>
      </c>
      <c r="BP1019" s="29">
        <f t="shared" ca="1" si="257"/>
        <v>283</v>
      </c>
      <c r="BR1019" s="22">
        <v>45564</v>
      </c>
      <c r="BS1019" s="26">
        <f t="shared" ca="1" si="275"/>
        <v>0.84936024342528871</v>
      </c>
      <c r="BT1019" s="29">
        <f t="shared" ca="1" si="258"/>
        <v>205</v>
      </c>
      <c r="BV1019" s="22">
        <v>45564</v>
      </c>
      <c r="BW1019" s="26">
        <f t="shared" ca="1" si="276"/>
        <v>0.76432195633543321</v>
      </c>
      <c r="BX1019" s="29">
        <f t="shared" ca="1" si="259"/>
        <v>262</v>
      </c>
    </row>
    <row r="1020" spans="2:77" ht="15.75" customHeight="1" x14ac:dyDescent="0.2">
      <c r="B1020" s="22">
        <v>45565</v>
      </c>
      <c r="C1020" s="26">
        <f t="shared" ca="1" si="241"/>
        <v>0.53255312049066106</v>
      </c>
      <c r="D1020" s="29">
        <f t="shared" ca="1" si="242"/>
        <v>77</v>
      </c>
      <c r="E1020">
        <v>2199</v>
      </c>
      <c r="F1020" s="22"/>
      <c r="G1020" s="26">
        <f t="shared" ca="1" si="260"/>
        <v>0.78046984042186707</v>
      </c>
      <c r="H1020" s="29">
        <f t="shared" ca="1" si="243"/>
        <v>227</v>
      </c>
      <c r="I1020">
        <v>2321</v>
      </c>
      <c r="J1020" s="22">
        <v>45565</v>
      </c>
      <c r="K1020" s="26">
        <f t="shared" ca="1" si="261"/>
        <v>0.96514882575708838</v>
      </c>
      <c r="L1020" s="29">
        <f t="shared" ca="1" si="244"/>
        <v>169</v>
      </c>
      <c r="M1020">
        <v>4543</v>
      </c>
      <c r="N1020" s="22">
        <v>45565</v>
      </c>
      <c r="O1020" s="26">
        <f t="shared" ca="1" si="262"/>
        <v>7.7797716468058109E-2</v>
      </c>
      <c r="P1020" s="29">
        <f t="shared" ca="1" si="245"/>
        <v>208</v>
      </c>
      <c r="Q1020">
        <v>6908</v>
      </c>
      <c r="R1020" s="22">
        <v>45565</v>
      </c>
      <c r="S1020" s="26">
        <f t="shared" ca="1" si="263"/>
        <v>0.24880097148638636</v>
      </c>
      <c r="T1020" s="29">
        <f t="shared" ca="1" si="246"/>
        <v>133</v>
      </c>
      <c r="U1020">
        <v>4235</v>
      </c>
      <c r="V1020" s="22">
        <v>45565</v>
      </c>
      <c r="W1020" s="26">
        <f t="shared" ca="1" si="264"/>
        <v>0.8676308175124533</v>
      </c>
      <c r="X1020" s="29">
        <f t="shared" ca="1" si="247"/>
        <v>242</v>
      </c>
      <c r="Y1020">
        <v>6736</v>
      </c>
      <c r="Z1020" s="22">
        <v>45565</v>
      </c>
      <c r="AA1020" s="26">
        <f t="shared" ca="1" si="265"/>
        <v>0.78860681348795836</v>
      </c>
      <c r="AB1020" s="29">
        <f t="shared" ca="1" si="248"/>
        <v>285</v>
      </c>
      <c r="AC1020">
        <v>8093</v>
      </c>
      <c r="AD1020" s="25"/>
      <c r="AF1020" s="22">
        <v>45565</v>
      </c>
      <c r="AG1020" s="26">
        <f t="shared" ca="1" si="266"/>
        <v>0.85394916862787174</v>
      </c>
      <c r="AH1020" s="29">
        <f t="shared" ca="1" si="249"/>
        <v>419</v>
      </c>
      <c r="AI1020">
        <v>10603</v>
      </c>
      <c r="AJ1020" s="22">
        <v>45565</v>
      </c>
      <c r="AK1020" s="26">
        <f t="shared" ca="1" si="267"/>
        <v>0.9773739249947212</v>
      </c>
      <c r="AL1020" s="29">
        <f t="shared" ca="1" si="250"/>
        <v>262</v>
      </c>
      <c r="AM1020">
        <v>5152</v>
      </c>
      <c r="AN1020" s="22">
        <v>45565</v>
      </c>
      <c r="AO1020" s="26">
        <f t="shared" ca="1" si="268"/>
        <v>0.16611663363952578</v>
      </c>
      <c r="AP1020" s="29">
        <f t="shared" ca="1" si="251"/>
        <v>173</v>
      </c>
      <c r="AQ1020">
        <v>4897</v>
      </c>
      <c r="AR1020" s="22">
        <v>45565</v>
      </c>
      <c r="AS1020" s="26">
        <f t="shared" ca="1" si="269"/>
        <v>0.92768405414075639</v>
      </c>
      <c r="AT1020" s="29">
        <f t="shared" ca="1" si="252"/>
        <v>276</v>
      </c>
      <c r="AU1020">
        <v>6582</v>
      </c>
      <c r="AV1020" s="22">
        <v>45565</v>
      </c>
      <c r="AW1020" s="26">
        <f t="shared" ca="1" si="270"/>
        <v>0.57457204837302422</v>
      </c>
      <c r="AX1020" s="29">
        <f t="shared" ca="1" si="253"/>
        <v>216</v>
      </c>
      <c r="AY1020">
        <v>5929</v>
      </c>
      <c r="AZ1020" s="22">
        <v>45565</v>
      </c>
      <c r="BA1020" s="26">
        <f t="shared" ca="1" si="271"/>
        <v>0.61511695677233713</v>
      </c>
      <c r="BB1020" s="29">
        <f t="shared" ca="1" si="254"/>
        <v>252</v>
      </c>
      <c r="BC1020">
        <v>5621</v>
      </c>
      <c r="BD1020" s="25"/>
      <c r="BF1020" s="22">
        <v>45565</v>
      </c>
      <c r="BG1020" s="26">
        <f t="shared" ca="1" si="272"/>
        <v>0.84856791565509893</v>
      </c>
      <c r="BH1020" s="29">
        <f t="shared" ca="1" si="255"/>
        <v>256</v>
      </c>
      <c r="BI1020">
        <v>5031</v>
      </c>
      <c r="BJ1020" s="22">
        <v>45565</v>
      </c>
      <c r="BK1020" s="26">
        <f t="shared" ca="1" si="273"/>
        <v>0.83050143271045251</v>
      </c>
      <c r="BL1020" s="29">
        <f t="shared" ca="1" si="256"/>
        <v>212</v>
      </c>
      <c r="BM1020">
        <v>4676</v>
      </c>
      <c r="BN1020" s="22">
        <v>45565</v>
      </c>
      <c r="BO1020" s="26">
        <f t="shared" ca="1" si="274"/>
        <v>0.48003167170636041</v>
      </c>
      <c r="BP1020" s="29">
        <f t="shared" ca="1" si="257"/>
        <v>213</v>
      </c>
      <c r="BQ1020">
        <v>3764</v>
      </c>
      <c r="BR1020" s="22">
        <v>45565</v>
      </c>
      <c r="BS1020" s="26">
        <f t="shared" ca="1" si="275"/>
        <v>0.97270336993213846</v>
      </c>
      <c r="BT1020" s="29">
        <f t="shared" ca="1" si="258"/>
        <v>243</v>
      </c>
      <c r="BU1020">
        <v>5359</v>
      </c>
      <c r="BV1020" s="22">
        <v>45565</v>
      </c>
      <c r="BW1020" s="26">
        <f t="shared" ca="1" si="276"/>
        <v>0.68959490678119717</v>
      </c>
      <c r="BX1020" s="29">
        <f t="shared" ca="1" si="259"/>
        <v>249</v>
      </c>
      <c r="BY1020">
        <v>5558</v>
      </c>
    </row>
    <row r="1021" spans="2:77" ht="15.75" customHeight="1" x14ac:dyDescent="0.2">
      <c r="B1021" s="22">
        <v>45566</v>
      </c>
      <c r="C1021" s="26">
        <f t="shared" ca="1" si="241"/>
        <v>0.72328378877023447</v>
      </c>
      <c r="D1021" s="29">
        <f ca="1">ROUNDUP(_xlfn.NORM.INV(C1020,C$10,C$12),0)</f>
        <v>77</v>
      </c>
      <c r="F1021" s="22"/>
      <c r="G1021" s="26">
        <f t="shared" ca="1" si="260"/>
        <v>0.5152222230160568</v>
      </c>
      <c r="H1021" s="29">
        <f ca="1">ROUNDUP(_xlfn.NORM.INV(G1020,G$10,G$12),0)</f>
        <v>227</v>
      </c>
      <c r="I1021">
        <v>0</v>
      </c>
      <c r="J1021" s="22">
        <v>45566</v>
      </c>
      <c r="K1021" s="26">
        <f t="shared" ca="1" si="261"/>
        <v>0.13104753179638307</v>
      </c>
      <c r="L1021" s="29">
        <f ca="1">ROUNDUP(_xlfn.NORM.INV(K1020,K$10,K$12),0)</f>
        <v>169</v>
      </c>
      <c r="N1021" s="22">
        <v>45566</v>
      </c>
      <c r="O1021" s="26">
        <f t="shared" ca="1" si="262"/>
        <v>0.900944745875775</v>
      </c>
      <c r="P1021" s="29">
        <f ca="1">ROUNDUP(_xlfn.NORM.INV(O1020,O$10,O$12),0)</f>
        <v>208</v>
      </c>
      <c r="R1021" s="22">
        <v>45566</v>
      </c>
      <c r="S1021" s="26">
        <f t="shared" ca="1" si="263"/>
        <v>0.91177776510110764</v>
      </c>
      <c r="T1021" s="29">
        <f ca="1">ROUNDUP(_xlfn.NORM.INV(S1020,S$10,S$12),0)</f>
        <v>133</v>
      </c>
      <c r="V1021" s="22">
        <v>45566</v>
      </c>
      <c r="W1021" s="26">
        <f t="shared" ca="1" si="264"/>
        <v>0.29725868995269045</v>
      </c>
      <c r="X1021" s="29">
        <f ca="1">ROUNDUP(_xlfn.NORM.INV(W1020,W$10,W$12),0)</f>
        <v>242</v>
      </c>
      <c r="Z1021" s="22">
        <v>45566</v>
      </c>
      <c r="AA1021" s="26">
        <f t="shared" ca="1" si="265"/>
        <v>0.31556259381684482</v>
      </c>
      <c r="AB1021" s="29">
        <f ca="1">ROUNDUP(_xlfn.NORM.INV(AA1020,AA$10,AA$12),0)</f>
        <v>285</v>
      </c>
      <c r="AC1021"/>
      <c r="AD1021" s="25"/>
      <c r="AF1021" s="22">
        <v>45566</v>
      </c>
      <c r="AG1021" s="26">
        <f t="shared" ca="1" si="266"/>
        <v>0.941255359319351</v>
      </c>
      <c r="AH1021" s="29">
        <f ca="1">ROUNDUP(_xlfn.NORM.INV(AG1020,AG$10,AG$12),0)</f>
        <v>419</v>
      </c>
      <c r="AJ1021" s="22">
        <v>45566</v>
      </c>
      <c r="AK1021" s="26">
        <f t="shared" ca="1" si="267"/>
        <v>0.32243697637264668</v>
      </c>
      <c r="AL1021" s="29">
        <f ca="1">ROUNDUP(_xlfn.NORM.INV(AK1020,AK$10,AK$12),0)</f>
        <v>262</v>
      </c>
      <c r="AN1021" s="22">
        <v>45566</v>
      </c>
      <c r="AO1021" s="26">
        <f t="shared" ca="1" si="268"/>
        <v>0.91540079526545515</v>
      </c>
      <c r="AP1021" s="29">
        <f ca="1">ROUNDUP(_xlfn.NORM.INV(AO1020,AO$10,AO$12),0)</f>
        <v>173</v>
      </c>
      <c r="AR1021" s="22">
        <v>45566</v>
      </c>
      <c r="AS1021" s="26">
        <f t="shared" ca="1" si="269"/>
        <v>0.34427238825066664</v>
      </c>
      <c r="AT1021" s="29">
        <f ca="1">ROUNDUP(_xlfn.NORM.INV(AS1020,AS$10,AS$12),0)</f>
        <v>276</v>
      </c>
      <c r="AV1021" s="22">
        <v>45566</v>
      </c>
      <c r="AW1021" s="26">
        <f t="shared" ca="1" si="270"/>
        <v>9.0222180376226091E-2</v>
      </c>
      <c r="AX1021" s="29">
        <f ca="1">ROUNDUP(_xlfn.NORM.INV(AW1020,AW$10,AW$12),0)</f>
        <v>216</v>
      </c>
      <c r="AZ1021" s="22">
        <v>45566</v>
      </c>
      <c r="BA1021" s="26">
        <f t="shared" ca="1" si="271"/>
        <v>7.5944448950793109E-2</v>
      </c>
      <c r="BB1021" s="29">
        <f ca="1">ROUNDUP(_xlfn.NORM.INV(BA1020,BA$10,BA$12),0)</f>
        <v>252</v>
      </c>
      <c r="BC1021"/>
      <c r="BD1021" s="25"/>
      <c r="BF1021" s="22">
        <v>45566</v>
      </c>
      <c r="BG1021" s="26">
        <f t="shared" ca="1" si="272"/>
        <v>0.19264960089762395</v>
      </c>
      <c r="BH1021" s="29">
        <f ca="1">ROUNDUP(_xlfn.NORM.INV(BG1020,BG$10,BG$12),0)</f>
        <v>256</v>
      </c>
      <c r="BJ1021" s="22">
        <v>45566</v>
      </c>
      <c r="BK1021" s="26">
        <f t="shared" ca="1" si="273"/>
        <v>0.17150971662274428</v>
      </c>
      <c r="BL1021" s="29">
        <f ca="1">ROUNDUP(_xlfn.NORM.INV(BK1020,BK$10,BK$12),0)</f>
        <v>212</v>
      </c>
      <c r="BN1021" s="22">
        <v>45566</v>
      </c>
      <c r="BO1021" s="26">
        <f t="shared" ca="1" si="274"/>
        <v>0.6665614098755871</v>
      </c>
      <c r="BP1021" s="29">
        <f ca="1">ROUNDUP(_xlfn.NORM.INV(BO1020,BO$10,BO$12),0)</f>
        <v>213</v>
      </c>
      <c r="BR1021" s="22">
        <v>45566</v>
      </c>
      <c r="BS1021" s="26">
        <f t="shared" ca="1" si="275"/>
        <v>0.40597940055525783</v>
      </c>
      <c r="BT1021" s="29">
        <f ca="1">ROUNDUP(_xlfn.NORM.INV(BS1020,BS$10,BS$12),0)</f>
        <v>243</v>
      </c>
      <c r="BV1021" s="22">
        <v>45566</v>
      </c>
      <c r="BW1021" s="26">
        <f t="shared" ca="1" si="276"/>
        <v>0.59332309537138594</v>
      </c>
      <c r="BX1021" s="29">
        <f ca="1">ROUNDUP(_xlfn.NORM.INV(BW1020,BW$10,BW$12),0)</f>
        <v>249</v>
      </c>
    </row>
    <row r="1022" spans="2:77" ht="15.75" customHeight="1" x14ac:dyDescent="0.2">
      <c r="B1022" s="22">
        <v>45567</v>
      </c>
      <c r="C1022" s="26">
        <f t="shared" ca="1" si="241"/>
        <v>1.5201151181989503E-2</v>
      </c>
      <c r="D1022" s="29">
        <f t="shared" ca="1" si="242"/>
        <v>32</v>
      </c>
      <c r="F1022" s="22"/>
      <c r="G1022" s="26">
        <f t="shared" ca="1" si="260"/>
        <v>0.75271600137881001</v>
      </c>
      <c r="H1022" s="29">
        <f t="shared" ca="1" si="243"/>
        <v>226</v>
      </c>
      <c r="J1022" s="22">
        <v>45567</v>
      </c>
      <c r="K1022" s="26">
        <f t="shared" ca="1" si="261"/>
        <v>0.1220601523499758</v>
      </c>
      <c r="L1022" s="29">
        <f t="shared" ca="1" si="244"/>
        <v>139</v>
      </c>
      <c r="N1022" s="22">
        <v>45567</v>
      </c>
      <c r="O1022" s="26">
        <f t="shared" ca="1" si="262"/>
        <v>0.58135015278724922</v>
      </c>
      <c r="P1022" s="29">
        <f t="shared" ca="1" si="245"/>
        <v>233</v>
      </c>
      <c r="R1022" s="22">
        <v>45567</v>
      </c>
      <c r="S1022" s="26">
        <f t="shared" ca="1" si="263"/>
        <v>0.1594435560605636</v>
      </c>
      <c r="T1022" s="29">
        <f t="shared" ca="1" si="246"/>
        <v>130</v>
      </c>
      <c r="V1022" s="22">
        <v>45567</v>
      </c>
      <c r="W1022" s="26">
        <f t="shared" ca="1" si="264"/>
        <v>0.74817979182851502</v>
      </c>
      <c r="X1022" s="29">
        <f t="shared" ca="1" si="247"/>
        <v>236</v>
      </c>
      <c r="Z1022" s="22">
        <v>45567</v>
      </c>
      <c r="AA1022" s="26">
        <f t="shared" ca="1" si="265"/>
        <v>0.77584305868221815</v>
      </c>
      <c r="AB1022" s="29">
        <f t="shared" ca="1" si="248"/>
        <v>284</v>
      </c>
      <c r="AC1022"/>
      <c r="AD1022" s="25"/>
      <c r="AF1022" s="22">
        <v>45567</v>
      </c>
      <c r="AG1022" s="26">
        <f t="shared" ca="1" si="266"/>
        <v>0.40595423761757921</v>
      </c>
      <c r="AH1022" s="29">
        <f t="shared" ca="1" si="249"/>
        <v>307</v>
      </c>
      <c r="AJ1022" s="22">
        <v>45567</v>
      </c>
      <c r="AK1022" s="26">
        <f t="shared" ca="1" si="267"/>
        <v>8.7532832340070588E-2</v>
      </c>
      <c r="AL1022" s="29">
        <f t="shared" ca="1" si="250"/>
        <v>109</v>
      </c>
      <c r="AN1022" s="22">
        <v>45567</v>
      </c>
      <c r="AO1022" s="26">
        <f t="shared" ca="1" si="268"/>
        <v>0.50545538696452597</v>
      </c>
      <c r="AP1022" s="29">
        <f t="shared" ca="1" si="251"/>
        <v>233</v>
      </c>
      <c r="AR1022" s="22">
        <v>45567</v>
      </c>
      <c r="AS1022" s="26">
        <f t="shared" ca="1" si="269"/>
        <v>0.46828368667006248</v>
      </c>
      <c r="AT1022" s="29">
        <f t="shared" ca="1" si="252"/>
        <v>194</v>
      </c>
      <c r="AV1022" s="22">
        <v>45567</v>
      </c>
      <c r="AW1022" s="26">
        <f t="shared" ca="1" si="270"/>
        <v>0.85743303219220357</v>
      </c>
      <c r="AX1022" s="29">
        <f t="shared" ca="1" si="253"/>
        <v>265</v>
      </c>
      <c r="AZ1022" s="22">
        <v>45567</v>
      </c>
      <c r="BA1022" s="26">
        <f t="shared" ca="1" si="271"/>
        <v>0.56503339544088715</v>
      </c>
      <c r="BB1022" s="29">
        <f t="shared" ca="1" si="254"/>
        <v>244</v>
      </c>
      <c r="BC1022"/>
      <c r="BD1022" s="25"/>
      <c r="BF1022" s="22">
        <v>45567</v>
      </c>
      <c r="BG1022" s="26">
        <f t="shared" ca="1" si="272"/>
        <v>0.12364427111072096</v>
      </c>
      <c r="BH1022" s="29">
        <f t="shared" ca="1" si="255"/>
        <v>139</v>
      </c>
      <c r="BJ1022" s="22">
        <v>45567</v>
      </c>
      <c r="BK1022" s="26">
        <f t="shared" ca="1" si="273"/>
        <v>0.80133029365364572</v>
      </c>
      <c r="BL1022" s="29">
        <f t="shared" ca="1" si="256"/>
        <v>207</v>
      </c>
      <c r="BN1022" s="22">
        <v>45567</v>
      </c>
      <c r="BO1022" s="26">
        <f t="shared" ca="1" si="274"/>
        <v>0.20465654130412214</v>
      </c>
      <c r="BP1022" s="29">
        <f t="shared" ca="1" si="257"/>
        <v>169</v>
      </c>
      <c r="BR1022" s="22">
        <v>45567</v>
      </c>
      <c r="BS1022" s="26">
        <f t="shared" ca="1" si="275"/>
        <v>0.79599470191122268</v>
      </c>
      <c r="BT1022" s="29">
        <f t="shared" ca="1" si="258"/>
        <v>197</v>
      </c>
      <c r="BV1022" s="22">
        <v>45567</v>
      </c>
      <c r="BW1022" s="26">
        <f t="shared" ca="1" si="276"/>
        <v>0.81388049986311606</v>
      </c>
      <c r="BX1022" s="29">
        <f t="shared" ca="1" si="259"/>
        <v>272</v>
      </c>
    </row>
    <row r="1023" spans="2:77" ht="15.75" customHeight="1" x14ac:dyDescent="0.2">
      <c r="B1023" s="22">
        <v>45568</v>
      </c>
      <c r="C1023" s="26">
        <f t="shared" ca="1" si="241"/>
        <v>0.76468363017806251</v>
      </c>
      <c r="D1023" s="29">
        <f t="shared" ca="1" si="242"/>
        <v>90</v>
      </c>
      <c r="F1023" s="22"/>
      <c r="G1023" s="26">
        <f t="shared" ca="1" si="260"/>
        <v>0.20056754937006072</v>
      </c>
      <c r="H1023" s="29">
        <f t="shared" ca="1" si="243"/>
        <v>204</v>
      </c>
      <c r="J1023" s="22">
        <v>45568</v>
      </c>
      <c r="K1023" s="26">
        <f t="shared" ca="1" si="261"/>
        <v>0.19233742443949975</v>
      </c>
      <c r="L1023" s="29">
        <f t="shared" ca="1" si="244"/>
        <v>142</v>
      </c>
      <c r="N1023" s="22">
        <v>45568</v>
      </c>
      <c r="O1023" s="26">
        <f t="shared" ca="1" si="262"/>
        <v>0.19148622756686218</v>
      </c>
      <c r="P1023" s="29">
        <f t="shared" ca="1" si="245"/>
        <v>217</v>
      </c>
      <c r="R1023" s="22">
        <v>45568</v>
      </c>
      <c r="S1023" s="26">
        <f t="shared" ca="1" si="263"/>
        <v>0.84190536441349884</v>
      </c>
      <c r="T1023" s="29">
        <f t="shared" ca="1" si="246"/>
        <v>149</v>
      </c>
      <c r="V1023" s="22">
        <v>45568</v>
      </c>
      <c r="W1023" s="26">
        <f t="shared" ca="1" si="264"/>
        <v>0.21349512967423701</v>
      </c>
      <c r="X1023" s="29">
        <f t="shared" ca="1" si="247"/>
        <v>214</v>
      </c>
      <c r="Z1023" s="22">
        <v>45568</v>
      </c>
      <c r="AA1023" s="26">
        <f t="shared" ca="1" si="265"/>
        <v>0.23219195654514146</v>
      </c>
      <c r="AB1023" s="29">
        <f t="shared" ca="1" si="248"/>
        <v>257</v>
      </c>
      <c r="AC1023"/>
      <c r="AD1023" s="25"/>
      <c r="AF1023" s="22">
        <v>45568</v>
      </c>
      <c r="AG1023" s="26">
        <f t="shared" ca="1" si="266"/>
        <v>0.53108018671364998</v>
      </c>
      <c r="AH1023" s="29">
        <f t="shared" ca="1" si="249"/>
        <v>334</v>
      </c>
      <c r="AJ1023" s="22">
        <v>45568</v>
      </c>
      <c r="AK1023" s="26">
        <f t="shared" ca="1" si="267"/>
        <v>0.78875835814611595</v>
      </c>
      <c r="AL1023" s="29">
        <f t="shared" ca="1" si="250"/>
        <v>207</v>
      </c>
      <c r="AN1023" s="22">
        <v>45568</v>
      </c>
      <c r="AO1023" s="26">
        <f t="shared" ca="1" si="268"/>
        <v>0.75031080015803342</v>
      </c>
      <c r="AP1023" s="29">
        <f t="shared" ca="1" si="251"/>
        <v>274</v>
      </c>
      <c r="AR1023" s="22">
        <v>45568</v>
      </c>
      <c r="AS1023" s="26">
        <f t="shared" ca="1" si="269"/>
        <v>0.41166129532247064</v>
      </c>
      <c r="AT1023" s="29">
        <f t="shared" ca="1" si="252"/>
        <v>187</v>
      </c>
      <c r="AV1023" s="22">
        <v>45568</v>
      </c>
      <c r="AW1023" s="26">
        <f t="shared" ca="1" si="270"/>
        <v>0.41898413485030084</v>
      </c>
      <c r="AX1023" s="29">
        <f t="shared" ca="1" si="253"/>
        <v>195</v>
      </c>
      <c r="AZ1023" s="22">
        <v>45568</v>
      </c>
      <c r="BA1023" s="26">
        <f t="shared" ca="1" si="271"/>
        <v>0.70414295411512351</v>
      </c>
      <c r="BB1023" s="29">
        <f t="shared" ca="1" si="254"/>
        <v>267</v>
      </c>
      <c r="BC1023"/>
      <c r="BD1023" s="25"/>
      <c r="BF1023" s="22">
        <v>45568</v>
      </c>
      <c r="BG1023" s="26">
        <f t="shared" ca="1" si="272"/>
        <v>0.87735868652136562</v>
      </c>
      <c r="BH1023" s="29">
        <f t="shared" ca="1" si="255"/>
        <v>263</v>
      </c>
      <c r="BJ1023" s="22">
        <v>45568</v>
      </c>
      <c r="BK1023" s="26">
        <f t="shared" ca="1" si="273"/>
        <v>0.69887544431286397</v>
      </c>
      <c r="BL1023" s="29">
        <f t="shared" ca="1" si="256"/>
        <v>193</v>
      </c>
      <c r="BN1023" s="22">
        <v>45568</v>
      </c>
      <c r="BO1023" s="26">
        <f t="shared" ca="1" si="274"/>
        <v>0.39850842554576027</v>
      </c>
      <c r="BP1023" s="29">
        <f t="shared" ca="1" si="257"/>
        <v>201</v>
      </c>
      <c r="BR1023" s="22">
        <v>45568</v>
      </c>
      <c r="BS1023" s="26">
        <f t="shared" ca="1" si="275"/>
        <v>0.25047608691496237</v>
      </c>
      <c r="BT1023" s="29">
        <f t="shared" ca="1" si="258"/>
        <v>132</v>
      </c>
      <c r="BV1023" s="22">
        <v>45568</v>
      </c>
      <c r="BW1023" s="26">
        <f t="shared" ca="1" si="276"/>
        <v>7.0068589912839485E-3</v>
      </c>
      <c r="BX1023" s="29">
        <f t="shared" ca="1" si="259"/>
        <v>76</v>
      </c>
    </row>
    <row r="1024" spans="2:77" ht="15.75" customHeight="1" x14ac:dyDescent="0.2">
      <c r="B1024" s="22">
        <v>45569</v>
      </c>
      <c r="C1024" s="26">
        <f t="shared" ca="1" si="241"/>
        <v>0.66178362198021434</v>
      </c>
      <c r="D1024" s="29">
        <f t="shared" ca="1" si="242"/>
        <v>84</v>
      </c>
      <c r="F1024" s="22"/>
      <c r="G1024" s="26">
        <f t="shared" ca="1" si="260"/>
        <v>8.4259923282851479E-2</v>
      </c>
      <c r="H1024" s="29">
        <f t="shared" ca="1" si="243"/>
        <v>196</v>
      </c>
      <c r="J1024" s="22">
        <v>45569</v>
      </c>
      <c r="K1024" s="26">
        <f t="shared" ca="1" si="261"/>
        <v>0.82115479149496273</v>
      </c>
      <c r="L1024" s="29">
        <f t="shared" ca="1" si="244"/>
        <v>160</v>
      </c>
      <c r="N1024" s="22">
        <v>45569</v>
      </c>
      <c r="O1024" s="26">
        <f t="shared" ca="1" si="262"/>
        <v>9.4637381656685227E-2</v>
      </c>
      <c r="P1024" s="29">
        <f t="shared" ca="1" si="245"/>
        <v>210</v>
      </c>
      <c r="R1024" s="22">
        <v>45569</v>
      </c>
      <c r="S1024" s="26">
        <f t="shared" ca="1" si="263"/>
        <v>0.39154439771105443</v>
      </c>
      <c r="T1024" s="29">
        <f t="shared" ca="1" si="246"/>
        <v>137</v>
      </c>
      <c r="V1024" s="22">
        <v>45569</v>
      </c>
      <c r="W1024" s="26">
        <f t="shared" ca="1" si="264"/>
        <v>0.7795800610706437</v>
      </c>
      <c r="X1024" s="29">
        <f t="shared" ca="1" si="247"/>
        <v>237</v>
      </c>
      <c r="Z1024" s="22">
        <v>45569</v>
      </c>
      <c r="AA1024" s="26">
        <f t="shared" ca="1" si="265"/>
        <v>0.45019073496311357</v>
      </c>
      <c r="AB1024" s="29">
        <f t="shared" ca="1" si="248"/>
        <v>268</v>
      </c>
      <c r="AC1024"/>
      <c r="AD1024" s="25"/>
      <c r="AF1024" s="22">
        <v>45569</v>
      </c>
      <c r="AG1024" s="26">
        <f t="shared" ca="1" si="266"/>
        <v>0.19251509173740844</v>
      </c>
      <c r="AH1024" s="29">
        <f t="shared" ca="1" si="249"/>
        <v>252</v>
      </c>
      <c r="AJ1024" s="22">
        <v>45569</v>
      </c>
      <c r="AK1024" s="26">
        <f t="shared" ca="1" si="267"/>
        <v>0.72680474008598206</v>
      </c>
      <c r="AL1024" s="29">
        <f t="shared" ca="1" si="250"/>
        <v>198</v>
      </c>
      <c r="AN1024" s="22">
        <v>45569</v>
      </c>
      <c r="AO1024" s="26">
        <f t="shared" ca="1" si="268"/>
        <v>0.18514817986325116</v>
      </c>
      <c r="AP1024" s="29">
        <f t="shared" ca="1" si="251"/>
        <v>177</v>
      </c>
      <c r="AR1024" s="22">
        <v>45569</v>
      </c>
      <c r="AS1024" s="26">
        <f t="shared" ca="1" si="269"/>
        <v>1.3005104424254288E-2</v>
      </c>
      <c r="AT1024" s="29">
        <f t="shared" ca="1" si="252"/>
        <v>81</v>
      </c>
      <c r="AV1024" s="22">
        <v>45569</v>
      </c>
      <c r="AW1024" s="26">
        <f t="shared" ca="1" si="270"/>
        <v>0.74154965537828721</v>
      </c>
      <c r="AX1024" s="29">
        <f t="shared" ca="1" si="253"/>
        <v>242</v>
      </c>
      <c r="AZ1024" s="22">
        <v>45569</v>
      </c>
      <c r="BA1024" s="26">
        <f t="shared" ca="1" si="271"/>
        <v>0.89183253782019478</v>
      </c>
      <c r="BB1024" s="29">
        <f t="shared" ca="1" si="254"/>
        <v>311</v>
      </c>
      <c r="BC1024"/>
      <c r="BD1024" s="25"/>
      <c r="BF1024" s="22">
        <v>45569</v>
      </c>
      <c r="BG1024" s="26">
        <f t="shared" ca="1" si="272"/>
        <v>0.3302542512914588</v>
      </c>
      <c r="BH1024" s="29">
        <f t="shared" ca="1" si="255"/>
        <v>178</v>
      </c>
      <c r="BJ1024" s="22">
        <v>45569</v>
      </c>
      <c r="BK1024" s="26">
        <f t="shared" ca="1" si="273"/>
        <v>0.96913099646048928</v>
      </c>
      <c r="BL1024" s="29">
        <f t="shared" ca="1" si="256"/>
        <v>253</v>
      </c>
      <c r="BN1024" s="22">
        <v>45569</v>
      </c>
      <c r="BO1024" s="26">
        <f t="shared" ca="1" si="274"/>
        <v>0.1593079313770962</v>
      </c>
      <c r="BP1024" s="29">
        <f t="shared" ca="1" si="257"/>
        <v>159</v>
      </c>
      <c r="BR1024" s="22">
        <v>45569</v>
      </c>
      <c r="BS1024" s="26">
        <f t="shared" ca="1" si="275"/>
        <v>0.87824503698365541</v>
      </c>
      <c r="BT1024" s="29">
        <f t="shared" ca="1" si="258"/>
        <v>211</v>
      </c>
      <c r="BV1024" s="22">
        <v>45569</v>
      </c>
      <c r="BW1024" s="26">
        <f t="shared" ca="1" si="276"/>
        <v>0.31269031396324898</v>
      </c>
      <c r="BX1024" s="29">
        <f t="shared" ca="1" si="259"/>
        <v>191</v>
      </c>
    </row>
    <row r="1025" spans="2:76" ht="15.75" customHeight="1" x14ac:dyDescent="0.2">
      <c r="B1025" s="22">
        <v>45570</v>
      </c>
      <c r="C1025" s="26">
        <f t="shared" ca="1" si="241"/>
        <v>0.51095517935453938</v>
      </c>
      <c r="D1025" s="29">
        <f t="shared" ca="1" si="242"/>
        <v>76</v>
      </c>
      <c r="F1025" s="22"/>
      <c r="G1025" s="26">
        <f t="shared" ca="1" si="260"/>
        <v>0.11598951873428243</v>
      </c>
      <c r="H1025" s="29">
        <f t="shared" ca="1" si="243"/>
        <v>199</v>
      </c>
      <c r="J1025" s="22">
        <v>45570</v>
      </c>
      <c r="K1025" s="26">
        <f t="shared" ca="1" si="261"/>
        <v>0.38108641774145235</v>
      </c>
      <c r="L1025" s="29">
        <f t="shared" ca="1" si="244"/>
        <v>147</v>
      </c>
      <c r="N1025" s="22">
        <v>45570</v>
      </c>
      <c r="O1025" s="26">
        <f t="shared" ca="1" si="262"/>
        <v>0.94081436410148078</v>
      </c>
      <c r="P1025" s="29">
        <f t="shared" ca="1" si="245"/>
        <v>254</v>
      </c>
      <c r="R1025" s="22">
        <v>45570</v>
      </c>
      <c r="S1025" s="26">
        <f t="shared" ca="1" si="263"/>
        <v>0.12991583496882297</v>
      </c>
      <c r="T1025" s="29">
        <f t="shared" ca="1" si="246"/>
        <v>129</v>
      </c>
      <c r="V1025" s="22">
        <v>45570</v>
      </c>
      <c r="W1025" s="26">
        <f t="shared" ca="1" si="264"/>
        <v>0.5848426642807929</v>
      </c>
      <c r="X1025" s="29">
        <f t="shared" ca="1" si="247"/>
        <v>229</v>
      </c>
      <c r="Z1025" s="22">
        <v>45570</v>
      </c>
      <c r="AA1025" s="26">
        <f t="shared" ca="1" si="265"/>
        <v>0.45840841609205063</v>
      </c>
      <c r="AB1025" s="29">
        <f t="shared" ca="1" si="248"/>
        <v>269</v>
      </c>
      <c r="AC1025"/>
      <c r="AD1025" s="25"/>
      <c r="AF1025" s="22">
        <v>45570</v>
      </c>
      <c r="AG1025" s="26">
        <f t="shared" ca="1" si="266"/>
        <v>0.44350239194656726</v>
      </c>
      <c r="AH1025" s="29">
        <f t="shared" ca="1" si="249"/>
        <v>315</v>
      </c>
      <c r="AJ1025" s="22">
        <v>45570</v>
      </c>
      <c r="AK1025" s="26">
        <f t="shared" ca="1" si="267"/>
        <v>0.15008037772132821</v>
      </c>
      <c r="AL1025" s="29">
        <f t="shared" ca="1" si="250"/>
        <v>124</v>
      </c>
      <c r="AN1025" s="22">
        <v>45570</v>
      </c>
      <c r="AO1025" s="26">
        <f t="shared" ca="1" si="268"/>
        <v>0.58652976681176683</v>
      </c>
      <c r="AP1025" s="29">
        <f t="shared" ca="1" si="251"/>
        <v>246</v>
      </c>
      <c r="AR1025" s="22">
        <v>45570</v>
      </c>
      <c r="AS1025" s="26">
        <f t="shared" ca="1" si="269"/>
        <v>0.48928548799543714</v>
      </c>
      <c r="AT1025" s="29">
        <f t="shared" ca="1" si="252"/>
        <v>197</v>
      </c>
      <c r="AV1025" s="22">
        <v>45570</v>
      </c>
      <c r="AW1025" s="26">
        <f t="shared" ca="1" si="270"/>
        <v>0.33525091375634353</v>
      </c>
      <c r="AX1025" s="29">
        <f t="shared" ca="1" si="253"/>
        <v>183</v>
      </c>
      <c r="AZ1025" s="22">
        <v>45570</v>
      </c>
      <c r="BA1025" s="26">
        <f t="shared" ca="1" si="271"/>
        <v>0.67422164869257983</v>
      </c>
      <c r="BB1025" s="29">
        <f t="shared" ca="1" si="254"/>
        <v>262</v>
      </c>
      <c r="BC1025"/>
      <c r="BD1025" s="25"/>
      <c r="BF1025" s="22">
        <v>45570</v>
      </c>
      <c r="BG1025" s="26">
        <f t="shared" ca="1" si="272"/>
        <v>0.45192512378531313</v>
      </c>
      <c r="BH1025" s="29">
        <f t="shared" ca="1" si="255"/>
        <v>195</v>
      </c>
      <c r="BJ1025" s="22">
        <v>45570</v>
      </c>
      <c r="BK1025" s="26">
        <f t="shared" ca="1" si="273"/>
        <v>0.42773690348293558</v>
      </c>
      <c r="BL1025" s="29">
        <f t="shared" ca="1" si="256"/>
        <v>161</v>
      </c>
      <c r="BN1025" s="22">
        <v>45570</v>
      </c>
      <c r="BO1025" s="26">
        <f t="shared" ca="1" si="274"/>
        <v>0.5528356940251109</v>
      </c>
      <c r="BP1025" s="29">
        <f t="shared" ca="1" si="257"/>
        <v>224</v>
      </c>
      <c r="BR1025" s="22">
        <v>45570</v>
      </c>
      <c r="BS1025" s="26">
        <f t="shared" ca="1" si="275"/>
        <v>6.2665648665031881E-2</v>
      </c>
      <c r="BT1025" s="29">
        <f t="shared" ca="1" si="258"/>
        <v>95</v>
      </c>
      <c r="BV1025" s="22">
        <v>45570</v>
      </c>
      <c r="BW1025" s="26">
        <f t="shared" ca="1" si="276"/>
        <v>0.22445815566375804</v>
      </c>
      <c r="BX1025" s="29">
        <f t="shared" ca="1" si="259"/>
        <v>176</v>
      </c>
    </row>
    <row r="1026" spans="2:76" ht="15.75" customHeight="1" x14ac:dyDescent="0.2">
      <c r="B1026" s="22">
        <v>45571</v>
      </c>
      <c r="C1026" s="26">
        <f t="shared" ca="1" si="241"/>
        <v>0.39577947332688834</v>
      </c>
      <c r="D1026" s="29">
        <f t="shared" ca="1" si="242"/>
        <v>70</v>
      </c>
      <c r="F1026" s="22"/>
      <c r="G1026" s="26">
        <f t="shared" ca="1" si="260"/>
        <v>0.77223966673179278</v>
      </c>
      <c r="H1026" s="29">
        <f t="shared" ca="1" si="243"/>
        <v>227</v>
      </c>
      <c r="J1026" s="22">
        <v>45571</v>
      </c>
      <c r="K1026" s="26">
        <f t="shared" ca="1" si="261"/>
        <v>0.67737029381709568</v>
      </c>
      <c r="L1026" s="29">
        <f t="shared" ca="1" si="244"/>
        <v>155</v>
      </c>
      <c r="N1026" s="22">
        <v>45571</v>
      </c>
      <c r="O1026" s="26">
        <f t="shared" ca="1" si="262"/>
        <v>0.53251975285733044</v>
      </c>
      <c r="P1026" s="29">
        <f t="shared" ca="1" si="245"/>
        <v>231</v>
      </c>
      <c r="R1026" s="22">
        <v>45571</v>
      </c>
      <c r="S1026" s="26">
        <f t="shared" ca="1" si="263"/>
        <v>0.35689984770110306</v>
      </c>
      <c r="T1026" s="29">
        <f t="shared" ca="1" si="246"/>
        <v>136</v>
      </c>
      <c r="V1026" s="22">
        <v>45571</v>
      </c>
      <c r="W1026" s="26">
        <f t="shared" ca="1" si="264"/>
        <v>0.78471281182171626</v>
      </c>
      <c r="X1026" s="29">
        <f t="shared" ca="1" si="247"/>
        <v>237</v>
      </c>
      <c r="Z1026" s="22">
        <v>45571</v>
      </c>
      <c r="AA1026" s="26">
        <f t="shared" ca="1" si="265"/>
        <v>0.32201429675775428</v>
      </c>
      <c r="AB1026" s="29">
        <f t="shared" ca="1" si="248"/>
        <v>262</v>
      </c>
      <c r="AC1026"/>
      <c r="AD1026" s="25"/>
      <c r="AF1026" s="22">
        <v>45571</v>
      </c>
      <c r="AG1026" s="26">
        <f t="shared" ca="1" si="266"/>
        <v>0.9222438388662223</v>
      </c>
      <c r="AH1026" s="29">
        <f t="shared" ca="1" si="249"/>
        <v>451</v>
      </c>
      <c r="AJ1026" s="22">
        <v>45571</v>
      </c>
      <c r="AK1026" s="26">
        <f t="shared" ca="1" si="267"/>
        <v>0.55337468450538407</v>
      </c>
      <c r="AL1026" s="29">
        <f t="shared" ca="1" si="250"/>
        <v>177</v>
      </c>
      <c r="AN1026" s="22">
        <v>45571</v>
      </c>
      <c r="AO1026" s="26">
        <f t="shared" ca="1" si="268"/>
        <v>0.32513171413844522</v>
      </c>
      <c r="AP1026" s="29">
        <f t="shared" ca="1" si="251"/>
        <v>204</v>
      </c>
      <c r="AR1026" s="22">
        <v>45571</v>
      </c>
      <c r="AS1026" s="26">
        <f t="shared" ca="1" si="269"/>
        <v>0.89780850404780377</v>
      </c>
      <c r="AT1026" s="29">
        <f t="shared" ca="1" si="252"/>
        <v>266</v>
      </c>
      <c r="AV1026" s="22">
        <v>45571</v>
      </c>
      <c r="AW1026" s="26">
        <f t="shared" ca="1" si="270"/>
        <v>0.66311070156995167</v>
      </c>
      <c r="AX1026" s="29">
        <f t="shared" ca="1" si="253"/>
        <v>229</v>
      </c>
      <c r="AZ1026" s="22">
        <v>45571</v>
      </c>
      <c r="BA1026" s="26">
        <f t="shared" ca="1" si="271"/>
        <v>0.86430622965460746</v>
      </c>
      <c r="BB1026" s="29">
        <f t="shared" ca="1" si="254"/>
        <v>303</v>
      </c>
      <c r="BC1026"/>
      <c r="BD1026" s="25"/>
      <c r="BF1026" s="22">
        <v>45571</v>
      </c>
      <c r="BG1026" s="26">
        <f t="shared" ca="1" si="272"/>
        <v>0.54505515975393148</v>
      </c>
      <c r="BH1026" s="29">
        <f t="shared" ca="1" si="255"/>
        <v>207</v>
      </c>
      <c r="BJ1026" s="22">
        <v>45571</v>
      </c>
      <c r="BK1026" s="26">
        <f t="shared" ca="1" si="273"/>
        <v>2.6700633536677953E-2</v>
      </c>
      <c r="BL1026" s="29">
        <f t="shared" ca="1" si="256"/>
        <v>82</v>
      </c>
      <c r="BN1026" s="22">
        <v>45571</v>
      </c>
      <c r="BO1026" s="26">
        <f t="shared" ca="1" si="274"/>
        <v>0.9076685821958943</v>
      </c>
      <c r="BP1026" s="29">
        <f t="shared" ca="1" si="257"/>
        <v>293</v>
      </c>
      <c r="BR1026" s="22">
        <v>45571</v>
      </c>
      <c r="BS1026" s="26">
        <f t="shared" ca="1" si="275"/>
        <v>8.1295510507104707E-2</v>
      </c>
      <c r="BT1026" s="29">
        <f t="shared" ca="1" si="258"/>
        <v>101</v>
      </c>
      <c r="BV1026" s="22">
        <v>45571</v>
      </c>
      <c r="BW1026" s="26">
        <f t="shared" ca="1" si="276"/>
        <v>0.86775035155744606</v>
      </c>
      <c r="BX1026" s="29">
        <f t="shared" ca="1" si="259"/>
        <v>285</v>
      </c>
    </row>
    <row r="1027" spans="2:76" ht="15.75" customHeight="1" x14ac:dyDescent="0.2">
      <c r="B1027" s="22">
        <v>45572</v>
      </c>
      <c r="C1027" s="26">
        <f t="shared" ca="1" si="241"/>
        <v>0.72525822647688387</v>
      </c>
      <c r="D1027" s="29">
        <f t="shared" ca="1" si="242"/>
        <v>87</v>
      </c>
      <c r="F1027" s="22"/>
      <c r="G1027" s="26">
        <f t="shared" ca="1" si="260"/>
        <v>0.70525834203536109</v>
      </c>
      <c r="H1027" s="29">
        <f t="shared" ca="1" si="243"/>
        <v>224</v>
      </c>
      <c r="J1027" s="22">
        <v>45572</v>
      </c>
      <c r="K1027" s="26">
        <f t="shared" ca="1" si="261"/>
        <v>9.5161226478304495E-2</v>
      </c>
      <c r="L1027" s="29">
        <f t="shared" ca="1" si="244"/>
        <v>137</v>
      </c>
      <c r="N1027" s="22">
        <v>45572</v>
      </c>
      <c r="O1027" s="26">
        <f t="shared" ca="1" si="262"/>
        <v>0.63334880853826914</v>
      </c>
      <c r="P1027" s="29">
        <f t="shared" ca="1" si="245"/>
        <v>235</v>
      </c>
      <c r="R1027" s="22">
        <v>45572</v>
      </c>
      <c r="S1027" s="26">
        <f t="shared" ca="1" si="263"/>
        <v>0.55305310388896001</v>
      </c>
      <c r="T1027" s="29">
        <f t="shared" ca="1" si="246"/>
        <v>140</v>
      </c>
      <c r="V1027" s="22">
        <v>45572</v>
      </c>
      <c r="W1027" s="26">
        <f t="shared" ca="1" si="264"/>
        <v>0.24160982664464825</v>
      </c>
      <c r="X1027" s="29">
        <f t="shared" ca="1" si="247"/>
        <v>215</v>
      </c>
      <c r="Z1027" s="22">
        <v>45572</v>
      </c>
      <c r="AA1027" s="26">
        <f t="shared" ca="1" si="265"/>
        <v>0.47388330476691642</v>
      </c>
      <c r="AB1027" s="29">
        <f t="shared" ca="1" si="248"/>
        <v>269</v>
      </c>
      <c r="AC1027"/>
      <c r="AD1027" s="25"/>
      <c r="AF1027" s="22">
        <v>45572</v>
      </c>
      <c r="AG1027" s="26">
        <f t="shared" ca="1" si="266"/>
        <v>0.53780888925318604</v>
      </c>
      <c r="AH1027" s="29">
        <f t="shared" ca="1" si="249"/>
        <v>336</v>
      </c>
      <c r="AJ1027" s="22">
        <v>45572</v>
      </c>
      <c r="AK1027" s="26">
        <f t="shared" ca="1" si="267"/>
        <v>0.1492578820594892</v>
      </c>
      <c r="AL1027" s="29">
        <f t="shared" ca="1" si="250"/>
        <v>124</v>
      </c>
      <c r="AN1027" s="22">
        <v>45572</v>
      </c>
      <c r="AO1027" s="26">
        <f t="shared" ca="1" si="268"/>
        <v>0.80600812783858122</v>
      </c>
      <c r="AP1027" s="29">
        <f t="shared" ca="1" si="251"/>
        <v>286</v>
      </c>
      <c r="AR1027" s="22">
        <v>45572</v>
      </c>
      <c r="AS1027" s="26">
        <f t="shared" ca="1" si="269"/>
        <v>0.33021352949396499</v>
      </c>
      <c r="AT1027" s="29">
        <f t="shared" ca="1" si="252"/>
        <v>175</v>
      </c>
      <c r="AV1027" s="22">
        <v>45572</v>
      </c>
      <c r="AW1027" s="26">
        <f t="shared" ca="1" si="270"/>
        <v>0.84098928357138991</v>
      </c>
      <c r="AX1027" s="29">
        <f t="shared" ca="1" si="253"/>
        <v>261</v>
      </c>
      <c r="AZ1027" s="22">
        <v>45572</v>
      </c>
      <c r="BA1027" s="26">
        <f t="shared" ca="1" si="271"/>
        <v>0.22530462507421323</v>
      </c>
      <c r="BB1027" s="29">
        <f t="shared" ca="1" si="254"/>
        <v>187</v>
      </c>
      <c r="BC1027"/>
      <c r="BD1027" s="25"/>
      <c r="BF1027" s="22">
        <v>45572</v>
      </c>
      <c r="BG1027" s="26">
        <f t="shared" ca="1" si="272"/>
        <v>0.23254317889861498</v>
      </c>
      <c r="BH1027" s="29">
        <f t="shared" ca="1" si="255"/>
        <v>162</v>
      </c>
      <c r="BJ1027" s="22">
        <v>45572</v>
      </c>
      <c r="BK1027" s="26">
        <f t="shared" ca="1" si="273"/>
        <v>3.0224304166031057E-3</v>
      </c>
      <c r="BL1027" s="29">
        <f t="shared" ca="1" si="256"/>
        <v>46</v>
      </c>
      <c r="BN1027" s="22">
        <v>45572</v>
      </c>
      <c r="BO1027" s="26">
        <f t="shared" ca="1" si="274"/>
        <v>0.63760208578941879</v>
      </c>
      <c r="BP1027" s="29">
        <f t="shared" ca="1" si="257"/>
        <v>236</v>
      </c>
      <c r="BR1027" s="22">
        <v>45572</v>
      </c>
      <c r="BS1027" s="26">
        <f t="shared" ca="1" si="275"/>
        <v>0.60873287864771475</v>
      </c>
      <c r="BT1027" s="29">
        <f t="shared" ca="1" si="258"/>
        <v>173</v>
      </c>
      <c r="BV1027" s="22">
        <v>45572</v>
      </c>
      <c r="BW1027" s="26">
        <f t="shared" ca="1" si="276"/>
        <v>0.86630892558336836</v>
      </c>
      <c r="BX1027" s="29">
        <f t="shared" ca="1" si="259"/>
        <v>285</v>
      </c>
    </row>
    <row r="1028" spans="2:76" ht="15.75" customHeight="1" x14ac:dyDescent="0.2">
      <c r="B1028" s="22">
        <v>45573</v>
      </c>
      <c r="C1028" s="26">
        <f t="shared" ca="1" si="241"/>
        <v>0.88100988520515811</v>
      </c>
      <c r="D1028" s="29">
        <f t="shared" ca="1" si="242"/>
        <v>99</v>
      </c>
      <c r="F1028" s="22"/>
      <c r="G1028" s="26">
        <f t="shared" ca="1" si="260"/>
        <v>0.11023598317399441</v>
      </c>
      <c r="H1028" s="29">
        <f t="shared" ca="1" si="243"/>
        <v>198</v>
      </c>
      <c r="J1028" s="22">
        <v>45573</v>
      </c>
      <c r="K1028" s="26">
        <f t="shared" ca="1" si="261"/>
        <v>0.588039850786374</v>
      </c>
      <c r="L1028" s="29">
        <f t="shared" ca="1" si="244"/>
        <v>153</v>
      </c>
      <c r="N1028" s="22">
        <v>45573</v>
      </c>
      <c r="O1028" s="26">
        <f t="shared" ca="1" si="262"/>
        <v>0.90142713136139996</v>
      </c>
      <c r="P1028" s="29">
        <f t="shared" ca="1" si="245"/>
        <v>250</v>
      </c>
      <c r="R1028" s="22">
        <v>45573</v>
      </c>
      <c r="S1028" s="26">
        <f t="shared" ca="1" si="263"/>
        <v>0.9308046595887044</v>
      </c>
      <c r="T1028" s="29">
        <f t="shared" ca="1" si="246"/>
        <v>153</v>
      </c>
      <c r="V1028" s="22">
        <v>45573</v>
      </c>
      <c r="W1028" s="26">
        <f t="shared" ca="1" si="264"/>
        <v>0.32866252172044885</v>
      </c>
      <c r="X1028" s="29">
        <f t="shared" ca="1" si="247"/>
        <v>219</v>
      </c>
      <c r="Z1028" s="22">
        <v>45573</v>
      </c>
      <c r="AA1028" s="26">
        <f t="shared" ca="1" si="265"/>
        <v>0.28428568983974511</v>
      </c>
      <c r="AB1028" s="29">
        <f t="shared" ca="1" si="248"/>
        <v>260</v>
      </c>
      <c r="AC1028"/>
      <c r="AD1028" s="25"/>
      <c r="AF1028" s="22">
        <v>45573</v>
      </c>
      <c r="AG1028" s="26">
        <f t="shared" ca="1" si="266"/>
        <v>0.94063784213453383</v>
      </c>
      <c r="AH1028" s="29">
        <f t="shared" ca="1" si="249"/>
        <v>464</v>
      </c>
      <c r="AJ1028" s="22">
        <v>45573</v>
      </c>
      <c r="AK1028" s="26">
        <f t="shared" ca="1" si="267"/>
        <v>0.50583359700444486</v>
      </c>
      <c r="AL1028" s="29">
        <f t="shared" ca="1" si="250"/>
        <v>172</v>
      </c>
      <c r="AN1028" s="22">
        <v>45573</v>
      </c>
      <c r="AO1028" s="26">
        <f t="shared" ca="1" si="268"/>
        <v>0.79371533228191005</v>
      </c>
      <c r="AP1028" s="29">
        <f t="shared" ca="1" si="251"/>
        <v>283</v>
      </c>
      <c r="AR1028" s="22">
        <v>45573</v>
      </c>
      <c r="AS1028" s="26">
        <f t="shared" ca="1" si="269"/>
        <v>0.61524205211556471</v>
      </c>
      <c r="AT1028" s="29">
        <f t="shared" ca="1" si="252"/>
        <v>214</v>
      </c>
      <c r="AV1028" s="22">
        <v>45573</v>
      </c>
      <c r="AW1028" s="26">
        <f t="shared" ca="1" si="270"/>
        <v>0.38928840951992361</v>
      </c>
      <c r="AX1028" s="29">
        <f t="shared" ca="1" si="253"/>
        <v>191</v>
      </c>
      <c r="AZ1028" s="22">
        <v>45573</v>
      </c>
      <c r="BA1028" s="26">
        <f t="shared" ca="1" si="271"/>
        <v>0.25872761812712664</v>
      </c>
      <c r="BB1028" s="29">
        <f t="shared" ca="1" si="254"/>
        <v>194</v>
      </c>
      <c r="BC1028"/>
      <c r="BD1028" s="25"/>
      <c r="BF1028" s="22">
        <v>45573</v>
      </c>
      <c r="BG1028" s="26">
        <f t="shared" ca="1" si="272"/>
        <v>0.47298707618921343</v>
      </c>
      <c r="BH1028" s="29">
        <f t="shared" ca="1" si="255"/>
        <v>197</v>
      </c>
      <c r="BJ1028" s="22">
        <v>45573</v>
      </c>
      <c r="BK1028" s="26">
        <f t="shared" ca="1" si="273"/>
        <v>0.98121465375817485</v>
      </c>
      <c r="BL1028" s="29">
        <f t="shared" ca="1" si="256"/>
        <v>263</v>
      </c>
      <c r="BN1028" s="22">
        <v>45573</v>
      </c>
      <c r="BO1028" s="26">
        <f t="shared" ca="1" si="274"/>
        <v>0.62796764623459422</v>
      </c>
      <c r="BP1028" s="29">
        <f t="shared" ca="1" si="257"/>
        <v>235</v>
      </c>
      <c r="BR1028" s="22">
        <v>45573</v>
      </c>
      <c r="BS1028" s="26">
        <f t="shared" ca="1" si="275"/>
        <v>0.24007502420257543</v>
      </c>
      <c r="BT1028" s="29">
        <f t="shared" ca="1" si="258"/>
        <v>131</v>
      </c>
      <c r="BV1028" s="22">
        <v>45573</v>
      </c>
      <c r="BW1028" s="26">
        <f t="shared" ca="1" si="276"/>
        <v>0.16969368245519978</v>
      </c>
      <c r="BX1028" s="29">
        <f t="shared" ca="1" si="259"/>
        <v>164</v>
      </c>
    </row>
    <row r="1029" spans="2:76" ht="15.75" customHeight="1" x14ac:dyDescent="0.2">
      <c r="B1029" s="22">
        <v>45574</v>
      </c>
      <c r="C1029" s="26">
        <f t="shared" ca="1" si="241"/>
        <v>0.28442014689049755</v>
      </c>
      <c r="D1029" s="29">
        <f t="shared" ca="1" si="242"/>
        <v>64</v>
      </c>
      <c r="F1029" s="22"/>
      <c r="G1029" s="26">
        <f t="shared" ca="1" si="260"/>
        <v>0.44852834680311893</v>
      </c>
      <c r="H1029" s="29">
        <f t="shared" ca="1" si="243"/>
        <v>214</v>
      </c>
      <c r="J1029" s="22">
        <v>45574</v>
      </c>
      <c r="K1029" s="26">
        <f t="shared" ca="1" si="261"/>
        <v>0.84926152075194472</v>
      </c>
      <c r="L1029" s="29">
        <f t="shared" ca="1" si="244"/>
        <v>161</v>
      </c>
      <c r="N1029" s="22">
        <v>45574</v>
      </c>
      <c r="O1029" s="26">
        <f t="shared" ca="1" si="262"/>
        <v>0.66756306728079162</v>
      </c>
      <c r="P1029" s="29">
        <f t="shared" ca="1" si="245"/>
        <v>236</v>
      </c>
      <c r="R1029" s="22">
        <v>45574</v>
      </c>
      <c r="S1029" s="26">
        <f t="shared" ca="1" si="263"/>
        <v>5.1317625162468739E-2</v>
      </c>
      <c r="T1029" s="29">
        <f t="shared" ca="1" si="246"/>
        <v>124</v>
      </c>
      <c r="V1029" s="22">
        <v>45574</v>
      </c>
      <c r="W1029" s="26">
        <f t="shared" ca="1" si="264"/>
        <v>5.0090229462426472E-2</v>
      </c>
      <c r="X1029" s="29">
        <f t="shared" ca="1" si="247"/>
        <v>201</v>
      </c>
      <c r="Z1029" s="22">
        <v>45574</v>
      </c>
      <c r="AA1029" s="26">
        <f t="shared" ca="1" si="265"/>
        <v>0.81668985106824055</v>
      </c>
      <c r="AB1029" s="29">
        <f t="shared" ca="1" si="248"/>
        <v>287</v>
      </c>
      <c r="AC1029"/>
      <c r="AD1029" s="25"/>
      <c r="AF1029" s="22">
        <v>45574</v>
      </c>
      <c r="AG1029" s="26">
        <f t="shared" ca="1" si="266"/>
        <v>0.28659105461444989</v>
      </c>
      <c r="AH1029" s="29">
        <f t="shared" ca="1" si="249"/>
        <v>278</v>
      </c>
      <c r="AJ1029" s="22">
        <v>45574</v>
      </c>
      <c r="AK1029" s="26">
        <f t="shared" ca="1" si="267"/>
        <v>0.10491919490684543</v>
      </c>
      <c r="AL1029" s="29">
        <f t="shared" ca="1" si="250"/>
        <v>114</v>
      </c>
      <c r="AN1029" s="22">
        <v>45574</v>
      </c>
      <c r="AO1029" s="26">
        <f t="shared" ca="1" si="268"/>
        <v>0.8101314534287728</v>
      </c>
      <c r="AP1029" s="29">
        <f t="shared" ca="1" si="251"/>
        <v>287</v>
      </c>
      <c r="AR1029" s="22">
        <v>45574</v>
      </c>
      <c r="AS1029" s="26">
        <f t="shared" ca="1" si="269"/>
        <v>0.24656442037481952</v>
      </c>
      <c r="AT1029" s="29">
        <f t="shared" ca="1" si="252"/>
        <v>162</v>
      </c>
      <c r="AV1029" s="22">
        <v>45574</v>
      </c>
      <c r="AW1029" s="26">
        <f t="shared" ca="1" si="270"/>
        <v>0.24681916613524268</v>
      </c>
      <c r="AX1029" s="29">
        <f t="shared" ca="1" si="253"/>
        <v>168</v>
      </c>
      <c r="AZ1029" s="22">
        <v>45574</v>
      </c>
      <c r="BA1029" s="26">
        <f t="shared" ca="1" si="271"/>
        <v>0.59163013253239782</v>
      </c>
      <c r="BB1029" s="29">
        <f t="shared" ca="1" si="254"/>
        <v>248</v>
      </c>
      <c r="BC1029"/>
      <c r="BD1029" s="25"/>
      <c r="BF1029" s="22">
        <v>45574</v>
      </c>
      <c r="BG1029" s="26">
        <f t="shared" ca="1" si="272"/>
        <v>0.95287307729419268</v>
      </c>
      <c r="BH1029" s="29">
        <f t="shared" ca="1" si="255"/>
        <v>291</v>
      </c>
      <c r="BJ1029" s="22">
        <v>45574</v>
      </c>
      <c r="BK1029" s="26">
        <f t="shared" ca="1" si="273"/>
        <v>0.95520419208251572</v>
      </c>
      <c r="BL1029" s="29">
        <f t="shared" ca="1" si="256"/>
        <v>245</v>
      </c>
      <c r="BN1029" s="22">
        <v>45574</v>
      </c>
      <c r="BO1029" s="26">
        <f t="shared" ca="1" si="274"/>
        <v>0.58297753372021077</v>
      </c>
      <c r="BP1029" s="29">
        <f t="shared" ca="1" si="257"/>
        <v>228</v>
      </c>
      <c r="BR1029" s="22">
        <v>45574</v>
      </c>
      <c r="BS1029" s="26">
        <f t="shared" ca="1" si="275"/>
        <v>0.42797019672067349</v>
      </c>
      <c r="BT1029" s="29">
        <f t="shared" ca="1" si="258"/>
        <v>153</v>
      </c>
      <c r="BV1029" s="22">
        <v>45574</v>
      </c>
      <c r="BW1029" s="26">
        <f t="shared" ca="1" si="276"/>
        <v>0.7430327222955212</v>
      </c>
      <c r="BX1029" s="29">
        <f t="shared" ca="1" si="259"/>
        <v>258</v>
      </c>
    </row>
    <row r="1030" spans="2:76" ht="15.75" customHeight="1" x14ac:dyDescent="0.2">
      <c r="B1030" s="22">
        <v>45575</v>
      </c>
      <c r="C1030" s="26">
        <f t="shared" ca="1" si="241"/>
        <v>0.83665503364431226</v>
      </c>
      <c r="D1030" s="29">
        <f t="shared" ca="1" si="242"/>
        <v>95</v>
      </c>
      <c r="F1030" s="22"/>
      <c r="G1030" s="26">
        <f t="shared" ca="1" si="260"/>
        <v>0.16197223969141472</v>
      </c>
      <c r="H1030" s="29">
        <f t="shared" ca="1" si="243"/>
        <v>202</v>
      </c>
      <c r="J1030" s="22">
        <v>45575</v>
      </c>
      <c r="K1030" s="26">
        <f t="shared" ca="1" si="261"/>
        <v>0.98829984816490368</v>
      </c>
      <c r="L1030" s="29">
        <f t="shared" ca="1" si="244"/>
        <v>173</v>
      </c>
      <c r="N1030" s="22">
        <v>45575</v>
      </c>
      <c r="O1030" s="26">
        <f t="shared" ca="1" si="262"/>
        <v>0.73617360575258384</v>
      </c>
      <c r="P1030" s="29">
        <f t="shared" ca="1" si="245"/>
        <v>240</v>
      </c>
      <c r="R1030" s="22">
        <v>45575</v>
      </c>
      <c r="S1030" s="26">
        <f t="shared" ca="1" si="263"/>
        <v>7.2209130879289818E-2</v>
      </c>
      <c r="T1030" s="29">
        <f t="shared" ca="1" si="246"/>
        <v>126</v>
      </c>
      <c r="V1030" s="22">
        <v>45575</v>
      </c>
      <c r="W1030" s="26">
        <f t="shared" ca="1" si="264"/>
        <v>0.78115338863392791</v>
      </c>
      <c r="X1030" s="29">
        <f t="shared" ca="1" si="247"/>
        <v>237</v>
      </c>
      <c r="Z1030" s="22">
        <v>45575</v>
      </c>
      <c r="AA1030" s="26">
        <f t="shared" ca="1" si="265"/>
        <v>0.4676001781123984</v>
      </c>
      <c r="AB1030" s="29">
        <f t="shared" ca="1" si="248"/>
        <v>269</v>
      </c>
      <c r="AC1030"/>
      <c r="AD1030" s="25"/>
      <c r="AF1030" s="22">
        <v>45575</v>
      </c>
      <c r="AG1030" s="26">
        <f t="shared" ca="1" si="266"/>
        <v>0.33068446774331084</v>
      </c>
      <c r="AH1030" s="29">
        <f t="shared" ca="1" si="249"/>
        <v>289</v>
      </c>
      <c r="AJ1030" s="22">
        <v>45575</v>
      </c>
      <c r="AK1030" s="26">
        <f t="shared" ca="1" si="267"/>
        <v>0.30272796281832992</v>
      </c>
      <c r="AL1030" s="29">
        <f t="shared" ca="1" si="250"/>
        <v>147</v>
      </c>
      <c r="AN1030" s="22">
        <v>45575</v>
      </c>
      <c r="AO1030" s="26">
        <f t="shared" ca="1" si="268"/>
        <v>0.145611579195431</v>
      </c>
      <c r="AP1030" s="29">
        <f t="shared" ca="1" si="251"/>
        <v>167</v>
      </c>
      <c r="AR1030" s="22">
        <v>45575</v>
      </c>
      <c r="AS1030" s="26">
        <f t="shared" ca="1" si="269"/>
        <v>7.2510007295532031E-3</v>
      </c>
      <c r="AT1030" s="29">
        <f t="shared" ca="1" si="252"/>
        <v>69</v>
      </c>
      <c r="AV1030" s="22">
        <v>45575</v>
      </c>
      <c r="AW1030" s="26">
        <f t="shared" ca="1" si="270"/>
        <v>0.44230072226858286</v>
      </c>
      <c r="AX1030" s="29">
        <f t="shared" ca="1" si="253"/>
        <v>198</v>
      </c>
      <c r="AZ1030" s="22">
        <v>45575</v>
      </c>
      <c r="BA1030" s="26">
        <f t="shared" ca="1" si="271"/>
        <v>0.59800701657689403</v>
      </c>
      <c r="BB1030" s="29">
        <f t="shared" ca="1" si="254"/>
        <v>250</v>
      </c>
      <c r="BC1030"/>
      <c r="BD1030" s="25"/>
      <c r="BF1030" s="22">
        <v>45575</v>
      </c>
      <c r="BG1030" s="26">
        <f t="shared" ca="1" si="272"/>
        <v>3.9428416490671303E-2</v>
      </c>
      <c r="BH1030" s="29">
        <f t="shared" ca="1" si="255"/>
        <v>107</v>
      </c>
      <c r="BJ1030" s="22">
        <v>45575</v>
      </c>
      <c r="BK1030" s="26">
        <f t="shared" ca="1" si="273"/>
        <v>0.5419964857106756</v>
      </c>
      <c r="BL1030" s="29">
        <f t="shared" ca="1" si="256"/>
        <v>174</v>
      </c>
      <c r="BN1030" s="22">
        <v>45575</v>
      </c>
      <c r="BO1030" s="26">
        <f t="shared" ca="1" si="274"/>
        <v>0.56470736945308753</v>
      </c>
      <c r="BP1030" s="29">
        <f t="shared" ca="1" si="257"/>
        <v>226</v>
      </c>
      <c r="BR1030" s="22">
        <v>45575</v>
      </c>
      <c r="BS1030" s="26">
        <f t="shared" ca="1" si="275"/>
        <v>0.58887638234956685</v>
      </c>
      <c r="BT1030" s="29">
        <f t="shared" ca="1" si="258"/>
        <v>171</v>
      </c>
      <c r="BV1030" s="22">
        <v>45575</v>
      </c>
      <c r="BW1030" s="26">
        <f t="shared" ca="1" si="276"/>
        <v>0.84204933768227275</v>
      </c>
      <c r="BX1030" s="29">
        <f t="shared" ca="1" si="259"/>
        <v>278</v>
      </c>
    </row>
    <row r="1031" spans="2:76" ht="15.75" customHeight="1" x14ac:dyDescent="0.2">
      <c r="B1031" s="22">
        <v>45576</v>
      </c>
      <c r="C1031" s="26">
        <f t="shared" ca="1" si="241"/>
        <v>0.29330493196424867</v>
      </c>
      <c r="D1031" s="29">
        <f t="shared" ca="1" si="242"/>
        <v>65</v>
      </c>
      <c r="F1031" s="22"/>
      <c r="G1031" s="26">
        <f t="shared" ca="1" si="260"/>
        <v>6.6229345226056502E-2</v>
      </c>
      <c r="H1031" s="29">
        <f t="shared" ca="1" si="243"/>
        <v>194</v>
      </c>
      <c r="J1031" s="22">
        <v>45576</v>
      </c>
      <c r="K1031" s="26">
        <f t="shared" ca="1" si="261"/>
        <v>0.925949005563243</v>
      </c>
      <c r="L1031" s="29">
        <f t="shared" ca="1" si="244"/>
        <v>165</v>
      </c>
      <c r="N1031" s="22">
        <v>45576</v>
      </c>
      <c r="O1031" s="26">
        <f t="shared" ca="1" si="262"/>
        <v>0.56050932426185274</v>
      </c>
      <c r="P1031" s="29">
        <f t="shared" ca="1" si="245"/>
        <v>232</v>
      </c>
      <c r="R1031" s="22">
        <v>45576</v>
      </c>
      <c r="S1031" s="26">
        <f t="shared" ca="1" si="263"/>
        <v>0.27664073089455632</v>
      </c>
      <c r="T1031" s="29">
        <f t="shared" ca="1" si="246"/>
        <v>134</v>
      </c>
      <c r="V1031" s="22">
        <v>45576</v>
      </c>
      <c r="W1031" s="26">
        <f t="shared" ca="1" si="264"/>
        <v>0.81911900754340972</v>
      </c>
      <c r="X1031" s="29">
        <f t="shared" ca="1" si="247"/>
        <v>239</v>
      </c>
      <c r="Z1031" s="22">
        <v>45576</v>
      </c>
      <c r="AA1031" s="26">
        <f t="shared" ca="1" si="265"/>
        <v>0.89117206791912928</v>
      </c>
      <c r="AB1031" s="29">
        <f t="shared" ca="1" si="248"/>
        <v>293</v>
      </c>
      <c r="AC1031"/>
      <c r="AD1031" s="25"/>
      <c r="AF1031" s="22">
        <v>45576</v>
      </c>
      <c r="AG1031" s="26">
        <f t="shared" ca="1" si="266"/>
        <v>7.6201642372717537E-2</v>
      </c>
      <c r="AH1031" s="29">
        <f t="shared" ca="1" si="249"/>
        <v>203</v>
      </c>
      <c r="AJ1031" s="22">
        <v>45576</v>
      </c>
      <c r="AK1031" s="26">
        <f t="shared" ca="1" si="267"/>
        <v>5.8940884325125564E-2</v>
      </c>
      <c r="AL1031" s="29">
        <f t="shared" ca="1" si="250"/>
        <v>100</v>
      </c>
      <c r="AN1031" s="22">
        <v>45576</v>
      </c>
      <c r="AO1031" s="26">
        <f t="shared" ca="1" si="268"/>
        <v>2.3651963776994411E-2</v>
      </c>
      <c r="AP1031" s="29">
        <f t="shared" ca="1" si="251"/>
        <v>110</v>
      </c>
      <c r="AR1031" s="22">
        <v>45576</v>
      </c>
      <c r="AS1031" s="26">
        <f t="shared" ca="1" si="269"/>
        <v>0.99425654363935101</v>
      </c>
      <c r="AT1031" s="29">
        <f t="shared" ca="1" si="252"/>
        <v>332</v>
      </c>
      <c r="AV1031" s="22">
        <v>45576</v>
      </c>
      <c r="AW1031" s="26">
        <f t="shared" ca="1" si="270"/>
        <v>0.14810008247602369</v>
      </c>
      <c r="AX1031" s="29">
        <f t="shared" ca="1" si="253"/>
        <v>149</v>
      </c>
      <c r="AZ1031" s="22">
        <v>45576</v>
      </c>
      <c r="BA1031" s="26">
        <f t="shared" ca="1" si="271"/>
        <v>0.36617867285748584</v>
      </c>
      <c r="BB1031" s="29">
        <f t="shared" ca="1" si="254"/>
        <v>213</v>
      </c>
      <c r="BC1031"/>
      <c r="BD1031" s="25"/>
      <c r="BF1031" s="22">
        <v>45576</v>
      </c>
      <c r="BG1031" s="26">
        <f t="shared" ca="1" si="272"/>
        <v>0.48626947623805561</v>
      </c>
      <c r="BH1031" s="29">
        <f t="shared" ca="1" si="255"/>
        <v>199</v>
      </c>
      <c r="BJ1031" s="22">
        <v>45576</v>
      </c>
      <c r="BK1031" s="26">
        <f t="shared" ca="1" si="273"/>
        <v>0.89573834875920544</v>
      </c>
      <c r="BL1031" s="29">
        <f t="shared" ca="1" si="256"/>
        <v>226</v>
      </c>
      <c r="BN1031" s="22">
        <v>45576</v>
      </c>
      <c r="BO1031" s="26">
        <f t="shared" ca="1" si="274"/>
        <v>0.63810798639805766</v>
      </c>
      <c r="BP1031" s="29">
        <f t="shared" ca="1" si="257"/>
        <v>237</v>
      </c>
      <c r="BR1031" s="22">
        <v>45576</v>
      </c>
      <c r="BS1031" s="26">
        <f t="shared" ca="1" si="275"/>
        <v>0.94488047828296517</v>
      </c>
      <c r="BT1031" s="29">
        <f t="shared" ca="1" si="258"/>
        <v>230</v>
      </c>
      <c r="BV1031" s="22">
        <v>45576</v>
      </c>
      <c r="BW1031" s="26">
        <f t="shared" ca="1" si="276"/>
        <v>9.9304845954016452E-2</v>
      </c>
      <c r="BX1031" s="29">
        <f t="shared" ca="1" si="259"/>
        <v>145</v>
      </c>
    </row>
    <row r="1032" spans="2:76" ht="15.75" customHeight="1" x14ac:dyDescent="0.2">
      <c r="B1032" s="22">
        <v>45577</v>
      </c>
      <c r="C1032" s="26">
        <f t="shared" ca="1" si="241"/>
        <v>0.79338086102935224</v>
      </c>
      <c r="D1032" s="29">
        <f t="shared" ca="1" si="242"/>
        <v>92</v>
      </c>
      <c r="F1032" s="22"/>
      <c r="G1032" s="26">
        <f t="shared" ca="1" si="260"/>
        <v>0.7360449987091382</v>
      </c>
      <c r="H1032" s="29">
        <f t="shared" ca="1" si="243"/>
        <v>225</v>
      </c>
      <c r="J1032" s="22">
        <v>45577</v>
      </c>
      <c r="K1032" s="26">
        <f t="shared" ca="1" si="261"/>
        <v>0.47654480973690583</v>
      </c>
      <c r="L1032" s="29">
        <f t="shared" ca="1" si="244"/>
        <v>150</v>
      </c>
      <c r="N1032" s="22">
        <v>45577</v>
      </c>
      <c r="O1032" s="26">
        <f t="shared" ca="1" si="262"/>
        <v>0.34689621163865281</v>
      </c>
      <c r="P1032" s="29">
        <f t="shared" ca="1" si="245"/>
        <v>224</v>
      </c>
      <c r="R1032" s="22">
        <v>45577</v>
      </c>
      <c r="S1032" s="26">
        <f t="shared" ca="1" si="263"/>
        <v>0.83166329705564646</v>
      </c>
      <c r="T1032" s="29">
        <f t="shared" ca="1" si="246"/>
        <v>148</v>
      </c>
      <c r="V1032" s="22">
        <v>45577</v>
      </c>
      <c r="W1032" s="26">
        <f t="shared" ca="1" si="264"/>
        <v>7.5353405893740955E-2</v>
      </c>
      <c r="X1032" s="29">
        <f t="shared" ca="1" si="247"/>
        <v>204</v>
      </c>
      <c r="Z1032" s="22">
        <v>45577</v>
      </c>
      <c r="AA1032" s="26">
        <f t="shared" ca="1" si="265"/>
        <v>0.67826379724771291</v>
      </c>
      <c r="AB1032" s="29">
        <f t="shared" ca="1" si="248"/>
        <v>279</v>
      </c>
      <c r="AC1032"/>
      <c r="AD1032" s="25"/>
      <c r="AF1032" s="22">
        <v>45577</v>
      </c>
      <c r="AG1032" s="26">
        <f t="shared" ca="1" si="266"/>
        <v>0.12077884036766129</v>
      </c>
      <c r="AH1032" s="29">
        <f t="shared" ca="1" si="249"/>
        <v>225</v>
      </c>
      <c r="AJ1032" s="22">
        <v>45577</v>
      </c>
      <c r="AK1032" s="26">
        <f t="shared" ca="1" si="267"/>
        <v>0.90256581650284973</v>
      </c>
      <c r="AL1032" s="29">
        <f t="shared" ca="1" si="250"/>
        <v>230</v>
      </c>
      <c r="AN1032" s="22">
        <v>45577</v>
      </c>
      <c r="AO1032" s="26">
        <f t="shared" ca="1" si="268"/>
        <v>0.42563183797796256</v>
      </c>
      <c r="AP1032" s="29">
        <f t="shared" ca="1" si="251"/>
        <v>221</v>
      </c>
      <c r="AR1032" s="22">
        <v>45577</v>
      </c>
      <c r="AS1032" s="26">
        <f t="shared" ca="1" si="269"/>
        <v>0.39995558301611278</v>
      </c>
      <c r="AT1032" s="29">
        <f t="shared" ca="1" si="252"/>
        <v>185</v>
      </c>
      <c r="AV1032" s="22">
        <v>45577</v>
      </c>
      <c r="AW1032" s="26">
        <f t="shared" ca="1" si="270"/>
        <v>0.72467288416025966</v>
      </c>
      <c r="AX1032" s="29">
        <f t="shared" ca="1" si="253"/>
        <v>239</v>
      </c>
      <c r="AZ1032" s="22">
        <v>45577</v>
      </c>
      <c r="BA1032" s="26">
        <f t="shared" ca="1" si="271"/>
        <v>0.35267476296905775</v>
      </c>
      <c r="BB1032" s="29">
        <f t="shared" ca="1" si="254"/>
        <v>211</v>
      </c>
      <c r="BC1032"/>
      <c r="BD1032" s="25"/>
      <c r="BF1032" s="22">
        <v>45577</v>
      </c>
      <c r="BG1032" s="26">
        <f t="shared" ca="1" si="272"/>
        <v>9.4457718374777677E-2</v>
      </c>
      <c r="BH1032" s="29">
        <f t="shared" ca="1" si="255"/>
        <v>131</v>
      </c>
      <c r="BJ1032" s="22">
        <v>45577</v>
      </c>
      <c r="BK1032" s="26">
        <f t="shared" ca="1" si="273"/>
        <v>0.40489317293625615</v>
      </c>
      <c r="BL1032" s="29">
        <f t="shared" ca="1" si="256"/>
        <v>158</v>
      </c>
      <c r="BN1032" s="22">
        <v>45577</v>
      </c>
      <c r="BO1032" s="26">
        <f t="shared" ca="1" si="274"/>
        <v>0.35396793689960748</v>
      </c>
      <c r="BP1032" s="29">
        <f t="shared" ca="1" si="257"/>
        <v>195</v>
      </c>
      <c r="BR1032" s="22">
        <v>45577</v>
      </c>
      <c r="BS1032" s="26">
        <f t="shared" ca="1" si="275"/>
        <v>0.49911345460227352</v>
      </c>
      <c r="BT1032" s="29">
        <f t="shared" ca="1" si="258"/>
        <v>161</v>
      </c>
      <c r="BV1032" s="22">
        <v>45577</v>
      </c>
      <c r="BW1032" s="26">
        <f t="shared" ca="1" si="276"/>
        <v>0.94077863768532899</v>
      </c>
      <c r="BX1032" s="29">
        <f t="shared" ca="1" si="259"/>
        <v>311</v>
      </c>
    </row>
    <row r="1033" spans="2:76" ht="15.75" customHeight="1" x14ac:dyDescent="0.2">
      <c r="B1033" s="22">
        <v>45578</v>
      </c>
      <c r="C1033" s="26">
        <f t="shared" ca="1" si="241"/>
        <v>0.70949404042420705</v>
      </c>
      <c r="D1033" s="29">
        <f t="shared" ca="1" si="242"/>
        <v>87</v>
      </c>
      <c r="F1033" s="22"/>
      <c r="G1033" s="26">
        <f t="shared" ca="1" si="260"/>
        <v>0.30574468379562714</v>
      </c>
      <c r="H1033" s="29">
        <f t="shared" ca="1" si="243"/>
        <v>209</v>
      </c>
      <c r="J1033" s="22">
        <v>45578</v>
      </c>
      <c r="K1033" s="26">
        <f t="shared" ca="1" si="261"/>
        <v>0.78121544956961475</v>
      </c>
      <c r="L1033" s="29">
        <f t="shared" ca="1" si="244"/>
        <v>158</v>
      </c>
      <c r="N1033" s="22">
        <v>45578</v>
      </c>
      <c r="O1033" s="26">
        <f t="shared" ca="1" si="262"/>
        <v>0.22092415053256187</v>
      </c>
      <c r="P1033" s="29">
        <f t="shared" ca="1" si="245"/>
        <v>218</v>
      </c>
      <c r="R1033" s="22">
        <v>45578</v>
      </c>
      <c r="S1033" s="26">
        <f t="shared" ca="1" si="263"/>
        <v>0.41965182036206761</v>
      </c>
      <c r="T1033" s="29">
        <f t="shared" ca="1" si="246"/>
        <v>137</v>
      </c>
      <c r="V1033" s="22">
        <v>45578</v>
      </c>
      <c r="W1033" s="26">
        <f t="shared" ca="1" si="264"/>
        <v>0.68408622761962978</v>
      </c>
      <c r="X1033" s="29">
        <f t="shared" ca="1" si="247"/>
        <v>233</v>
      </c>
      <c r="Z1033" s="22">
        <v>45578</v>
      </c>
      <c r="AA1033" s="26">
        <f t="shared" ca="1" si="265"/>
        <v>0.93554283535323979</v>
      </c>
      <c r="AB1033" s="29">
        <f t="shared" ca="1" si="248"/>
        <v>298</v>
      </c>
      <c r="AC1033"/>
      <c r="AD1033" s="25"/>
      <c r="AF1033" s="22">
        <v>45578</v>
      </c>
      <c r="AG1033" s="26">
        <f t="shared" ca="1" si="266"/>
        <v>0.22338971345626624</v>
      </c>
      <c r="AH1033" s="29">
        <f t="shared" ca="1" si="249"/>
        <v>261</v>
      </c>
      <c r="AJ1033" s="22">
        <v>45578</v>
      </c>
      <c r="AK1033" s="26">
        <f t="shared" ca="1" si="267"/>
        <v>0.50952007400059329</v>
      </c>
      <c r="AL1033" s="29">
        <f t="shared" ca="1" si="250"/>
        <v>172</v>
      </c>
      <c r="AN1033" s="22">
        <v>45578</v>
      </c>
      <c r="AO1033" s="26">
        <f t="shared" ca="1" si="268"/>
        <v>0.79861545781265575</v>
      </c>
      <c r="AP1033" s="29">
        <f t="shared" ca="1" si="251"/>
        <v>284</v>
      </c>
      <c r="AR1033" s="22">
        <v>45578</v>
      </c>
      <c r="AS1033" s="26">
        <f t="shared" ca="1" si="269"/>
        <v>0.14533883012956217</v>
      </c>
      <c r="AT1033" s="29">
        <f t="shared" ca="1" si="252"/>
        <v>143</v>
      </c>
      <c r="AV1033" s="22">
        <v>45578</v>
      </c>
      <c r="AW1033" s="26">
        <f t="shared" ca="1" si="270"/>
        <v>0.59064746109251609</v>
      </c>
      <c r="AX1033" s="29">
        <f t="shared" ca="1" si="253"/>
        <v>219</v>
      </c>
      <c r="AZ1033" s="22">
        <v>45578</v>
      </c>
      <c r="BA1033" s="26">
        <f t="shared" ca="1" si="271"/>
        <v>0.19930009542976856</v>
      </c>
      <c r="BB1033" s="29">
        <f t="shared" ca="1" si="254"/>
        <v>181</v>
      </c>
      <c r="BC1033"/>
      <c r="BD1033" s="25"/>
      <c r="BF1033" s="22">
        <v>45578</v>
      </c>
      <c r="BG1033" s="26">
        <f t="shared" ca="1" si="272"/>
        <v>7.8683928522010782E-2</v>
      </c>
      <c r="BH1033" s="29">
        <f t="shared" ca="1" si="255"/>
        <v>125</v>
      </c>
      <c r="BJ1033" s="22">
        <v>45578</v>
      </c>
      <c r="BK1033" s="26">
        <f t="shared" ca="1" si="273"/>
        <v>0.15923683348154827</v>
      </c>
      <c r="BL1033" s="29">
        <f t="shared" ca="1" si="256"/>
        <v>124</v>
      </c>
      <c r="BN1033" s="22">
        <v>45578</v>
      </c>
      <c r="BO1033" s="26">
        <f t="shared" ca="1" si="274"/>
        <v>0.96345413686075243</v>
      </c>
      <c r="BP1033" s="29">
        <f t="shared" ca="1" si="257"/>
        <v>319</v>
      </c>
      <c r="BR1033" s="22">
        <v>45578</v>
      </c>
      <c r="BS1033" s="26">
        <f t="shared" ca="1" si="275"/>
        <v>0.76203271745492984</v>
      </c>
      <c r="BT1033" s="29">
        <f t="shared" ca="1" si="258"/>
        <v>192</v>
      </c>
      <c r="BV1033" s="22">
        <v>45578</v>
      </c>
      <c r="BW1033" s="26">
        <f t="shared" ca="1" si="276"/>
        <v>0.68106281879135455</v>
      </c>
      <c r="BX1033" s="29">
        <f t="shared" ca="1" si="259"/>
        <v>247</v>
      </c>
    </row>
    <row r="1034" spans="2:76" ht="15.75" customHeight="1" x14ac:dyDescent="0.2">
      <c r="B1034" s="22">
        <v>45579</v>
      </c>
      <c r="C1034" s="26">
        <f t="shared" ca="1" si="241"/>
        <v>0.65669164619108178</v>
      </c>
      <c r="D1034" s="29">
        <f t="shared" ca="1" si="242"/>
        <v>84</v>
      </c>
      <c r="F1034" s="22"/>
      <c r="G1034" s="26">
        <f t="shared" ca="1" si="260"/>
        <v>0.49069249429532458</v>
      </c>
      <c r="H1034" s="29">
        <f t="shared" ca="1" si="243"/>
        <v>216</v>
      </c>
      <c r="J1034" s="22">
        <v>45579</v>
      </c>
      <c r="K1034" s="26">
        <f t="shared" ca="1" si="261"/>
        <v>0.27018533366873176</v>
      </c>
      <c r="L1034" s="29">
        <f t="shared" ca="1" si="244"/>
        <v>144</v>
      </c>
      <c r="N1034" s="22">
        <v>45579</v>
      </c>
      <c r="O1034" s="26">
        <f t="shared" ca="1" si="262"/>
        <v>0.48926736252856895</v>
      </c>
      <c r="P1034" s="29">
        <f t="shared" ca="1" si="245"/>
        <v>229</v>
      </c>
      <c r="R1034" s="22">
        <v>45579</v>
      </c>
      <c r="S1034" s="26">
        <f t="shared" ca="1" si="263"/>
        <v>0.33550018302740758</v>
      </c>
      <c r="T1034" s="29">
        <f t="shared" ca="1" si="246"/>
        <v>135</v>
      </c>
      <c r="V1034" s="22">
        <v>45579</v>
      </c>
      <c r="W1034" s="26">
        <f t="shared" ca="1" si="264"/>
        <v>0.15614921752413424</v>
      </c>
      <c r="X1034" s="29">
        <f t="shared" ca="1" si="247"/>
        <v>210</v>
      </c>
      <c r="Z1034" s="22">
        <v>45579</v>
      </c>
      <c r="AA1034" s="26">
        <f t="shared" ca="1" si="265"/>
        <v>0.74739352672939974</v>
      </c>
      <c r="AB1034" s="29">
        <f t="shared" ca="1" si="248"/>
        <v>282</v>
      </c>
      <c r="AC1034"/>
      <c r="AD1034" s="25"/>
      <c r="AF1034" s="22">
        <v>45579</v>
      </c>
      <c r="AG1034" s="26">
        <f t="shared" ca="1" si="266"/>
        <v>4.5450456544625206E-2</v>
      </c>
      <c r="AH1034" s="29">
        <f t="shared" ca="1" si="249"/>
        <v>180</v>
      </c>
      <c r="AJ1034" s="22">
        <v>45579</v>
      </c>
      <c r="AK1034" s="26">
        <f t="shared" ca="1" si="267"/>
        <v>0.82485779268713644</v>
      </c>
      <c r="AL1034" s="29">
        <f t="shared" ca="1" si="250"/>
        <v>213</v>
      </c>
      <c r="AN1034" s="22">
        <v>45579</v>
      </c>
      <c r="AO1034" s="26">
        <f t="shared" ca="1" si="268"/>
        <v>0.84606724055836535</v>
      </c>
      <c r="AP1034" s="29">
        <f t="shared" ca="1" si="251"/>
        <v>296</v>
      </c>
      <c r="AR1034" s="22">
        <v>45579</v>
      </c>
      <c r="AS1034" s="26">
        <f t="shared" ca="1" si="269"/>
        <v>0.27345599637347096</v>
      </c>
      <c r="AT1034" s="29">
        <f t="shared" ca="1" si="252"/>
        <v>167</v>
      </c>
      <c r="AV1034" s="22">
        <v>45579</v>
      </c>
      <c r="AW1034" s="26">
        <f t="shared" ca="1" si="270"/>
        <v>0.36661180512512148</v>
      </c>
      <c r="AX1034" s="29">
        <f t="shared" ca="1" si="253"/>
        <v>187</v>
      </c>
      <c r="AZ1034" s="22">
        <v>45579</v>
      </c>
      <c r="BA1034" s="26">
        <f t="shared" ca="1" si="271"/>
        <v>0.84856463778625979</v>
      </c>
      <c r="BB1034" s="29">
        <f t="shared" ca="1" si="254"/>
        <v>298</v>
      </c>
      <c r="BC1034"/>
      <c r="BD1034" s="25"/>
      <c r="BF1034" s="22">
        <v>45579</v>
      </c>
      <c r="BG1034" s="26">
        <f t="shared" ca="1" si="272"/>
        <v>0.80093393824015524</v>
      </c>
      <c r="BH1034" s="29">
        <f t="shared" ca="1" si="255"/>
        <v>246</v>
      </c>
      <c r="BJ1034" s="22">
        <v>45579</v>
      </c>
      <c r="BK1034" s="26">
        <f t="shared" ca="1" si="273"/>
        <v>0.32361979892833981</v>
      </c>
      <c r="BL1034" s="29">
        <f t="shared" ca="1" si="256"/>
        <v>149</v>
      </c>
      <c r="BN1034" s="22">
        <v>45579</v>
      </c>
      <c r="BO1034" s="26">
        <f t="shared" ca="1" si="274"/>
        <v>0.39855506591238166</v>
      </c>
      <c r="BP1034" s="29">
        <f t="shared" ca="1" si="257"/>
        <v>201</v>
      </c>
      <c r="BR1034" s="22">
        <v>45579</v>
      </c>
      <c r="BS1034" s="26">
        <f t="shared" ca="1" si="275"/>
        <v>0.21252699654255802</v>
      </c>
      <c r="BT1034" s="29">
        <f t="shared" ca="1" si="258"/>
        <v>127</v>
      </c>
      <c r="BV1034" s="22">
        <v>45579</v>
      </c>
      <c r="BW1034" s="26">
        <f t="shared" ca="1" si="276"/>
        <v>0.14874742333496505</v>
      </c>
      <c r="BX1034" s="29">
        <f t="shared" ca="1" si="259"/>
        <v>159</v>
      </c>
    </row>
    <row r="1035" spans="2:76" ht="15.75" customHeight="1" x14ac:dyDescent="0.2">
      <c r="B1035" s="22">
        <v>45580</v>
      </c>
      <c r="C1035" s="26">
        <f t="shared" ca="1" si="241"/>
        <v>0.19660840459022422</v>
      </c>
      <c r="D1035" s="29">
        <f t="shared" ca="1" si="242"/>
        <v>58</v>
      </c>
      <c r="F1035" s="22"/>
      <c r="G1035" s="26">
        <f t="shared" ca="1" si="260"/>
        <v>3.1552058505190939E-4</v>
      </c>
      <c r="H1035" s="29">
        <f t="shared" ca="1" si="243"/>
        <v>167</v>
      </c>
      <c r="J1035" s="22">
        <v>45580</v>
      </c>
      <c r="K1035" s="26">
        <f t="shared" ca="1" si="261"/>
        <v>0.764296073750375</v>
      </c>
      <c r="L1035" s="29">
        <f t="shared" ca="1" si="244"/>
        <v>158</v>
      </c>
      <c r="N1035" s="22">
        <v>45580</v>
      </c>
      <c r="O1035" s="26">
        <f t="shared" ca="1" si="262"/>
        <v>0.5367195009960849</v>
      </c>
      <c r="P1035" s="29">
        <f t="shared" ca="1" si="245"/>
        <v>231</v>
      </c>
      <c r="R1035" s="22">
        <v>45580</v>
      </c>
      <c r="S1035" s="26">
        <f t="shared" ca="1" si="263"/>
        <v>0.78965697630976994</v>
      </c>
      <c r="T1035" s="29">
        <f t="shared" ca="1" si="246"/>
        <v>147</v>
      </c>
      <c r="V1035" s="22">
        <v>45580</v>
      </c>
      <c r="W1035" s="26">
        <f t="shared" ca="1" si="264"/>
        <v>0.96600672438638846</v>
      </c>
      <c r="X1035" s="29">
        <f t="shared" ca="1" si="247"/>
        <v>253</v>
      </c>
      <c r="Z1035" s="22">
        <v>45580</v>
      </c>
      <c r="AA1035" s="26">
        <f t="shared" ca="1" si="265"/>
        <v>0.93186639056412157</v>
      </c>
      <c r="AB1035" s="29">
        <f t="shared" ca="1" si="248"/>
        <v>297</v>
      </c>
      <c r="AC1035"/>
      <c r="AD1035" s="25"/>
      <c r="AF1035" s="22">
        <v>45580</v>
      </c>
      <c r="AG1035" s="26">
        <f t="shared" ca="1" si="266"/>
        <v>0.82957374079704316</v>
      </c>
      <c r="AH1035" s="29">
        <f t="shared" ca="1" si="249"/>
        <v>411</v>
      </c>
      <c r="AJ1035" s="22">
        <v>45580</v>
      </c>
      <c r="AK1035" s="26">
        <f t="shared" ca="1" si="267"/>
        <v>0.42327707790224034</v>
      </c>
      <c r="AL1035" s="29">
        <f t="shared" ca="1" si="250"/>
        <v>162</v>
      </c>
      <c r="AN1035" s="22">
        <v>45580</v>
      </c>
      <c r="AO1035" s="26">
        <f t="shared" ca="1" si="268"/>
        <v>0.55393113372143876</v>
      </c>
      <c r="AP1035" s="29">
        <f t="shared" ca="1" si="251"/>
        <v>241</v>
      </c>
      <c r="AR1035" s="22">
        <v>45580</v>
      </c>
      <c r="AS1035" s="26">
        <f t="shared" ca="1" si="269"/>
        <v>2.8964330112210113E-2</v>
      </c>
      <c r="AT1035" s="29">
        <f t="shared" ca="1" si="252"/>
        <v>98</v>
      </c>
      <c r="AV1035" s="22">
        <v>45580</v>
      </c>
      <c r="AW1035" s="26">
        <f t="shared" ca="1" si="270"/>
        <v>0.88259860203764162</v>
      </c>
      <c r="AX1035" s="29">
        <f t="shared" ca="1" si="253"/>
        <v>271</v>
      </c>
      <c r="AZ1035" s="22">
        <v>45580</v>
      </c>
      <c r="BA1035" s="26">
        <f t="shared" ca="1" si="271"/>
        <v>0.79236312825876709</v>
      </c>
      <c r="BB1035" s="29">
        <f t="shared" ca="1" si="254"/>
        <v>285</v>
      </c>
      <c r="BC1035"/>
      <c r="BD1035" s="25"/>
      <c r="BF1035" s="22">
        <v>45580</v>
      </c>
      <c r="BG1035" s="26">
        <f t="shared" ca="1" si="272"/>
        <v>0.93978774641987295</v>
      </c>
      <c r="BH1035" s="29">
        <f t="shared" ca="1" si="255"/>
        <v>284</v>
      </c>
      <c r="BJ1035" s="22">
        <v>45580</v>
      </c>
      <c r="BK1035" s="26">
        <f t="shared" ca="1" si="273"/>
        <v>0.38529702552329503</v>
      </c>
      <c r="BL1035" s="29">
        <f t="shared" ca="1" si="256"/>
        <v>156</v>
      </c>
      <c r="BN1035" s="22">
        <v>45580</v>
      </c>
      <c r="BO1035" s="26">
        <f t="shared" ca="1" si="274"/>
        <v>1.7913485082116765E-2</v>
      </c>
      <c r="BP1035" s="29">
        <f t="shared" ca="1" si="257"/>
        <v>95</v>
      </c>
      <c r="BR1035" s="22">
        <v>45580</v>
      </c>
      <c r="BS1035" s="26">
        <f t="shared" ca="1" si="275"/>
        <v>0.35788475168632583</v>
      </c>
      <c r="BT1035" s="29">
        <f t="shared" ca="1" si="258"/>
        <v>146</v>
      </c>
      <c r="BV1035" s="22">
        <v>45580</v>
      </c>
      <c r="BW1035" s="26">
        <f t="shared" ca="1" si="276"/>
        <v>0.90501340514397399</v>
      </c>
      <c r="BX1035" s="29">
        <f t="shared" ca="1" si="259"/>
        <v>296</v>
      </c>
    </row>
    <row r="1036" spans="2:76" ht="15.75" customHeight="1" x14ac:dyDescent="0.2">
      <c r="B1036" s="22">
        <v>45581</v>
      </c>
      <c r="C1036" s="26">
        <f t="shared" ca="1" si="241"/>
        <v>0.49780781056024404</v>
      </c>
      <c r="D1036" s="29">
        <v>0</v>
      </c>
      <c r="F1036" s="22"/>
      <c r="G1036" s="26">
        <f t="shared" ca="1" si="260"/>
        <v>0.92344420251875337</v>
      </c>
      <c r="H1036" s="29">
        <v>0</v>
      </c>
      <c r="J1036" s="22">
        <v>45581</v>
      </c>
      <c r="K1036" s="26">
        <f t="shared" ca="1" si="261"/>
        <v>0.82847159059660946</v>
      </c>
      <c r="L1036" s="29">
        <v>0</v>
      </c>
      <c r="N1036" s="22">
        <v>45581</v>
      </c>
      <c r="O1036" s="26">
        <f t="shared" ca="1" si="262"/>
        <v>0.85126099669431643</v>
      </c>
      <c r="P1036" s="29">
        <v>0</v>
      </c>
      <c r="R1036" s="22">
        <v>45581</v>
      </c>
      <c r="S1036" s="26">
        <f t="shared" ca="1" si="263"/>
        <v>0.69373526287901721</v>
      </c>
      <c r="T1036" s="29">
        <v>0</v>
      </c>
      <c r="V1036" s="22">
        <v>45581</v>
      </c>
      <c r="W1036" s="26">
        <f t="shared" ca="1" si="264"/>
        <v>0.88393789751674279</v>
      </c>
      <c r="X1036" s="29">
        <v>0</v>
      </c>
      <c r="Z1036" s="22">
        <v>45581</v>
      </c>
      <c r="AA1036" s="26">
        <f t="shared" ca="1" si="265"/>
        <v>0.92014875015958608</v>
      </c>
      <c r="AB1036" s="29">
        <v>0</v>
      </c>
      <c r="AC1036"/>
      <c r="AD1036" s="25"/>
      <c r="AF1036" s="22">
        <v>45581</v>
      </c>
      <c r="AG1036" s="26">
        <f t="shared" ca="1" si="266"/>
        <v>0.5391227710980373</v>
      </c>
      <c r="AH1036" s="29">
        <v>0</v>
      </c>
      <c r="AJ1036" s="22">
        <v>45581</v>
      </c>
      <c r="AK1036" s="26">
        <f t="shared" ca="1" si="267"/>
        <v>9.742034872265104E-2</v>
      </c>
      <c r="AL1036" s="29">
        <v>0</v>
      </c>
      <c r="AN1036" s="22">
        <v>45581</v>
      </c>
      <c r="AO1036" s="26">
        <f t="shared" ca="1" si="268"/>
        <v>0.61473288768545264</v>
      </c>
      <c r="AP1036" s="29">
        <v>0</v>
      </c>
      <c r="AR1036" s="22">
        <v>45581</v>
      </c>
      <c r="AS1036" s="26">
        <f t="shared" ca="1" si="269"/>
        <v>0.88478217032805218</v>
      </c>
      <c r="AT1036" s="29">
        <v>0</v>
      </c>
      <c r="AV1036" s="22">
        <v>45581</v>
      </c>
      <c r="AW1036" s="26">
        <f t="shared" ca="1" si="270"/>
        <v>0.72175589554434105</v>
      </c>
      <c r="AX1036" s="29">
        <v>0</v>
      </c>
      <c r="AZ1036" s="22">
        <v>45581</v>
      </c>
      <c r="BA1036" s="26">
        <f t="shared" ca="1" si="271"/>
        <v>0.57153289385621486</v>
      </c>
      <c r="BB1036" s="29">
        <v>0</v>
      </c>
      <c r="BC1036"/>
      <c r="BD1036" s="25"/>
      <c r="BF1036" s="22">
        <v>45581</v>
      </c>
      <c r="BG1036" s="26">
        <f t="shared" ca="1" si="272"/>
        <v>0.61659045770318488</v>
      </c>
      <c r="BH1036" s="29">
        <v>0</v>
      </c>
      <c r="BJ1036" s="22">
        <v>45581</v>
      </c>
      <c r="BK1036" s="26">
        <f t="shared" ca="1" si="273"/>
        <v>0.88648781719065295</v>
      </c>
      <c r="BL1036" s="29">
        <v>0</v>
      </c>
      <c r="BN1036" s="22">
        <v>45581</v>
      </c>
      <c r="BO1036" s="26">
        <f t="shared" ca="1" si="274"/>
        <v>0.75964086811393183</v>
      </c>
      <c r="BP1036" s="29">
        <v>0</v>
      </c>
      <c r="BR1036" s="22">
        <v>45581</v>
      </c>
      <c r="BS1036" s="26">
        <f t="shared" ca="1" si="275"/>
        <v>0.85473668138663905</v>
      </c>
      <c r="BT1036" s="29">
        <v>0</v>
      </c>
      <c r="BV1036" s="22">
        <v>45581</v>
      </c>
      <c r="BW1036" s="26">
        <f t="shared" ca="1" si="276"/>
        <v>0.52535604834177208</v>
      </c>
      <c r="BX1036" s="29">
        <v>0</v>
      </c>
    </row>
    <row r="1037" spans="2:76" ht="15.75" customHeight="1" x14ac:dyDescent="0.2">
      <c r="B1037" s="22">
        <v>45582</v>
      </c>
      <c r="C1037" s="26">
        <f t="shared" ca="1" si="241"/>
        <v>0.41198201636947629</v>
      </c>
      <c r="D1037" s="29">
        <v>0</v>
      </c>
      <c r="F1037" s="22"/>
      <c r="G1037" s="26">
        <f t="shared" ca="1" si="260"/>
        <v>0.26272545135275671</v>
      </c>
      <c r="H1037" s="29">
        <v>0</v>
      </c>
      <c r="J1037" s="22">
        <v>45582</v>
      </c>
      <c r="K1037" s="26">
        <f t="shared" ca="1" si="261"/>
        <v>0.82655258684518729</v>
      </c>
      <c r="L1037" s="29">
        <v>0</v>
      </c>
      <c r="N1037" s="22">
        <v>45582</v>
      </c>
      <c r="O1037" s="26">
        <f t="shared" ca="1" si="262"/>
        <v>0.5089106216358561</v>
      </c>
      <c r="P1037" s="29">
        <v>0</v>
      </c>
      <c r="R1037" s="22">
        <v>45582</v>
      </c>
      <c r="S1037" s="26">
        <f t="shared" ca="1" si="263"/>
        <v>0.53826181855355371</v>
      </c>
      <c r="T1037" s="29">
        <v>0</v>
      </c>
      <c r="V1037" s="22">
        <v>45582</v>
      </c>
      <c r="W1037" s="26">
        <f t="shared" ca="1" si="264"/>
        <v>0.24492713714902881</v>
      </c>
      <c r="X1037" s="29">
        <v>0</v>
      </c>
      <c r="Z1037" s="22">
        <v>45582</v>
      </c>
      <c r="AA1037" s="26">
        <f t="shared" ca="1" si="265"/>
        <v>0.41605518567949917</v>
      </c>
      <c r="AB1037" s="29">
        <v>0</v>
      </c>
      <c r="AC1037"/>
      <c r="AD1037" s="25"/>
      <c r="AF1037" s="22">
        <v>45582</v>
      </c>
      <c r="AG1037" s="26">
        <f t="shared" ca="1" si="266"/>
        <v>0.94056217341385151</v>
      </c>
      <c r="AH1037" s="29">
        <v>0</v>
      </c>
      <c r="AJ1037" s="22">
        <v>45582</v>
      </c>
      <c r="AK1037" s="26">
        <f t="shared" ca="1" si="267"/>
        <v>0.65553919468073329</v>
      </c>
      <c r="AL1037" s="29">
        <v>0</v>
      </c>
      <c r="AN1037" s="22">
        <v>45582</v>
      </c>
      <c r="AO1037" s="26">
        <f t="shared" ca="1" si="268"/>
        <v>0.24118528923735871</v>
      </c>
      <c r="AP1037" s="29">
        <v>0</v>
      </c>
      <c r="AR1037" s="22">
        <v>45582</v>
      </c>
      <c r="AS1037" s="26">
        <f t="shared" ca="1" si="269"/>
        <v>0.29753149406683843</v>
      </c>
      <c r="AT1037" s="29">
        <v>0</v>
      </c>
      <c r="AV1037" s="22">
        <v>45582</v>
      </c>
      <c r="AW1037" s="26">
        <f t="shared" ca="1" si="270"/>
        <v>0.32818771100734545</v>
      </c>
      <c r="AX1037" s="29">
        <v>0</v>
      </c>
      <c r="AZ1037" s="22">
        <v>45582</v>
      </c>
      <c r="BA1037" s="26">
        <f t="shared" ca="1" si="271"/>
        <v>0.11835695900237531</v>
      </c>
      <c r="BB1037" s="29">
        <v>0</v>
      </c>
      <c r="BC1037"/>
      <c r="BD1037" s="25"/>
      <c r="BF1037" s="22">
        <v>45582</v>
      </c>
      <c r="BG1037" s="26">
        <f t="shared" ca="1" si="272"/>
        <v>0.26397682771381037</v>
      </c>
      <c r="BH1037" s="29">
        <v>0</v>
      </c>
      <c r="BJ1037" s="22">
        <v>45582</v>
      </c>
      <c r="BK1037" s="26">
        <f t="shared" ca="1" si="273"/>
        <v>0.85418064166051144</v>
      </c>
      <c r="BL1037" s="29">
        <v>0</v>
      </c>
      <c r="BN1037" s="22">
        <v>45582</v>
      </c>
      <c r="BO1037" s="26">
        <f t="shared" ca="1" si="274"/>
        <v>0.5907417500147808</v>
      </c>
      <c r="BP1037" s="29">
        <v>0</v>
      </c>
      <c r="BR1037" s="22">
        <v>45582</v>
      </c>
      <c r="BS1037" s="26">
        <f t="shared" ca="1" si="275"/>
        <v>0.19128796354023581</v>
      </c>
      <c r="BT1037" s="29">
        <v>0</v>
      </c>
      <c r="BV1037" s="22">
        <v>45582</v>
      </c>
      <c r="BW1037" s="26">
        <f t="shared" ca="1" si="276"/>
        <v>0.88212103323641067</v>
      </c>
      <c r="BX1037" s="29">
        <v>0</v>
      </c>
    </row>
    <row r="1038" spans="2:76" ht="15.75" customHeight="1" x14ac:dyDescent="0.2">
      <c r="B1038" s="22">
        <v>45583</v>
      </c>
      <c r="C1038" s="26">
        <f t="shared" ca="1" si="241"/>
        <v>1.7119223887205104E-2</v>
      </c>
      <c r="D1038" s="29">
        <v>0</v>
      </c>
      <c r="F1038" s="22"/>
      <c r="G1038" s="26">
        <f t="shared" ca="1" si="260"/>
        <v>0.47315288018342172</v>
      </c>
      <c r="H1038" s="29">
        <v>0</v>
      </c>
      <c r="J1038" s="22">
        <v>45583</v>
      </c>
      <c r="K1038" s="26">
        <f t="shared" ca="1" si="261"/>
        <v>0.14120643428816737</v>
      </c>
      <c r="L1038" s="29">
        <v>0</v>
      </c>
      <c r="N1038" s="22">
        <v>45583</v>
      </c>
      <c r="O1038" s="26">
        <f t="shared" ca="1" si="262"/>
        <v>0.181049584105196</v>
      </c>
      <c r="P1038" s="29">
        <v>0</v>
      </c>
      <c r="R1038" s="22">
        <v>45583</v>
      </c>
      <c r="S1038" s="26">
        <f t="shared" ca="1" si="263"/>
        <v>0.22258365966833016</v>
      </c>
      <c r="T1038" s="29">
        <v>0</v>
      </c>
      <c r="V1038" s="22">
        <v>45583</v>
      </c>
      <c r="W1038" s="26">
        <f t="shared" ca="1" si="264"/>
        <v>0.94527679593793568</v>
      </c>
      <c r="X1038" s="29">
        <v>0</v>
      </c>
      <c r="Z1038" s="22">
        <v>45583</v>
      </c>
      <c r="AA1038" s="26">
        <f t="shared" ca="1" si="265"/>
        <v>0.19982153236856481</v>
      </c>
      <c r="AB1038" s="29">
        <v>0</v>
      </c>
      <c r="AC1038"/>
      <c r="AD1038" s="25"/>
      <c r="AF1038" s="22">
        <v>45583</v>
      </c>
      <c r="AG1038" s="26">
        <f t="shared" ca="1" si="266"/>
        <v>0.68381788940956889</v>
      </c>
      <c r="AH1038" s="29">
        <v>0</v>
      </c>
      <c r="AJ1038" s="22">
        <v>45583</v>
      </c>
      <c r="AK1038" s="26">
        <f t="shared" ca="1" si="267"/>
        <v>0.14118529351560294</v>
      </c>
      <c r="AL1038" s="29">
        <v>0</v>
      </c>
      <c r="AN1038" s="22">
        <v>45583</v>
      </c>
      <c r="AO1038" s="26">
        <f t="shared" ca="1" si="268"/>
        <v>0.61510327872652359</v>
      </c>
      <c r="AP1038" s="29">
        <v>0</v>
      </c>
      <c r="AR1038" s="22">
        <v>45583</v>
      </c>
      <c r="AS1038" s="26">
        <f t="shared" ca="1" si="269"/>
        <v>0.71676411330404988</v>
      </c>
      <c r="AT1038" s="29">
        <v>0</v>
      </c>
      <c r="AV1038" s="22">
        <v>45583</v>
      </c>
      <c r="AW1038" s="26">
        <f t="shared" ca="1" si="270"/>
        <v>0.6598310977075863</v>
      </c>
      <c r="AX1038" s="29">
        <v>0</v>
      </c>
      <c r="AZ1038" s="22">
        <v>45583</v>
      </c>
      <c r="BA1038" s="26">
        <f t="shared" ca="1" si="271"/>
        <v>0.81655796516371992</v>
      </c>
      <c r="BB1038" s="29">
        <v>0</v>
      </c>
      <c r="BC1038"/>
      <c r="BD1038" s="25"/>
      <c r="BF1038" s="22">
        <v>45583</v>
      </c>
      <c r="BG1038" s="26">
        <f t="shared" ca="1" si="272"/>
        <v>0.10815888320939993</v>
      </c>
      <c r="BH1038" s="29">
        <v>0</v>
      </c>
      <c r="BJ1038" s="22">
        <v>45583</v>
      </c>
      <c r="BK1038" s="26">
        <f t="shared" ca="1" si="273"/>
        <v>0.88786575996324091</v>
      </c>
      <c r="BL1038" s="29">
        <v>0</v>
      </c>
      <c r="BN1038" s="22">
        <v>45583</v>
      </c>
      <c r="BO1038" s="26">
        <f t="shared" ca="1" si="274"/>
        <v>0.84696120265707509</v>
      </c>
      <c r="BP1038" s="29">
        <v>0</v>
      </c>
      <c r="BR1038" s="22">
        <v>45583</v>
      </c>
      <c r="BS1038" s="26">
        <f t="shared" ca="1" si="275"/>
        <v>0.98229751930500253</v>
      </c>
      <c r="BT1038" s="29">
        <v>0</v>
      </c>
      <c r="BV1038" s="22">
        <v>45583</v>
      </c>
      <c r="BW1038" s="26">
        <f t="shared" ca="1" si="276"/>
        <v>0.57179005287740392</v>
      </c>
      <c r="BX1038" s="29">
        <v>0</v>
      </c>
    </row>
    <row r="1039" spans="2:76" ht="15.75" customHeight="1" x14ac:dyDescent="0.2">
      <c r="B1039" s="22">
        <v>45584</v>
      </c>
      <c r="C1039" s="26">
        <f t="shared" ca="1" si="241"/>
        <v>1.037278822554788E-2</v>
      </c>
      <c r="D1039" s="29">
        <v>0</v>
      </c>
      <c r="F1039" s="22"/>
      <c r="G1039" s="26">
        <f t="shared" ca="1" si="260"/>
        <v>0.71750932922571464</v>
      </c>
      <c r="H1039" s="29">
        <v>0</v>
      </c>
      <c r="J1039" s="22">
        <v>45584</v>
      </c>
      <c r="K1039" s="26">
        <f t="shared" ca="1" si="261"/>
        <v>0.70061191579913362</v>
      </c>
      <c r="L1039" s="29">
        <v>0</v>
      </c>
      <c r="N1039" s="22">
        <v>45584</v>
      </c>
      <c r="O1039" s="26">
        <f t="shared" ca="1" si="262"/>
        <v>0.67468579528687156</v>
      </c>
      <c r="P1039" s="29">
        <v>0</v>
      </c>
      <c r="R1039" s="22">
        <v>45584</v>
      </c>
      <c r="S1039" s="26">
        <f t="shared" ca="1" si="263"/>
        <v>0.34277162028149077</v>
      </c>
      <c r="T1039" s="29">
        <v>0</v>
      </c>
      <c r="V1039" s="22">
        <v>45584</v>
      </c>
      <c r="W1039" s="26">
        <f t="shared" ca="1" si="264"/>
        <v>0.17246824103505898</v>
      </c>
      <c r="X1039" s="29">
        <v>0</v>
      </c>
      <c r="Z1039" s="22">
        <v>45584</v>
      </c>
      <c r="AA1039" s="26">
        <f t="shared" ca="1" si="265"/>
        <v>0.63349546974847037</v>
      </c>
      <c r="AB1039" s="29">
        <v>0</v>
      </c>
      <c r="AC1039"/>
      <c r="AD1039" s="25"/>
      <c r="AF1039" s="22">
        <v>45584</v>
      </c>
      <c r="AG1039" s="26">
        <f t="shared" ca="1" si="266"/>
        <v>0.85218597898509618</v>
      </c>
      <c r="AH1039" s="29">
        <v>0</v>
      </c>
      <c r="AJ1039" s="22">
        <v>45584</v>
      </c>
      <c r="AK1039" s="26">
        <f t="shared" ca="1" si="267"/>
        <v>0.42657391716457682</v>
      </c>
      <c r="AL1039" s="29">
        <v>0</v>
      </c>
      <c r="AN1039" s="22">
        <v>45584</v>
      </c>
      <c r="AO1039" s="26">
        <f t="shared" ca="1" si="268"/>
        <v>0.12172595942976494</v>
      </c>
      <c r="AP1039" s="29">
        <v>0</v>
      </c>
      <c r="AR1039" s="22">
        <v>45584</v>
      </c>
      <c r="AS1039" s="26">
        <f t="shared" ca="1" si="269"/>
        <v>0.22219977199632057</v>
      </c>
      <c r="AT1039" s="29">
        <v>0</v>
      </c>
      <c r="AV1039" s="22">
        <v>45584</v>
      </c>
      <c r="AW1039" s="26">
        <f t="shared" ca="1" si="270"/>
        <v>0.95719967133802752</v>
      </c>
      <c r="AX1039" s="29">
        <v>0</v>
      </c>
      <c r="AZ1039" s="22">
        <v>45584</v>
      </c>
      <c r="BA1039" s="26">
        <f t="shared" ca="1" si="271"/>
        <v>0.10329980449475351</v>
      </c>
      <c r="BB1039" s="29">
        <v>0</v>
      </c>
      <c r="BC1039"/>
      <c r="BD1039" s="25"/>
      <c r="BF1039" s="22">
        <v>45584</v>
      </c>
      <c r="BG1039" s="26">
        <f t="shared" ca="1" si="272"/>
        <v>0.42332125425182465</v>
      </c>
      <c r="BH1039" s="29">
        <v>0</v>
      </c>
      <c r="BJ1039" s="22">
        <v>45584</v>
      </c>
      <c r="BK1039" s="26">
        <f t="shared" ca="1" si="273"/>
        <v>0.69507261992121216</v>
      </c>
      <c r="BL1039" s="29">
        <v>0</v>
      </c>
      <c r="BN1039" s="22">
        <v>45584</v>
      </c>
      <c r="BO1039" s="26">
        <f t="shared" ca="1" si="274"/>
        <v>0.51925215950954107</v>
      </c>
      <c r="BP1039" s="29">
        <v>0</v>
      </c>
      <c r="BR1039" s="22">
        <v>45584</v>
      </c>
      <c r="BS1039" s="26">
        <f t="shared" ca="1" si="275"/>
        <v>0.96538353748896077</v>
      </c>
      <c r="BT1039" s="29">
        <v>0</v>
      </c>
      <c r="BV1039" s="22">
        <v>45584</v>
      </c>
      <c r="BW1039" s="26">
        <f t="shared" ca="1" si="276"/>
        <v>0.69111683073355479</v>
      </c>
      <c r="BX1039" s="29">
        <v>0</v>
      </c>
    </row>
    <row r="1040" spans="2:76" ht="15.75" customHeight="1" x14ac:dyDescent="0.2">
      <c r="B1040" s="22">
        <v>45585</v>
      </c>
      <c r="C1040" s="26">
        <f t="shared" ca="1" si="241"/>
        <v>0.77260241599819646</v>
      </c>
      <c r="D1040" s="29">
        <v>0</v>
      </c>
      <c r="F1040" s="22"/>
      <c r="G1040" s="26">
        <f t="shared" ca="1" si="260"/>
        <v>0.26884642214788768</v>
      </c>
      <c r="H1040" s="29">
        <v>0</v>
      </c>
      <c r="J1040" s="22">
        <v>45585</v>
      </c>
      <c r="K1040" s="26">
        <f t="shared" ca="1" si="261"/>
        <v>0.80435029495023314</v>
      </c>
      <c r="L1040" s="29">
        <v>0</v>
      </c>
      <c r="N1040" s="22">
        <v>45585</v>
      </c>
      <c r="O1040" s="26">
        <f t="shared" ca="1" si="262"/>
        <v>0.76131233623214412</v>
      </c>
      <c r="P1040" s="29">
        <v>0</v>
      </c>
      <c r="R1040" s="22">
        <v>45585</v>
      </c>
      <c r="S1040" s="26">
        <f t="shared" ca="1" si="263"/>
        <v>0.14603251328297318</v>
      </c>
      <c r="T1040" s="29">
        <v>0</v>
      </c>
      <c r="V1040" s="22">
        <v>45585</v>
      </c>
      <c r="W1040" s="26">
        <f t="shared" ca="1" si="264"/>
        <v>0.88736478989633205</v>
      </c>
      <c r="X1040" s="29">
        <v>0</v>
      </c>
      <c r="Z1040" s="22">
        <v>45585</v>
      </c>
      <c r="AA1040" s="26">
        <f t="shared" ca="1" si="265"/>
        <v>0.56436901569032627</v>
      </c>
      <c r="AB1040" s="29">
        <v>0</v>
      </c>
      <c r="AC1040"/>
      <c r="AD1040" s="25"/>
      <c r="AF1040" s="22">
        <v>45585</v>
      </c>
      <c r="AG1040" s="26">
        <f t="shared" ca="1" si="266"/>
        <v>0.58256481255893133</v>
      </c>
      <c r="AH1040" s="29">
        <v>0</v>
      </c>
      <c r="AJ1040" s="22">
        <v>45585</v>
      </c>
      <c r="AK1040" s="26">
        <f t="shared" ca="1" si="267"/>
        <v>0.17643276453584633</v>
      </c>
      <c r="AL1040" s="29">
        <v>0</v>
      </c>
      <c r="AN1040" s="22">
        <v>45585</v>
      </c>
      <c r="AO1040" s="26">
        <f t="shared" ca="1" si="268"/>
        <v>0.77602472651795584</v>
      </c>
      <c r="AP1040" s="29">
        <v>0</v>
      </c>
      <c r="AR1040" s="22">
        <v>45585</v>
      </c>
      <c r="AS1040" s="26">
        <f t="shared" ca="1" si="269"/>
        <v>0.65581334715252559</v>
      </c>
      <c r="AT1040" s="29">
        <v>0</v>
      </c>
      <c r="AV1040" s="22">
        <v>45585</v>
      </c>
      <c r="AW1040" s="26">
        <f t="shared" ca="1" si="270"/>
        <v>0.53576211978739829</v>
      </c>
      <c r="AX1040" s="29">
        <v>0</v>
      </c>
      <c r="AZ1040" s="22">
        <v>45585</v>
      </c>
      <c r="BA1040" s="26">
        <f t="shared" ca="1" si="271"/>
        <v>0.7443755212855353</v>
      </c>
      <c r="BB1040" s="29">
        <v>0</v>
      </c>
      <c r="BC1040"/>
      <c r="BD1040" s="25"/>
      <c r="BF1040" s="22">
        <v>45585</v>
      </c>
      <c r="BG1040" s="26">
        <f t="shared" ca="1" si="272"/>
        <v>4.2624148022519681E-2</v>
      </c>
      <c r="BH1040" s="29">
        <v>0</v>
      </c>
      <c r="BJ1040" s="22">
        <v>45585</v>
      </c>
      <c r="BK1040" s="26">
        <f t="shared" ca="1" si="273"/>
        <v>0.7801197923570653</v>
      </c>
      <c r="BL1040" s="29">
        <v>0</v>
      </c>
      <c r="BN1040" s="22">
        <v>45585</v>
      </c>
      <c r="BO1040" s="26">
        <f t="shared" ca="1" si="274"/>
        <v>0.83272190843017557</v>
      </c>
      <c r="BP1040" s="29">
        <v>0</v>
      </c>
      <c r="BR1040" s="22">
        <v>45585</v>
      </c>
      <c r="BS1040" s="26">
        <f t="shared" ca="1" si="275"/>
        <v>0.77518650826227242</v>
      </c>
      <c r="BT1040" s="29">
        <v>0</v>
      </c>
      <c r="BV1040" s="22">
        <v>45585</v>
      </c>
      <c r="BW1040" s="26">
        <f t="shared" ca="1" si="276"/>
        <v>0.43739928548567675</v>
      </c>
      <c r="BX1040" s="29">
        <v>0</v>
      </c>
    </row>
    <row r="1041" spans="2:77" ht="15.75" customHeight="1" x14ac:dyDescent="0.2">
      <c r="B1041" s="22">
        <v>45586</v>
      </c>
      <c r="C1041" s="26">
        <f t="shared" ca="1" si="241"/>
        <v>0.35593462072140625</v>
      </c>
      <c r="D1041" s="29">
        <v>0</v>
      </c>
      <c r="F1041" s="22"/>
      <c r="G1041" s="26">
        <f t="shared" ca="1" si="260"/>
        <v>0.46706650184196508</v>
      </c>
      <c r="H1041" s="29">
        <v>0</v>
      </c>
      <c r="J1041" s="22">
        <v>45586</v>
      </c>
      <c r="K1041" s="26">
        <f t="shared" ca="1" si="261"/>
        <v>7.8263732328458735E-2</v>
      </c>
      <c r="L1041" s="29">
        <v>0</v>
      </c>
      <c r="N1041" s="22">
        <v>45586</v>
      </c>
      <c r="O1041" s="26">
        <f t="shared" ca="1" si="262"/>
        <v>0.11017182296500883</v>
      </c>
      <c r="P1041" s="29">
        <v>0</v>
      </c>
      <c r="R1041" s="22">
        <v>45586</v>
      </c>
      <c r="S1041" s="26">
        <f t="shared" ca="1" si="263"/>
        <v>0.71332177824167731</v>
      </c>
      <c r="T1041" s="29">
        <v>0</v>
      </c>
      <c r="V1041" s="22">
        <v>45586</v>
      </c>
      <c r="W1041" s="26">
        <f t="shared" ca="1" si="264"/>
        <v>0.25047196379606307</v>
      </c>
      <c r="X1041" s="29">
        <v>0</v>
      </c>
      <c r="Z1041" s="22">
        <v>45586</v>
      </c>
      <c r="AA1041" s="26">
        <f t="shared" ca="1" si="265"/>
        <v>0.96189292676045257</v>
      </c>
      <c r="AB1041" s="29">
        <v>0</v>
      </c>
      <c r="AC1041"/>
      <c r="AD1041" s="25"/>
      <c r="AF1041" s="22">
        <v>45586</v>
      </c>
      <c r="AG1041" s="26">
        <f t="shared" ca="1" si="266"/>
        <v>0.38755884123621143</v>
      </c>
      <c r="AH1041" s="29">
        <v>0</v>
      </c>
      <c r="AJ1041" s="22">
        <v>45586</v>
      </c>
      <c r="AK1041" s="26">
        <f t="shared" ca="1" si="267"/>
        <v>0.46117949132541158</v>
      </c>
      <c r="AL1041" s="29">
        <v>0</v>
      </c>
      <c r="AN1041" s="22">
        <v>45586</v>
      </c>
      <c r="AO1041" s="26">
        <f t="shared" ca="1" si="268"/>
        <v>0.66616029454291825</v>
      </c>
      <c r="AP1041" s="29">
        <v>0</v>
      </c>
      <c r="AR1041" s="22">
        <v>45586</v>
      </c>
      <c r="AS1041" s="26">
        <f t="shared" ca="1" si="269"/>
        <v>0.46575560655310422</v>
      </c>
      <c r="AT1041" s="29">
        <v>0</v>
      </c>
      <c r="AV1041" s="22">
        <v>45586</v>
      </c>
      <c r="AW1041" s="26">
        <f t="shared" ca="1" si="270"/>
        <v>0.80231801563802818</v>
      </c>
      <c r="AX1041" s="29">
        <v>0</v>
      </c>
      <c r="AZ1041" s="22">
        <v>45586</v>
      </c>
      <c r="BA1041" s="26">
        <f t="shared" ca="1" si="271"/>
        <v>0.18168688393152532</v>
      </c>
      <c r="BB1041" s="29">
        <v>0</v>
      </c>
      <c r="BC1041"/>
      <c r="BD1041" s="25"/>
      <c r="BF1041" s="22">
        <v>45586</v>
      </c>
      <c r="BG1041" s="26">
        <f t="shared" ca="1" si="272"/>
        <v>0.89809691922212587</v>
      </c>
      <c r="BH1041" s="29">
        <v>0</v>
      </c>
      <c r="BJ1041" s="22">
        <v>45586</v>
      </c>
      <c r="BK1041" s="26">
        <f t="shared" ca="1" si="273"/>
        <v>0.13646649041236503</v>
      </c>
      <c r="BL1041" s="29">
        <v>0</v>
      </c>
      <c r="BN1041" s="22">
        <v>45586</v>
      </c>
      <c r="BO1041" s="26">
        <f t="shared" ca="1" si="274"/>
        <v>0.69278476421167834</v>
      </c>
      <c r="BP1041" s="29">
        <v>0</v>
      </c>
      <c r="BR1041" s="22">
        <v>45586</v>
      </c>
      <c r="BS1041" s="26">
        <f t="shared" ca="1" si="275"/>
        <v>0.92676879961225278</v>
      </c>
      <c r="BT1041" s="29">
        <v>0</v>
      </c>
      <c r="BV1041" s="22">
        <v>45586</v>
      </c>
      <c r="BW1041" s="26">
        <f t="shared" ca="1" si="276"/>
        <v>0.49135781023420344</v>
      </c>
      <c r="BX1041" s="29">
        <v>0</v>
      </c>
    </row>
    <row r="1042" spans="2:77" ht="15.75" customHeight="1" x14ac:dyDescent="0.2">
      <c r="B1042" s="22">
        <v>45587</v>
      </c>
      <c r="C1042" s="26">
        <f t="shared" ca="1" si="241"/>
        <v>0.17347202646457638</v>
      </c>
      <c r="D1042" s="29">
        <v>0</v>
      </c>
      <c r="F1042" s="22"/>
      <c r="G1042" s="26">
        <f t="shared" ca="1" si="260"/>
        <v>2.1724007042638327E-3</v>
      </c>
      <c r="H1042" s="29">
        <v>0</v>
      </c>
      <c r="J1042" s="22">
        <v>45587</v>
      </c>
      <c r="K1042" s="26">
        <f t="shared" ca="1" si="261"/>
        <v>0.40859688222872503</v>
      </c>
      <c r="L1042" s="29">
        <v>0</v>
      </c>
      <c r="N1042" s="22">
        <v>45587</v>
      </c>
      <c r="O1042" s="26">
        <f t="shared" ca="1" si="262"/>
        <v>0.32300112743390186</v>
      </c>
      <c r="P1042" s="29">
        <v>0</v>
      </c>
      <c r="R1042" s="22">
        <v>45587</v>
      </c>
      <c r="S1042" s="26">
        <f t="shared" ca="1" si="263"/>
        <v>0.37388156716415843</v>
      </c>
      <c r="T1042" s="29">
        <v>0</v>
      </c>
      <c r="V1042" s="22">
        <v>45587</v>
      </c>
      <c r="W1042" s="26">
        <f t="shared" ca="1" si="264"/>
        <v>0.46316634486469344</v>
      </c>
      <c r="X1042" s="29">
        <v>0</v>
      </c>
      <c r="Z1042" s="22">
        <v>45587</v>
      </c>
      <c r="AA1042" s="26">
        <f t="shared" ca="1" si="265"/>
        <v>0.69155794797321191</v>
      </c>
      <c r="AB1042" s="29">
        <v>0</v>
      </c>
      <c r="AC1042"/>
      <c r="AD1042" s="25"/>
      <c r="AF1042" s="22">
        <v>45587</v>
      </c>
      <c r="AG1042" s="26">
        <f t="shared" ca="1" si="266"/>
        <v>0.77783305555799376</v>
      </c>
      <c r="AH1042" s="29">
        <v>0</v>
      </c>
      <c r="AJ1042" s="22">
        <v>45587</v>
      </c>
      <c r="AK1042" s="26">
        <f t="shared" ca="1" si="267"/>
        <v>0.85849195015742275</v>
      </c>
      <c r="AL1042" s="29">
        <v>0</v>
      </c>
      <c r="AN1042" s="22">
        <v>45587</v>
      </c>
      <c r="AO1042" s="26">
        <f t="shared" ca="1" si="268"/>
        <v>0.32596938163475875</v>
      </c>
      <c r="AP1042" s="29">
        <v>0</v>
      </c>
      <c r="AR1042" s="22">
        <v>45587</v>
      </c>
      <c r="AS1042" s="26">
        <f t="shared" ca="1" si="269"/>
        <v>0.92365409063996051</v>
      </c>
      <c r="AT1042" s="29">
        <v>0</v>
      </c>
      <c r="AV1042" s="22">
        <v>45587</v>
      </c>
      <c r="AW1042" s="26">
        <f t="shared" ca="1" si="270"/>
        <v>0.14048995861824565</v>
      </c>
      <c r="AX1042" s="29">
        <v>0</v>
      </c>
      <c r="AZ1042" s="22">
        <v>45587</v>
      </c>
      <c r="BA1042" s="26">
        <f t="shared" ca="1" si="271"/>
        <v>0.19392260952121376</v>
      </c>
      <c r="BB1042" s="29">
        <v>0</v>
      </c>
      <c r="BC1042"/>
      <c r="BD1042" s="25"/>
      <c r="BF1042" s="22">
        <v>45587</v>
      </c>
      <c r="BG1042" s="26">
        <f t="shared" ca="1" si="272"/>
        <v>0.22087633378414262</v>
      </c>
      <c r="BH1042" s="29">
        <v>0</v>
      </c>
      <c r="BJ1042" s="22">
        <v>45587</v>
      </c>
      <c r="BK1042" s="26">
        <f t="shared" ca="1" si="273"/>
        <v>0.81639899267429084</v>
      </c>
      <c r="BL1042" s="29">
        <v>0</v>
      </c>
      <c r="BN1042" s="22">
        <v>45587</v>
      </c>
      <c r="BO1042" s="26">
        <f t="shared" ca="1" si="274"/>
        <v>0.48738053065184905</v>
      </c>
      <c r="BP1042" s="29">
        <v>0</v>
      </c>
      <c r="BR1042" s="22">
        <v>45587</v>
      </c>
      <c r="BS1042" s="26">
        <f t="shared" ca="1" si="275"/>
        <v>0.2252316031848326</v>
      </c>
      <c r="BT1042" s="29">
        <v>0</v>
      </c>
      <c r="BV1042" s="22">
        <v>45587</v>
      </c>
      <c r="BW1042" s="26">
        <f t="shared" ca="1" si="276"/>
        <v>0.81734925177535789</v>
      </c>
      <c r="BX1042" s="29">
        <v>0</v>
      </c>
    </row>
    <row r="1043" spans="2:77" ht="15.75" customHeight="1" x14ac:dyDescent="0.2">
      <c r="B1043" s="22">
        <v>45588</v>
      </c>
      <c r="C1043" s="26">
        <f t="shared" ca="1" si="241"/>
        <v>0.75099506249289938</v>
      </c>
      <c r="D1043" s="29">
        <v>0</v>
      </c>
      <c r="F1043" s="22"/>
      <c r="G1043" s="26">
        <f t="shared" ca="1" si="260"/>
        <v>0.26710598995858992</v>
      </c>
      <c r="H1043" s="29">
        <v>0</v>
      </c>
      <c r="J1043" s="22">
        <v>45588</v>
      </c>
      <c r="K1043" s="26">
        <f t="shared" ca="1" si="261"/>
        <v>0.49023927902897801</v>
      </c>
      <c r="L1043" s="29">
        <v>0</v>
      </c>
      <c r="N1043" s="22">
        <v>45588</v>
      </c>
      <c r="O1043" s="26">
        <f t="shared" ca="1" si="262"/>
        <v>0.96577331967676083</v>
      </c>
      <c r="P1043" s="29">
        <v>0</v>
      </c>
      <c r="R1043" s="22">
        <v>45588</v>
      </c>
      <c r="S1043" s="26">
        <f t="shared" ca="1" si="263"/>
        <v>0.92036888647937831</v>
      </c>
      <c r="T1043" s="29">
        <v>0</v>
      </c>
      <c r="V1043" s="22">
        <v>45588</v>
      </c>
      <c r="W1043" s="26">
        <f t="shared" ca="1" si="264"/>
        <v>0.23929337871742473</v>
      </c>
      <c r="X1043" s="29">
        <v>0</v>
      </c>
      <c r="Z1043" s="22">
        <v>45588</v>
      </c>
      <c r="AA1043" s="26">
        <f t="shared" ca="1" si="265"/>
        <v>0.85740562105807061</v>
      </c>
      <c r="AB1043" s="29">
        <v>0</v>
      </c>
      <c r="AC1043"/>
      <c r="AD1043" s="25"/>
      <c r="AF1043" s="22">
        <v>45588</v>
      </c>
      <c r="AG1043" s="26">
        <f t="shared" ca="1" si="266"/>
        <v>0.33173841687825611</v>
      </c>
      <c r="AH1043" s="29">
        <v>0</v>
      </c>
      <c r="AJ1043" s="22">
        <v>45588</v>
      </c>
      <c r="AK1043" s="26">
        <f t="shared" ca="1" si="267"/>
        <v>0.73508934482648236</v>
      </c>
      <c r="AL1043" s="29">
        <v>0</v>
      </c>
      <c r="AN1043" s="22">
        <v>45588</v>
      </c>
      <c r="AO1043" s="26">
        <f t="shared" ca="1" si="268"/>
        <v>0.72057165633447029</v>
      </c>
      <c r="AP1043" s="29">
        <v>0</v>
      </c>
      <c r="AR1043" s="22">
        <v>45588</v>
      </c>
      <c r="AS1043" s="26">
        <f t="shared" ca="1" si="269"/>
        <v>0.99005968146469914</v>
      </c>
      <c r="AT1043" s="29">
        <v>0</v>
      </c>
      <c r="AV1043" s="22">
        <v>45588</v>
      </c>
      <c r="AW1043" s="26">
        <f t="shared" ca="1" si="270"/>
        <v>0.29488361906946614</v>
      </c>
      <c r="AX1043" s="29">
        <v>0</v>
      </c>
      <c r="AZ1043" s="22">
        <v>45588</v>
      </c>
      <c r="BA1043" s="26">
        <f t="shared" ca="1" si="271"/>
        <v>0.56838103166998077</v>
      </c>
      <c r="BB1043" s="29">
        <v>0</v>
      </c>
      <c r="BC1043"/>
      <c r="BD1043" s="25"/>
      <c r="BF1043" s="22">
        <v>45588</v>
      </c>
      <c r="BG1043" s="26">
        <f t="shared" ca="1" si="272"/>
        <v>0.26739293872479464</v>
      </c>
      <c r="BH1043" s="29">
        <v>0</v>
      </c>
      <c r="BJ1043" s="22">
        <v>45588</v>
      </c>
      <c r="BK1043" s="26">
        <f t="shared" ca="1" si="273"/>
        <v>0.9505027956900296</v>
      </c>
      <c r="BL1043" s="29">
        <v>0</v>
      </c>
      <c r="BN1043" s="22">
        <v>45588</v>
      </c>
      <c r="BO1043" s="26">
        <f t="shared" ca="1" si="274"/>
        <v>0.38541319491797177</v>
      </c>
      <c r="BP1043" s="29">
        <v>0</v>
      </c>
      <c r="BR1043" s="22">
        <v>45588</v>
      </c>
      <c r="BS1043" s="26">
        <f t="shared" ca="1" si="275"/>
        <v>0.59489665440332118</v>
      </c>
      <c r="BT1043" s="29">
        <v>0</v>
      </c>
      <c r="BV1043" s="22">
        <v>45588</v>
      </c>
      <c r="BW1043" s="26">
        <f t="shared" ca="1" si="276"/>
        <v>0.14045666824679426</v>
      </c>
      <c r="BX1043" s="29">
        <v>0</v>
      </c>
    </row>
    <row r="1044" spans="2:77" ht="15.75" customHeight="1" x14ac:dyDescent="0.2">
      <c r="B1044" s="22">
        <v>45589</v>
      </c>
      <c r="C1044" s="26">
        <f t="shared" ref="C1044:C1107" ca="1" si="277">RAND()</f>
        <v>0.19340581017116143</v>
      </c>
      <c r="D1044" s="29">
        <v>0</v>
      </c>
      <c r="F1044" s="22"/>
      <c r="G1044" s="26">
        <f t="shared" ca="1" si="260"/>
        <v>7.3643437832632275E-2</v>
      </c>
      <c r="H1044" s="29">
        <v>0</v>
      </c>
      <c r="J1044" s="22">
        <v>45589</v>
      </c>
      <c r="K1044" s="26">
        <f t="shared" ca="1" si="261"/>
        <v>1.9126498208016485E-2</v>
      </c>
      <c r="L1044" s="29">
        <v>0</v>
      </c>
      <c r="N1044" s="22">
        <v>45589</v>
      </c>
      <c r="O1044" s="26">
        <f t="shared" ca="1" si="262"/>
        <v>0.71668856741846521</v>
      </c>
      <c r="P1044" s="29">
        <v>0</v>
      </c>
      <c r="R1044" s="22">
        <v>45589</v>
      </c>
      <c r="S1044" s="26">
        <f t="shared" ca="1" si="263"/>
        <v>0.74983434863254794</v>
      </c>
      <c r="T1044" s="29">
        <v>0</v>
      </c>
      <c r="V1044" s="22">
        <v>45589</v>
      </c>
      <c r="W1044" s="26">
        <f t="shared" ca="1" si="264"/>
        <v>0.74634408291028709</v>
      </c>
      <c r="X1044" s="29">
        <v>0</v>
      </c>
      <c r="Z1044" s="22">
        <v>45589</v>
      </c>
      <c r="AA1044" s="26">
        <f t="shared" ca="1" si="265"/>
        <v>0.53267497259729013</v>
      </c>
      <c r="AB1044" s="29">
        <v>0</v>
      </c>
      <c r="AC1044"/>
      <c r="AD1044" s="25"/>
      <c r="AF1044" s="22">
        <v>45589</v>
      </c>
      <c r="AG1044" s="26">
        <f t="shared" ca="1" si="266"/>
        <v>0.23772647229956223</v>
      </c>
      <c r="AH1044" s="29">
        <v>0</v>
      </c>
      <c r="AJ1044" s="22">
        <v>45589</v>
      </c>
      <c r="AK1044" s="26">
        <f t="shared" ca="1" si="267"/>
        <v>0.9727936631698898</v>
      </c>
      <c r="AL1044" s="29">
        <v>0</v>
      </c>
      <c r="AN1044" s="22">
        <v>45589</v>
      </c>
      <c r="AO1044" s="26">
        <f t="shared" ca="1" si="268"/>
        <v>0.89582531863307169</v>
      </c>
      <c r="AP1044" s="29">
        <v>0</v>
      </c>
      <c r="AR1044" s="22">
        <v>45589</v>
      </c>
      <c r="AS1044" s="26">
        <f t="shared" ca="1" si="269"/>
        <v>0.40682647025211216</v>
      </c>
      <c r="AT1044" s="29">
        <v>0</v>
      </c>
      <c r="AV1044" s="22">
        <v>45589</v>
      </c>
      <c r="AW1044" s="26">
        <f t="shared" ca="1" si="270"/>
        <v>0.30804648666274126</v>
      </c>
      <c r="AX1044" s="29">
        <v>0</v>
      </c>
      <c r="AZ1044" s="22">
        <v>45589</v>
      </c>
      <c r="BA1044" s="26">
        <f t="shared" ca="1" si="271"/>
        <v>0.90737373312335812</v>
      </c>
      <c r="BB1044" s="29">
        <v>0</v>
      </c>
      <c r="BC1044"/>
      <c r="BD1044" s="25"/>
      <c r="BF1044" s="22">
        <v>45589</v>
      </c>
      <c r="BG1044" s="26">
        <f t="shared" ca="1" si="272"/>
        <v>0.79369023855686605</v>
      </c>
      <c r="BH1044" s="29">
        <v>0</v>
      </c>
      <c r="BJ1044" s="22">
        <v>45589</v>
      </c>
      <c r="BK1044" s="26">
        <f t="shared" ca="1" si="273"/>
        <v>0.90504587459133323</v>
      </c>
      <c r="BL1044" s="29">
        <v>0</v>
      </c>
      <c r="BN1044" s="22">
        <v>45589</v>
      </c>
      <c r="BO1044" s="26">
        <f t="shared" ca="1" si="274"/>
        <v>0.77937800005426527</v>
      </c>
      <c r="BP1044" s="29">
        <v>0</v>
      </c>
      <c r="BR1044" s="22">
        <v>45589</v>
      </c>
      <c r="BS1044" s="26">
        <f t="shared" ca="1" si="275"/>
        <v>0.58975275199405297</v>
      </c>
      <c r="BT1044" s="29">
        <v>0</v>
      </c>
      <c r="BV1044" s="22">
        <v>45589</v>
      </c>
      <c r="BW1044" s="26">
        <f t="shared" ca="1" si="276"/>
        <v>0.35783146799209953</v>
      </c>
      <c r="BX1044" s="29">
        <v>0</v>
      </c>
    </row>
    <row r="1045" spans="2:77" ht="15.75" customHeight="1" x14ac:dyDescent="0.2">
      <c r="B1045" s="22">
        <v>45590</v>
      </c>
      <c r="C1045" s="26">
        <f t="shared" ca="1" si="277"/>
        <v>0.94869686224017502</v>
      </c>
      <c r="D1045" s="29">
        <f t="shared" ref="D1045:D1098" ca="1" si="278">ROUNDUP(_xlfn.NORM.INV(C1045,C$10,C$12),0)</f>
        <v>108</v>
      </c>
      <c r="F1045" s="22"/>
      <c r="G1045" s="26">
        <f t="shared" ca="1" si="260"/>
        <v>1.8215060354332957E-2</v>
      </c>
      <c r="H1045" s="29">
        <f t="shared" ref="H1045:H1098" ca="1" si="279">ROUNDUP(_xlfn.NORM.INV(G1045,G$10,G$12),0)</f>
        <v>186</v>
      </c>
      <c r="J1045" s="22">
        <v>45590</v>
      </c>
      <c r="K1045" s="26">
        <f t="shared" ca="1" si="261"/>
        <v>0.20290962454557093</v>
      </c>
      <c r="L1045" s="29">
        <f t="shared" ref="L1045:L1098" ca="1" si="280">ROUNDUP(_xlfn.NORM.INV(K1045,K$10,K$12),0)</f>
        <v>142</v>
      </c>
      <c r="N1045" s="22">
        <v>45590</v>
      </c>
      <c r="O1045" s="26">
        <f t="shared" ca="1" si="262"/>
        <v>0.23089052854150116</v>
      </c>
      <c r="P1045" s="29">
        <f t="shared" ref="P1045:P1098" ca="1" si="281">ROUNDUP(_xlfn.NORM.INV(O1045,O$10,O$12),0)</f>
        <v>219</v>
      </c>
      <c r="R1045" s="22">
        <v>45590</v>
      </c>
      <c r="S1045" s="26">
        <f t="shared" ca="1" si="263"/>
        <v>0.8642832176904135</v>
      </c>
      <c r="T1045" s="29">
        <f t="shared" ref="T1045:T1098" ca="1" si="282">ROUNDUP(_xlfn.NORM.INV(S1045,S$10,S$12),0)</f>
        <v>149</v>
      </c>
      <c r="V1045" s="22">
        <v>45590</v>
      </c>
      <c r="W1045" s="26">
        <f t="shared" ca="1" si="264"/>
        <v>0.30799659212473418</v>
      </c>
      <c r="X1045" s="29">
        <f t="shared" ref="X1045:X1098" ca="1" si="283">ROUNDUP(_xlfn.NORM.INV(W1045,W$10,W$12),0)</f>
        <v>218</v>
      </c>
      <c r="Z1045" s="22">
        <v>45590</v>
      </c>
      <c r="AA1045" s="26">
        <f t="shared" ca="1" si="265"/>
        <v>0.97214460823735704</v>
      </c>
      <c r="AB1045" s="29">
        <f t="shared" ref="AB1045:AB1098" ca="1" si="284">ROUNDUP(_xlfn.NORM.INV(AA1045,AA$10,AA$12),0)</f>
        <v>305</v>
      </c>
      <c r="AC1045"/>
      <c r="AD1045" s="25"/>
      <c r="AF1045" s="22">
        <v>45590</v>
      </c>
      <c r="AG1045" s="26">
        <f t="shared" ca="1" si="266"/>
        <v>0.16512875879764677</v>
      </c>
      <c r="AH1045" s="29">
        <f t="shared" ref="AH1045:AH1098" ca="1" si="285">ROUNDUP(_xlfn.NORM.INV(AG1045,AG$10,AG$12),0)</f>
        <v>243</v>
      </c>
      <c r="AJ1045" s="22">
        <v>45590</v>
      </c>
      <c r="AK1045" s="26">
        <f t="shared" ca="1" si="267"/>
        <v>0.54046633401079613</v>
      </c>
      <c r="AL1045" s="29">
        <f t="shared" ref="AL1045:AL1098" ca="1" si="286">ROUNDUP(_xlfn.NORM.INV(AK1045,AK$10,AK$12),0)</f>
        <v>176</v>
      </c>
      <c r="AN1045" s="22">
        <v>45590</v>
      </c>
      <c r="AO1045" s="26">
        <f t="shared" ca="1" si="268"/>
        <v>0.96460951991257082</v>
      </c>
      <c r="AP1045" s="29">
        <f t="shared" ref="AP1045:AP1098" ca="1" si="287">ROUNDUP(_xlfn.NORM.INV(AO1045,AO$10,AO$12),0)</f>
        <v>344</v>
      </c>
      <c r="AR1045" s="22">
        <v>45590</v>
      </c>
      <c r="AS1045" s="26">
        <f t="shared" ca="1" si="269"/>
        <v>0.62522825262468384</v>
      </c>
      <c r="AT1045" s="29">
        <f t="shared" ref="AT1045:AT1098" ca="1" si="288">ROUNDUP(_xlfn.NORM.INV(AS1045,AS$10,AS$12),0)</f>
        <v>215</v>
      </c>
      <c r="AV1045" s="22">
        <v>45590</v>
      </c>
      <c r="AW1045" s="26">
        <f t="shared" ca="1" si="270"/>
        <v>0.4631494825610758</v>
      </c>
      <c r="AX1045" s="29">
        <f t="shared" ref="AX1045:AX1098" ca="1" si="289">ROUNDUP(_xlfn.NORM.INV(AW1045,AW$10,AW$12),0)</f>
        <v>201</v>
      </c>
      <c r="AZ1045" s="22">
        <v>45590</v>
      </c>
      <c r="BA1045" s="26">
        <f t="shared" ca="1" si="271"/>
        <v>0.59278121587103583</v>
      </c>
      <c r="BB1045" s="29">
        <f t="shared" ref="BB1045:BB1098" ca="1" si="290">ROUNDUP(_xlfn.NORM.INV(BA1045,BA$10,BA$12),0)</f>
        <v>249</v>
      </c>
      <c r="BC1045"/>
      <c r="BD1045" s="25"/>
      <c r="BF1045" s="22">
        <v>45590</v>
      </c>
      <c r="BG1045" s="26">
        <f t="shared" ca="1" si="272"/>
        <v>0.557491093007637</v>
      </c>
      <c r="BH1045" s="29">
        <f t="shared" ref="BH1045:BH1098" ca="1" si="291">ROUNDUP(_xlfn.NORM.INV(BG1045,BG$10,BG$12),0)</f>
        <v>209</v>
      </c>
      <c r="BJ1045" s="22">
        <v>45590</v>
      </c>
      <c r="BK1045" s="26">
        <f t="shared" ca="1" si="273"/>
        <v>1.2928590533263229E-3</v>
      </c>
      <c r="BL1045" s="29">
        <f t="shared" ref="BL1045:BL1098" ca="1" si="292">ROUNDUP(_xlfn.NORM.INV(BK1045,BK$10,BK$12),0)</f>
        <v>34</v>
      </c>
      <c r="BN1045" s="22">
        <v>45590</v>
      </c>
      <c r="BO1045" s="26">
        <f t="shared" ca="1" si="274"/>
        <v>0.37209800908050117</v>
      </c>
      <c r="BP1045" s="29">
        <f t="shared" ref="BP1045:BP1098" ca="1" si="293">ROUNDUP(_xlfn.NORM.INV(BO1045,BO$10,BO$12),0)</f>
        <v>197</v>
      </c>
      <c r="BR1045" s="22">
        <v>45590</v>
      </c>
      <c r="BS1045" s="26">
        <f t="shared" ca="1" si="275"/>
        <v>0.93688053865322896</v>
      </c>
      <c r="BT1045" s="29">
        <f t="shared" ref="BT1045:BT1098" ca="1" si="294">ROUNDUP(_xlfn.NORM.INV(BS1045,BS$10,BS$12),0)</f>
        <v>227</v>
      </c>
      <c r="BV1045" s="22">
        <v>45590</v>
      </c>
      <c r="BW1045" s="26">
        <f t="shared" ca="1" si="276"/>
        <v>3.1931786924336514E-2</v>
      </c>
      <c r="BX1045" s="29">
        <f t="shared" ref="BX1045:BX1098" ca="1" si="295">ROUNDUP(_xlfn.NORM.INV(BW1045,BW$10,BW$12),0)</f>
        <v>111</v>
      </c>
    </row>
    <row r="1046" spans="2:77" ht="15.75" customHeight="1" x14ac:dyDescent="0.2">
      <c r="B1046" s="22">
        <v>45591</v>
      </c>
      <c r="C1046" s="26">
        <f t="shared" ca="1" si="277"/>
        <v>0.89593807345651255</v>
      </c>
      <c r="D1046" s="29">
        <f t="shared" ca="1" si="278"/>
        <v>101</v>
      </c>
      <c r="F1046" s="22"/>
      <c r="G1046" s="26">
        <f t="shared" ca="1" si="260"/>
        <v>0.62275635830507881</v>
      </c>
      <c r="H1046" s="29">
        <f t="shared" ca="1" si="279"/>
        <v>220</v>
      </c>
      <c r="J1046" s="22">
        <v>45591</v>
      </c>
      <c r="K1046" s="26">
        <f t="shared" ca="1" si="261"/>
        <v>0.33445930183487227</v>
      </c>
      <c r="L1046" s="29">
        <f t="shared" ca="1" si="280"/>
        <v>146</v>
      </c>
      <c r="N1046" s="22">
        <v>45591</v>
      </c>
      <c r="O1046" s="26">
        <f t="shared" ca="1" si="262"/>
        <v>0.9244124053807754</v>
      </c>
      <c r="P1046" s="29">
        <f t="shared" ca="1" si="281"/>
        <v>252</v>
      </c>
      <c r="R1046" s="22">
        <v>45591</v>
      </c>
      <c r="S1046" s="26">
        <f t="shared" ca="1" si="263"/>
        <v>0.65016156915869827</v>
      </c>
      <c r="T1046" s="29">
        <f t="shared" ca="1" si="282"/>
        <v>143</v>
      </c>
      <c r="V1046" s="22">
        <v>45591</v>
      </c>
      <c r="W1046" s="26">
        <f t="shared" ca="1" si="264"/>
        <v>0.19284726006857822</v>
      </c>
      <c r="X1046" s="29">
        <f t="shared" ca="1" si="283"/>
        <v>212</v>
      </c>
      <c r="Z1046" s="22">
        <v>45591</v>
      </c>
      <c r="AA1046" s="26">
        <f t="shared" ca="1" si="265"/>
        <v>9.4775233652403146E-2</v>
      </c>
      <c r="AB1046" s="29">
        <f t="shared" ca="1" si="284"/>
        <v>247</v>
      </c>
      <c r="AC1046"/>
      <c r="AD1046" s="25"/>
      <c r="AF1046" s="22">
        <v>45591</v>
      </c>
      <c r="AG1046" s="26">
        <f t="shared" ca="1" si="266"/>
        <v>0.540069397342121</v>
      </c>
      <c r="AH1046" s="29">
        <f t="shared" ca="1" si="285"/>
        <v>336</v>
      </c>
      <c r="AJ1046" s="22">
        <v>45591</v>
      </c>
      <c r="AK1046" s="26">
        <f t="shared" ca="1" si="267"/>
        <v>0.56718301547814176</v>
      </c>
      <c r="AL1046" s="29">
        <f t="shared" ca="1" si="286"/>
        <v>179</v>
      </c>
      <c r="AN1046" s="22">
        <v>45591</v>
      </c>
      <c r="AO1046" s="26">
        <f t="shared" ca="1" si="268"/>
        <v>0.10115767977173418</v>
      </c>
      <c r="AP1046" s="29">
        <f t="shared" ca="1" si="287"/>
        <v>154</v>
      </c>
      <c r="AR1046" s="22">
        <v>45591</v>
      </c>
      <c r="AS1046" s="26">
        <f t="shared" ca="1" si="269"/>
        <v>0.31680354215465967</v>
      </c>
      <c r="AT1046" s="29">
        <f t="shared" ca="1" si="288"/>
        <v>173</v>
      </c>
      <c r="AV1046" s="22">
        <v>45591</v>
      </c>
      <c r="AW1046" s="26">
        <f t="shared" ca="1" si="270"/>
        <v>0.86257442134805229</v>
      </c>
      <c r="AX1046" s="29">
        <f t="shared" ca="1" si="289"/>
        <v>266</v>
      </c>
      <c r="AZ1046" s="22">
        <v>45591</v>
      </c>
      <c r="BA1046" s="26">
        <f t="shared" ca="1" si="271"/>
        <v>0.51881636345000948</v>
      </c>
      <c r="BB1046" s="29">
        <f t="shared" ca="1" si="290"/>
        <v>237</v>
      </c>
      <c r="BC1046"/>
      <c r="BD1046" s="25"/>
      <c r="BF1046" s="22">
        <v>45591</v>
      </c>
      <c r="BG1046" s="26">
        <f t="shared" ca="1" si="272"/>
        <v>0.51996883956617135</v>
      </c>
      <c r="BH1046" s="29">
        <f t="shared" ca="1" si="291"/>
        <v>204</v>
      </c>
      <c r="BJ1046" s="22">
        <v>45591</v>
      </c>
      <c r="BK1046" s="26">
        <f t="shared" ca="1" si="273"/>
        <v>0.84264982600932115</v>
      </c>
      <c r="BL1046" s="29">
        <f t="shared" ca="1" si="292"/>
        <v>214</v>
      </c>
      <c r="BN1046" s="22">
        <v>45591</v>
      </c>
      <c r="BO1046" s="26">
        <f t="shared" ca="1" si="274"/>
        <v>0.10639253581641728</v>
      </c>
      <c r="BP1046" s="29">
        <f t="shared" ca="1" si="293"/>
        <v>145</v>
      </c>
      <c r="BR1046" s="22">
        <v>45591</v>
      </c>
      <c r="BS1046" s="26">
        <f t="shared" ca="1" si="275"/>
        <v>0.39285726289224365</v>
      </c>
      <c r="BT1046" s="29">
        <f t="shared" ca="1" si="294"/>
        <v>150</v>
      </c>
      <c r="BV1046" s="22">
        <v>45591</v>
      </c>
      <c r="BW1046" s="26">
        <f t="shared" ca="1" si="276"/>
        <v>0.68831023210442144</v>
      </c>
      <c r="BX1046" s="29">
        <f t="shared" ca="1" si="295"/>
        <v>249</v>
      </c>
    </row>
    <row r="1047" spans="2:77" ht="15.75" customHeight="1" x14ac:dyDescent="0.2">
      <c r="B1047" s="22">
        <v>45592</v>
      </c>
      <c r="C1047" s="26">
        <f t="shared" ca="1" si="277"/>
        <v>0.42001937936978806</v>
      </c>
      <c r="D1047" s="29">
        <f t="shared" ca="1" si="278"/>
        <v>71</v>
      </c>
      <c r="F1047" s="22"/>
      <c r="G1047" s="26">
        <f t="shared" ca="1" si="260"/>
        <v>0.2050468748673212</v>
      </c>
      <c r="H1047" s="29">
        <f t="shared" ca="1" si="279"/>
        <v>204</v>
      </c>
      <c r="J1047" s="22">
        <v>45592</v>
      </c>
      <c r="K1047" s="26">
        <f t="shared" ca="1" si="261"/>
        <v>0.99727963636125427</v>
      </c>
      <c r="L1047" s="29">
        <f t="shared" ca="1" si="280"/>
        <v>178</v>
      </c>
      <c r="N1047" s="22">
        <v>45592</v>
      </c>
      <c r="O1047" s="26">
        <f t="shared" ca="1" si="262"/>
        <v>0.55883958780700083</v>
      </c>
      <c r="P1047" s="29">
        <f t="shared" ca="1" si="281"/>
        <v>232</v>
      </c>
      <c r="R1047" s="22">
        <v>45592</v>
      </c>
      <c r="S1047" s="26">
        <f t="shared" ca="1" si="263"/>
        <v>0.20234233678197155</v>
      </c>
      <c r="T1047" s="29">
        <f t="shared" ca="1" si="282"/>
        <v>132</v>
      </c>
      <c r="V1047" s="22">
        <v>45592</v>
      </c>
      <c r="W1047" s="26">
        <f t="shared" ca="1" si="264"/>
        <v>0.90388070515880092</v>
      </c>
      <c r="X1047" s="29">
        <f t="shared" ca="1" si="283"/>
        <v>245</v>
      </c>
      <c r="Z1047" s="22">
        <v>45592</v>
      </c>
      <c r="AA1047" s="26">
        <f t="shared" ca="1" si="265"/>
        <v>4.3782133606712348E-3</v>
      </c>
      <c r="AB1047" s="29">
        <f t="shared" ca="1" si="284"/>
        <v>223</v>
      </c>
      <c r="AC1047"/>
      <c r="AD1047" s="25"/>
      <c r="AF1047" s="22">
        <v>45592</v>
      </c>
      <c r="AG1047" s="26">
        <f t="shared" ca="1" si="266"/>
        <v>0.43070686847525497</v>
      </c>
      <c r="AH1047" s="29">
        <f t="shared" ca="1" si="285"/>
        <v>312</v>
      </c>
      <c r="AJ1047" s="22">
        <v>45592</v>
      </c>
      <c r="AK1047" s="26">
        <f t="shared" ca="1" si="267"/>
        <v>0.58138036776494839</v>
      </c>
      <c r="AL1047" s="29">
        <f t="shared" ca="1" si="286"/>
        <v>180</v>
      </c>
      <c r="AN1047" s="22">
        <v>45592</v>
      </c>
      <c r="AO1047" s="26">
        <f t="shared" ca="1" si="268"/>
        <v>0.36198695881956477</v>
      </c>
      <c r="AP1047" s="29">
        <f t="shared" ca="1" si="287"/>
        <v>211</v>
      </c>
      <c r="AR1047" s="22">
        <v>45592</v>
      </c>
      <c r="AS1047" s="26">
        <f t="shared" ca="1" si="269"/>
        <v>0.32177108733754445</v>
      </c>
      <c r="AT1047" s="29">
        <f t="shared" ca="1" si="288"/>
        <v>174</v>
      </c>
      <c r="AV1047" s="22">
        <v>45592</v>
      </c>
      <c r="AW1047" s="26">
        <f t="shared" ca="1" si="270"/>
        <v>0.75851924920510672</v>
      </c>
      <c r="AX1047" s="29">
        <f t="shared" ca="1" si="289"/>
        <v>244</v>
      </c>
      <c r="AZ1047" s="22">
        <v>45592</v>
      </c>
      <c r="BA1047" s="26">
        <f t="shared" ca="1" si="271"/>
        <v>0.94088781033152247</v>
      </c>
      <c r="BB1047" s="29">
        <f t="shared" ca="1" si="290"/>
        <v>331</v>
      </c>
      <c r="BC1047"/>
      <c r="BD1047" s="25"/>
      <c r="BF1047" s="22">
        <v>45592</v>
      </c>
      <c r="BG1047" s="26">
        <f t="shared" ca="1" si="272"/>
        <v>0.79545548581183756</v>
      </c>
      <c r="BH1047" s="29">
        <f t="shared" ca="1" si="291"/>
        <v>245</v>
      </c>
      <c r="BJ1047" s="22">
        <v>45592</v>
      </c>
      <c r="BK1047" s="26">
        <f t="shared" ca="1" si="273"/>
        <v>0.38670273299035862</v>
      </c>
      <c r="BL1047" s="29">
        <f t="shared" ca="1" si="292"/>
        <v>156</v>
      </c>
      <c r="BN1047" s="22">
        <v>45592</v>
      </c>
      <c r="BO1047" s="26">
        <f t="shared" ca="1" si="274"/>
        <v>0.39035491904301156</v>
      </c>
      <c r="BP1047" s="29">
        <f t="shared" ca="1" si="293"/>
        <v>200</v>
      </c>
      <c r="BR1047" s="22">
        <v>45592</v>
      </c>
      <c r="BS1047" s="26">
        <f t="shared" ca="1" si="275"/>
        <v>0.1863041257080732</v>
      </c>
      <c r="BT1047" s="29">
        <f t="shared" ca="1" si="294"/>
        <v>123</v>
      </c>
      <c r="BV1047" s="22">
        <v>45592</v>
      </c>
      <c r="BW1047" s="26">
        <f t="shared" ca="1" si="276"/>
        <v>0.72671057249668547</v>
      </c>
      <c r="BX1047" s="29">
        <f t="shared" ca="1" si="295"/>
        <v>255</v>
      </c>
    </row>
    <row r="1048" spans="2:77" ht="15.75" customHeight="1" x14ac:dyDescent="0.2">
      <c r="B1048" s="22">
        <v>45593</v>
      </c>
      <c r="C1048" s="26">
        <f t="shared" ca="1" si="277"/>
        <v>0.11349427568155956</v>
      </c>
      <c r="D1048" s="29">
        <f t="shared" ca="1" si="278"/>
        <v>51</v>
      </c>
      <c r="F1048" s="22"/>
      <c r="G1048" s="26">
        <f t="shared" ca="1" si="260"/>
        <v>3.6048565402971633E-2</v>
      </c>
      <c r="H1048" s="29">
        <f t="shared" ca="1" si="279"/>
        <v>190</v>
      </c>
      <c r="J1048" s="22">
        <v>45593</v>
      </c>
      <c r="K1048" s="26">
        <f t="shared" ca="1" si="261"/>
        <v>0.874923310409499</v>
      </c>
      <c r="L1048" s="29">
        <f t="shared" ca="1" si="280"/>
        <v>162</v>
      </c>
      <c r="N1048" s="22">
        <v>45593</v>
      </c>
      <c r="O1048" s="26">
        <f t="shared" ca="1" si="262"/>
        <v>0.89389496785858491</v>
      </c>
      <c r="P1048" s="29">
        <f t="shared" ca="1" si="281"/>
        <v>249</v>
      </c>
      <c r="R1048" s="22">
        <v>45593</v>
      </c>
      <c r="S1048" s="26">
        <f t="shared" ca="1" si="263"/>
        <v>0.45563468600838508</v>
      </c>
      <c r="T1048" s="29">
        <f t="shared" ca="1" si="282"/>
        <v>138</v>
      </c>
      <c r="V1048" s="22">
        <v>45593</v>
      </c>
      <c r="W1048" s="26">
        <f t="shared" ca="1" si="264"/>
        <v>0.56430289776835185</v>
      </c>
      <c r="X1048" s="29">
        <f t="shared" ca="1" si="283"/>
        <v>228</v>
      </c>
      <c r="Z1048" s="22">
        <v>45593</v>
      </c>
      <c r="AA1048" s="26">
        <f t="shared" ca="1" si="265"/>
        <v>0.19370926787906051</v>
      </c>
      <c r="AB1048" s="29">
        <f t="shared" ca="1" si="284"/>
        <v>255</v>
      </c>
      <c r="AC1048"/>
      <c r="AD1048" s="25"/>
      <c r="AF1048" s="22">
        <v>45593</v>
      </c>
      <c r="AG1048" s="26">
        <f t="shared" ca="1" si="266"/>
        <v>0.82142158675335397</v>
      </c>
      <c r="AH1048" s="29">
        <f t="shared" ca="1" si="285"/>
        <v>408</v>
      </c>
      <c r="AJ1048" s="22">
        <v>45593</v>
      </c>
      <c r="AK1048" s="26">
        <f t="shared" ca="1" si="267"/>
        <v>0.20364592585545738</v>
      </c>
      <c r="AL1048" s="29">
        <f t="shared" ca="1" si="286"/>
        <v>133</v>
      </c>
      <c r="AN1048" s="22">
        <v>45593</v>
      </c>
      <c r="AO1048" s="26">
        <f t="shared" ca="1" si="268"/>
        <v>0.56949050609788665</v>
      </c>
      <c r="AP1048" s="29">
        <f t="shared" ca="1" si="287"/>
        <v>243</v>
      </c>
      <c r="AR1048" s="22">
        <v>45593</v>
      </c>
      <c r="AS1048" s="26">
        <f t="shared" ca="1" si="269"/>
        <v>0.59562145376124231</v>
      </c>
      <c r="AT1048" s="29">
        <f t="shared" ca="1" si="288"/>
        <v>211</v>
      </c>
      <c r="AV1048" s="22">
        <v>45593</v>
      </c>
      <c r="AW1048" s="26">
        <f t="shared" ca="1" si="270"/>
        <v>0.70939498728568917</v>
      </c>
      <c r="AX1048" s="29">
        <f t="shared" ca="1" si="289"/>
        <v>236</v>
      </c>
      <c r="AZ1048" s="22">
        <v>45593</v>
      </c>
      <c r="BA1048" s="26">
        <f t="shared" ca="1" si="271"/>
        <v>0.28211168719065571</v>
      </c>
      <c r="BB1048" s="29">
        <f t="shared" ca="1" si="290"/>
        <v>198</v>
      </c>
      <c r="BC1048"/>
      <c r="BD1048" s="25"/>
      <c r="BF1048" s="22">
        <v>45593</v>
      </c>
      <c r="BG1048" s="26">
        <f t="shared" ca="1" si="272"/>
        <v>0.50063050418816857</v>
      </c>
      <c r="BH1048" s="29">
        <f t="shared" ca="1" si="291"/>
        <v>201</v>
      </c>
      <c r="BJ1048" s="22">
        <v>45593</v>
      </c>
      <c r="BK1048" s="26">
        <f t="shared" ca="1" si="273"/>
        <v>0.82533704877657399</v>
      </c>
      <c r="BL1048" s="29">
        <f t="shared" ca="1" si="292"/>
        <v>211</v>
      </c>
      <c r="BN1048" s="22">
        <v>45593</v>
      </c>
      <c r="BO1048" s="26">
        <f t="shared" ca="1" si="274"/>
        <v>0.47992810021127419</v>
      </c>
      <c r="BP1048" s="29">
        <f t="shared" ca="1" si="293"/>
        <v>213</v>
      </c>
      <c r="BR1048" s="22">
        <v>45593</v>
      </c>
      <c r="BS1048" s="26">
        <f t="shared" ca="1" si="275"/>
        <v>0.50318415683224094</v>
      </c>
      <c r="BT1048" s="29">
        <f t="shared" ca="1" si="294"/>
        <v>161</v>
      </c>
      <c r="BV1048" s="22">
        <v>45593</v>
      </c>
      <c r="BW1048" s="26">
        <f t="shared" ca="1" si="276"/>
        <v>0.19843625335171511</v>
      </c>
      <c r="BX1048" s="29">
        <f t="shared" ca="1" si="295"/>
        <v>170</v>
      </c>
    </row>
    <row r="1049" spans="2:77" ht="15.75" customHeight="1" x14ac:dyDescent="0.2">
      <c r="B1049" s="22">
        <v>45594</v>
      </c>
      <c r="C1049" s="26">
        <f t="shared" ca="1" si="277"/>
        <v>0.64519640280306523</v>
      </c>
      <c r="D1049" s="29">
        <f t="shared" ca="1" si="278"/>
        <v>83</v>
      </c>
      <c r="F1049" s="22"/>
      <c r="G1049" s="26">
        <f t="shared" ca="1" si="260"/>
        <v>0.94501924356429734</v>
      </c>
      <c r="H1049" s="29">
        <f t="shared" ca="1" si="279"/>
        <v>239</v>
      </c>
      <c r="J1049" s="22">
        <v>45594</v>
      </c>
      <c r="K1049" s="26">
        <f t="shared" ca="1" si="261"/>
        <v>6.2997975263894279E-3</v>
      </c>
      <c r="L1049" s="29">
        <f t="shared" ca="1" si="280"/>
        <v>126</v>
      </c>
      <c r="N1049" s="22">
        <v>45594</v>
      </c>
      <c r="O1049" s="26">
        <f t="shared" ca="1" si="262"/>
        <v>0.71559558766873821</v>
      </c>
      <c r="P1049" s="29">
        <f t="shared" ca="1" si="281"/>
        <v>239</v>
      </c>
      <c r="R1049" s="22">
        <v>45594</v>
      </c>
      <c r="S1049" s="26">
        <f t="shared" ca="1" si="263"/>
        <v>0.1859374733000867</v>
      </c>
      <c r="T1049" s="29">
        <f t="shared" ca="1" si="282"/>
        <v>131</v>
      </c>
      <c r="V1049" s="22">
        <v>45594</v>
      </c>
      <c r="W1049" s="26">
        <f t="shared" ca="1" si="264"/>
        <v>0.21249516725277995</v>
      </c>
      <c r="X1049" s="29">
        <f t="shared" ca="1" si="283"/>
        <v>214</v>
      </c>
      <c r="Z1049" s="22">
        <v>45594</v>
      </c>
      <c r="AA1049" s="26">
        <f t="shared" ca="1" si="265"/>
        <v>0.95087212429021306</v>
      </c>
      <c r="AB1049" s="29">
        <f t="shared" ca="1" si="284"/>
        <v>300</v>
      </c>
      <c r="AC1049"/>
      <c r="AD1049" s="25"/>
      <c r="AF1049" s="22">
        <v>45594</v>
      </c>
      <c r="AG1049" s="26">
        <f t="shared" ca="1" si="266"/>
        <v>0.31451284110823496</v>
      </c>
      <c r="AH1049" s="29">
        <f t="shared" ca="1" si="285"/>
        <v>285</v>
      </c>
      <c r="AJ1049" s="22">
        <v>45594</v>
      </c>
      <c r="AK1049" s="26">
        <f t="shared" ca="1" si="267"/>
        <v>0.71769331445533924</v>
      </c>
      <c r="AL1049" s="29">
        <f t="shared" ca="1" si="286"/>
        <v>197</v>
      </c>
      <c r="AN1049" s="22">
        <v>45594</v>
      </c>
      <c r="AO1049" s="26">
        <f t="shared" ca="1" si="268"/>
        <v>6.9153346955410866E-2</v>
      </c>
      <c r="AP1049" s="29">
        <f t="shared" ca="1" si="287"/>
        <v>141</v>
      </c>
      <c r="AR1049" s="22">
        <v>45594</v>
      </c>
      <c r="AS1049" s="26">
        <f t="shared" ca="1" si="269"/>
        <v>0.45257969542731624</v>
      </c>
      <c r="AT1049" s="29">
        <f t="shared" ca="1" si="288"/>
        <v>192</v>
      </c>
      <c r="AV1049" s="22">
        <v>45594</v>
      </c>
      <c r="AW1049" s="26">
        <f t="shared" ca="1" si="270"/>
        <v>0.10097730986363529</v>
      </c>
      <c r="AX1049" s="29">
        <f t="shared" ca="1" si="289"/>
        <v>136</v>
      </c>
      <c r="AZ1049" s="22">
        <v>45594</v>
      </c>
      <c r="BA1049" s="26">
        <f t="shared" ca="1" si="271"/>
        <v>0.64568762022738491</v>
      </c>
      <c r="BB1049" s="29">
        <f t="shared" ca="1" si="290"/>
        <v>257</v>
      </c>
      <c r="BC1049"/>
      <c r="BD1049" s="25"/>
      <c r="BF1049" s="22">
        <v>45594</v>
      </c>
      <c r="BG1049" s="26">
        <f t="shared" ca="1" si="272"/>
        <v>6.3595154000634757E-2</v>
      </c>
      <c r="BH1049" s="29">
        <f t="shared" ca="1" si="291"/>
        <v>119</v>
      </c>
      <c r="BJ1049" s="22">
        <v>45594</v>
      </c>
      <c r="BK1049" s="26">
        <f t="shared" ca="1" si="273"/>
        <v>0.41247854280391416</v>
      </c>
      <c r="BL1049" s="29">
        <f t="shared" ca="1" si="292"/>
        <v>159</v>
      </c>
      <c r="BN1049" s="22">
        <v>45594</v>
      </c>
      <c r="BO1049" s="26">
        <f t="shared" ca="1" si="274"/>
        <v>0.33061288687197088</v>
      </c>
      <c r="BP1049" s="29">
        <f t="shared" ca="1" si="293"/>
        <v>191</v>
      </c>
      <c r="BR1049" s="22">
        <v>45594</v>
      </c>
      <c r="BS1049" s="26">
        <f t="shared" ca="1" si="275"/>
        <v>0.80138576042372023</v>
      </c>
      <c r="BT1049" s="29">
        <f t="shared" ca="1" si="294"/>
        <v>197</v>
      </c>
      <c r="BV1049" s="22">
        <v>45594</v>
      </c>
      <c r="BW1049" s="26">
        <f t="shared" ca="1" si="276"/>
        <v>0.46144187524500546</v>
      </c>
      <c r="BX1049" s="29">
        <f t="shared" ca="1" si="295"/>
        <v>214</v>
      </c>
    </row>
    <row r="1050" spans="2:77" ht="15.75" customHeight="1" x14ac:dyDescent="0.2">
      <c r="B1050" s="22">
        <v>45595</v>
      </c>
      <c r="C1050" s="26">
        <f t="shared" ca="1" si="277"/>
        <v>6.6913328237165337E-2</v>
      </c>
      <c r="D1050" s="29">
        <f t="shared" ca="1" si="278"/>
        <v>46</v>
      </c>
      <c r="F1050" s="22"/>
      <c r="G1050" s="26">
        <f t="shared" ca="1" si="260"/>
        <v>0.34833286656758899</v>
      </c>
      <c r="H1050" s="29">
        <f t="shared" ca="1" si="279"/>
        <v>210</v>
      </c>
      <c r="J1050" s="22">
        <v>45595</v>
      </c>
      <c r="K1050" s="26">
        <f t="shared" ca="1" si="261"/>
        <v>0.55491703741910103</v>
      </c>
      <c r="L1050" s="29">
        <f t="shared" ca="1" si="280"/>
        <v>152</v>
      </c>
      <c r="N1050" s="22">
        <v>45595</v>
      </c>
      <c r="O1050" s="26">
        <f t="shared" ca="1" si="262"/>
        <v>0.7766709902604243</v>
      </c>
      <c r="P1050" s="29">
        <f t="shared" ca="1" si="281"/>
        <v>241</v>
      </c>
      <c r="R1050" s="22">
        <v>45595</v>
      </c>
      <c r="S1050" s="26">
        <f t="shared" ca="1" si="263"/>
        <v>0.26632286948940731</v>
      </c>
      <c r="T1050" s="29">
        <f t="shared" ca="1" si="282"/>
        <v>133</v>
      </c>
      <c r="V1050" s="22">
        <v>45595</v>
      </c>
      <c r="W1050" s="26">
        <f t="shared" ca="1" si="264"/>
        <v>0.94208173026450803</v>
      </c>
      <c r="X1050" s="29">
        <f t="shared" ca="1" si="283"/>
        <v>249</v>
      </c>
      <c r="Z1050" s="22">
        <v>45595</v>
      </c>
      <c r="AA1050" s="26">
        <f t="shared" ca="1" si="265"/>
        <v>0.66647472515926498</v>
      </c>
      <c r="AB1050" s="29">
        <f t="shared" ca="1" si="284"/>
        <v>278</v>
      </c>
      <c r="AC1050"/>
      <c r="AD1050" s="25"/>
      <c r="AF1050" s="22">
        <v>45595</v>
      </c>
      <c r="AG1050" s="26">
        <f t="shared" ca="1" si="266"/>
        <v>0.64635719076459475</v>
      </c>
      <c r="AH1050" s="29">
        <f t="shared" ca="1" si="285"/>
        <v>360</v>
      </c>
      <c r="AJ1050" s="22">
        <v>45595</v>
      </c>
      <c r="AK1050" s="26">
        <f t="shared" ca="1" si="267"/>
        <v>0.60554166911305629</v>
      </c>
      <c r="AL1050" s="29">
        <f t="shared" ca="1" si="286"/>
        <v>183</v>
      </c>
      <c r="AN1050" s="22">
        <v>45595</v>
      </c>
      <c r="AO1050" s="26">
        <f t="shared" ca="1" si="268"/>
        <v>0.99129731212941641</v>
      </c>
      <c r="AP1050" s="29">
        <f t="shared" ca="1" si="287"/>
        <v>380</v>
      </c>
      <c r="AR1050" s="22">
        <v>45595</v>
      </c>
      <c r="AS1050" s="26">
        <f t="shared" ca="1" si="269"/>
        <v>0.15282209234946009</v>
      </c>
      <c r="AT1050" s="29">
        <f t="shared" ca="1" si="288"/>
        <v>144</v>
      </c>
      <c r="AV1050" s="22">
        <v>45595</v>
      </c>
      <c r="AW1050" s="26">
        <f t="shared" ca="1" si="270"/>
        <v>0.71808751024398076</v>
      </c>
      <c r="AX1050" s="29">
        <f t="shared" ca="1" si="289"/>
        <v>238</v>
      </c>
      <c r="AZ1050" s="22">
        <v>45595</v>
      </c>
      <c r="BA1050" s="26">
        <f t="shared" ca="1" si="271"/>
        <v>8.7944023975526475E-2</v>
      </c>
      <c r="BB1050" s="29">
        <f t="shared" ca="1" si="290"/>
        <v>150</v>
      </c>
      <c r="BC1050"/>
      <c r="BD1050" s="25"/>
      <c r="BF1050" s="22">
        <v>45595</v>
      </c>
      <c r="BG1050" s="26">
        <f t="shared" ca="1" si="272"/>
        <v>0.62455078082516136</v>
      </c>
      <c r="BH1050" s="29">
        <f t="shared" ca="1" si="291"/>
        <v>218</v>
      </c>
      <c r="BJ1050" s="22">
        <v>45595</v>
      </c>
      <c r="BK1050" s="26">
        <f t="shared" ca="1" si="273"/>
        <v>0.31515607525256484</v>
      </c>
      <c r="BL1050" s="29">
        <f t="shared" ca="1" si="292"/>
        <v>147</v>
      </c>
      <c r="BN1050" s="22">
        <v>45595</v>
      </c>
      <c r="BO1050" s="26">
        <f t="shared" ca="1" si="274"/>
        <v>0.19495512707483287</v>
      </c>
      <c r="BP1050" s="29">
        <f t="shared" ca="1" si="293"/>
        <v>167</v>
      </c>
      <c r="BR1050" s="22">
        <v>45595</v>
      </c>
      <c r="BS1050" s="26">
        <f t="shared" ca="1" si="275"/>
        <v>0.99132251594546739</v>
      </c>
      <c r="BT1050" s="29">
        <f t="shared" ca="1" si="294"/>
        <v>263</v>
      </c>
      <c r="BV1050" s="22">
        <v>45595</v>
      </c>
      <c r="BW1050" s="26">
        <f t="shared" ca="1" si="276"/>
        <v>7.5740667420124752E-2</v>
      </c>
      <c r="BX1050" s="29">
        <f t="shared" ca="1" si="295"/>
        <v>136</v>
      </c>
    </row>
    <row r="1051" spans="2:77" ht="15.75" customHeight="1" x14ac:dyDescent="0.2">
      <c r="B1051" s="22">
        <v>45596</v>
      </c>
      <c r="C1051" s="26">
        <f t="shared" ca="1" si="277"/>
        <v>0.46488140602765815</v>
      </c>
      <c r="D1051" s="29">
        <f t="shared" ca="1" si="278"/>
        <v>74</v>
      </c>
      <c r="E1051">
        <v>1527</v>
      </c>
      <c r="F1051" s="22"/>
      <c r="G1051" s="26">
        <f t="shared" ca="1" si="260"/>
        <v>0.4974270282051465</v>
      </c>
      <c r="H1051" s="29">
        <f t="shared" ca="1" si="279"/>
        <v>216</v>
      </c>
      <c r="I1051">
        <v>1671</v>
      </c>
      <c r="J1051" s="22">
        <v>45596</v>
      </c>
      <c r="K1051" s="26">
        <f t="shared" ca="1" si="261"/>
        <v>0.15003188370854414</v>
      </c>
      <c r="L1051" s="29">
        <f t="shared" ca="1" si="280"/>
        <v>140</v>
      </c>
      <c r="M1051">
        <v>3309</v>
      </c>
      <c r="N1051" s="22">
        <v>45596</v>
      </c>
      <c r="O1051" s="26">
        <f t="shared" ca="1" si="262"/>
        <v>0.47548965125593134</v>
      </c>
      <c r="P1051" s="29">
        <f t="shared" ca="1" si="281"/>
        <v>229</v>
      </c>
      <c r="Q1051">
        <v>5042</v>
      </c>
      <c r="R1051" s="22">
        <v>45596</v>
      </c>
      <c r="S1051" s="26">
        <f t="shared" ca="1" si="263"/>
        <v>0.23202315413547936</v>
      </c>
      <c r="T1051" s="29">
        <f t="shared" ca="1" si="282"/>
        <v>132</v>
      </c>
      <c r="U1051">
        <v>3161</v>
      </c>
      <c r="V1051" s="22">
        <v>45596</v>
      </c>
      <c r="W1051" s="26">
        <f t="shared" ca="1" si="264"/>
        <v>0.88608425555196824</v>
      </c>
      <c r="X1051" s="29">
        <f t="shared" ca="1" si="283"/>
        <v>244</v>
      </c>
      <c r="Y1051">
        <v>4951</v>
      </c>
      <c r="Z1051" s="22">
        <v>45596</v>
      </c>
      <c r="AA1051" s="26">
        <f t="shared" ca="1" si="265"/>
        <v>4.6065651035003152E-2</v>
      </c>
      <c r="AB1051" s="29">
        <f t="shared" ca="1" si="284"/>
        <v>240</v>
      </c>
      <c r="AC1051">
        <v>5911</v>
      </c>
      <c r="AD1051" s="25"/>
      <c r="AF1051" s="22">
        <v>45596</v>
      </c>
      <c r="AG1051" s="26">
        <f t="shared" ca="1" si="266"/>
        <v>0.53876973564849107</v>
      </c>
      <c r="AH1051" s="29">
        <f t="shared" ca="1" si="285"/>
        <v>336</v>
      </c>
      <c r="AI1051">
        <v>6737</v>
      </c>
      <c r="AJ1051" s="22">
        <v>45596</v>
      </c>
      <c r="AK1051" s="26">
        <f t="shared" ca="1" si="267"/>
        <v>3.6515949209382503E-3</v>
      </c>
      <c r="AL1051" s="29">
        <f t="shared" ca="1" si="286"/>
        <v>49</v>
      </c>
      <c r="AM1051">
        <v>3979</v>
      </c>
      <c r="AN1051" s="22">
        <v>45596</v>
      </c>
      <c r="AO1051" s="26">
        <f t="shared" ca="1" si="268"/>
        <v>0.64684592261159524</v>
      </c>
      <c r="AP1051" s="29">
        <f t="shared" ca="1" si="287"/>
        <v>256</v>
      </c>
      <c r="AQ1051">
        <v>3291</v>
      </c>
      <c r="AR1051" s="22">
        <v>45596</v>
      </c>
      <c r="AS1051" s="26">
        <f t="shared" ca="1" si="269"/>
        <v>0.8848638012001222</v>
      </c>
      <c r="AT1051" s="29">
        <f t="shared" ca="1" si="288"/>
        <v>262</v>
      </c>
      <c r="AU1051">
        <v>4696</v>
      </c>
      <c r="AV1051" s="22">
        <v>45596</v>
      </c>
      <c r="AW1051" s="26">
        <f t="shared" ca="1" si="270"/>
        <v>0.5901217782890712</v>
      </c>
      <c r="AX1051" s="29">
        <f t="shared" ca="1" si="289"/>
        <v>218</v>
      </c>
      <c r="AY1051">
        <v>4069</v>
      </c>
      <c r="AZ1051" s="22">
        <v>45596</v>
      </c>
      <c r="BA1051" s="26">
        <f t="shared" ca="1" si="271"/>
        <v>7.2319621978125692E-2</v>
      </c>
      <c r="BB1051" s="29">
        <f t="shared" ca="1" si="290"/>
        <v>143</v>
      </c>
      <c r="BC1051">
        <v>4099</v>
      </c>
      <c r="BD1051" s="25"/>
      <c r="BF1051" s="22">
        <v>45596</v>
      </c>
      <c r="BG1051" s="26">
        <f t="shared" ca="1" si="272"/>
        <v>0.65004090250315683</v>
      </c>
      <c r="BH1051" s="29">
        <f t="shared" ca="1" si="291"/>
        <v>222</v>
      </c>
      <c r="BI1051">
        <v>3535</v>
      </c>
      <c r="BJ1051" s="22">
        <v>45596</v>
      </c>
      <c r="BK1051" s="26">
        <f t="shared" ca="1" si="273"/>
        <v>0.14202707201869658</v>
      </c>
      <c r="BL1051" s="29">
        <f t="shared" ca="1" si="292"/>
        <v>121</v>
      </c>
      <c r="BM1051">
        <v>3471</v>
      </c>
      <c r="BN1051" s="22">
        <v>45596</v>
      </c>
      <c r="BO1051" s="26">
        <f t="shared" ca="1" si="274"/>
        <v>0.40551909937802477</v>
      </c>
      <c r="BP1051" s="29">
        <f t="shared" ca="1" si="293"/>
        <v>202</v>
      </c>
      <c r="BQ1051">
        <v>2768</v>
      </c>
      <c r="BR1051" s="22">
        <v>45596</v>
      </c>
      <c r="BS1051" s="26">
        <f t="shared" ca="1" si="275"/>
        <v>0.97634909065705167</v>
      </c>
      <c r="BT1051" s="29">
        <f t="shared" ca="1" si="294"/>
        <v>246</v>
      </c>
      <c r="BU1051">
        <v>3699</v>
      </c>
      <c r="BV1051" s="22">
        <v>45596</v>
      </c>
      <c r="BW1051" s="26">
        <f t="shared" ca="1" si="276"/>
        <v>9.2523618817304198E-2</v>
      </c>
      <c r="BX1051" s="29">
        <f t="shared" ca="1" si="295"/>
        <v>142</v>
      </c>
      <c r="BY1051">
        <v>4072</v>
      </c>
    </row>
    <row r="1052" spans="2:77" ht="15.75" customHeight="1" x14ac:dyDescent="0.2">
      <c r="B1052" s="22">
        <v>45597</v>
      </c>
      <c r="C1052" s="26">
        <f t="shared" ca="1" si="277"/>
        <v>0.1600139186067977</v>
      </c>
      <c r="D1052" s="29">
        <f ca="1">ROUNDUP(_xlfn.NORM.INV(C1051,C$10,C$12),0)</f>
        <v>74</v>
      </c>
      <c r="F1052" s="22"/>
      <c r="G1052" s="26">
        <f t="shared" ca="1" si="260"/>
        <v>7.6684619284593358E-2</v>
      </c>
      <c r="H1052" s="29">
        <f ca="1">ROUNDUP(_xlfn.NORM.INV(G1051,G$10,G$12),0)</f>
        <v>216</v>
      </c>
      <c r="I1052">
        <v>0</v>
      </c>
      <c r="J1052" s="22">
        <v>45597</v>
      </c>
      <c r="K1052" s="26">
        <f t="shared" ca="1" si="261"/>
        <v>0.97541620316438471</v>
      </c>
      <c r="L1052" s="29">
        <f ca="1">ROUNDUP(_xlfn.NORM.INV(K1051,K$10,K$12),0)</f>
        <v>140</v>
      </c>
      <c r="N1052" s="22">
        <v>45597</v>
      </c>
      <c r="O1052" s="26">
        <f t="shared" ca="1" si="262"/>
        <v>0.59011884873436005</v>
      </c>
      <c r="P1052" s="29">
        <f ca="1">ROUNDUP(_xlfn.NORM.INV(O1051,O$10,O$12),0)</f>
        <v>229</v>
      </c>
      <c r="R1052" s="22">
        <v>45597</v>
      </c>
      <c r="S1052" s="26">
        <f t="shared" ca="1" si="263"/>
        <v>0.57009066159922583</v>
      </c>
      <c r="T1052" s="29">
        <f ca="1">ROUNDUP(_xlfn.NORM.INV(S1051,S$10,S$12),0)</f>
        <v>132</v>
      </c>
      <c r="V1052" s="22">
        <v>45597</v>
      </c>
      <c r="W1052" s="26">
        <f t="shared" ca="1" si="264"/>
        <v>0.35878405832865279</v>
      </c>
      <c r="X1052" s="29">
        <f ca="1">ROUNDUP(_xlfn.NORM.INV(W1051,W$10,W$12),0)</f>
        <v>244</v>
      </c>
      <c r="Z1052" s="22">
        <v>45597</v>
      </c>
      <c r="AA1052" s="26">
        <f t="shared" ca="1" si="265"/>
        <v>0.89036312523740835</v>
      </c>
      <c r="AB1052" s="29">
        <f ca="1">ROUNDUP(_xlfn.NORM.INV(AA1051,AA$10,AA$12),0)</f>
        <v>240</v>
      </c>
      <c r="AC1052"/>
      <c r="AD1052" s="25"/>
      <c r="AF1052" s="22">
        <v>45597</v>
      </c>
      <c r="AG1052" s="26">
        <f t="shared" ca="1" si="266"/>
        <v>0.94507849321221193</v>
      </c>
      <c r="AH1052" s="29">
        <f ca="1">ROUNDUP(_xlfn.NORM.INV(AG1051,AG$10,AG$12),0)</f>
        <v>336</v>
      </c>
      <c r="AJ1052" s="22">
        <v>45597</v>
      </c>
      <c r="AK1052" s="26">
        <f t="shared" ca="1" si="267"/>
        <v>0.79460403922744227</v>
      </c>
      <c r="AL1052" s="29">
        <f ca="1">ROUNDUP(_xlfn.NORM.INV(AK1051,AK$10,AK$12),0)</f>
        <v>49</v>
      </c>
      <c r="AN1052" s="22">
        <v>45597</v>
      </c>
      <c r="AO1052" s="26">
        <f t="shared" ca="1" si="268"/>
        <v>0.52455590422302989</v>
      </c>
      <c r="AP1052" s="29">
        <f ca="1">ROUNDUP(_xlfn.NORM.INV(AO1051,AO$10,AO$12),0)</f>
        <v>256</v>
      </c>
      <c r="AR1052" s="22">
        <v>45597</v>
      </c>
      <c r="AS1052" s="26">
        <f t="shared" ca="1" si="269"/>
        <v>0.11678945464781865</v>
      </c>
      <c r="AT1052" s="29">
        <f ca="1">ROUNDUP(_xlfn.NORM.INV(AS1051,AS$10,AS$12),0)</f>
        <v>262</v>
      </c>
      <c r="AV1052" s="22">
        <v>45597</v>
      </c>
      <c r="AW1052" s="26">
        <f t="shared" ca="1" si="270"/>
        <v>0.83772617287000739</v>
      </c>
      <c r="AX1052" s="29">
        <f ca="1">ROUNDUP(_xlfn.NORM.INV(AW1051,AW$10,AW$12),0)</f>
        <v>218</v>
      </c>
      <c r="AZ1052" s="22">
        <v>45597</v>
      </c>
      <c r="BA1052" s="26">
        <f t="shared" ca="1" si="271"/>
        <v>0.89277714437605493</v>
      </c>
      <c r="BB1052" s="29">
        <f ca="1">ROUNDUP(_xlfn.NORM.INV(BA1051,BA$10,BA$12),0)</f>
        <v>143</v>
      </c>
      <c r="BC1052"/>
      <c r="BD1052" s="25"/>
      <c r="BF1052" s="22">
        <v>45597</v>
      </c>
      <c r="BG1052" s="26">
        <f t="shared" ca="1" si="272"/>
        <v>0.91563494606393425</v>
      </c>
      <c r="BH1052" s="29">
        <f ca="1">ROUNDUP(_xlfn.NORM.INV(BG1051,BG$10,BG$12),0)</f>
        <v>222</v>
      </c>
      <c r="BJ1052" s="22">
        <v>45597</v>
      </c>
      <c r="BK1052" s="26">
        <f t="shared" ca="1" si="273"/>
        <v>0.3054371270195757</v>
      </c>
      <c r="BL1052" s="29">
        <f ca="1">ROUNDUP(_xlfn.NORM.INV(BK1051,BK$10,BK$12),0)</f>
        <v>121</v>
      </c>
      <c r="BN1052" s="22">
        <v>45597</v>
      </c>
      <c r="BO1052" s="26">
        <f t="shared" ca="1" si="274"/>
        <v>0.74594332126960861</v>
      </c>
      <c r="BP1052" s="29">
        <f ca="1">ROUNDUP(_xlfn.NORM.INV(BO1051,BO$10,BO$12),0)</f>
        <v>202</v>
      </c>
      <c r="BR1052" s="22">
        <v>45597</v>
      </c>
      <c r="BS1052" s="26">
        <f t="shared" ca="1" si="275"/>
        <v>2.7317997723365184E-2</v>
      </c>
      <c r="BT1052" s="29">
        <f ca="1">ROUNDUP(_xlfn.NORM.INV(BS1051,BS$10,BS$12),0)</f>
        <v>246</v>
      </c>
      <c r="BV1052" s="22">
        <v>45597</v>
      </c>
      <c r="BW1052" s="26">
        <f t="shared" ca="1" si="276"/>
        <v>0.45822283024411969</v>
      </c>
      <c r="BX1052" s="29">
        <f ca="1">ROUNDUP(_xlfn.NORM.INV(BW1051,BW$10,BW$12),0)</f>
        <v>142</v>
      </c>
    </row>
    <row r="1053" spans="2:77" ht="15.75" customHeight="1" x14ac:dyDescent="0.2">
      <c r="B1053" s="22">
        <v>45598</v>
      </c>
      <c r="C1053" s="26">
        <f t="shared" ca="1" si="277"/>
        <v>0.74606353270926995</v>
      </c>
      <c r="D1053" s="29">
        <f t="shared" ca="1" si="278"/>
        <v>89</v>
      </c>
      <c r="F1053" s="22"/>
      <c r="G1053" s="26">
        <f t="shared" ca="1" si="260"/>
        <v>0.68177188663204746</v>
      </c>
      <c r="H1053" s="29">
        <f t="shared" ca="1" si="279"/>
        <v>223</v>
      </c>
      <c r="J1053" s="22">
        <v>45598</v>
      </c>
      <c r="K1053" s="26">
        <f t="shared" ca="1" si="261"/>
        <v>0.34265224489934598</v>
      </c>
      <c r="L1053" s="29">
        <f t="shared" ca="1" si="280"/>
        <v>146</v>
      </c>
      <c r="N1053" s="22">
        <v>45598</v>
      </c>
      <c r="O1053" s="26">
        <f t="shared" ca="1" si="262"/>
        <v>0.83690943998810452</v>
      </c>
      <c r="P1053" s="29">
        <f t="shared" ca="1" si="281"/>
        <v>245</v>
      </c>
      <c r="R1053" s="22">
        <v>45598</v>
      </c>
      <c r="S1053" s="26">
        <f t="shared" ca="1" si="263"/>
        <v>0.9810051756274889</v>
      </c>
      <c r="T1053" s="29">
        <f t="shared" ca="1" si="282"/>
        <v>158</v>
      </c>
      <c r="V1053" s="22">
        <v>45598</v>
      </c>
      <c r="W1053" s="26">
        <f t="shared" ca="1" si="264"/>
        <v>0.62156973620430089</v>
      </c>
      <c r="X1053" s="29">
        <f t="shared" ca="1" si="283"/>
        <v>230</v>
      </c>
      <c r="Z1053" s="22">
        <v>45598</v>
      </c>
      <c r="AA1053" s="26">
        <f t="shared" ca="1" si="265"/>
        <v>0.69668923957959872</v>
      </c>
      <c r="AB1053" s="29">
        <f t="shared" ca="1" si="284"/>
        <v>280</v>
      </c>
      <c r="AC1053"/>
      <c r="AD1053" s="25"/>
      <c r="AF1053" s="22">
        <v>45598</v>
      </c>
      <c r="AG1053" s="26">
        <f t="shared" ca="1" si="266"/>
        <v>0.28295029821343487</v>
      </c>
      <c r="AH1053" s="29">
        <f t="shared" ca="1" si="285"/>
        <v>277</v>
      </c>
      <c r="AJ1053" s="22">
        <v>45598</v>
      </c>
      <c r="AK1053" s="26">
        <f t="shared" ca="1" si="267"/>
        <v>0.53709814232961672</v>
      </c>
      <c r="AL1053" s="29">
        <f t="shared" ca="1" si="286"/>
        <v>175</v>
      </c>
      <c r="AN1053" s="22">
        <v>45598</v>
      </c>
      <c r="AO1053" s="26">
        <f t="shared" ca="1" si="268"/>
        <v>0.15807760295194484</v>
      </c>
      <c r="AP1053" s="29">
        <f t="shared" ca="1" si="287"/>
        <v>171</v>
      </c>
      <c r="AR1053" s="22">
        <v>45598</v>
      </c>
      <c r="AS1053" s="26">
        <f t="shared" ca="1" si="269"/>
        <v>0.24759428030203201</v>
      </c>
      <c r="AT1053" s="29">
        <f t="shared" ca="1" si="288"/>
        <v>162</v>
      </c>
      <c r="AV1053" s="22">
        <v>45598</v>
      </c>
      <c r="AW1053" s="26">
        <f t="shared" ca="1" si="270"/>
        <v>0.39684144119753062</v>
      </c>
      <c r="AX1053" s="29">
        <f t="shared" ca="1" si="289"/>
        <v>192</v>
      </c>
      <c r="AZ1053" s="22">
        <v>45598</v>
      </c>
      <c r="BA1053" s="26">
        <f t="shared" ca="1" si="271"/>
        <v>0.29405459553937929</v>
      </c>
      <c r="BB1053" s="29">
        <f t="shared" ca="1" si="290"/>
        <v>200</v>
      </c>
      <c r="BC1053"/>
      <c r="BD1053" s="25"/>
      <c r="BF1053" s="22">
        <v>45598</v>
      </c>
      <c r="BG1053" s="26">
        <f t="shared" ca="1" si="272"/>
        <v>0.19629040521727448</v>
      </c>
      <c r="BH1053" s="29">
        <f t="shared" ca="1" si="291"/>
        <v>155</v>
      </c>
      <c r="BJ1053" s="22">
        <v>45598</v>
      </c>
      <c r="BK1053" s="26">
        <f t="shared" ca="1" si="273"/>
        <v>6.8612403296259283E-2</v>
      </c>
      <c r="BL1053" s="29">
        <f t="shared" ca="1" si="292"/>
        <v>102</v>
      </c>
      <c r="BN1053" s="22">
        <v>45598</v>
      </c>
      <c r="BO1053" s="26">
        <f t="shared" ca="1" si="274"/>
        <v>0.18019091636006168</v>
      </c>
      <c r="BP1053" s="29">
        <f t="shared" ca="1" si="293"/>
        <v>164</v>
      </c>
      <c r="BR1053" s="22">
        <v>45598</v>
      </c>
      <c r="BS1053" s="26">
        <f t="shared" ca="1" si="275"/>
        <v>0.48744010403783056</v>
      </c>
      <c r="BT1053" s="29">
        <f t="shared" ca="1" si="294"/>
        <v>160</v>
      </c>
      <c r="BV1053" s="22">
        <v>45598</v>
      </c>
      <c r="BW1053" s="26">
        <f t="shared" ca="1" si="276"/>
        <v>0.43010261551930873</v>
      </c>
      <c r="BX1053" s="29">
        <f t="shared" ca="1" si="295"/>
        <v>210</v>
      </c>
    </row>
    <row r="1054" spans="2:77" ht="15.75" customHeight="1" x14ac:dyDescent="0.2">
      <c r="B1054" s="22">
        <v>45599</v>
      </c>
      <c r="C1054" s="26">
        <f t="shared" ca="1" si="277"/>
        <v>0.94248830271827178</v>
      </c>
      <c r="D1054" s="29">
        <f t="shared" ca="1" si="278"/>
        <v>107</v>
      </c>
      <c r="F1054" s="22"/>
      <c r="G1054" s="26">
        <f t="shared" ca="1" si="260"/>
        <v>0.46572089356341517</v>
      </c>
      <c r="H1054" s="29">
        <f t="shared" ca="1" si="279"/>
        <v>215</v>
      </c>
      <c r="J1054" s="22">
        <v>45599</v>
      </c>
      <c r="K1054" s="26">
        <f t="shared" ca="1" si="261"/>
        <v>0.14565987635585864</v>
      </c>
      <c r="L1054" s="29">
        <f t="shared" ca="1" si="280"/>
        <v>140</v>
      </c>
      <c r="N1054" s="22">
        <v>45599</v>
      </c>
      <c r="O1054" s="26">
        <f t="shared" ca="1" si="262"/>
        <v>0.79822334236073234</v>
      </c>
      <c r="P1054" s="29">
        <f t="shared" ca="1" si="281"/>
        <v>243</v>
      </c>
      <c r="R1054" s="22">
        <v>45599</v>
      </c>
      <c r="S1054" s="26">
        <f t="shared" ca="1" si="263"/>
        <v>9.0588169494142279E-2</v>
      </c>
      <c r="T1054" s="29">
        <f t="shared" ca="1" si="282"/>
        <v>127</v>
      </c>
      <c r="V1054" s="22">
        <v>45599</v>
      </c>
      <c r="W1054" s="26">
        <f t="shared" ca="1" si="264"/>
        <v>0.26763273958912637</v>
      </c>
      <c r="X1054" s="29">
        <f t="shared" ca="1" si="283"/>
        <v>216</v>
      </c>
      <c r="Z1054" s="22">
        <v>45599</v>
      </c>
      <c r="AA1054" s="26">
        <f t="shared" ca="1" si="265"/>
        <v>2.0616109202119204E-2</v>
      </c>
      <c r="AB1054" s="29">
        <f t="shared" ca="1" si="284"/>
        <v>234</v>
      </c>
      <c r="AC1054"/>
      <c r="AD1054" s="25"/>
      <c r="AF1054" s="22">
        <v>45599</v>
      </c>
      <c r="AG1054" s="26">
        <f t="shared" ca="1" si="266"/>
        <v>0.68416945866179035</v>
      </c>
      <c r="AH1054" s="29">
        <f t="shared" ca="1" si="285"/>
        <v>369</v>
      </c>
      <c r="AJ1054" s="22">
        <v>45599</v>
      </c>
      <c r="AK1054" s="26">
        <f t="shared" ca="1" si="267"/>
        <v>0.8501095245705208</v>
      </c>
      <c r="AL1054" s="29">
        <f t="shared" ca="1" si="286"/>
        <v>218</v>
      </c>
      <c r="AN1054" s="22">
        <v>45599</v>
      </c>
      <c r="AO1054" s="26">
        <f t="shared" ca="1" si="268"/>
        <v>0.84400229819749495</v>
      </c>
      <c r="AP1054" s="29">
        <f t="shared" ca="1" si="287"/>
        <v>295</v>
      </c>
      <c r="AR1054" s="22">
        <v>45599</v>
      </c>
      <c r="AS1054" s="26">
        <f t="shared" ca="1" si="269"/>
        <v>0.26191496313989859</v>
      </c>
      <c r="AT1054" s="29">
        <f t="shared" ca="1" si="288"/>
        <v>165</v>
      </c>
      <c r="AV1054" s="22">
        <v>45599</v>
      </c>
      <c r="AW1054" s="26">
        <f t="shared" ca="1" si="270"/>
        <v>0.77195125558847688</v>
      </c>
      <c r="AX1054" s="29">
        <f t="shared" ca="1" si="289"/>
        <v>247</v>
      </c>
      <c r="AZ1054" s="22">
        <v>45599</v>
      </c>
      <c r="BA1054" s="26">
        <f t="shared" ca="1" si="271"/>
        <v>0.1390025792047479</v>
      </c>
      <c r="BB1054" s="29">
        <f t="shared" ca="1" si="290"/>
        <v>166</v>
      </c>
      <c r="BC1054"/>
      <c r="BD1054" s="25"/>
      <c r="BF1054" s="22">
        <v>45599</v>
      </c>
      <c r="BG1054" s="26">
        <f t="shared" ca="1" si="272"/>
        <v>0.83360610840843163</v>
      </c>
      <c r="BH1054" s="29">
        <f t="shared" ca="1" si="291"/>
        <v>253</v>
      </c>
      <c r="BJ1054" s="22">
        <v>45599</v>
      </c>
      <c r="BK1054" s="26">
        <f t="shared" ca="1" si="273"/>
        <v>0.12519795695861491</v>
      </c>
      <c r="BL1054" s="29">
        <f t="shared" ca="1" si="292"/>
        <v>117</v>
      </c>
      <c r="BN1054" s="22">
        <v>45599</v>
      </c>
      <c r="BO1054" s="26">
        <f t="shared" ca="1" si="274"/>
        <v>0.17376252776292533</v>
      </c>
      <c r="BP1054" s="29">
        <f t="shared" ca="1" si="293"/>
        <v>162</v>
      </c>
      <c r="BR1054" s="22">
        <v>45599</v>
      </c>
      <c r="BS1054" s="26">
        <f t="shared" ca="1" si="275"/>
        <v>0.67267734181164018</v>
      </c>
      <c r="BT1054" s="29">
        <f t="shared" ca="1" si="294"/>
        <v>180</v>
      </c>
      <c r="BV1054" s="22">
        <v>45599</v>
      </c>
      <c r="BW1054" s="26">
        <f t="shared" ca="1" si="276"/>
        <v>0.73909510937602008</v>
      </c>
      <c r="BX1054" s="29">
        <f t="shared" ca="1" si="295"/>
        <v>257</v>
      </c>
    </row>
    <row r="1055" spans="2:77" ht="15.75" customHeight="1" x14ac:dyDescent="0.2">
      <c r="B1055" s="22">
        <v>45600</v>
      </c>
      <c r="C1055" s="26">
        <f t="shared" ca="1" si="277"/>
        <v>0.22351113691586821</v>
      </c>
      <c r="D1055" s="29">
        <f t="shared" ca="1" si="278"/>
        <v>60</v>
      </c>
      <c r="F1055" s="22"/>
      <c r="G1055" s="26">
        <f t="shared" ca="1" si="260"/>
        <v>0.82310162083917737</v>
      </c>
      <c r="H1055" s="29">
        <f t="shared" ca="1" si="279"/>
        <v>229</v>
      </c>
      <c r="J1055" s="22">
        <v>45600</v>
      </c>
      <c r="K1055" s="26">
        <f t="shared" ca="1" si="261"/>
        <v>0.72136113891463671</v>
      </c>
      <c r="L1055" s="29">
        <f t="shared" ca="1" si="280"/>
        <v>156</v>
      </c>
      <c r="N1055" s="22">
        <v>45600</v>
      </c>
      <c r="O1055" s="26">
        <f t="shared" ca="1" si="262"/>
        <v>3.8967991552027237E-2</v>
      </c>
      <c r="P1055" s="29">
        <f t="shared" ca="1" si="281"/>
        <v>203</v>
      </c>
      <c r="R1055" s="22">
        <v>45600</v>
      </c>
      <c r="S1055" s="26">
        <f t="shared" ca="1" si="263"/>
        <v>0.16725016210014587</v>
      </c>
      <c r="T1055" s="29">
        <f t="shared" ca="1" si="282"/>
        <v>130</v>
      </c>
      <c r="V1055" s="22">
        <v>45600</v>
      </c>
      <c r="W1055" s="26">
        <f t="shared" ca="1" si="264"/>
        <v>0.90978775723939898</v>
      </c>
      <c r="X1055" s="29">
        <f t="shared" ca="1" si="283"/>
        <v>246</v>
      </c>
      <c r="Z1055" s="22">
        <v>45600</v>
      </c>
      <c r="AA1055" s="26">
        <f t="shared" ca="1" si="265"/>
        <v>0.87180930133754031</v>
      </c>
      <c r="AB1055" s="29">
        <f t="shared" ca="1" si="284"/>
        <v>291</v>
      </c>
      <c r="AC1055"/>
      <c r="AD1055" s="25"/>
      <c r="AF1055" s="22">
        <v>45600</v>
      </c>
      <c r="AG1055" s="26">
        <f t="shared" ca="1" si="266"/>
        <v>0.86796691365902479</v>
      </c>
      <c r="AH1055" s="29">
        <f t="shared" ca="1" si="285"/>
        <v>425</v>
      </c>
      <c r="AJ1055" s="22">
        <v>45600</v>
      </c>
      <c r="AK1055" s="26">
        <f t="shared" ca="1" si="267"/>
        <v>0.32709490655877504</v>
      </c>
      <c r="AL1055" s="29">
        <f t="shared" ca="1" si="286"/>
        <v>151</v>
      </c>
      <c r="AN1055" s="22">
        <v>45600</v>
      </c>
      <c r="AO1055" s="26">
        <f t="shared" ca="1" si="268"/>
        <v>0.17439650054238975</v>
      </c>
      <c r="AP1055" s="29">
        <f t="shared" ca="1" si="287"/>
        <v>175</v>
      </c>
      <c r="AR1055" s="22">
        <v>45600</v>
      </c>
      <c r="AS1055" s="26">
        <f t="shared" ca="1" si="269"/>
        <v>0.60516825162467247</v>
      </c>
      <c r="AT1055" s="29">
        <f t="shared" ca="1" si="288"/>
        <v>213</v>
      </c>
      <c r="AV1055" s="22">
        <v>45600</v>
      </c>
      <c r="AW1055" s="26">
        <f t="shared" ca="1" si="270"/>
        <v>0.14612580660019858</v>
      </c>
      <c r="AX1055" s="29">
        <f t="shared" ca="1" si="289"/>
        <v>148</v>
      </c>
      <c r="AZ1055" s="22">
        <v>45600</v>
      </c>
      <c r="BA1055" s="26">
        <f t="shared" ca="1" si="271"/>
        <v>0.5865340704163734</v>
      </c>
      <c r="BB1055" s="29">
        <f t="shared" ca="1" si="290"/>
        <v>248</v>
      </c>
      <c r="BC1055"/>
      <c r="BD1055" s="25"/>
      <c r="BF1055" s="22">
        <v>45600</v>
      </c>
      <c r="BG1055" s="26">
        <f t="shared" ca="1" si="272"/>
        <v>0.95307215419975699</v>
      </c>
      <c r="BH1055" s="29">
        <f t="shared" ca="1" si="291"/>
        <v>291</v>
      </c>
      <c r="BJ1055" s="22">
        <v>45600</v>
      </c>
      <c r="BK1055" s="26">
        <f t="shared" ca="1" si="273"/>
        <v>4.2887785183384319E-2</v>
      </c>
      <c r="BL1055" s="29">
        <f t="shared" ca="1" si="292"/>
        <v>92</v>
      </c>
      <c r="BN1055" s="22">
        <v>45600</v>
      </c>
      <c r="BO1055" s="26">
        <f t="shared" ca="1" si="274"/>
        <v>0.95168063184180418</v>
      </c>
      <c r="BP1055" s="29">
        <f t="shared" ca="1" si="293"/>
        <v>312</v>
      </c>
      <c r="BR1055" s="22">
        <v>45600</v>
      </c>
      <c r="BS1055" s="26">
        <f t="shared" ca="1" si="275"/>
        <v>0.15191455728191028</v>
      </c>
      <c r="BT1055" s="29">
        <f t="shared" ca="1" si="294"/>
        <v>117</v>
      </c>
      <c r="BV1055" s="22">
        <v>45600</v>
      </c>
      <c r="BW1055" s="26">
        <f t="shared" ca="1" si="276"/>
        <v>0.99279490517455149</v>
      </c>
      <c r="BX1055" s="29">
        <f t="shared" ca="1" si="295"/>
        <v>363</v>
      </c>
    </row>
    <row r="1056" spans="2:77" ht="15.75" customHeight="1" x14ac:dyDescent="0.2">
      <c r="B1056" s="22">
        <v>45601</v>
      </c>
      <c r="C1056" s="26">
        <f t="shared" ca="1" si="277"/>
        <v>0.4236813017282629</v>
      </c>
      <c r="D1056" s="29">
        <f t="shared" ca="1" si="278"/>
        <v>72</v>
      </c>
      <c r="F1056" s="22"/>
      <c r="G1056" s="26">
        <f t="shared" ca="1" si="260"/>
        <v>0.58951471797552024</v>
      </c>
      <c r="H1056" s="29">
        <f t="shared" ca="1" si="279"/>
        <v>219</v>
      </c>
      <c r="J1056" s="22">
        <v>45601</v>
      </c>
      <c r="K1056" s="26">
        <f t="shared" ca="1" si="261"/>
        <v>0.93245277719560571</v>
      </c>
      <c r="L1056" s="29">
        <f t="shared" ca="1" si="280"/>
        <v>165</v>
      </c>
      <c r="N1056" s="22">
        <v>45601</v>
      </c>
      <c r="O1056" s="26">
        <f t="shared" ca="1" si="262"/>
        <v>0.97889567809072853</v>
      </c>
      <c r="P1056" s="29">
        <f t="shared" ca="1" si="281"/>
        <v>261</v>
      </c>
      <c r="R1056" s="22">
        <v>45601</v>
      </c>
      <c r="S1056" s="26">
        <f t="shared" ca="1" si="263"/>
        <v>0.9333634052102191</v>
      </c>
      <c r="T1056" s="29">
        <f t="shared" ca="1" si="282"/>
        <v>153</v>
      </c>
      <c r="V1056" s="22">
        <v>45601</v>
      </c>
      <c r="W1056" s="26">
        <f t="shared" ca="1" si="264"/>
        <v>6.5788639929726056E-2</v>
      </c>
      <c r="X1056" s="29">
        <f t="shared" ca="1" si="283"/>
        <v>203</v>
      </c>
      <c r="Z1056" s="22">
        <v>45601</v>
      </c>
      <c r="AA1056" s="26">
        <f t="shared" ca="1" si="265"/>
        <v>0.73516956602666017</v>
      </c>
      <c r="AB1056" s="29">
        <f t="shared" ca="1" si="284"/>
        <v>282</v>
      </c>
      <c r="AC1056"/>
      <c r="AD1056" s="25"/>
      <c r="AF1056" s="22">
        <v>45601</v>
      </c>
      <c r="AG1056" s="26">
        <f t="shared" ca="1" si="266"/>
        <v>6.6934160994479908E-2</v>
      </c>
      <c r="AH1056" s="29">
        <f t="shared" ca="1" si="285"/>
        <v>197</v>
      </c>
      <c r="AJ1056" s="22">
        <v>45601</v>
      </c>
      <c r="AK1056" s="26">
        <f t="shared" ca="1" si="267"/>
        <v>0.71547868062023445</v>
      </c>
      <c r="AL1056" s="29">
        <f t="shared" ca="1" si="286"/>
        <v>197</v>
      </c>
      <c r="AN1056" s="22">
        <v>45601</v>
      </c>
      <c r="AO1056" s="26">
        <f t="shared" ca="1" si="268"/>
        <v>0.26183893527806845</v>
      </c>
      <c r="AP1056" s="29">
        <f t="shared" ca="1" si="287"/>
        <v>193</v>
      </c>
      <c r="AR1056" s="22">
        <v>45601</v>
      </c>
      <c r="AS1056" s="26">
        <f t="shared" ca="1" si="269"/>
        <v>0.86220139362398185</v>
      </c>
      <c r="AT1056" s="29">
        <f t="shared" ca="1" si="288"/>
        <v>256</v>
      </c>
      <c r="AV1056" s="22">
        <v>45601</v>
      </c>
      <c r="AW1056" s="26">
        <f t="shared" ca="1" si="270"/>
        <v>0.31622427489780536</v>
      </c>
      <c r="AX1056" s="29">
        <f t="shared" ca="1" si="289"/>
        <v>180</v>
      </c>
      <c r="AZ1056" s="22">
        <v>45601</v>
      </c>
      <c r="BA1056" s="26">
        <f t="shared" ca="1" si="271"/>
        <v>0.71460492086301886</v>
      </c>
      <c r="BB1056" s="29">
        <f t="shared" ca="1" si="290"/>
        <v>269</v>
      </c>
      <c r="BC1056"/>
      <c r="BD1056" s="25"/>
      <c r="BF1056" s="22">
        <v>45601</v>
      </c>
      <c r="BG1056" s="26">
        <f t="shared" ca="1" si="272"/>
        <v>9.5729359320739671E-2</v>
      </c>
      <c r="BH1056" s="29">
        <f t="shared" ca="1" si="291"/>
        <v>131</v>
      </c>
      <c r="BJ1056" s="22">
        <v>45601</v>
      </c>
      <c r="BK1056" s="26">
        <f t="shared" ca="1" si="273"/>
        <v>0.763194621093221</v>
      </c>
      <c r="BL1056" s="29">
        <f t="shared" ca="1" si="292"/>
        <v>201</v>
      </c>
      <c r="BN1056" s="22">
        <v>45601</v>
      </c>
      <c r="BO1056" s="26">
        <f t="shared" ca="1" si="274"/>
        <v>5.1870277181826241E-2</v>
      </c>
      <c r="BP1056" s="29">
        <f t="shared" ca="1" si="293"/>
        <v>123</v>
      </c>
      <c r="BR1056" s="22">
        <v>45601</v>
      </c>
      <c r="BS1056" s="26">
        <f t="shared" ca="1" si="275"/>
        <v>0.82338917580631465</v>
      </c>
      <c r="BT1056" s="29">
        <f t="shared" ca="1" si="294"/>
        <v>201</v>
      </c>
      <c r="BV1056" s="22">
        <v>45601</v>
      </c>
      <c r="BW1056" s="26">
        <f t="shared" ca="1" si="276"/>
        <v>0.16859418510288326</v>
      </c>
      <c r="BX1056" s="29">
        <f t="shared" ca="1" si="295"/>
        <v>164</v>
      </c>
    </row>
    <row r="1057" spans="2:76" ht="15.75" customHeight="1" x14ac:dyDescent="0.2">
      <c r="B1057" s="22">
        <v>45602</v>
      </c>
      <c r="C1057" s="26">
        <f t="shared" ca="1" si="277"/>
        <v>0.29549218226952989</v>
      </c>
      <c r="D1057" s="29">
        <f t="shared" ca="1" si="278"/>
        <v>65</v>
      </c>
      <c r="F1057" s="22"/>
      <c r="G1057" s="26">
        <f t="shared" ca="1" si="260"/>
        <v>7.0837079626228983E-2</v>
      </c>
      <c r="H1057" s="29">
        <f t="shared" ca="1" si="279"/>
        <v>195</v>
      </c>
      <c r="J1057" s="22">
        <v>45602</v>
      </c>
      <c r="K1057" s="26">
        <f t="shared" ca="1" si="261"/>
        <v>0.59392469592936858</v>
      </c>
      <c r="L1057" s="29">
        <f t="shared" ca="1" si="280"/>
        <v>153</v>
      </c>
      <c r="N1057" s="22">
        <v>45602</v>
      </c>
      <c r="O1057" s="26">
        <f t="shared" ca="1" si="262"/>
        <v>7.9009461368363842E-2</v>
      </c>
      <c r="P1057" s="29">
        <f t="shared" ca="1" si="281"/>
        <v>208</v>
      </c>
      <c r="R1057" s="22">
        <v>45602</v>
      </c>
      <c r="S1057" s="26">
        <f t="shared" ca="1" si="263"/>
        <v>0.93299180676400761</v>
      </c>
      <c r="T1057" s="29">
        <f t="shared" ca="1" si="282"/>
        <v>153</v>
      </c>
      <c r="V1057" s="22">
        <v>45602</v>
      </c>
      <c r="W1057" s="26">
        <f t="shared" ca="1" si="264"/>
        <v>0.45139507745766261</v>
      </c>
      <c r="X1057" s="29">
        <f t="shared" ca="1" si="283"/>
        <v>224</v>
      </c>
      <c r="Z1057" s="22">
        <v>45602</v>
      </c>
      <c r="AA1057" s="26">
        <f t="shared" ca="1" si="265"/>
        <v>0.1860616340760145</v>
      </c>
      <c r="AB1057" s="29">
        <f t="shared" ca="1" si="284"/>
        <v>254</v>
      </c>
      <c r="AC1057"/>
      <c r="AD1057" s="25"/>
      <c r="AF1057" s="22">
        <v>45602</v>
      </c>
      <c r="AG1057" s="26">
        <f t="shared" ca="1" si="266"/>
        <v>0.35305382122763007</v>
      </c>
      <c r="AH1057" s="29">
        <f t="shared" ca="1" si="285"/>
        <v>295</v>
      </c>
      <c r="AJ1057" s="22">
        <v>45602</v>
      </c>
      <c r="AK1057" s="26">
        <f t="shared" ca="1" si="267"/>
        <v>0.92319251871585695</v>
      </c>
      <c r="AL1057" s="29">
        <f t="shared" ca="1" si="286"/>
        <v>236</v>
      </c>
      <c r="AN1057" s="22">
        <v>45602</v>
      </c>
      <c r="AO1057" s="26">
        <f t="shared" ca="1" si="268"/>
        <v>0.48389955510698723</v>
      </c>
      <c r="AP1057" s="29">
        <f t="shared" ca="1" si="287"/>
        <v>230</v>
      </c>
      <c r="AR1057" s="22">
        <v>45602</v>
      </c>
      <c r="AS1057" s="26">
        <f t="shared" ca="1" si="269"/>
        <v>0.48972781589587522</v>
      </c>
      <c r="AT1057" s="29">
        <f t="shared" ca="1" si="288"/>
        <v>197</v>
      </c>
      <c r="AV1057" s="22">
        <v>45602</v>
      </c>
      <c r="AW1057" s="26">
        <f t="shared" ca="1" si="270"/>
        <v>0.16395965566675264</v>
      </c>
      <c r="AX1057" s="29">
        <f t="shared" ca="1" si="289"/>
        <v>152</v>
      </c>
      <c r="AZ1057" s="22">
        <v>45602</v>
      </c>
      <c r="BA1057" s="26">
        <f t="shared" ca="1" si="271"/>
        <v>0.16153146928224482</v>
      </c>
      <c r="BB1057" s="29">
        <f t="shared" ca="1" si="290"/>
        <v>173</v>
      </c>
      <c r="BC1057"/>
      <c r="BD1057" s="25"/>
      <c r="BF1057" s="22">
        <v>45602</v>
      </c>
      <c r="BG1057" s="26">
        <f t="shared" ca="1" si="272"/>
        <v>0.60091407960385679</v>
      </c>
      <c r="BH1057" s="29">
        <f t="shared" ca="1" si="291"/>
        <v>215</v>
      </c>
      <c r="BJ1057" s="22">
        <v>45602</v>
      </c>
      <c r="BK1057" s="26">
        <f t="shared" ca="1" si="273"/>
        <v>0.60312220407994499</v>
      </c>
      <c r="BL1057" s="29">
        <f t="shared" ca="1" si="292"/>
        <v>181</v>
      </c>
      <c r="BN1057" s="22">
        <v>45602</v>
      </c>
      <c r="BO1057" s="26">
        <f t="shared" ca="1" si="274"/>
        <v>0.92596505653198324</v>
      </c>
      <c r="BP1057" s="29">
        <f t="shared" ca="1" si="293"/>
        <v>299</v>
      </c>
      <c r="BR1057" s="22">
        <v>45602</v>
      </c>
      <c r="BS1057" s="26">
        <f t="shared" ca="1" si="275"/>
        <v>0.67547571841542886</v>
      </c>
      <c r="BT1057" s="29">
        <f t="shared" ca="1" si="294"/>
        <v>181</v>
      </c>
      <c r="BV1057" s="22">
        <v>45602</v>
      </c>
      <c r="BW1057" s="26">
        <f t="shared" ca="1" si="276"/>
        <v>0.54183053653763713</v>
      </c>
      <c r="BX1057" s="29">
        <f t="shared" ca="1" si="295"/>
        <v>226</v>
      </c>
    </row>
    <row r="1058" spans="2:76" ht="15.75" customHeight="1" x14ac:dyDescent="0.2">
      <c r="B1058" s="22">
        <v>45603</v>
      </c>
      <c r="C1058" s="26">
        <f t="shared" ca="1" si="277"/>
        <v>0.61317526710211467</v>
      </c>
      <c r="D1058" s="29">
        <f t="shared" ca="1" si="278"/>
        <v>81</v>
      </c>
      <c r="F1058" s="22"/>
      <c r="G1058" s="26">
        <f t="shared" ref="G1058:G1112" ca="1" si="296">RAND()</f>
        <v>0.27867389879959359</v>
      </c>
      <c r="H1058" s="29">
        <f t="shared" ca="1" si="279"/>
        <v>207</v>
      </c>
      <c r="J1058" s="22">
        <v>45603</v>
      </c>
      <c r="K1058" s="26">
        <f t="shared" ref="K1058:K1112" ca="1" si="297">RAND()</f>
        <v>0.47553148054284489</v>
      </c>
      <c r="L1058" s="29">
        <f t="shared" ca="1" si="280"/>
        <v>150</v>
      </c>
      <c r="N1058" s="22">
        <v>45603</v>
      </c>
      <c r="O1058" s="26">
        <f t="shared" ref="O1058:O1112" ca="1" si="298">RAND()</f>
        <v>0.82776268430164213</v>
      </c>
      <c r="P1058" s="29">
        <f t="shared" ca="1" si="281"/>
        <v>244</v>
      </c>
      <c r="R1058" s="22">
        <v>45603</v>
      </c>
      <c r="S1058" s="26">
        <f t="shared" ref="S1058:S1112" ca="1" si="299">RAND()</f>
        <v>0.73071712011529122</v>
      </c>
      <c r="T1058" s="29">
        <f t="shared" ca="1" si="282"/>
        <v>145</v>
      </c>
      <c r="V1058" s="22">
        <v>45603</v>
      </c>
      <c r="W1058" s="26">
        <f t="shared" ref="W1058:W1112" ca="1" si="300">RAND()</f>
        <v>0.7194008252040317</v>
      </c>
      <c r="X1058" s="29">
        <f t="shared" ca="1" si="283"/>
        <v>234</v>
      </c>
      <c r="Z1058" s="22">
        <v>45603</v>
      </c>
      <c r="AA1058" s="26">
        <f t="shared" ref="AA1058:AA1112" ca="1" si="301">RAND()</f>
        <v>0.70526934509996309</v>
      </c>
      <c r="AB1058" s="29">
        <f t="shared" ca="1" si="284"/>
        <v>280</v>
      </c>
      <c r="AC1058"/>
      <c r="AD1058" s="25"/>
      <c r="AF1058" s="22">
        <v>45603</v>
      </c>
      <c r="AG1058" s="26">
        <f t="shared" ref="AG1058:AG1112" ca="1" si="302">RAND()</f>
        <v>0.55296489176648722</v>
      </c>
      <c r="AH1058" s="29">
        <f t="shared" ca="1" si="285"/>
        <v>339</v>
      </c>
      <c r="AJ1058" s="22">
        <v>45603</v>
      </c>
      <c r="AK1058" s="26">
        <f t="shared" ref="AK1058:AK1112" ca="1" si="303">RAND()</f>
        <v>0.8503318198727442</v>
      </c>
      <c r="AL1058" s="29">
        <f t="shared" ca="1" si="286"/>
        <v>218</v>
      </c>
      <c r="AN1058" s="22">
        <v>45603</v>
      </c>
      <c r="AO1058" s="26">
        <f t="shared" ref="AO1058:AO1112" ca="1" si="304">RAND()</f>
        <v>0.54557810801719708</v>
      </c>
      <c r="AP1058" s="29">
        <f t="shared" ca="1" si="287"/>
        <v>240</v>
      </c>
      <c r="AR1058" s="22">
        <v>45603</v>
      </c>
      <c r="AS1058" s="26">
        <f t="shared" ref="AS1058:AS1112" ca="1" si="305">RAND()</f>
        <v>0.97088090006820382</v>
      </c>
      <c r="AT1058" s="29">
        <f t="shared" ca="1" si="288"/>
        <v>298</v>
      </c>
      <c r="AV1058" s="22">
        <v>45603</v>
      </c>
      <c r="AW1058" s="26">
        <f t="shared" ref="AW1058:AW1112" ca="1" si="306">RAND()</f>
        <v>0.97791174544481141</v>
      </c>
      <c r="AX1058" s="29">
        <f t="shared" ca="1" si="289"/>
        <v>316</v>
      </c>
      <c r="AZ1058" s="22">
        <v>45603</v>
      </c>
      <c r="BA1058" s="26">
        <f t="shared" ref="BA1058:BA1112" ca="1" si="307">RAND()</f>
        <v>0.84916796967310759</v>
      </c>
      <c r="BB1058" s="29">
        <f t="shared" ca="1" si="290"/>
        <v>298</v>
      </c>
      <c r="BC1058"/>
      <c r="BD1058" s="25"/>
      <c r="BF1058" s="22">
        <v>45603</v>
      </c>
      <c r="BG1058" s="26">
        <f t="shared" ref="BG1058:BG1112" ca="1" si="308">RAND()</f>
        <v>0.49818480525053688</v>
      </c>
      <c r="BH1058" s="29">
        <f t="shared" ca="1" si="291"/>
        <v>201</v>
      </c>
      <c r="BJ1058" s="22">
        <v>45603</v>
      </c>
      <c r="BK1058" s="26">
        <f t="shared" ref="BK1058:BK1112" ca="1" si="309">RAND()</f>
        <v>0.93171892228386854</v>
      </c>
      <c r="BL1058" s="29">
        <f t="shared" ca="1" si="292"/>
        <v>236</v>
      </c>
      <c r="BN1058" s="22">
        <v>45603</v>
      </c>
      <c r="BO1058" s="26">
        <f t="shared" ref="BO1058:BO1112" ca="1" si="310">RAND()</f>
        <v>0.37160532872938379</v>
      </c>
      <c r="BP1058" s="29">
        <f t="shared" ca="1" si="293"/>
        <v>197</v>
      </c>
      <c r="BR1058" s="22">
        <v>45603</v>
      </c>
      <c r="BS1058" s="26">
        <f t="shared" ref="BS1058:BS1112" ca="1" si="311">RAND()</f>
        <v>0.94180482029587076</v>
      </c>
      <c r="BT1058" s="29">
        <f t="shared" ca="1" si="294"/>
        <v>228</v>
      </c>
      <c r="BV1058" s="22">
        <v>45603</v>
      </c>
      <c r="BW1058" s="26">
        <f t="shared" ref="BW1058:BW1112" ca="1" si="312">RAND()</f>
        <v>0.75724453607194708</v>
      </c>
      <c r="BX1058" s="29">
        <f t="shared" ca="1" si="295"/>
        <v>261</v>
      </c>
    </row>
    <row r="1059" spans="2:76" ht="15.75" customHeight="1" x14ac:dyDescent="0.2">
      <c r="B1059" s="22">
        <v>45604</v>
      </c>
      <c r="C1059" s="26">
        <f t="shared" ca="1" si="277"/>
        <v>0.39075948951913131</v>
      </c>
      <c r="D1059" s="29">
        <f t="shared" ca="1" si="278"/>
        <v>70</v>
      </c>
      <c r="F1059" s="22"/>
      <c r="G1059" s="26">
        <f t="shared" ca="1" si="296"/>
        <v>0.66885677938562482</v>
      </c>
      <c r="H1059" s="29">
        <f t="shared" ca="1" si="279"/>
        <v>222</v>
      </c>
      <c r="J1059" s="22">
        <v>45604</v>
      </c>
      <c r="K1059" s="26">
        <f t="shared" ca="1" si="297"/>
        <v>0.12681763440516858</v>
      </c>
      <c r="L1059" s="29">
        <f t="shared" ca="1" si="280"/>
        <v>139</v>
      </c>
      <c r="N1059" s="22">
        <v>45604</v>
      </c>
      <c r="O1059" s="26">
        <f t="shared" ca="1" si="298"/>
        <v>2.8103705141583779E-2</v>
      </c>
      <c r="P1059" s="29">
        <f t="shared" ca="1" si="281"/>
        <v>201</v>
      </c>
      <c r="R1059" s="22">
        <v>45604</v>
      </c>
      <c r="S1059" s="26">
        <f t="shared" ca="1" si="299"/>
        <v>0.19252895437402695</v>
      </c>
      <c r="T1059" s="29">
        <f t="shared" ca="1" si="282"/>
        <v>131</v>
      </c>
      <c r="V1059" s="22">
        <v>45604</v>
      </c>
      <c r="W1059" s="26">
        <f t="shared" ca="1" si="300"/>
        <v>0.19028695648879668</v>
      </c>
      <c r="X1059" s="29">
        <f t="shared" ca="1" si="283"/>
        <v>212</v>
      </c>
      <c r="Z1059" s="22">
        <v>45604</v>
      </c>
      <c r="AA1059" s="26">
        <f t="shared" ca="1" si="301"/>
        <v>0.39011088380354741</v>
      </c>
      <c r="AB1059" s="29">
        <f t="shared" ca="1" si="284"/>
        <v>265</v>
      </c>
      <c r="AC1059"/>
      <c r="AD1059" s="25"/>
      <c r="AF1059" s="22">
        <v>45604</v>
      </c>
      <c r="AG1059" s="26">
        <f t="shared" ca="1" si="302"/>
        <v>0.28555245985280842</v>
      </c>
      <c r="AH1059" s="29">
        <f t="shared" ca="1" si="285"/>
        <v>278</v>
      </c>
      <c r="AJ1059" s="22">
        <v>45604</v>
      </c>
      <c r="AK1059" s="26">
        <f t="shared" ca="1" si="303"/>
        <v>0.4122459546027456</v>
      </c>
      <c r="AL1059" s="29">
        <f t="shared" ca="1" si="286"/>
        <v>161</v>
      </c>
      <c r="AN1059" s="22">
        <v>45604</v>
      </c>
      <c r="AO1059" s="26">
        <f t="shared" ca="1" si="304"/>
        <v>6.4761184428264729E-2</v>
      </c>
      <c r="AP1059" s="29">
        <f t="shared" ca="1" si="287"/>
        <v>139</v>
      </c>
      <c r="AR1059" s="22">
        <v>45604</v>
      </c>
      <c r="AS1059" s="26">
        <f t="shared" ca="1" si="305"/>
        <v>7.051812190634521E-2</v>
      </c>
      <c r="AT1059" s="29">
        <f t="shared" ca="1" si="288"/>
        <v>121</v>
      </c>
      <c r="AV1059" s="22">
        <v>45604</v>
      </c>
      <c r="AW1059" s="26">
        <f t="shared" ca="1" si="306"/>
        <v>9.5439041113625223E-2</v>
      </c>
      <c r="AX1059" s="29">
        <f t="shared" ca="1" si="289"/>
        <v>134</v>
      </c>
      <c r="AZ1059" s="22">
        <v>45604</v>
      </c>
      <c r="BA1059" s="26">
        <f t="shared" ca="1" si="307"/>
        <v>0.41647936648448791</v>
      </c>
      <c r="BB1059" s="29">
        <f t="shared" ca="1" si="290"/>
        <v>221</v>
      </c>
      <c r="BC1059"/>
      <c r="BD1059" s="25"/>
      <c r="BF1059" s="22">
        <v>45604</v>
      </c>
      <c r="BG1059" s="26">
        <f t="shared" ca="1" si="308"/>
        <v>0.30033749599717541</v>
      </c>
      <c r="BH1059" s="29">
        <f t="shared" ca="1" si="291"/>
        <v>173</v>
      </c>
      <c r="BJ1059" s="22">
        <v>45604</v>
      </c>
      <c r="BK1059" s="26">
        <f t="shared" ca="1" si="309"/>
        <v>0.52398840980798311</v>
      </c>
      <c r="BL1059" s="29">
        <f t="shared" ca="1" si="292"/>
        <v>172</v>
      </c>
      <c r="BN1059" s="22">
        <v>45604</v>
      </c>
      <c r="BO1059" s="26">
        <f t="shared" ca="1" si="310"/>
        <v>0.66039811555576622</v>
      </c>
      <c r="BP1059" s="29">
        <f t="shared" ca="1" si="293"/>
        <v>240</v>
      </c>
      <c r="BR1059" s="22">
        <v>45604</v>
      </c>
      <c r="BS1059" s="26">
        <f t="shared" ca="1" si="311"/>
        <v>0.70743375295930577</v>
      </c>
      <c r="BT1059" s="29">
        <f t="shared" ca="1" si="294"/>
        <v>185</v>
      </c>
      <c r="BV1059" s="22">
        <v>45604</v>
      </c>
      <c r="BW1059" s="26">
        <f t="shared" ca="1" si="312"/>
        <v>0.66679848042260859</v>
      </c>
      <c r="BX1059" s="29">
        <f t="shared" ca="1" si="295"/>
        <v>245</v>
      </c>
    </row>
    <row r="1060" spans="2:76" ht="15.75" customHeight="1" x14ac:dyDescent="0.2">
      <c r="B1060" s="22">
        <v>45605</v>
      </c>
      <c r="C1060" s="26">
        <f t="shared" ca="1" si="277"/>
        <v>0.9543362929971364</v>
      </c>
      <c r="D1060" s="29">
        <f t="shared" ca="1" si="278"/>
        <v>109</v>
      </c>
      <c r="F1060" s="22"/>
      <c r="G1060" s="26">
        <f t="shared" ca="1" si="296"/>
        <v>0.71476290651970531</v>
      </c>
      <c r="H1060" s="29">
        <f t="shared" ca="1" si="279"/>
        <v>224</v>
      </c>
      <c r="J1060" s="22">
        <v>45605</v>
      </c>
      <c r="K1060" s="26">
        <f t="shared" ca="1" si="297"/>
        <v>0.3833809557756005</v>
      </c>
      <c r="L1060" s="29">
        <f t="shared" ca="1" si="280"/>
        <v>148</v>
      </c>
      <c r="N1060" s="22">
        <v>45605</v>
      </c>
      <c r="O1060" s="26">
        <f t="shared" ca="1" si="298"/>
        <v>0.40104500344999905</v>
      </c>
      <c r="P1060" s="29">
        <f t="shared" ca="1" si="281"/>
        <v>226</v>
      </c>
      <c r="R1060" s="22">
        <v>45605</v>
      </c>
      <c r="S1060" s="26">
        <f t="shared" ca="1" si="299"/>
        <v>0.8455465703104913</v>
      </c>
      <c r="T1060" s="29">
        <f t="shared" ca="1" si="282"/>
        <v>149</v>
      </c>
      <c r="V1060" s="22">
        <v>45605</v>
      </c>
      <c r="W1060" s="26">
        <f t="shared" ca="1" si="300"/>
        <v>0.58820219012337116</v>
      </c>
      <c r="X1060" s="29">
        <f t="shared" ca="1" si="283"/>
        <v>229</v>
      </c>
      <c r="Z1060" s="22">
        <v>45605</v>
      </c>
      <c r="AA1060" s="26">
        <f t="shared" ca="1" si="301"/>
        <v>0.45126033414989986</v>
      </c>
      <c r="AB1060" s="29">
        <f t="shared" ca="1" si="284"/>
        <v>268</v>
      </c>
      <c r="AC1060"/>
      <c r="AD1060" s="25"/>
      <c r="AF1060" s="22">
        <v>45605</v>
      </c>
      <c r="AG1060" s="26">
        <f t="shared" ca="1" si="302"/>
        <v>0.41074267939789277</v>
      </c>
      <c r="AH1060" s="29">
        <f t="shared" ca="1" si="285"/>
        <v>308</v>
      </c>
      <c r="AJ1060" s="22">
        <v>45605</v>
      </c>
      <c r="AK1060" s="26">
        <f t="shared" ca="1" si="303"/>
        <v>7.9461139824576588E-2</v>
      </c>
      <c r="AL1060" s="29">
        <f t="shared" ca="1" si="286"/>
        <v>107</v>
      </c>
      <c r="AN1060" s="22">
        <v>45605</v>
      </c>
      <c r="AO1060" s="26">
        <f t="shared" ca="1" si="304"/>
        <v>9.8546214516398445E-2</v>
      </c>
      <c r="AP1060" s="29">
        <f t="shared" ca="1" si="287"/>
        <v>153</v>
      </c>
      <c r="AR1060" s="22">
        <v>45605</v>
      </c>
      <c r="AS1060" s="26">
        <f t="shared" ca="1" si="305"/>
        <v>0.80011450721934319</v>
      </c>
      <c r="AT1060" s="29">
        <f t="shared" ca="1" si="288"/>
        <v>243</v>
      </c>
      <c r="AV1060" s="22">
        <v>45605</v>
      </c>
      <c r="AW1060" s="26">
        <f t="shared" ca="1" si="306"/>
        <v>6.4539147466045832E-2</v>
      </c>
      <c r="AX1060" s="29">
        <f t="shared" ca="1" si="289"/>
        <v>123</v>
      </c>
      <c r="AZ1060" s="22">
        <v>45605</v>
      </c>
      <c r="BA1060" s="26">
        <f t="shared" ca="1" si="307"/>
        <v>0.76504890995778319</v>
      </c>
      <c r="BB1060" s="29">
        <f t="shared" ca="1" si="290"/>
        <v>279</v>
      </c>
      <c r="BC1060"/>
      <c r="BD1060" s="25"/>
      <c r="BF1060" s="22">
        <v>45605</v>
      </c>
      <c r="BG1060" s="26">
        <f t="shared" ca="1" si="308"/>
        <v>0.74689421849308435</v>
      </c>
      <c r="BH1060" s="29">
        <f t="shared" ca="1" si="291"/>
        <v>237</v>
      </c>
      <c r="BJ1060" s="22">
        <v>45605</v>
      </c>
      <c r="BK1060" s="26">
        <f t="shared" ca="1" si="309"/>
        <v>0.88469501619238089</v>
      </c>
      <c r="BL1060" s="29">
        <f t="shared" ca="1" si="292"/>
        <v>223</v>
      </c>
      <c r="BN1060" s="22">
        <v>45605</v>
      </c>
      <c r="BO1060" s="26">
        <f t="shared" ca="1" si="310"/>
        <v>0.68418007470837894</v>
      </c>
      <c r="BP1060" s="29">
        <f t="shared" ca="1" si="293"/>
        <v>244</v>
      </c>
      <c r="BR1060" s="22">
        <v>45605</v>
      </c>
      <c r="BS1060" s="26">
        <f t="shared" ca="1" si="311"/>
        <v>0.69365647926641039</v>
      </c>
      <c r="BT1060" s="29">
        <f t="shared" ca="1" si="294"/>
        <v>183</v>
      </c>
      <c r="BV1060" s="22">
        <v>45605</v>
      </c>
      <c r="BW1060" s="26">
        <f t="shared" ca="1" si="312"/>
        <v>0.71429742466501356</v>
      </c>
      <c r="BX1060" s="29">
        <f t="shared" ca="1" si="295"/>
        <v>253</v>
      </c>
    </row>
    <row r="1061" spans="2:76" ht="15.75" customHeight="1" x14ac:dyDescent="0.2">
      <c r="B1061" s="22">
        <v>45606</v>
      </c>
      <c r="C1061" s="26">
        <f t="shared" ca="1" si="277"/>
        <v>0.58609559362438146</v>
      </c>
      <c r="D1061" s="29">
        <f t="shared" ca="1" si="278"/>
        <v>80</v>
      </c>
      <c r="F1061" s="22"/>
      <c r="G1061" s="26">
        <f t="shared" ca="1" si="296"/>
        <v>0.67600074534254562</v>
      </c>
      <c r="H1061" s="29">
        <f t="shared" ca="1" si="279"/>
        <v>222</v>
      </c>
      <c r="J1061" s="22">
        <v>45606</v>
      </c>
      <c r="K1061" s="26">
        <f t="shared" ca="1" si="297"/>
        <v>0.66038902371909192</v>
      </c>
      <c r="L1061" s="29">
        <f t="shared" ca="1" si="280"/>
        <v>155</v>
      </c>
      <c r="N1061" s="22">
        <v>45606</v>
      </c>
      <c r="O1061" s="26">
        <f t="shared" ca="1" si="298"/>
        <v>0.56456844073922463</v>
      </c>
      <c r="P1061" s="29">
        <f t="shared" ca="1" si="281"/>
        <v>232</v>
      </c>
      <c r="R1061" s="22">
        <v>45606</v>
      </c>
      <c r="S1061" s="26">
        <f t="shared" ca="1" si="299"/>
        <v>0.12565309701735483</v>
      </c>
      <c r="T1061" s="29">
        <f t="shared" ca="1" si="282"/>
        <v>129</v>
      </c>
      <c r="V1061" s="22">
        <v>45606</v>
      </c>
      <c r="W1061" s="26">
        <f t="shared" ca="1" si="300"/>
        <v>4.0520221211223562E-2</v>
      </c>
      <c r="X1061" s="29">
        <f t="shared" ca="1" si="283"/>
        <v>199</v>
      </c>
      <c r="Z1061" s="22">
        <v>45606</v>
      </c>
      <c r="AA1061" s="26">
        <f t="shared" ca="1" si="301"/>
        <v>0.76543247173496931</v>
      </c>
      <c r="AB1061" s="29">
        <f t="shared" ca="1" si="284"/>
        <v>284</v>
      </c>
      <c r="AC1061"/>
      <c r="AD1061" s="25"/>
      <c r="AF1061" s="22">
        <v>45606</v>
      </c>
      <c r="AG1061" s="26">
        <f t="shared" ca="1" si="302"/>
        <v>0.77489555770666019</v>
      </c>
      <c r="AH1061" s="29">
        <f t="shared" ca="1" si="285"/>
        <v>393</v>
      </c>
      <c r="AJ1061" s="22">
        <v>45606</v>
      </c>
      <c r="AK1061" s="26">
        <f t="shared" ca="1" si="303"/>
        <v>0.79111140069115216</v>
      </c>
      <c r="AL1061" s="29">
        <f t="shared" ca="1" si="286"/>
        <v>208</v>
      </c>
      <c r="AN1061" s="22">
        <v>45606</v>
      </c>
      <c r="AO1061" s="26">
        <f t="shared" ca="1" si="304"/>
        <v>3.0255911234869703E-2</v>
      </c>
      <c r="AP1061" s="29">
        <f t="shared" ca="1" si="287"/>
        <v>116</v>
      </c>
      <c r="AR1061" s="22">
        <v>45606</v>
      </c>
      <c r="AS1061" s="26">
        <f t="shared" ca="1" si="305"/>
        <v>0.49771662747172063</v>
      </c>
      <c r="AT1061" s="29">
        <f t="shared" ca="1" si="288"/>
        <v>198</v>
      </c>
      <c r="AV1061" s="22">
        <v>45606</v>
      </c>
      <c r="AW1061" s="26">
        <f t="shared" ca="1" si="306"/>
        <v>0.31303614303932503</v>
      </c>
      <c r="AX1061" s="29">
        <f t="shared" ca="1" si="289"/>
        <v>179</v>
      </c>
      <c r="AZ1061" s="22">
        <v>45606</v>
      </c>
      <c r="BA1061" s="26">
        <f t="shared" ca="1" si="307"/>
        <v>0.7805436241758581</v>
      </c>
      <c r="BB1061" s="29">
        <f t="shared" ca="1" si="290"/>
        <v>282</v>
      </c>
      <c r="BC1061"/>
      <c r="BD1061" s="25"/>
      <c r="BF1061" s="22">
        <v>45606</v>
      </c>
      <c r="BG1061" s="26">
        <f t="shared" ca="1" si="308"/>
        <v>0.25634511275740435</v>
      </c>
      <c r="BH1061" s="29">
        <f t="shared" ca="1" si="291"/>
        <v>166</v>
      </c>
      <c r="BJ1061" s="22">
        <v>45606</v>
      </c>
      <c r="BK1061" s="26">
        <f t="shared" ca="1" si="309"/>
        <v>0.14417235558736363</v>
      </c>
      <c r="BL1061" s="29">
        <f t="shared" ca="1" si="292"/>
        <v>121</v>
      </c>
      <c r="BN1061" s="22">
        <v>45606</v>
      </c>
      <c r="BO1061" s="26">
        <f t="shared" ca="1" si="310"/>
        <v>0.89875337692874091</v>
      </c>
      <c r="BP1061" s="29">
        <f t="shared" ca="1" si="293"/>
        <v>290</v>
      </c>
      <c r="BR1061" s="22">
        <v>45606</v>
      </c>
      <c r="BS1061" s="26">
        <f t="shared" ca="1" si="311"/>
        <v>0.24254331442181198</v>
      </c>
      <c r="BT1061" s="29">
        <f t="shared" ca="1" si="294"/>
        <v>131</v>
      </c>
      <c r="BV1061" s="22">
        <v>45606</v>
      </c>
      <c r="BW1061" s="26">
        <f t="shared" ca="1" si="312"/>
        <v>0.68599516161502316</v>
      </c>
      <c r="BX1061" s="29">
        <f t="shared" ca="1" si="295"/>
        <v>248</v>
      </c>
    </row>
    <row r="1062" spans="2:76" ht="15.75" customHeight="1" x14ac:dyDescent="0.2">
      <c r="B1062" s="22">
        <v>45607</v>
      </c>
      <c r="C1062" s="26">
        <f t="shared" ca="1" si="277"/>
        <v>0.76151531593742494</v>
      </c>
      <c r="D1062" s="29">
        <f t="shared" ca="1" si="278"/>
        <v>90</v>
      </c>
      <c r="F1062" s="22"/>
      <c r="G1062" s="26">
        <f t="shared" ca="1" si="296"/>
        <v>0.61504357046622105</v>
      </c>
      <c r="H1062" s="29">
        <f t="shared" ca="1" si="279"/>
        <v>220</v>
      </c>
      <c r="J1062" s="22">
        <v>45607</v>
      </c>
      <c r="K1062" s="26">
        <f t="shared" ca="1" si="297"/>
        <v>0.10026975363297252</v>
      </c>
      <c r="L1062" s="29">
        <f t="shared" ca="1" si="280"/>
        <v>138</v>
      </c>
      <c r="N1062" s="22">
        <v>45607</v>
      </c>
      <c r="O1062" s="26">
        <f t="shared" ca="1" si="298"/>
        <v>0.13050916239941335</v>
      </c>
      <c r="P1062" s="29">
        <f t="shared" ca="1" si="281"/>
        <v>213</v>
      </c>
      <c r="R1062" s="22">
        <v>45607</v>
      </c>
      <c r="S1062" s="26">
        <f t="shared" ca="1" si="299"/>
        <v>0.17760630143295986</v>
      </c>
      <c r="T1062" s="29">
        <f t="shared" ca="1" si="282"/>
        <v>131</v>
      </c>
      <c r="V1062" s="22">
        <v>45607</v>
      </c>
      <c r="W1062" s="26">
        <f t="shared" ca="1" si="300"/>
        <v>0.26367040534608388</v>
      </c>
      <c r="X1062" s="29">
        <f t="shared" ca="1" si="283"/>
        <v>216</v>
      </c>
      <c r="Z1062" s="22">
        <v>45607</v>
      </c>
      <c r="AA1062" s="26">
        <f t="shared" ca="1" si="301"/>
        <v>0.85147712699686651</v>
      </c>
      <c r="AB1062" s="29">
        <f t="shared" ca="1" si="284"/>
        <v>289</v>
      </c>
      <c r="AC1062"/>
      <c r="AD1062" s="25"/>
      <c r="AF1062" s="22">
        <v>45607</v>
      </c>
      <c r="AG1062" s="26">
        <f t="shared" ca="1" si="302"/>
        <v>0.34413708559505063</v>
      </c>
      <c r="AH1062" s="29">
        <f t="shared" ca="1" si="285"/>
        <v>293</v>
      </c>
      <c r="AJ1062" s="22">
        <v>45607</v>
      </c>
      <c r="AK1062" s="26">
        <f t="shared" ca="1" si="303"/>
        <v>0.18303958604716275</v>
      </c>
      <c r="AL1062" s="29">
        <f t="shared" ca="1" si="286"/>
        <v>130</v>
      </c>
      <c r="AN1062" s="22">
        <v>45607</v>
      </c>
      <c r="AO1062" s="26">
        <f t="shared" ca="1" si="304"/>
        <v>0.91020202745627854</v>
      </c>
      <c r="AP1062" s="29">
        <f t="shared" ca="1" si="287"/>
        <v>316</v>
      </c>
      <c r="AR1062" s="22">
        <v>45607</v>
      </c>
      <c r="AS1062" s="26">
        <f t="shared" ca="1" si="305"/>
        <v>6.920959096889312E-2</v>
      </c>
      <c r="AT1062" s="29">
        <f t="shared" ca="1" si="288"/>
        <v>120</v>
      </c>
      <c r="AV1062" s="22">
        <v>45607</v>
      </c>
      <c r="AW1062" s="26">
        <f t="shared" ca="1" si="306"/>
        <v>0.42477103999663546</v>
      </c>
      <c r="AX1062" s="29">
        <f t="shared" ca="1" si="289"/>
        <v>196</v>
      </c>
      <c r="AZ1062" s="22">
        <v>45607</v>
      </c>
      <c r="BA1062" s="26">
        <f t="shared" ca="1" si="307"/>
        <v>2.6300215990515796E-2</v>
      </c>
      <c r="BB1062" s="29">
        <f t="shared" ca="1" si="290"/>
        <v>113</v>
      </c>
      <c r="BC1062"/>
      <c r="BD1062" s="25"/>
      <c r="BF1062" s="22">
        <v>45607</v>
      </c>
      <c r="BG1062" s="26">
        <f t="shared" ca="1" si="308"/>
        <v>0.33790728124375147</v>
      </c>
      <c r="BH1062" s="29">
        <f t="shared" ca="1" si="291"/>
        <v>179</v>
      </c>
      <c r="BJ1062" s="22">
        <v>45607</v>
      </c>
      <c r="BK1062" s="26">
        <f t="shared" ca="1" si="309"/>
        <v>0.78354583738464023</v>
      </c>
      <c r="BL1062" s="29">
        <f t="shared" ca="1" si="292"/>
        <v>204</v>
      </c>
      <c r="BN1062" s="22">
        <v>45607</v>
      </c>
      <c r="BO1062" s="26">
        <f t="shared" ca="1" si="310"/>
        <v>4.8227512168333209E-2</v>
      </c>
      <c r="BP1062" s="29">
        <f t="shared" ca="1" si="293"/>
        <v>121</v>
      </c>
      <c r="BR1062" s="22">
        <v>45607</v>
      </c>
      <c r="BS1062" s="26">
        <f t="shared" ca="1" si="311"/>
        <v>0.96486243258694326</v>
      </c>
      <c r="BT1062" s="29">
        <f t="shared" ca="1" si="294"/>
        <v>239</v>
      </c>
      <c r="BV1062" s="22">
        <v>45607</v>
      </c>
      <c r="BW1062" s="26">
        <f t="shared" ca="1" si="312"/>
        <v>0.10049155699625545</v>
      </c>
      <c r="BX1062" s="29">
        <f t="shared" ca="1" si="295"/>
        <v>145</v>
      </c>
    </row>
    <row r="1063" spans="2:76" ht="15.75" customHeight="1" x14ac:dyDescent="0.2">
      <c r="B1063" s="22">
        <v>45608</v>
      </c>
      <c r="C1063" s="26">
        <f t="shared" ca="1" si="277"/>
        <v>0.8649577992116072</v>
      </c>
      <c r="D1063" s="29">
        <f t="shared" ca="1" si="278"/>
        <v>98</v>
      </c>
      <c r="F1063" s="22"/>
      <c r="G1063" s="26">
        <f t="shared" ca="1" si="296"/>
        <v>0.48754257117328414</v>
      </c>
      <c r="H1063" s="29">
        <f t="shared" ca="1" si="279"/>
        <v>215</v>
      </c>
      <c r="J1063" s="22">
        <v>45608</v>
      </c>
      <c r="K1063" s="26">
        <f t="shared" ca="1" si="297"/>
        <v>9.3781579299397899E-3</v>
      </c>
      <c r="L1063" s="29">
        <f t="shared" ca="1" si="280"/>
        <v>127</v>
      </c>
      <c r="N1063" s="22">
        <v>45608</v>
      </c>
      <c r="O1063" s="26">
        <f t="shared" ca="1" si="298"/>
        <v>0.20232057102083589</v>
      </c>
      <c r="P1063" s="29">
        <f t="shared" ca="1" si="281"/>
        <v>217</v>
      </c>
      <c r="R1063" s="22">
        <v>45608</v>
      </c>
      <c r="S1063" s="26">
        <f t="shared" ca="1" si="299"/>
        <v>8.0975735995756581E-2</v>
      </c>
      <c r="T1063" s="29">
        <f t="shared" ca="1" si="282"/>
        <v>126</v>
      </c>
      <c r="V1063" s="22">
        <v>45608</v>
      </c>
      <c r="W1063" s="26">
        <f t="shared" ca="1" si="300"/>
        <v>0.55795505281037017</v>
      </c>
      <c r="X1063" s="29">
        <f t="shared" ca="1" si="283"/>
        <v>228</v>
      </c>
      <c r="Z1063" s="22">
        <v>45608</v>
      </c>
      <c r="AA1063" s="26">
        <f t="shared" ca="1" si="301"/>
        <v>0.43753696352598292</v>
      </c>
      <c r="AB1063" s="29">
        <f t="shared" ca="1" si="284"/>
        <v>268</v>
      </c>
      <c r="AC1063"/>
      <c r="AD1063" s="25"/>
      <c r="AF1063" s="22">
        <v>45608</v>
      </c>
      <c r="AG1063" s="26">
        <f t="shared" ca="1" si="302"/>
        <v>0.661973934149786</v>
      </c>
      <c r="AH1063" s="29">
        <f t="shared" ca="1" si="285"/>
        <v>364</v>
      </c>
      <c r="AJ1063" s="22">
        <v>45608</v>
      </c>
      <c r="AK1063" s="26">
        <f t="shared" ca="1" si="303"/>
        <v>0.5474909360421738</v>
      </c>
      <c r="AL1063" s="29">
        <f t="shared" ca="1" si="286"/>
        <v>176</v>
      </c>
      <c r="AN1063" s="22">
        <v>45608</v>
      </c>
      <c r="AO1063" s="26">
        <f t="shared" ca="1" si="304"/>
        <v>0.42693061906513741</v>
      </c>
      <c r="AP1063" s="29">
        <f t="shared" ca="1" si="287"/>
        <v>221</v>
      </c>
      <c r="AR1063" s="22">
        <v>45608</v>
      </c>
      <c r="AS1063" s="26">
        <f t="shared" ca="1" si="305"/>
        <v>0.15326744100541501</v>
      </c>
      <c r="AT1063" s="29">
        <f t="shared" ca="1" si="288"/>
        <v>145</v>
      </c>
      <c r="AV1063" s="22">
        <v>45608</v>
      </c>
      <c r="AW1063" s="26">
        <f t="shared" ca="1" si="306"/>
        <v>3.7027754187336948E-2</v>
      </c>
      <c r="AX1063" s="29">
        <f t="shared" ca="1" si="289"/>
        <v>108</v>
      </c>
      <c r="AZ1063" s="22">
        <v>45608</v>
      </c>
      <c r="BA1063" s="26">
        <f t="shared" ca="1" si="307"/>
        <v>0.85483763579016891</v>
      </c>
      <c r="BB1063" s="29">
        <f t="shared" ca="1" si="290"/>
        <v>300</v>
      </c>
      <c r="BC1063"/>
      <c r="BD1063" s="25"/>
      <c r="BF1063" s="22">
        <v>45608</v>
      </c>
      <c r="BG1063" s="26">
        <f t="shared" ca="1" si="308"/>
        <v>0.9417399488968059</v>
      </c>
      <c r="BH1063" s="29">
        <f t="shared" ca="1" si="291"/>
        <v>285</v>
      </c>
      <c r="BJ1063" s="22">
        <v>45608</v>
      </c>
      <c r="BK1063" s="26">
        <f t="shared" ca="1" si="309"/>
        <v>0.83215797388937429</v>
      </c>
      <c r="BL1063" s="29">
        <f t="shared" ca="1" si="292"/>
        <v>212</v>
      </c>
      <c r="BN1063" s="22">
        <v>45608</v>
      </c>
      <c r="BO1063" s="26">
        <f t="shared" ca="1" si="310"/>
        <v>0.3512598435361185</v>
      </c>
      <c r="BP1063" s="29">
        <f t="shared" ca="1" si="293"/>
        <v>194</v>
      </c>
      <c r="BR1063" s="22">
        <v>45608</v>
      </c>
      <c r="BS1063" s="26">
        <f t="shared" ca="1" si="311"/>
        <v>0.34824977186680983</v>
      </c>
      <c r="BT1063" s="29">
        <f t="shared" ca="1" si="294"/>
        <v>144</v>
      </c>
      <c r="BV1063" s="22">
        <v>45608</v>
      </c>
      <c r="BW1063" s="26">
        <f t="shared" ca="1" si="312"/>
        <v>0.64090922407224671</v>
      </c>
      <c r="BX1063" s="29">
        <f t="shared" ca="1" si="295"/>
        <v>241</v>
      </c>
    </row>
    <row r="1064" spans="2:76" ht="15.75" customHeight="1" x14ac:dyDescent="0.2">
      <c r="B1064" s="22">
        <v>45609</v>
      </c>
      <c r="C1064" s="26">
        <f t="shared" ca="1" si="277"/>
        <v>5.604398556157919E-2</v>
      </c>
      <c r="D1064" s="29">
        <f t="shared" ca="1" si="278"/>
        <v>44</v>
      </c>
      <c r="F1064" s="22"/>
      <c r="G1064" s="26">
        <f t="shared" ca="1" si="296"/>
        <v>0.99470904283744344</v>
      </c>
      <c r="H1064" s="29">
        <f t="shared" ca="1" si="279"/>
        <v>253</v>
      </c>
      <c r="J1064" s="22">
        <v>45609</v>
      </c>
      <c r="K1064" s="26">
        <f t="shared" ca="1" si="297"/>
        <v>0.4091702224314544</v>
      </c>
      <c r="L1064" s="29">
        <f t="shared" ca="1" si="280"/>
        <v>148</v>
      </c>
      <c r="N1064" s="22">
        <v>45609</v>
      </c>
      <c r="O1064" s="26">
        <f t="shared" ca="1" si="298"/>
        <v>0.54395807899452364</v>
      </c>
      <c r="P1064" s="29">
        <f t="shared" ca="1" si="281"/>
        <v>232</v>
      </c>
      <c r="R1064" s="22">
        <v>45609</v>
      </c>
      <c r="S1064" s="26">
        <f t="shared" ca="1" si="299"/>
        <v>0.61474153023436084</v>
      </c>
      <c r="T1064" s="29">
        <f t="shared" ca="1" si="282"/>
        <v>142</v>
      </c>
      <c r="V1064" s="22">
        <v>45609</v>
      </c>
      <c r="W1064" s="26">
        <f t="shared" ca="1" si="300"/>
        <v>0.14561880688727213</v>
      </c>
      <c r="X1064" s="29">
        <f t="shared" ca="1" si="283"/>
        <v>210</v>
      </c>
      <c r="Z1064" s="22">
        <v>45609</v>
      </c>
      <c r="AA1064" s="26">
        <f t="shared" ca="1" si="301"/>
        <v>0.75596647358900948</v>
      </c>
      <c r="AB1064" s="29">
        <f t="shared" ca="1" si="284"/>
        <v>283</v>
      </c>
      <c r="AC1064"/>
      <c r="AD1064" s="25"/>
      <c r="AF1064" s="22">
        <v>45609</v>
      </c>
      <c r="AG1064" s="26">
        <f t="shared" ca="1" si="302"/>
        <v>0.36702367559641236</v>
      </c>
      <c r="AH1064" s="29">
        <f t="shared" ca="1" si="285"/>
        <v>298</v>
      </c>
      <c r="AJ1064" s="22">
        <v>45609</v>
      </c>
      <c r="AK1064" s="26">
        <f t="shared" ca="1" si="303"/>
        <v>0.32853781418715966</v>
      </c>
      <c r="AL1064" s="29">
        <f t="shared" ca="1" si="286"/>
        <v>151</v>
      </c>
      <c r="AN1064" s="22">
        <v>45609</v>
      </c>
      <c r="AO1064" s="26">
        <f t="shared" ca="1" si="304"/>
        <v>0.9376274755889028</v>
      </c>
      <c r="AP1064" s="29">
        <f t="shared" ca="1" si="287"/>
        <v>328</v>
      </c>
      <c r="AR1064" s="22">
        <v>45609</v>
      </c>
      <c r="AS1064" s="26">
        <f t="shared" ca="1" si="305"/>
        <v>0.25950640123549051</v>
      </c>
      <c r="AT1064" s="29">
        <f t="shared" ca="1" si="288"/>
        <v>164</v>
      </c>
      <c r="AV1064" s="22">
        <v>45609</v>
      </c>
      <c r="AW1064" s="26">
        <f t="shared" ca="1" si="306"/>
        <v>0.7884360022050092</v>
      </c>
      <c r="AX1064" s="29">
        <f t="shared" ca="1" si="289"/>
        <v>250</v>
      </c>
      <c r="AZ1064" s="22">
        <v>45609</v>
      </c>
      <c r="BA1064" s="26">
        <f t="shared" ca="1" si="307"/>
        <v>0.53495058025022557</v>
      </c>
      <c r="BB1064" s="29">
        <f t="shared" ca="1" si="290"/>
        <v>240</v>
      </c>
      <c r="BC1064"/>
      <c r="BD1064" s="25"/>
      <c r="BF1064" s="22">
        <v>45609</v>
      </c>
      <c r="BG1064" s="26">
        <f t="shared" ca="1" si="308"/>
        <v>0.2917952283422397</v>
      </c>
      <c r="BH1064" s="29">
        <f t="shared" ca="1" si="291"/>
        <v>172</v>
      </c>
      <c r="BJ1064" s="22">
        <v>45609</v>
      </c>
      <c r="BK1064" s="26">
        <f t="shared" ca="1" si="309"/>
        <v>0.71040730875130653</v>
      </c>
      <c r="BL1064" s="29">
        <f t="shared" ca="1" si="292"/>
        <v>194</v>
      </c>
      <c r="BN1064" s="22">
        <v>45609</v>
      </c>
      <c r="BO1064" s="26">
        <f t="shared" ca="1" si="310"/>
        <v>0.22944377149181217</v>
      </c>
      <c r="BP1064" s="29">
        <f t="shared" ca="1" si="293"/>
        <v>174</v>
      </c>
      <c r="BR1064" s="22">
        <v>45609</v>
      </c>
      <c r="BS1064" s="26">
        <f t="shared" ca="1" si="311"/>
        <v>0.24569861512992608</v>
      </c>
      <c r="BT1064" s="29">
        <f t="shared" ca="1" si="294"/>
        <v>132</v>
      </c>
      <c r="BV1064" s="22">
        <v>45609</v>
      </c>
      <c r="BW1064" s="26">
        <f t="shared" ca="1" si="312"/>
        <v>8.5993809373448915E-2</v>
      </c>
      <c r="BX1064" s="29">
        <f t="shared" ca="1" si="295"/>
        <v>140</v>
      </c>
    </row>
    <row r="1065" spans="2:76" ht="15.75" customHeight="1" x14ac:dyDescent="0.2">
      <c r="B1065" s="22">
        <v>45610</v>
      </c>
      <c r="C1065" s="26">
        <f t="shared" ca="1" si="277"/>
        <v>0.76040478549366464</v>
      </c>
      <c r="D1065" s="29">
        <f t="shared" ca="1" si="278"/>
        <v>90</v>
      </c>
      <c r="F1065" s="22"/>
      <c r="G1065" s="26">
        <f t="shared" ca="1" si="296"/>
        <v>0.65453461382706923</v>
      </c>
      <c r="H1065" s="29">
        <f t="shared" ca="1" si="279"/>
        <v>222</v>
      </c>
      <c r="J1065" s="22">
        <v>45610</v>
      </c>
      <c r="K1065" s="26">
        <f t="shared" ca="1" si="297"/>
        <v>0.97198350356722485</v>
      </c>
      <c r="L1065" s="29">
        <f t="shared" ca="1" si="280"/>
        <v>170</v>
      </c>
      <c r="N1065" s="22">
        <v>45610</v>
      </c>
      <c r="O1065" s="26">
        <f t="shared" ca="1" si="298"/>
        <v>0.84298695440094529</v>
      </c>
      <c r="P1065" s="29">
        <f t="shared" ca="1" si="281"/>
        <v>245</v>
      </c>
      <c r="R1065" s="22">
        <v>45610</v>
      </c>
      <c r="S1065" s="26">
        <f t="shared" ca="1" si="299"/>
        <v>0.81063687399314488</v>
      </c>
      <c r="T1065" s="29">
        <f t="shared" ca="1" si="282"/>
        <v>147</v>
      </c>
      <c r="V1065" s="22">
        <v>45610</v>
      </c>
      <c r="W1065" s="26">
        <f t="shared" ca="1" si="300"/>
        <v>0.72689365480563917</v>
      </c>
      <c r="X1065" s="29">
        <f t="shared" ca="1" si="283"/>
        <v>235</v>
      </c>
      <c r="Z1065" s="22">
        <v>45610</v>
      </c>
      <c r="AA1065" s="26">
        <f t="shared" ca="1" si="301"/>
        <v>0.21656717519601743</v>
      </c>
      <c r="AB1065" s="29">
        <f t="shared" ca="1" si="284"/>
        <v>256</v>
      </c>
      <c r="AC1065"/>
      <c r="AD1065" s="25"/>
      <c r="AF1065" s="22">
        <v>45610</v>
      </c>
      <c r="AG1065" s="26">
        <f t="shared" ca="1" si="302"/>
        <v>0.40163151478742687</v>
      </c>
      <c r="AH1065" s="29">
        <f t="shared" ca="1" si="285"/>
        <v>306</v>
      </c>
      <c r="AJ1065" s="22">
        <v>45610</v>
      </c>
      <c r="AK1065" s="26">
        <f t="shared" ca="1" si="303"/>
        <v>0.69352240118425346</v>
      </c>
      <c r="AL1065" s="29">
        <f t="shared" ca="1" si="286"/>
        <v>194</v>
      </c>
      <c r="AN1065" s="22">
        <v>45610</v>
      </c>
      <c r="AO1065" s="26">
        <f t="shared" ca="1" si="304"/>
        <v>0.99100320877747683</v>
      </c>
      <c r="AP1065" s="29">
        <f t="shared" ca="1" si="287"/>
        <v>379</v>
      </c>
      <c r="AR1065" s="22">
        <v>45610</v>
      </c>
      <c r="AS1065" s="26">
        <f t="shared" ca="1" si="305"/>
        <v>0.92157066213123051</v>
      </c>
      <c r="AT1065" s="29">
        <f t="shared" ca="1" si="288"/>
        <v>273</v>
      </c>
      <c r="AV1065" s="22">
        <v>45610</v>
      </c>
      <c r="AW1065" s="26">
        <f t="shared" ca="1" si="306"/>
        <v>5.6892067128376245E-2</v>
      </c>
      <c r="AX1065" s="29">
        <f t="shared" ca="1" si="289"/>
        <v>119</v>
      </c>
      <c r="AZ1065" s="22">
        <v>45610</v>
      </c>
      <c r="BA1065" s="26">
        <f t="shared" ca="1" si="307"/>
        <v>0.2645336463222977</v>
      </c>
      <c r="BB1065" s="29">
        <f t="shared" ca="1" si="290"/>
        <v>195</v>
      </c>
      <c r="BC1065"/>
      <c r="BD1065" s="25"/>
      <c r="BF1065" s="22">
        <v>45610</v>
      </c>
      <c r="BG1065" s="26">
        <f t="shared" ca="1" si="308"/>
        <v>0.23871368618065736</v>
      </c>
      <c r="BH1065" s="29">
        <f t="shared" ca="1" si="291"/>
        <v>163</v>
      </c>
      <c r="BJ1065" s="22">
        <v>45610</v>
      </c>
      <c r="BK1065" s="26">
        <f t="shared" ca="1" si="309"/>
        <v>0.47486684893295839</v>
      </c>
      <c r="BL1065" s="29">
        <f t="shared" ca="1" si="292"/>
        <v>166</v>
      </c>
      <c r="BN1065" s="22">
        <v>45610</v>
      </c>
      <c r="BO1065" s="26">
        <f t="shared" ca="1" si="310"/>
        <v>0.79322459013015001</v>
      </c>
      <c r="BP1065" s="29">
        <f t="shared" ca="1" si="293"/>
        <v>263</v>
      </c>
      <c r="BR1065" s="22">
        <v>45610</v>
      </c>
      <c r="BS1065" s="26">
        <f t="shared" ca="1" si="311"/>
        <v>0.42460363776897048</v>
      </c>
      <c r="BT1065" s="29">
        <f t="shared" ca="1" si="294"/>
        <v>153</v>
      </c>
      <c r="BV1065" s="22">
        <v>45610</v>
      </c>
      <c r="BW1065" s="26">
        <f t="shared" ca="1" si="312"/>
        <v>0.79989114009344153</v>
      </c>
      <c r="BX1065" s="29">
        <f t="shared" ca="1" si="295"/>
        <v>269</v>
      </c>
    </row>
    <row r="1066" spans="2:76" ht="15.75" customHeight="1" x14ac:dyDescent="0.2">
      <c r="B1066" s="22">
        <v>45611</v>
      </c>
      <c r="C1066" s="26">
        <f t="shared" ca="1" si="277"/>
        <v>6.921421609182743E-2</v>
      </c>
      <c r="D1066" s="29">
        <f t="shared" ca="1" si="278"/>
        <v>46</v>
      </c>
      <c r="F1066" s="22"/>
      <c r="G1066" s="26">
        <f t="shared" ca="1" si="296"/>
        <v>0.13639655088073244</v>
      </c>
      <c r="H1066" s="29">
        <f t="shared" ca="1" si="279"/>
        <v>200</v>
      </c>
      <c r="J1066" s="22">
        <v>45611</v>
      </c>
      <c r="K1066" s="26">
        <f t="shared" ca="1" si="297"/>
        <v>0.91840558525606053</v>
      </c>
      <c r="L1066" s="29">
        <f t="shared" ca="1" si="280"/>
        <v>164</v>
      </c>
      <c r="N1066" s="22">
        <v>45611</v>
      </c>
      <c r="O1066" s="26">
        <f t="shared" ca="1" si="298"/>
        <v>0.63144329064293403</v>
      </c>
      <c r="P1066" s="29">
        <f t="shared" ca="1" si="281"/>
        <v>235</v>
      </c>
      <c r="R1066" s="22">
        <v>45611</v>
      </c>
      <c r="S1066" s="26">
        <f t="shared" ca="1" si="299"/>
        <v>0.10062287357252564</v>
      </c>
      <c r="T1066" s="29">
        <f t="shared" ca="1" si="282"/>
        <v>127</v>
      </c>
      <c r="V1066" s="22">
        <v>45611</v>
      </c>
      <c r="W1066" s="26">
        <f t="shared" ca="1" si="300"/>
        <v>0.75656488264953836</v>
      </c>
      <c r="X1066" s="29">
        <f t="shared" ca="1" si="283"/>
        <v>236</v>
      </c>
      <c r="Z1066" s="22">
        <v>45611</v>
      </c>
      <c r="AA1066" s="26">
        <f t="shared" ca="1" si="301"/>
        <v>0.64988987626582895</v>
      </c>
      <c r="AB1066" s="29">
        <f t="shared" ca="1" si="284"/>
        <v>277</v>
      </c>
      <c r="AC1066"/>
      <c r="AD1066" s="25"/>
      <c r="AF1066" s="22">
        <v>45611</v>
      </c>
      <c r="AG1066" s="26">
        <f t="shared" ca="1" si="302"/>
        <v>0.44764783229930538</v>
      </c>
      <c r="AH1066" s="29">
        <f t="shared" ca="1" si="285"/>
        <v>316</v>
      </c>
      <c r="AJ1066" s="22">
        <v>45611</v>
      </c>
      <c r="AK1066" s="26">
        <f t="shared" ca="1" si="303"/>
        <v>0.30276940646720296</v>
      </c>
      <c r="AL1066" s="29">
        <f t="shared" ca="1" si="286"/>
        <v>147</v>
      </c>
      <c r="AN1066" s="22">
        <v>45611</v>
      </c>
      <c r="AO1066" s="26">
        <f t="shared" ca="1" si="304"/>
        <v>0.66810707309921435</v>
      </c>
      <c r="AP1066" s="29">
        <f t="shared" ca="1" si="287"/>
        <v>259</v>
      </c>
      <c r="AR1066" s="22">
        <v>45611</v>
      </c>
      <c r="AS1066" s="26">
        <f t="shared" ca="1" si="305"/>
        <v>0.46622360740975277</v>
      </c>
      <c r="AT1066" s="29">
        <f t="shared" ca="1" si="288"/>
        <v>194</v>
      </c>
      <c r="AV1066" s="22">
        <v>45611</v>
      </c>
      <c r="AW1066" s="26">
        <f t="shared" ca="1" si="306"/>
        <v>0.25088213906907619</v>
      </c>
      <c r="AX1066" s="29">
        <f t="shared" ca="1" si="289"/>
        <v>169</v>
      </c>
      <c r="AZ1066" s="22">
        <v>45611</v>
      </c>
      <c r="BA1066" s="26">
        <f t="shared" ca="1" si="307"/>
        <v>0.40365032067442053</v>
      </c>
      <c r="BB1066" s="29">
        <f t="shared" ca="1" si="290"/>
        <v>219</v>
      </c>
      <c r="BC1066"/>
      <c r="BD1066" s="25"/>
      <c r="BF1066" s="22">
        <v>45611</v>
      </c>
      <c r="BG1066" s="26">
        <f t="shared" ca="1" si="308"/>
        <v>0.29152125254436323</v>
      </c>
      <c r="BH1066" s="29">
        <f t="shared" ca="1" si="291"/>
        <v>172</v>
      </c>
      <c r="BJ1066" s="22">
        <v>45611</v>
      </c>
      <c r="BK1066" s="26">
        <f t="shared" ca="1" si="309"/>
        <v>0.97426942031854813</v>
      </c>
      <c r="BL1066" s="29">
        <f t="shared" ca="1" si="292"/>
        <v>257</v>
      </c>
      <c r="BN1066" s="22">
        <v>45611</v>
      </c>
      <c r="BO1066" s="26">
        <f t="shared" ca="1" si="310"/>
        <v>0.45662397481683958</v>
      </c>
      <c r="BP1066" s="29">
        <f t="shared" ca="1" si="293"/>
        <v>210</v>
      </c>
      <c r="BR1066" s="22">
        <v>45611</v>
      </c>
      <c r="BS1066" s="26">
        <f t="shared" ca="1" si="311"/>
        <v>0.293245463388216</v>
      </c>
      <c r="BT1066" s="29">
        <f t="shared" ca="1" si="294"/>
        <v>138</v>
      </c>
      <c r="BV1066" s="22">
        <v>45611</v>
      </c>
      <c r="BW1066" s="26">
        <f t="shared" ca="1" si="312"/>
        <v>0.68253738778588302</v>
      </c>
      <c r="BX1066" s="29">
        <f t="shared" ca="1" si="295"/>
        <v>248</v>
      </c>
    </row>
    <row r="1067" spans="2:76" ht="15.75" customHeight="1" x14ac:dyDescent="0.2">
      <c r="B1067" s="22">
        <v>45612</v>
      </c>
      <c r="C1067" s="26">
        <f t="shared" ca="1" si="277"/>
        <v>0.86229552959040268</v>
      </c>
      <c r="D1067" s="29">
        <f t="shared" ca="1" si="278"/>
        <v>97</v>
      </c>
      <c r="F1067" s="22"/>
      <c r="G1067" s="26">
        <f t="shared" ca="1" si="296"/>
        <v>0.73021839200416372</v>
      </c>
      <c r="H1067" s="29">
        <f t="shared" ca="1" si="279"/>
        <v>225</v>
      </c>
      <c r="J1067" s="22">
        <v>45612</v>
      </c>
      <c r="K1067" s="26">
        <f t="shared" ca="1" si="297"/>
        <v>0.82060828710004852</v>
      </c>
      <c r="L1067" s="29">
        <f t="shared" ca="1" si="280"/>
        <v>160</v>
      </c>
      <c r="N1067" s="22">
        <v>45612</v>
      </c>
      <c r="O1067" s="26">
        <f t="shared" ca="1" si="298"/>
        <v>7.3091679958553146E-2</v>
      </c>
      <c r="P1067" s="29">
        <f t="shared" ca="1" si="281"/>
        <v>208</v>
      </c>
      <c r="R1067" s="22">
        <v>45612</v>
      </c>
      <c r="S1067" s="26">
        <f t="shared" ca="1" si="299"/>
        <v>0.62758502482827172</v>
      </c>
      <c r="T1067" s="29">
        <f t="shared" ca="1" si="282"/>
        <v>142</v>
      </c>
      <c r="V1067" s="22">
        <v>45612</v>
      </c>
      <c r="W1067" s="26">
        <f t="shared" ca="1" si="300"/>
        <v>0.73438778545536487</v>
      </c>
      <c r="X1067" s="29">
        <f t="shared" ca="1" si="283"/>
        <v>235</v>
      </c>
      <c r="Z1067" s="22">
        <v>45612</v>
      </c>
      <c r="AA1067" s="26">
        <f t="shared" ca="1" si="301"/>
        <v>1.5551508701062589E-2</v>
      </c>
      <c r="AB1067" s="29">
        <f t="shared" ca="1" si="284"/>
        <v>232</v>
      </c>
      <c r="AC1067"/>
      <c r="AD1067" s="25"/>
      <c r="AF1067" s="22">
        <v>45612</v>
      </c>
      <c r="AG1067" s="26">
        <f t="shared" ca="1" si="302"/>
        <v>0.64806678971604104</v>
      </c>
      <c r="AH1067" s="29">
        <f t="shared" ca="1" si="285"/>
        <v>361</v>
      </c>
      <c r="AJ1067" s="22">
        <v>45612</v>
      </c>
      <c r="AK1067" s="26">
        <f t="shared" ca="1" si="303"/>
        <v>0.26081073510693209</v>
      </c>
      <c r="AL1067" s="29">
        <f t="shared" ca="1" si="286"/>
        <v>142</v>
      </c>
      <c r="AN1067" s="22">
        <v>45612</v>
      </c>
      <c r="AO1067" s="26">
        <f t="shared" ca="1" si="304"/>
        <v>0.17771501952212854</v>
      </c>
      <c r="AP1067" s="29">
        <f t="shared" ca="1" si="287"/>
        <v>175</v>
      </c>
      <c r="AR1067" s="22">
        <v>45612</v>
      </c>
      <c r="AS1067" s="26">
        <f t="shared" ca="1" si="305"/>
        <v>0.11517419185099209</v>
      </c>
      <c r="AT1067" s="29">
        <f t="shared" ca="1" si="288"/>
        <v>135</v>
      </c>
      <c r="AV1067" s="22">
        <v>45612</v>
      </c>
      <c r="AW1067" s="26">
        <f t="shared" ca="1" si="306"/>
        <v>0.10744102188937465</v>
      </c>
      <c r="AX1067" s="29">
        <f t="shared" ca="1" si="289"/>
        <v>138</v>
      </c>
      <c r="AZ1067" s="22">
        <v>45612</v>
      </c>
      <c r="BA1067" s="26">
        <f t="shared" ca="1" si="307"/>
        <v>8.635472485896778E-2</v>
      </c>
      <c r="BB1067" s="29">
        <f t="shared" ca="1" si="290"/>
        <v>149</v>
      </c>
      <c r="BC1067"/>
      <c r="BD1067" s="25"/>
      <c r="BF1067" s="22">
        <v>45612</v>
      </c>
      <c r="BG1067" s="26">
        <f t="shared" ca="1" si="308"/>
        <v>0.75238257070010295</v>
      </c>
      <c r="BH1067" s="29">
        <f t="shared" ca="1" si="291"/>
        <v>238</v>
      </c>
      <c r="BJ1067" s="22">
        <v>45612</v>
      </c>
      <c r="BK1067" s="26">
        <f t="shared" ca="1" si="309"/>
        <v>0.58097553016432324</v>
      </c>
      <c r="BL1067" s="29">
        <f t="shared" ca="1" si="292"/>
        <v>178</v>
      </c>
      <c r="BN1067" s="22">
        <v>45612</v>
      </c>
      <c r="BO1067" s="26">
        <f t="shared" ca="1" si="310"/>
        <v>0.91827850769379982</v>
      </c>
      <c r="BP1067" s="29">
        <f t="shared" ca="1" si="293"/>
        <v>296</v>
      </c>
      <c r="BR1067" s="22">
        <v>45612</v>
      </c>
      <c r="BS1067" s="26">
        <f t="shared" ca="1" si="311"/>
        <v>0.3831482785967113</v>
      </c>
      <c r="BT1067" s="29">
        <f t="shared" ca="1" si="294"/>
        <v>148</v>
      </c>
      <c r="BV1067" s="22">
        <v>45612</v>
      </c>
      <c r="BW1067" s="26">
        <f t="shared" ca="1" si="312"/>
        <v>0.30990161156077733</v>
      </c>
      <c r="BX1067" s="29">
        <f t="shared" ca="1" si="295"/>
        <v>191</v>
      </c>
    </row>
    <row r="1068" spans="2:76" ht="15.75" customHeight="1" x14ac:dyDescent="0.2">
      <c r="B1068" s="22">
        <v>45613</v>
      </c>
      <c r="C1068" s="26">
        <f t="shared" ca="1" si="277"/>
        <v>0.87123689034200569</v>
      </c>
      <c r="D1068" s="29">
        <f t="shared" ca="1" si="278"/>
        <v>98</v>
      </c>
      <c r="F1068" s="22"/>
      <c r="G1068" s="26">
        <f t="shared" ca="1" si="296"/>
        <v>2.5135027203016191E-2</v>
      </c>
      <c r="H1068" s="29">
        <f t="shared" ca="1" si="279"/>
        <v>188</v>
      </c>
      <c r="J1068" s="22">
        <v>45613</v>
      </c>
      <c r="K1068" s="26">
        <f t="shared" ca="1" si="297"/>
        <v>0.45377805101628788</v>
      </c>
      <c r="L1068" s="29">
        <f t="shared" ca="1" si="280"/>
        <v>149</v>
      </c>
      <c r="N1068" s="22">
        <v>45613</v>
      </c>
      <c r="O1068" s="26">
        <f t="shared" ca="1" si="298"/>
        <v>0.58087963460975744</v>
      </c>
      <c r="P1068" s="29">
        <f t="shared" ca="1" si="281"/>
        <v>233</v>
      </c>
      <c r="R1068" s="22">
        <v>45613</v>
      </c>
      <c r="S1068" s="26">
        <f t="shared" ca="1" si="299"/>
        <v>0.58035388977983604</v>
      </c>
      <c r="T1068" s="29">
        <f t="shared" ca="1" si="282"/>
        <v>141</v>
      </c>
      <c r="V1068" s="22">
        <v>45613</v>
      </c>
      <c r="W1068" s="26">
        <f t="shared" ca="1" si="300"/>
        <v>0.69101331193697357</v>
      </c>
      <c r="X1068" s="29">
        <f t="shared" ca="1" si="283"/>
        <v>233</v>
      </c>
      <c r="Z1068" s="22">
        <v>45613</v>
      </c>
      <c r="AA1068" s="26">
        <f t="shared" ca="1" si="301"/>
        <v>0.72045800392584591</v>
      </c>
      <c r="AB1068" s="29">
        <f t="shared" ca="1" si="284"/>
        <v>281</v>
      </c>
      <c r="AC1068"/>
      <c r="AD1068" s="25"/>
      <c r="AF1068" s="22">
        <v>45613</v>
      </c>
      <c r="AG1068" s="26">
        <f t="shared" ca="1" si="302"/>
        <v>0.83208013016547422</v>
      </c>
      <c r="AH1068" s="29">
        <f t="shared" ca="1" si="285"/>
        <v>411</v>
      </c>
      <c r="AJ1068" s="22">
        <v>45613</v>
      </c>
      <c r="AK1068" s="26">
        <f t="shared" ca="1" si="303"/>
        <v>0.16615751311309568</v>
      </c>
      <c r="AL1068" s="29">
        <f t="shared" ca="1" si="286"/>
        <v>127</v>
      </c>
      <c r="AN1068" s="22">
        <v>45613</v>
      </c>
      <c r="AO1068" s="26">
        <f t="shared" ca="1" si="304"/>
        <v>0.34441643389628973</v>
      </c>
      <c r="AP1068" s="29">
        <f t="shared" ca="1" si="287"/>
        <v>208</v>
      </c>
      <c r="AR1068" s="22">
        <v>45613</v>
      </c>
      <c r="AS1068" s="26">
        <f t="shared" ca="1" si="305"/>
        <v>0.58343778213203323</v>
      </c>
      <c r="AT1068" s="29">
        <f t="shared" ca="1" si="288"/>
        <v>210</v>
      </c>
      <c r="AV1068" s="22">
        <v>45613</v>
      </c>
      <c r="AW1068" s="26">
        <f t="shared" ca="1" si="306"/>
        <v>0.51205016273560044</v>
      </c>
      <c r="AX1068" s="29">
        <f t="shared" ca="1" si="289"/>
        <v>208</v>
      </c>
      <c r="AZ1068" s="22">
        <v>45613</v>
      </c>
      <c r="BA1068" s="26">
        <f t="shared" ca="1" si="307"/>
        <v>0.74527569446381425</v>
      </c>
      <c r="BB1068" s="29">
        <f t="shared" ca="1" si="290"/>
        <v>275</v>
      </c>
      <c r="BC1068"/>
      <c r="BD1068" s="25"/>
      <c r="BF1068" s="22">
        <v>45613</v>
      </c>
      <c r="BG1068" s="26">
        <f t="shared" ca="1" si="308"/>
        <v>0.2052806391460017</v>
      </c>
      <c r="BH1068" s="29">
        <f t="shared" ca="1" si="291"/>
        <v>157</v>
      </c>
      <c r="BJ1068" s="22">
        <v>45613</v>
      </c>
      <c r="BK1068" s="26">
        <f t="shared" ca="1" si="309"/>
        <v>0.10247718185093879</v>
      </c>
      <c r="BL1068" s="29">
        <f t="shared" ca="1" si="292"/>
        <v>112</v>
      </c>
      <c r="BN1068" s="22">
        <v>45613</v>
      </c>
      <c r="BO1068" s="26">
        <f t="shared" ca="1" si="310"/>
        <v>0.26201189223002297</v>
      </c>
      <c r="BP1068" s="29">
        <f t="shared" ca="1" si="293"/>
        <v>180</v>
      </c>
      <c r="BR1068" s="22">
        <v>45613</v>
      </c>
      <c r="BS1068" s="26">
        <f t="shared" ca="1" si="311"/>
        <v>0.74904598240927123</v>
      </c>
      <c r="BT1068" s="29">
        <f t="shared" ca="1" si="294"/>
        <v>190</v>
      </c>
      <c r="BV1068" s="22">
        <v>45613</v>
      </c>
      <c r="BW1068" s="26">
        <f t="shared" ca="1" si="312"/>
        <v>0.68732191666368359</v>
      </c>
      <c r="BX1068" s="29">
        <f t="shared" ca="1" si="295"/>
        <v>248</v>
      </c>
    </row>
    <row r="1069" spans="2:76" ht="15.75" customHeight="1" x14ac:dyDescent="0.2">
      <c r="B1069" s="22">
        <v>45614</v>
      </c>
      <c r="C1069" s="26">
        <f t="shared" ca="1" si="277"/>
        <v>0.58228631078305759</v>
      </c>
      <c r="D1069" s="29">
        <f t="shared" ca="1" si="278"/>
        <v>80</v>
      </c>
      <c r="F1069" s="22"/>
      <c r="G1069" s="26">
        <f t="shared" ca="1" si="296"/>
        <v>0.95183234912422832</v>
      </c>
      <c r="H1069" s="29">
        <f t="shared" ca="1" si="279"/>
        <v>240</v>
      </c>
      <c r="J1069" s="22">
        <v>45614</v>
      </c>
      <c r="K1069" s="26">
        <f t="shared" ca="1" si="297"/>
        <v>0.85243608644550251</v>
      </c>
      <c r="L1069" s="29">
        <f t="shared" ca="1" si="280"/>
        <v>161</v>
      </c>
      <c r="N1069" s="22">
        <v>45614</v>
      </c>
      <c r="O1069" s="26">
        <f t="shared" ca="1" si="298"/>
        <v>0.93781305132785564</v>
      </c>
      <c r="P1069" s="29">
        <f t="shared" ca="1" si="281"/>
        <v>253</v>
      </c>
      <c r="R1069" s="22">
        <v>45614</v>
      </c>
      <c r="S1069" s="26">
        <f t="shared" ca="1" si="299"/>
        <v>0.18098777168838043</v>
      </c>
      <c r="T1069" s="29">
        <f t="shared" ca="1" si="282"/>
        <v>131</v>
      </c>
      <c r="V1069" s="22">
        <v>45614</v>
      </c>
      <c r="W1069" s="26">
        <f t="shared" ca="1" si="300"/>
        <v>0.73595856404533055</v>
      </c>
      <c r="X1069" s="29">
        <f t="shared" ca="1" si="283"/>
        <v>235</v>
      </c>
      <c r="Z1069" s="22">
        <v>45614</v>
      </c>
      <c r="AA1069" s="26">
        <f t="shared" ca="1" si="301"/>
        <v>0.42454013997099505</v>
      </c>
      <c r="AB1069" s="29">
        <f t="shared" ca="1" si="284"/>
        <v>267</v>
      </c>
      <c r="AC1069"/>
      <c r="AD1069" s="25"/>
      <c r="AF1069" s="22">
        <v>45614</v>
      </c>
      <c r="AG1069" s="26">
        <f t="shared" ca="1" si="302"/>
        <v>0.64798210025628389</v>
      </c>
      <c r="AH1069" s="29">
        <f t="shared" ca="1" si="285"/>
        <v>361</v>
      </c>
      <c r="AJ1069" s="22">
        <v>45614</v>
      </c>
      <c r="AK1069" s="26">
        <f t="shared" ca="1" si="303"/>
        <v>0.83166237265630216</v>
      </c>
      <c r="AL1069" s="29">
        <f t="shared" ca="1" si="286"/>
        <v>215</v>
      </c>
      <c r="AN1069" s="22">
        <v>45614</v>
      </c>
      <c r="AO1069" s="26">
        <f t="shared" ca="1" si="304"/>
        <v>0.21351961653836959</v>
      </c>
      <c r="AP1069" s="29">
        <f t="shared" ca="1" si="287"/>
        <v>183</v>
      </c>
      <c r="AR1069" s="22">
        <v>45614</v>
      </c>
      <c r="AS1069" s="26">
        <f t="shared" ca="1" si="305"/>
        <v>0.53772488140200103</v>
      </c>
      <c r="AT1069" s="29">
        <f t="shared" ca="1" si="288"/>
        <v>204</v>
      </c>
      <c r="AV1069" s="22">
        <v>45614</v>
      </c>
      <c r="AW1069" s="26">
        <f t="shared" ca="1" si="306"/>
        <v>0.24804514063884553</v>
      </c>
      <c r="AX1069" s="29">
        <f t="shared" ca="1" si="289"/>
        <v>169</v>
      </c>
      <c r="AZ1069" s="22">
        <v>45614</v>
      </c>
      <c r="BA1069" s="26">
        <f t="shared" ca="1" si="307"/>
        <v>0.57298198873861172</v>
      </c>
      <c r="BB1069" s="29">
        <f t="shared" ca="1" si="290"/>
        <v>246</v>
      </c>
      <c r="BC1069"/>
      <c r="BD1069" s="25"/>
      <c r="BF1069" s="22">
        <v>45614</v>
      </c>
      <c r="BG1069" s="26">
        <f t="shared" ca="1" si="308"/>
        <v>0.29208994747208739</v>
      </c>
      <c r="BH1069" s="29">
        <f t="shared" ca="1" si="291"/>
        <v>172</v>
      </c>
      <c r="BJ1069" s="22">
        <v>45614</v>
      </c>
      <c r="BK1069" s="26">
        <f t="shared" ca="1" si="309"/>
        <v>6.9582273685257157E-2</v>
      </c>
      <c r="BL1069" s="29">
        <f t="shared" ca="1" si="292"/>
        <v>103</v>
      </c>
      <c r="BN1069" s="22">
        <v>45614</v>
      </c>
      <c r="BO1069" s="26">
        <f t="shared" ca="1" si="310"/>
        <v>0.32514966319744909</v>
      </c>
      <c r="BP1069" s="29">
        <f t="shared" ca="1" si="293"/>
        <v>190</v>
      </c>
      <c r="BR1069" s="22">
        <v>45614</v>
      </c>
      <c r="BS1069" s="26">
        <f t="shared" ca="1" si="311"/>
        <v>0.53481379828514342</v>
      </c>
      <c r="BT1069" s="29">
        <f t="shared" ca="1" si="294"/>
        <v>165</v>
      </c>
      <c r="BV1069" s="22">
        <v>45614</v>
      </c>
      <c r="BW1069" s="26">
        <f t="shared" ca="1" si="312"/>
        <v>0.91786938856904765</v>
      </c>
      <c r="BX1069" s="29">
        <f t="shared" ca="1" si="295"/>
        <v>301</v>
      </c>
    </row>
    <row r="1070" spans="2:76" ht="15.75" customHeight="1" x14ac:dyDescent="0.2">
      <c r="B1070" s="22">
        <v>45615</v>
      </c>
      <c r="C1070" s="26">
        <f t="shared" ca="1" si="277"/>
        <v>0.2373930116595514</v>
      </c>
      <c r="D1070" s="29">
        <f t="shared" ca="1" si="278"/>
        <v>61</v>
      </c>
      <c r="F1070" s="22"/>
      <c r="G1070" s="26">
        <f t="shared" ca="1" si="296"/>
        <v>0.79208063777505933</v>
      </c>
      <c r="H1070" s="29">
        <f t="shared" ca="1" si="279"/>
        <v>228</v>
      </c>
      <c r="J1070" s="22">
        <v>45615</v>
      </c>
      <c r="K1070" s="26">
        <f t="shared" ca="1" si="297"/>
        <v>0.4106372909009508</v>
      </c>
      <c r="L1070" s="29">
        <f t="shared" ca="1" si="280"/>
        <v>148</v>
      </c>
      <c r="N1070" s="22">
        <v>45615</v>
      </c>
      <c r="O1070" s="26">
        <f t="shared" ca="1" si="298"/>
        <v>0.17440410503112813</v>
      </c>
      <c r="P1070" s="29">
        <f t="shared" ca="1" si="281"/>
        <v>216</v>
      </c>
      <c r="R1070" s="22">
        <v>45615</v>
      </c>
      <c r="S1070" s="26">
        <f t="shared" ca="1" si="299"/>
        <v>0.99144106639435903</v>
      </c>
      <c r="T1070" s="29">
        <f t="shared" ca="1" si="282"/>
        <v>161</v>
      </c>
      <c r="V1070" s="22">
        <v>45615</v>
      </c>
      <c r="W1070" s="26">
        <f t="shared" ca="1" si="300"/>
        <v>0.69365157590500959</v>
      </c>
      <c r="X1070" s="29">
        <f t="shared" ca="1" si="283"/>
        <v>233</v>
      </c>
      <c r="Z1070" s="22">
        <v>45615</v>
      </c>
      <c r="AA1070" s="26">
        <f t="shared" ca="1" si="301"/>
        <v>0.7932797632054458</v>
      </c>
      <c r="AB1070" s="29">
        <f t="shared" ca="1" si="284"/>
        <v>285</v>
      </c>
      <c r="AC1070"/>
      <c r="AD1070" s="25"/>
      <c r="AF1070" s="22">
        <v>45615</v>
      </c>
      <c r="AG1070" s="26">
        <f t="shared" ca="1" si="302"/>
        <v>0.25854327307099223</v>
      </c>
      <c r="AH1070" s="29">
        <f t="shared" ca="1" si="285"/>
        <v>271</v>
      </c>
      <c r="AJ1070" s="22">
        <v>45615</v>
      </c>
      <c r="AK1070" s="26">
        <f t="shared" ca="1" si="303"/>
        <v>0.36552629550621663</v>
      </c>
      <c r="AL1070" s="29">
        <f t="shared" ca="1" si="286"/>
        <v>155</v>
      </c>
      <c r="AN1070" s="22">
        <v>45615</v>
      </c>
      <c r="AO1070" s="26">
        <f t="shared" ca="1" si="304"/>
        <v>0.46498632914840887</v>
      </c>
      <c r="AP1070" s="29">
        <f t="shared" ca="1" si="287"/>
        <v>227</v>
      </c>
      <c r="AR1070" s="22">
        <v>45615</v>
      </c>
      <c r="AS1070" s="26">
        <f t="shared" ca="1" si="305"/>
        <v>0.51199464064036271</v>
      </c>
      <c r="AT1070" s="29">
        <f t="shared" ca="1" si="288"/>
        <v>200</v>
      </c>
      <c r="AV1070" s="22">
        <v>45615</v>
      </c>
      <c r="AW1070" s="26">
        <f t="shared" ca="1" si="306"/>
        <v>0.84771390210244635</v>
      </c>
      <c r="AX1070" s="29">
        <f t="shared" ca="1" si="289"/>
        <v>262</v>
      </c>
      <c r="AZ1070" s="22">
        <v>45615</v>
      </c>
      <c r="BA1070" s="26">
        <f t="shared" ca="1" si="307"/>
        <v>0.82383923214131394</v>
      </c>
      <c r="BB1070" s="29">
        <f t="shared" ca="1" si="290"/>
        <v>292</v>
      </c>
      <c r="BC1070"/>
      <c r="BD1070" s="25"/>
      <c r="BF1070" s="22">
        <v>45615</v>
      </c>
      <c r="BG1070" s="26">
        <f t="shared" ca="1" si="308"/>
        <v>0.81694839520758034</v>
      </c>
      <c r="BH1070" s="29">
        <f t="shared" ca="1" si="291"/>
        <v>249</v>
      </c>
      <c r="BJ1070" s="22">
        <v>45615</v>
      </c>
      <c r="BK1070" s="26">
        <f t="shared" ca="1" si="309"/>
        <v>0.44227118645381802</v>
      </c>
      <c r="BL1070" s="29">
        <f t="shared" ca="1" si="292"/>
        <v>163</v>
      </c>
      <c r="BN1070" s="22">
        <v>45615</v>
      </c>
      <c r="BO1070" s="26">
        <f t="shared" ca="1" si="310"/>
        <v>0.34269665598606069</v>
      </c>
      <c r="BP1070" s="29">
        <f t="shared" ca="1" si="293"/>
        <v>193</v>
      </c>
      <c r="BR1070" s="22">
        <v>45615</v>
      </c>
      <c r="BS1070" s="26">
        <f t="shared" ca="1" si="311"/>
        <v>0.56461644282067702</v>
      </c>
      <c r="BT1070" s="29">
        <f t="shared" ca="1" si="294"/>
        <v>168</v>
      </c>
      <c r="BV1070" s="22">
        <v>45615</v>
      </c>
      <c r="BW1070" s="26">
        <f t="shared" ca="1" si="312"/>
        <v>0.43388242846834923</v>
      </c>
      <c r="BX1070" s="29">
        <f t="shared" ca="1" si="295"/>
        <v>210</v>
      </c>
    </row>
    <row r="1071" spans="2:76" ht="15.75" customHeight="1" x14ac:dyDescent="0.2">
      <c r="B1071" s="22">
        <v>45616</v>
      </c>
      <c r="C1071" s="26">
        <f t="shared" ca="1" si="277"/>
        <v>0.43248345622126849</v>
      </c>
      <c r="D1071" s="29">
        <f t="shared" ca="1" si="278"/>
        <v>72</v>
      </c>
      <c r="F1071" s="22"/>
      <c r="G1071" s="26">
        <f t="shared" ca="1" si="296"/>
        <v>0.33434921307083354</v>
      </c>
      <c r="H1071" s="29">
        <f t="shared" ca="1" si="279"/>
        <v>210</v>
      </c>
      <c r="J1071" s="22">
        <v>45616</v>
      </c>
      <c r="K1071" s="26">
        <f t="shared" ca="1" si="297"/>
        <v>0.5593675261121086</v>
      </c>
      <c r="L1071" s="29">
        <f t="shared" ca="1" si="280"/>
        <v>152</v>
      </c>
      <c r="N1071" s="22">
        <v>45616</v>
      </c>
      <c r="O1071" s="26">
        <f t="shared" ca="1" si="298"/>
        <v>0.20284473519447765</v>
      </c>
      <c r="P1071" s="29">
        <f t="shared" ca="1" si="281"/>
        <v>217</v>
      </c>
      <c r="R1071" s="22">
        <v>45616</v>
      </c>
      <c r="S1071" s="26">
        <f t="shared" ca="1" si="299"/>
        <v>0.99576764302691623</v>
      </c>
      <c r="T1071" s="29">
        <f t="shared" ca="1" si="282"/>
        <v>164</v>
      </c>
      <c r="V1071" s="22">
        <v>45616</v>
      </c>
      <c r="W1071" s="26">
        <f t="shared" ca="1" si="300"/>
        <v>0.39234447708050479</v>
      </c>
      <c r="X1071" s="29">
        <f t="shared" ca="1" si="283"/>
        <v>221</v>
      </c>
      <c r="Z1071" s="22">
        <v>45616</v>
      </c>
      <c r="AA1071" s="26">
        <f t="shared" ca="1" si="301"/>
        <v>0.29859253696769228</v>
      </c>
      <c r="AB1071" s="29">
        <f t="shared" ca="1" si="284"/>
        <v>261</v>
      </c>
      <c r="AC1071"/>
      <c r="AD1071" s="25"/>
      <c r="AF1071" s="22">
        <v>45616</v>
      </c>
      <c r="AG1071" s="26">
        <f t="shared" ca="1" si="302"/>
        <v>0.76280632897166867</v>
      </c>
      <c r="AH1071" s="29">
        <f t="shared" ca="1" si="285"/>
        <v>390</v>
      </c>
      <c r="AJ1071" s="22">
        <v>45616</v>
      </c>
      <c r="AK1071" s="26">
        <f t="shared" ca="1" si="303"/>
        <v>7.1474445284907984E-2</v>
      </c>
      <c r="AL1071" s="29">
        <f t="shared" ca="1" si="286"/>
        <v>104</v>
      </c>
      <c r="AN1071" s="22">
        <v>45616</v>
      </c>
      <c r="AO1071" s="26">
        <f t="shared" ca="1" si="304"/>
        <v>0.84859095488797498</v>
      </c>
      <c r="AP1071" s="29">
        <f t="shared" ca="1" si="287"/>
        <v>296</v>
      </c>
      <c r="AR1071" s="22">
        <v>45616</v>
      </c>
      <c r="AS1071" s="26">
        <f t="shared" ca="1" si="305"/>
        <v>0.54605670890046432</v>
      </c>
      <c r="AT1071" s="29">
        <f t="shared" ca="1" si="288"/>
        <v>205</v>
      </c>
      <c r="AV1071" s="22">
        <v>45616</v>
      </c>
      <c r="AW1071" s="26">
        <f t="shared" ca="1" si="306"/>
        <v>0.60869885196108831</v>
      </c>
      <c r="AX1071" s="29">
        <f t="shared" ca="1" si="289"/>
        <v>221</v>
      </c>
      <c r="AZ1071" s="22">
        <v>45616</v>
      </c>
      <c r="BA1071" s="26">
        <f t="shared" ca="1" si="307"/>
        <v>0.29661142775421701</v>
      </c>
      <c r="BB1071" s="29">
        <f t="shared" ca="1" si="290"/>
        <v>201</v>
      </c>
      <c r="BC1071"/>
      <c r="BD1071" s="25"/>
      <c r="BF1071" s="22">
        <v>45616</v>
      </c>
      <c r="BG1071" s="26">
        <f t="shared" ca="1" si="308"/>
        <v>0.95350464137070501</v>
      </c>
      <c r="BH1071" s="29">
        <f t="shared" ca="1" si="291"/>
        <v>291</v>
      </c>
      <c r="BJ1071" s="22">
        <v>45616</v>
      </c>
      <c r="BK1071" s="26">
        <f t="shared" ca="1" si="309"/>
        <v>5.6594829257748724E-2</v>
      </c>
      <c r="BL1071" s="29">
        <f t="shared" ca="1" si="292"/>
        <v>98</v>
      </c>
      <c r="BN1071" s="22">
        <v>45616</v>
      </c>
      <c r="BO1071" s="26">
        <f t="shared" ca="1" si="310"/>
        <v>0.90531875513234561</v>
      </c>
      <c r="BP1071" s="29">
        <f t="shared" ca="1" si="293"/>
        <v>292</v>
      </c>
      <c r="BR1071" s="22">
        <v>45616</v>
      </c>
      <c r="BS1071" s="26">
        <f t="shared" ca="1" si="311"/>
        <v>0.96713741181769908</v>
      </c>
      <c r="BT1071" s="29">
        <f t="shared" ca="1" si="294"/>
        <v>240</v>
      </c>
      <c r="BV1071" s="22">
        <v>45616</v>
      </c>
      <c r="BW1071" s="26">
        <f t="shared" ca="1" si="312"/>
        <v>0.6085225640826899</v>
      </c>
      <c r="BX1071" s="29">
        <f t="shared" ca="1" si="295"/>
        <v>236</v>
      </c>
    </row>
    <row r="1072" spans="2:76" ht="15.75" customHeight="1" x14ac:dyDescent="0.2">
      <c r="B1072" s="22">
        <v>45617</v>
      </c>
      <c r="C1072" s="26">
        <f t="shared" ca="1" si="277"/>
        <v>0.87362854348393426</v>
      </c>
      <c r="D1072" s="29">
        <f t="shared" ca="1" si="278"/>
        <v>98</v>
      </c>
      <c r="F1072" s="22"/>
      <c r="G1072" s="26">
        <f t="shared" ca="1" si="296"/>
        <v>0.32718190981970741</v>
      </c>
      <c r="H1072" s="29">
        <f t="shared" ca="1" si="279"/>
        <v>209</v>
      </c>
      <c r="J1072" s="22">
        <v>45617</v>
      </c>
      <c r="K1072" s="26">
        <f t="shared" ca="1" si="297"/>
        <v>0.41796989023881781</v>
      </c>
      <c r="L1072" s="29">
        <f t="shared" ca="1" si="280"/>
        <v>148</v>
      </c>
      <c r="N1072" s="22">
        <v>45617</v>
      </c>
      <c r="O1072" s="26">
        <f t="shared" ca="1" si="298"/>
        <v>0.94485931178026039</v>
      </c>
      <c r="P1072" s="29">
        <f t="shared" ca="1" si="281"/>
        <v>254</v>
      </c>
      <c r="R1072" s="22">
        <v>45617</v>
      </c>
      <c r="S1072" s="26">
        <f t="shared" ca="1" si="299"/>
        <v>0.22789168833647022</v>
      </c>
      <c r="T1072" s="29">
        <f t="shared" ca="1" si="282"/>
        <v>132</v>
      </c>
      <c r="V1072" s="22">
        <v>45617</v>
      </c>
      <c r="W1072" s="26">
        <f t="shared" ca="1" si="300"/>
        <v>0.5381346455678504</v>
      </c>
      <c r="X1072" s="29">
        <f t="shared" ca="1" si="283"/>
        <v>227</v>
      </c>
      <c r="Z1072" s="22">
        <v>45617</v>
      </c>
      <c r="AA1072" s="26">
        <f t="shared" ca="1" si="301"/>
        <v>0.5552461362280503</v>
      </c>
      <c r="AB1072" s="29">
        <f t="shared" ca="1" si="284"/>
        <v>273</v>
      </c>
      <c r="AC1072"/>
      <c r="AD1072" s="25"/>
      <c r="AF1072" s="22">
        <v>45617</v>
      </c>
      <c r="AG1072" s="26">
        <f t="shared" ca="1" si="302"/>
        <v>0.91420818603828546</v>
      </c>
      <c r="AH1072" s="29">
        <f t="shared" ca="1" si="285"/>
        <v>447</v>
      </c>
      <c r="AJ1072" s="22">
        <v>45617</v>
      </c>
      <c r="AK1072" s="26">
        <f t="shared" ca="1" si="303"/>
        <v>0.52901699637291555</v>
      </c>
      <c r="AL1072" s="29">
        <f t="shared" ca="1" si="286"/>
        <v>174</v>
      </c>
      <c r="AN1072" s="22">
        <v>45617</v>
      </c>
      <c r="AO1072" s="26">
        <f t="shared" ca="1" si="304"/>
        <v>0.23528481274040436</v>
      </c>
      <c r="AP1072" s="29">
        <f t="shared" ca="1" si="287"/>
        <v>188</v>
      </c>
      <c r="AR1072" s="22">
        <v>45617</v>
      </c>
      <c r="AS1072" s="26">
        <f t="shared" ca="1" si="305"/>
        <v>0.86499966275354523</v>
      </c>
      <c r="AT1072" s="29">
        <f t="shared" ca="1" si="288"/>
        <v>257</v>
      </c>
      <c r="AV1072" s="22">
        <v>45617</v>
      </c>
      <c r="AW1072" s="26">
        <f t="shared" ca="1" si="306"/>
        <v>0.98630059437390616</v>
      </c>
      <c r="AX1072" s="29">
        <f t="shared" ca="1" si="289"/>
        <v>327</v>
      </c>
      <c r="AZ1072" s="22">
        <v>45617</v>
      </c>
      <c r="BA1072" s="26">
        <f t="shared" ca="1" si="307"/>
        <v>0.20808145877753326</v>
      </c>
      <c r="BB1072" s="29">
        <f t="shared" ca="1" si="290"/>
        <v>183</v>
      </c>
      <c r="BC1072"/>
      <c r="BD1072" s="25"/>
      <c r="BF1072" s="22">
        <v>45617</v>
      </c>
      <c r="BG1072" s="26">
        <f t="shared" ca="1" si="308"/>
        <v>3.2063324681907424E-2</v>
      </c>
      <c r="BH1072" s="29">
        <f t="shared" ca="1" si="291"/>
        <v>102</v>
      </c>
      <c r="BJ1072" s="22">
        <v>45617</v>
      </c>
      <c r="BK1072" s="26">
        <f t="shared" ca="1" si="309"/>
        <v>0.82435919436170801</v>
      </c>
      <c r="BL1072" s="29">
        <f t="shared" ca="1" si="292"/>
        <v>211</v>
      </c>
      <c r="BN1072" s="22">
        <v>45617</v>
      </c>
      <c r="BO1072" s="26">
        <f t="shared" ca="1" si="310"/>
        <v>0.13090033494030884</v>
      </c>
      <c r="BP1072" s="29">
        <f t="shared" ca="1" si="293"/>
        <v>152</v>
      </c>
      <c r="BR1072" s="22">
        <v>45617</v>
      </c>
      <c r="BS1072" s="26">
        <f t="shared" ca="1" si="311"/>
        <v>0.88320459121640837</v>
      </c>
      <c r="BT1072" s="29">
        <f t="shared" ca="1" si="294"/>
        <v>212</v>
      </c>
      <c r="BV1072" s="22">
        <v>45617</v>
      </c>
      <c r="BW1072" s="26">
        <f t="shared" ca="1" si="312"/>
        <v>0.21938561549713576</v>
      </c>
      <c r="BX1072" s="29">
        <f t="shared" ca="1" si="295"/>
        <v>175</v>
      </c>
    </row>
    <row r="1073" spans="2:77" ht="15.75" customHeight="1" x14ac:dyDescent="0.2">
      <c r="B1073" s="22">
        <v>45618</v>
      </c>
      <c r="C1073" s="26">
        <f t="shared" ca="1" si="277"/>
        <v>0.98008475142210727</v>
      </c>
      <c r="D1073" s="29">
        <f t="shared" ca="1" si="278"/>
        <v>117</v>
      </c>
      <c r="F1073" s="22"/>
      <c r="G1073" s="26">
        <f t="shared" ca="1" si="296"/>
        <v>6.9712890183073806E-2</v>
      </c>
      <c r="H1073" s="29">
        <f t="shared" ca="1" si="279"/>
        <v>195</v>
      </c>
      <c r="J1073" s="22">
        <v>45618</v>
      </c>
      <c r="K1073" s="26">
        <f t="shared" ca="1" si="297"/>
        <v>0.90456454383743368</v>
      </c>
      <c r="L1073" s="29">
        <f t="shared" ca="1" si="280"/>
        <v>164</v>
      </c>
      <c r="N1073" s="22">
        <v>45618</v>
      </c>
      <c r="O1073" s="26">
        <f t="shared" ca="1" si="298"/>
        <v>0.61324326860087475</v>
      </c>
      <c r="P1073" s="29">
        <f t="shared" ca="1" si="281"/>
        <v>234</v>
      </c>
      <c r="R1073" s="22">
        <v>45618</v>
      </c>
      <c r="S1073" s="26">
        <f t="shared" ca="1" si="299"/>
        <v>0.34951761062685782</v>
      </c>
      <c r="T1073" s="29">
        <f t="shared" ca="1" si="282"/>
        <v>136</v>
      </c>
      <c r="V1073" s="22">
        <v>45618</v>
      </c>
      <c r="W1073" s="26">
        <f t="shared" ca="1" si="300"/>
        <v>0.97521939194081009</v>
      </c>
      <c r="X1073" s="29">
        <f t="shared" ca="1" si="283"/>
        <v>255</v>
      </c>
      <c r="Z1073" s="22">
        <v>45618</v>
      </c>
      <c r="AA1073" s="26">
        <f t="shared" ca="1" si="301"/>
        <v>1.2922781897092284E-2</v>
      </c>
      <c r="AB1073" s="29">
        <f t="shared" ca="1" si="284"/>
        <v>230</v>
      </c>
      <c r="AC1073"/>
      <c r="AD1073" s="25"/>
      <c r="AF1073" s="22">
        <v>45618</v>
      </c>
      <c r="AG1073" s="26">
        <f t="shared" ca="1" si="302"/>
        <v>0.69562237358576817</v>
      </c>
      <c r="AH1073" s="29">
        <f t="shared" ca="1" si="285"/>
        <v>372</v>
      </c>
      <c r="AJ1073" s="22">
        <v>45618</v>
      </c>
      <c r="AK1073" s="26">
        <f t="shared" ca="1" si="303"/>
        <v>0.16743043263871982</v>
      </c>
      <c r="AL1073" s="29">
        <f t="shared" ca="1" si="286"/>
        <v>127</v>
      </c>
      <c r="AN1073" s="22">
        <v>45618</v>
      </c>
      <c r="AO1073" s="26">
        <f t="shared" ca="1" si="304"/>
        <v>0.98882158439114554</v>
      </c>
      <c r="AP1073" s="29">
        <f t="shared" ca="1" si="287"/>
        <v>374</v>
      </c>
      <c r="AR1073" s="22">
        <v>45618</v>
      </c>
      <c r="AS1073" s="26">
        <f t="shared" ca="1" si="305"/>
        <v>0.94485683692939149</v>
      </c>
      <c r="AT1073" s="29">
        <f t="shared" ca="1" si="288"/>
        <v>283</v>
      </c>
      <c r="AV1073" s="22">
        <v>45618</v>
      </c>
      <c r="AW1073" s="26">
        <f t="shared" ca="1" si="306"/>
        <v>0.88183521341983595</v>
      </c>
      <c r="AX1073" s="29">
        <f t="shared" ca="1" si="289"/>
        <v>271</v>
      </c>
      <c r="AZ1073" s="22">
        <v>45618</v>
      </c>
      <c r="BA1073" s="26">
        <f t="shared" ca="1" si="307"/>
        <v>0.42052132322704305</v>
      </c>
      <c r="BB1073" s="29">
        <f t="shared" ca="1" si="290"/>
        <v>222</v>
      </c>
      <c r="BC1073"/>
      <c r="BD1073" s="25"/>
      <c r="BF1073" s="22">
        <v>45618</v>
      </c>
      <c r="BG1073" s="26">
        <f t="shared" ca="1" si="308"/>
        <v>0.1370721438941902</v>
      </c>
      <c r="BH1073" s="29">
        <f t="shared" ca="1" si="291"/>
        <v>143</v>
      </c>
      <c r="BJ1073" s="22">
        <v>45618</v>
      </c>
      <c r="BK1073" s="26">
        <f t="shared" ca="1" si="309"/>
        <v>0.36735109959730583</v>
      </c>
      <c r="BL1073" s="29">
        <f t="shared" ca="1" si="292"/>
        <v>154</v>
      </c>
      <c r="BN1073" s="22">
        <v>45618</v>
      </c>
      <c r="BO1073" s="26">
        <f t="shared" ca="1" si="310"/>
        <v>0.38639961463164163</v>
      </c>
      <c r="BP1073" s="29">
        <f t="shared" ca="1" si="293"/>
        <v>200</v>
      </c>
      <c r="BR1073" s="22">
        <v>45618</v>
      </c>
      <c r="BS1073" s="26">
        <f t="shared" ca="1" si="311"/>
        <v>0.31565453327045978</v>
      </c>
      <c r="BT1073" s="29">
        <f t="shared" ca="1" si="294"/>
        <v>141</v>
      </c>
      <c r="BV1073" s="22">
        <v>45618</v>
      </c>
      <c r="BW1073" s="26">
        <f t="shared" ca="1" si="312"/>
        <v>0.11322674935112353</v>
      </c>
      <c r="BX1073" s="29">
        <f t="shared" ca="1" si="295"/>
        <v>149</v>
      </c>
    </row>
    <row r="1074" spans="2:77" ht="15.75" customHeight="1" x14ac:dyDescent="0.2">
      <c r="B1074" s="22">
        <v>45619</v>
      </c>
      <c r="C1074" s="26">
        <f t="shared" ca="1" si="277"/>
        <v>1.7779269655258778E-2</v>
      </c>
      <c r="D1074" s="29">
        <f t="shared" ca="1" si="278"/>
        <v>33</v>
      </c>
      <c r="F1074" s="22"/>
      <c r="G1074" s="26">
        <f t="shared" ca="1" si="296"/>
        <v>9.6209128680625144E-2</v>
      </c>
      <c r="H1074" s="29">
        <f t="shared" ca="1" si="279"/>
        <v>197</v>
      </c>
      <c r="J1074" s="22">
        <v>45619</v>
      </c>
      <c r="K1074" s="26">
        <f t="shared" ca="1" si="297"/>
        <v>0.40801415254598195</v>
      </c>
      <c r="L1074" s="29">
        <f t="shared" ca="1" si="280"/>
        <v>148</v>
      </c>
      <c r="N1074" s="22">
        <v>45619</v>
      </c>
      <c r="O1074" s="26">
        <f t="shared" ca="1" si="298"/>
        <v>0.28962525353648372</v>
      </c>
      <c r="P1074" s="29">
        <f t="shared" ca="1" si="281"/>
        <v>221</v>
      </c>
      <c r="R1074" s="22">
        <v>45619</v>
      </c>
      <c r="S1074" s="26">
        <f t="shared" ca="1" si="299"/>
        <v>0.19803213553706178</v>
      </c>
      <c r="T1074" s="29">
        <f t="shared" ca="1" si="282"/>
        <v>131</v>
      </c>
      <c r="V1074" s="22">
        <v>45619</v>
      </c>
      <c r="W1074" s="26">
        <f t="shared" ca="1" si="300"/>
        <v>0.4422034130660315</v>
      </c>
      <c r="X1074" s="29">
        <f t="shared" ca="1" si="283"/>
        <v>223</v>
      </c>
      <c r="Z1074" s="22">
        <v>45619</v>
      </c>
      <c r="AA1074" s="26">
        <f t="shared" ca="1" si="301"/>
        <v>0.71898234282200846</v>
      </c>
      <c r="AB1074" s="29">
        <f t="shared" ca="1" si="284"/>
        <v>281</v>
      </c>
      <c r="AC1074"/>
      <c r="AD1074" s="25"/>
      <c r="AF1074" s="22">
        <v>45619</v>
      </c>
      <c r="AG1074" s="26">
        <f t="shared" ca="1" si="302"/>
        <v>0.92497201443607746</v>
      </c>
      <c r="AH1074" s="29">
        <f t="shared" ca="1" si="285"/>
        <v>453</v>
      </c>
      <c r="AJ1074" s="22">
        <v>45619</v>
      </c>
      <c r="AK1074" s="26">
        <f t="shared" ca="1" si="303"/>
        <v>0.25378211113805871</v>
      </c>
      <c r="AL1074" s="29">
        <f t="shared" ca="1" si="286"/>
        <v>141</v>
      </c>
      <c r="AN1074" s="22">
        <v>45619</v>
      </c>
      <c r="AO1074" s="26">
        <f t="shared" ca="1" si="304"/>
        <v>0.86370129653636307</v>
      </c>
      <c r="AP1074" s="29">
        <f t="shared" ca="1" si="287"/>
        <v>300</v>
      </c>
      <c r="AR1074" s="22">
        <v>45619</v>
      </c>
      <c r="AS1074" s="26">
        <f t="shared" ca="1" si="305"/>
        <v>0.84781662535546276</v>
      </c>
      <c r="AT1074" s="29">
        <f t="shared" ca="1" si="288"/>
        <v>253</v>
      </c>
      <c r="AV1074" s="22">
        <v>45619</v>
      </c>
      <c r="AW1074" s="26">
        <f t="shared" ca="1" si="306"/>
        <v>0.73606172532168124</v>
      </c>
      <c r="AX1074" s="29">
        <f t="shared" ca="1" si="289"/>
        <v>241</v>
      </c>
      <c r="AZ1074" s="22">
        <v>45619</v>
      </c>
      <c r="BA1074" s="26">
        <f t="shared" ca="1" si="307"/>
        <v>0.73040237539030384</v>
      </c>
      <c r="BB1074" s="29">
        <f t="shared" ca="1" si="290"/>
        <v>272</v>
      </c>
      <c r="BC1074"/>
      <c r="BD1074" s="25"/>
      <c r="BF1074" s="22">
        <v>45619</v>
      </c>
      <c r="BG1074" s="26">
        <f t="shared" ca="1" si="308"/>
        <v>0.55164326031985145</v>
      </c>
      <c r="BH1074" s="29">
        <f t="shared" ca="1" si="291"/>
        <v>208</v>
      </c>
      <c r="BJ1074" s="22">
        <v>45619</v>
      </c>
      <c r="BK1074" s="26">
        <f t="shared" ca="1" si="309"/>
        <v>0.3954930294409692</v>
      </c>
      <c r="BL1074" s="29">
        <f t="shared" ca="1" si="292"/>
        <v>157</v>
      </c>
      <c r="BN1074" s="22">
        <v>45619</v>
      </c>
      <c r="BO1074" s="26">
        <f t="shared" ca="1" si="310"/>
        <v>0.1099990619295349</v>
      </c>
      <c r="BP1074" s="29">
        <f t="shared" ca="1" si="293"/>
        <v>146</v>
      </c>
      <c r="BR1074" s="22">
        <v>45619</v>
      </c>
      <c r="BS1074" s="26">
        <f t="shared" ca="1" si="311"/>
        <v>0.68922192205113264</v>
      </c>
      <c r="BT1074" s="29">
        <f t="shared" ca="1" si="294"/>
        <v>182</v>
      </c>
      <c r="BV1074" s="22">
        <v>45619</v>
      </c>
      <c r="BW1074" s="26">
        <f t="shared" ca="1" si="312"/>
        <v>0.98600008850913778</v>
      </c>
      <c r="BX1074" s="29">
        <f t="shared" ca="1" si="295"/>
        <v>348</v>
      </c>
    </row>
    <row r="1075" spans="2:77" ht="15.75" customHeight="1" x14ac:dyDescent="0.2">
      <c r="B1075" s="22">
        <v>45620</v>
      </c>
      <c r="C1075" s="26">
        <f t="shared" ca="1" si="277"/>
        <v>0.69619954622540969</v>
      </c>
      <c r="D1075" s="29">
        <f t="shared" ca="1" si="278"/>
        <v>86</v>
      </c>
      <c r="F1075" s="22"/>
      <c r="G1075" s="26">
        <f t="shared" ca="1" si="296"/>
        <v>0.49229767827664195</v>
      </c>
      <c r="H1075" s="29">
        <f t="shared" ca="1" si="279"/>
        <v>216</v>
      </c>
      <c r="J1075" s="22">
        <v>45620</v>
      </c>
      <c r="K1075" s="26">
        <f t="shared" ca="1" si="297"/>
        <v>0.50499502830800991</v>
      </c>
      <c r="L1075" s="29">
        <f t="shared" ca="1" si="280"/>
        <v>151</v>
      </c>
      <c r="N1075" s="22">
        <v>45620</v>
      </c>
      <c r="O1075" s="26">
        <f t="shared" ca="1" si="298"/>
        <v>0.51664687218069338</v>
      </c>
      <c r="P1075" s="29">
        <f t="shared" ca="1" si="281"/>
        <v>230</v>
      </c>
      <c r="R1075" s="22">
        <v>45620</v>
      </c>
      <c r="S1075" s="26">
        <f t="shared" ca="1" si="299"/>
        <v>0.69329869673774891</v>
      </c>
      <c r="T1075" s="29">
        <f t="shared" ca="1" si="282"/>
        <v>144</v>
      </c>
      <c r="V1075" s="22">
        <v>45620</v>
      </c>
      <c r="W1075" s="26">
        <f t="shared" ca="1" si="300"/>
        <v>0.35320047913735986</v>
      </c>
      <c r="X1075" s="29">
        <f t="shared" ca="1" si="283"/>
        <v>220</v>
      </c>
      <c r="Z1075" s="22">
        <v>45620</v>
      </c>
      <c r="AA1075" s="26">
        <f t="shared" ca="1" si="301"/>
        <v>0.24346906349406316</v>
      </c>
      <c r="AB1075" s="29">
        <f t="shared" ca="1" si="284"/>
        <v>258</v>
      </c>
      <c r="AC1075"/>
      <c r="AD1075" s="25"/>
      <c r="AF1075" s="22">
        <v>45620</v>
      </c>
      <c r="AG1075" s="26">
        <f t="shared" ca="1" si="302"/>
        <v>0.84379274404481619</v>
      </c>
      <c r="AH1075" s="29">
        <f t="shared" ca="1" si="285"/>
        <v>416</v>
      </c>
      <c r="AJ1075" s="22">
        <v>45620</v>
      </c>
      <c r="AK1075" s="26">
        <f t="shared" ca="1" si="303"/>
        <v>0.37397181922948608</v>
      </c>
      <c r="AL1075" s="29">
        <f t="shared" ca="1" si="286"/>
        <v>156</v>
      </c>
      <c r="AN1075" s="22">
        <v>45620</v>
      </c>
      <c r="AO1075" s="26">
        <f t="shared" ca="1" si="304"/>
        <v>0.58735138627119354</v>
      </c>
      <c r="AP1075" s="29">
        <f t="shared" ca="1" si="287"/>
        <v>246</v>
      </c>
      <c r="AR1075" s="22">
        <v>45620</v>
      </c>
      <c r="AS1075" s="26">
        <f t="shared" ca="1" si="305"/>
        <v>0.7172138261346096</v>
      </c>
      <c r="AT1075" s="29">
        <f t="shared" ca="1" si="288"/>
        <v>229</v>
      </c>
      <c r="AV1075" s="22">
        <v>45620</v>
      </c>
      <c r="AW1075" s="26">
        <f t="shared" ca="1" si="306"/>
        <v>0.94467634981766058</v>
      </c>
      <c r="AX1075" s="29">
        <f t="shared" ca="1" si="289"/>
        <v>293</v>
      </c>
      <c r="AZ1075" s="22">
        <v>45620</v>
      </c>
      <c r="BA1075" s="26">
        <f t="shared" ca="1" si="307"/>
        <v>0.95386752471620917</v>
      </c>
      <c r="BB1075" s="29">
        <f t="shared" ca="1" si="290"/>
        <v>339</v>
      </c>
      <c r="BC1075"/>
      <c r="BD1075" s="25"/>
      <c r="BF1075" s="22">
        <v>45620</v>
      </c>
      <c r="BG1075" s="26">
        <f t="shared" ca="1" si="308"/>
        <v>0.55087827765368746</v>
      </c>
      <c r="BH1075" s="29">
        <f t="shared" ca="1" si="291"/>
        <v>208</v>
      </c>
      <c r="BJ1075" s="22">
        <v>45620</v>
      </c>
      <c r="BK1075" s="26">
        <f t="shared" ca="1" si="309"/>
        <v>0.89961522466982635</v>
      </c>
      <c r="BL1075" s="29">
        <f t="shared" ca="1" si="292"/>
        <v>227</v>
      </c>
      <c r="BN1075" s="22">
        <v>45620</v>
      </c>
      <c r="BO1075" s="26">
        <f t="shared" ca="1" si="310"/>
        <v>0.2292788595287687</v>
      </c>
      <c r="BP1075" s="29">
        <f t="shared" ca="1" si="293"/>
        <v>174</v>
      </c>
      <c r="BR1075" s="22">
        <v>45620</v>
      </c>
      <c r="BS1075" s="26">
        <f t="shared" ca="1" si="311"/>
        <v>0.66886003711166198</v>
      </c>
      <c r="BT1075" s="29">
        <f t="shared" ca="1" si="294"/>
        <v>180</v>
      </c>
      <c r="BV1075" s="22">
        <v>45620</v>
      </c>
      <c r="BW1075" s="26">
        <f t="shared" ca="1" si="312"/>
        <v>0.27613513528048816</v>
      </c>
      <c r="BX1075" s="29">
        <f t="shared" ca="1" si="295"/>
        <v>185</v>
      </c>
    </row>
    <row r="1076" spans="2:77" ht="15.75" customHeight="1" x14ac:dyDescent="0.2">
      <c r="B1076" s="22">
        <v>45621</v>
      </c>
      <c r="C1076" s="26">
        <f t="shared" ca="1" si="277"/>
        <v>0.3125311470543749</v>
      </c>
      <c r="D1076" s="29">
        <f t="shared" ca="1" si="278"/>
        <v>66</v>
      </c>
      <c r="F1076" s="22"/>
      <c r="G1076" s="26">
        <f t="shared" ca="1" si="296"/>
        <v>0.14274682097308955</v>
      </c>
      <c r="H1076" s="29">
        <f t="shared" ca="1" si="279"/>
        <v>201</v>
      </c>
      <c r="J1076" s="22">
        <v>45621</v>
      </c>
      <c r="K1076" s="26">
        <f t="shared" ca="1" si="297"/>
        <v>0.43860958795068472</v>
      </c>
      <c r="L1076" s="29">
        <f t="shared" ca="1" si="280"/>
        <v>149</v>
      </c>
      <c r="N1076" s="22">
        <v>45621</v>
      </c>
      <c r="O1076" s="26">
        <f t="shared" ca="1" si="298"/>
        <v>0.34662949613948402</v>
      </c>
      <c r="P1076" s="29">
        <f t="shared" ca="1" si="281"/>
        <v>224</v>
      </c>
      <c r="R1076" s="22">
        <v>45621</v>
      </c>
      <c r="S1076" s="26">
        <f t="shared" ca="1" si="299"/>
        <v>0.31348804505334704</v>
      </c>
      <c r="T1076" s="29">
        <f t="shared" ca="1" si="282"/>
        <v>135</v>
      </c>
      <c r="V1076" s="22">
        <v>45621</v>
      </c>
      <c r="W1076" s="26">
        <f t="shared" ca="1" si="300"/>
        <v>1.5466634864444995E-3</v>
      </c>
      <c r="X1076" s="29">
        <f t="shared" ca="1" si="283"/>
        <v>181</v>
      </c>
      <c r="Z1076" s="22">
        <v>45621</v>
      </c>
      <c r="AA1076" s="26">
        <f t="shared" ca="1" si="301"/>
        <v>0.1129664030797205</v>
      </c>
      <c r="AB1076" s="29">
        <f t="shared" ca="1" si="284"/>
        <v>249</v>
      </c>
      <c r="AC1076"/>
      <c r="AD1076" s="25"/>
      <c r="AF1076" s="22">
        <v>45621</v>
      </c>
      <c r="AG1076" s="26">
        <f t="shared" ca="1" si="302"/>
        <v>0.94581822253484493</v>
      </c>
      <c r="AH1076" s="29">
        <f t="shared" ca="1" si="285"/>
        <v>468</v>
      </c>
      <c r="AJ1076" s="22">
        <v>45621</v>
      </c>
      <c r="AK1076" s="26">
        <f t="shared" ca="1" si="303"/>
        <v>0.65907744071871477</v>
      </c>
      <c r="AL1076" s="29">
        <f t="shared" ca="1" si="286"/>
        <v>190</v>
      </c>
      <c r="AN1076" s="22">
        <v>45621</v>
      </c>
      <c r="AO1076" s="26">
        <f t="shared" ca="1" si="304"/>
        <v>0.48439351357596472</v>
      </c>
      <c r="AP1076" s="29">
        <f t="shared" ca="1" si="287"/>
        <v>230</v>
      </c>
      <c r="AR1076" s="22">
        <v>45621</v>
      </c>
      <c r="AS1076" s="26">
        <f t="shared" ca="1" si="305"/>
        <v>1.3928133443504631E-2</v>
      </c>
      <c r="AT1076" s="29">
        <f t="shared" ca="1" si="288"/>
        <v>82</v>
      </c>
      <c r="AV1076" s="22">
        <v>45621</v>
      </c>
      <c r="AW1076" s="26">
        <f t="shared" ca="1" si="306"/>
        <v>7.5641205978598025E-2</v>
      </c>
      <c r="AX1076" s="29">
        <f t="shared" ca="1" si="289"/>
        <v>127</v>
      </c>
      <c r="AZ1076" s="22">
        <v>45621</v>
      </c>
      <c r="BA1076" s="26">
        <f t="shared" ca="1" si="307"/>
        <v>0.32193683670485707</v>
      </c>
      <c r="BB1076" s="29">
        <f t="shared" ca="1" si="290"/>
        <v>205</v>
      </c>
      <c r="BC1076"/>
      <c r="BD1076" s="25"/>
      <c r="BF1076" s="22">
        <v>45621</v>
      </c>
      <c r="BG1076" s="26">
        <f t="shared" ca="1" si="308"/>
        <v>0.59108959887482759</v>
      </c>
      <c r="BH1076" s="29">
        <f t="shared" ca="1" si="291"/>
        <v>213</v>
      </c>
      <c r="BJ1076" s="22">
        <v>45621</v>
      </c>
      <c r="BK1076" s="26">
        <f t="shared" ca="1" si="309"/>
        <v>0.54638902810237877</v>
      </c>
      <c r="BL1076" s="29">
        <f t="shared" ca="1" si="292"/>
        <v>174</v>
      </c>
      <c r="BN1076" s="22">
        <v>45621</v>
      </c>
      <c r="BO1076" s="26">
        <f t="shared" ca="1" si="310"/>
        <v>0.44244274904691971</v>
      </c>
      <c r="BP1076" s="29">
        <f t="shared" ca="1" si="293"/>
        <v>208</v>
      </c>
      <c r="BR1076" s="22">
        <v>45621</v>
      </c>
      <c r="BS1076" s="26">
        <f t="shared" ca="1" si="311"/>
        <v>0.21110122702907619</v>
      </c>
      <c r="BT1076" s="29">
        <f t="shared" ca="1" si="294"/>
        <v>127</v>
      </c>
      <c r="BV1076" s="22">
        <v>45621</v>
      </c>
      <c r="BW1076" s="26">
        <f t="shared" ca="1" si="312"/>
        <v>0.44979661701685869</v>
      </c>
      <c r="BX1076" s="29">
        <f t="shared" ca="1" si="295"/>
        <v>212</v>
      </c>
    </row>
    <row r="1077" spans="2:77" ht="15.75" customHeight="1" x14ac:dyDescent="0.2">
      <c r="B1077" s="22">
        <v>45622</v>
      </c>
      <c r="C1077" s="26">
        <f t="shared" ca="1" si="277"/>
        <v>0.91907151614214078</v>
      </c>
      <c r="D1077" s="29">
        <f t="shared" ca="1" si="278"/>
        <v>103</v>
      </c>
      <c r="F1077" s="22"/>
      <c r="G1077" s="26">
        <f t="shared" ca="1" si="296"/>
        <v>0.99757520375359066</v>
      </c>
      <c r="H1077" s="29">
        <f t="shared" ca="1" si="279"/>
        <v>256</v>
      </c>
      <c r="J1077" s="22">
        <v>45622</v>
      </c>
      <c r="K1077" s="26">
        <f t="shared" ca="1" si="297"/>
        <v>0.16895592228168022</v>
      </c>
      <c r="L1077" s="29">
        <f t="shared" ca="1" si="280"/>
        <v>141</v>
      </c>
      <c r="N1077" s="22">
        <v>45622</v>
      </c>
      <c r="O1077" s="26">
        <f t="shared" ca="1" si="298"/>
        <v>0.39556096964490772</v>
      </c>
      <c r="P1077" s="29">
        <f t="shared" ca="1" si="281"/>
        <v>226</v>
      </c>
      <c r="R1077" s="22">
        <v>45622</v>
      </c>
      <c r="S1077" s="26">
        <f t="shared" ca="1" si="299"/>
        <v>6.3024161744158591E-2</v>
      </c>
      <c r="T1077" s="29">
        <f t="shared" ca="1" si="282"/>
        <v>125</v>
      </c>
      <c r="V1077" s="22">
        <v>45622</v>
      </c>
      <c r="W1077" s="26">
        <f t="shared" ca="1" si="300"/>
        <v>0.35565345175470031</v>
      </c>
      <c r="X1077" s="29">
        <f t="shared" ca="1" si="283"/>
        <v>220</v>
      </c>
      <c r="Z1077" s="22">
        <v>45622</v>
      </c>
      <c r="AA1077" s="26">
        <f t="shared" ca="1" si="301"/>
        <v>0.82930051557076534</v>
      </c>
      <c r="AB1077" s="29">
        <f t="shared" ca="1" si="284"/>
        <v>288</v>
      </c>
      <c r="AC1077"/>
      <c r="AD1077" s="25"/>
      <c r="AF1077" s="22">
        <v>45622</v>
      </c>
      <c r="AG1077" s="26">
        <f t="shared" ca="1" si="302"/>
        <v>0.52417383656840799</v>
      </c>
      <c r="AH1077" s="29">
        <f t="shared" ca="1" si="285"/>
        <v>333</v>
      </c>
      <c r="AJ1077" s="22">
        <v>45622</v>
      </c>
      <c r="AK1077" s="26">
        <f t="shared" ca="1" si="303"/>
        <v>0.36573994145306044</v>
      </c>
      <c r="AL1077" s="29">
        <f t="shared" ca="1" si="286"/>
        <v>155</v>
      </c>
      <c r="AN1077" s="22">
        <v>45622</v>
      </c>
      <c r="AO1077" s="26">
        <f t="shared" ca="1" si="304"/>
        <v>0.25410296066744731</v>
      </c>
      <c r="AP1077" s="29">
        <f t="shared" ca="1" si="287"/>
        <v>192</v>
      </c>
      <c r="AR1077" s="22">
        <v>45622</v>
      </c>
      <c r="AS1077" s="26">
        <f t="shared" ca="1" si="305"/>
        <v>7.6537366552043018E-3</v>
      </c>
      <c r="AT1077" s="29">
        <f t="shared" ca="1" si="288"/>
        <v>70</v>
      </c>
      <c r="AV1077" s="22">
        <v>45622</v>
      </c>
      <c r="AW1077" s="26">
        <f t="shared" ca="1" si="306"/>
        <v>0.56563556124647441</v>
      </c>
      <c r="AX1077" s="29">
        <f t="shared" ca="1" si="289"/>
        <v>215</v>
      </c>
      <c r="AZ1077" s="22">
        <v>45622</v>
      </c>
      <c r="BA1077" s="26">
        <f t="shared" ca="1" si="307"/>
        <v>0.95717994741705492</v>
      </c>
      <c r="BB1077" s="29">
        <f t="shared" ca="1" si="290"/>
        <v>341</v>
      </c>
      <c r="BC1077"/>
      <c r="BD1077" s="25"/>
      <c r="BF1077" s="22">
        <v>45622</v>
      </c>
      <c r="BG1077" s="26">
        <f t="shared" ca="1" si="308"/>
        <v>0.46662400377058233</v>
      </c>
      <c r="BH1077" s="29">
        <f t="shared" ca="1" si="291"/>
        <v>197</v>
      </c>
      <c r="BJ1077" s="22">
        <v>45622</v>
      </c>
      <c r="BK1077" s="26">
        <f t="shared" ca="1" si="309"/>
        <v>2.5592924413140317E-2</v>
      </c>
      <c r="BL1077" s="29">
        <f t="shared" ca="1" si="292"/>
        <v>81</v>
      </c>
      <c r="BN1077" s="22">
        <v>45622</v>
      </c>
      <c r="BO1077" s="26">
        <f t="shared" ca="1" si="310"/>
        <v>0.99314134276824828</v>
      </c>
      <c r="BP1077" s="29">
        <f t="shared" ca="1" si="293"/>
        <v>358</v>
      </c>
      <c r="BR1077" s="22">
        <v>45622</v>
      </c>
      <c r="BS1077" s="26">
        <f t="shared" ca="1" si="311"/>
        <v>0.9104369293009712</v>
      </c>
      <c r="BT1077" s="29">
        <f t="shared" ca="1" si="294"/>
        <v>219</v>
      </c>
      <c r="BV1077" s="22">
        <v>45622</v>
      </c>
      <c r="BW1077" s="26">
        <f t="shared" ca="1" si="312"/>
        <v>1.1414409622990229E-2</v>
      </c>
      <c r="BX1077" s="29">
        <f t="shared" ca="1" si="295"/>
        <v>87</v>
      </c>
    </row>
    <row r="1078" spans="2:77" ht="15.75" customHeight="1" x14ac:dyDescent="0.2">
      <c r="B1078" s="22">
        <v>45623</v>
      </c>
      <c r="C1078" s="26">
        <f t="shared" ca="1" si="277"/>
        <v>0.86412028991832457</v>
      </c>
      <c r="D1078" s="29">
        <f t="shared" ca="1" si="278"/>
        <v>97</v>
      </c>
      <c r="F1078" s="22"/>
      <c r="G1078" s="26">
        <f t="shared" ca="1" si="296"/>
        <v>0.19049766942646085</v>
      </c>
      <c r="H1078" s="29">
        <f t="shared" ca="1" si="279"/>
        <v>203</v>
      </c>
      <c r="J1078" s="22">
        <v>45623</v>
      </c>
      <c r="K1078" s="26">
        <f t="shared" ca="1" si="297"/>
        <v>0.87500208479102382</v>
      </c>
      <c r="L1078" s="29">
        <f t="shared" ca="1" si="280"/>
        <v>162</v>
      </c>
      <c r="N1078" s="22">
        <v>45623</v>
      </c>
      <c r="O1078" s="26">
        <f t="shared" ca="1" si="298"/>
        <v>0.15088266430585928</v>
      </c>
      <c r="P1078" s="29">
        <f t="shared" ca="1" si="281"/>
        <v>214</v>
      </c>
      <c r="R1078" s="22">
        <v>45623</v>
      </c>
      <c r="S1078" s="26">
        <f t="shared" ca="1" si="299"/>
        <v>0.12987908360752742</v>
      </c>
      <c r="T1078" s="29">
        <f t="shared" ca="1" si="282"/>
        <v>129</v>
      </c>
      <c r="V1078" s="22">
        <v>45623</v>
      </c>
      <c r="W1078" s="26">
        <f t="shared" ca="1" si="300"/>
        <v>0.94438264372249625</v>
      </c>
      <c r="X1078" s="29">
        <f t="shared" ca="1" si="283"/>
        <v>249</v>
      </c>
      <c r="Z1078" s="22">
        <v>45623</v>
      </c>
      <c r="AA1078" s="26">
        <f t="shared" ca="1" si="301"/>
        <v>0.50964255842322292</v>
      </c>
      <c r="AB1078" s="29">
        <f t="shared" ca="1" si="284"/>
        <v>271</v>
      </c>
      <c r="AC1078"/>
      <c r="AD1078" s="25"/>
      <c r="AF1078" s="22">
        <v>45623</v>
      </c>
      <c r="AG1078" s="26">
        <f t="shared" ca="1" si="302"/>
        <v>9.9183982954803573E-3</v>
      </c>
      <c r="AH1078" s="29">
        <f t="shared" ca="1" si="285"/>
        <v>124</v>
      </c>
      <c r="AJ1078" s="22">
        <v>45623</v>
      </c>
      <c r="AK1078" s="26">
        <f t="shared" ca="1" si="303"/>
        <v>0.37233979221396285</v>
      </c>
      <c r="AL1078" s="29">
        <f t="shared" ca="1" si="286"/>
        <v>156</v>
      </c>
      <c r="AN1078" s="22">
        <v>45623</v>
      </c>
      <c r="AO1078" s="26">
        <f t="shared" ca="1" si="304"/>
        <v>0.11469907287289927</v>
      </c>
      <c r="AP1078" s="29">
        <f t="shared" ca="1" si="287"/>
        <v>158</v>
      </c>
      <c r="AR1078" s="22">
        <v>45623</v>
      </c>
      <c r="AS1078" s="26">
        <f t="shared" ca="1" si="305"/>
        <v>0.26938901905595292</v>
      </c>
      <c r="AT1078" s="29">
        <f t="shared" ca="1" si="288"/>
        <v>166</v>
      </c>
      <c r="AV1078" s="22">
        <v>45623</v>
      </c>
      <c r="AW1078" s="26">
        <f t="shared" ca="1" si="306"/>
        <v>0.9356913511049022</v>
      </c>
      <c r="AX1078" s="29">
        <f t="shared" ca="1" si="289"/>
        <v>289</v>
      </c>
      <c r="AZ1078" s="22">
        <v>45623</v>
      </c>
      <c r="BA1078" s="26">
        <f t="shared" ca="1" si="307"/>
        <v>0.67860933901801013</v>
      </c>
      <c r="BB1078" s="29">
        <f t="shared" ca="1" si="290"/>
        <v>263</v>
      </c>
      <c r="BC1078"/>
      <c r="BD1078" s="25"/>
      <c r="BF1078" s="22">
        <v>45623</v>
      </c>
      <c r="BG1078" s="26">
        <f t="shared" ca="1" si="308"/>
        <v>0.13766107997109933</v>
      </c>
      <c r="BH1078" s="29">
        <f t="shared" ca="1" si="291"/>
        <v>143</v>
      </c>
      <c r="BJ1078" s="22">
        <v>45623</v>
      </c>
      <c r="BK1078" s="26">
        <f t="shared" ca="1" si="309"/>
        <v>0.18347295270895037</v>
      </c>
      <c r="BL1078" s="29">
        <f t="shared" ca="1" si="292"/>
        <v>129</v>
      </c>
      <c r="BN1078" s="22">
        <v>45623</v>
      </c>
      <c r="BO1078" s="26">
        <f t="shared" ca="1" si="310"/>
        <v>0.87030307452143574</v>
      </c>
      <c r="BP1078" s="29">
        <f t="shared" ca="1" si="293"/>
        <v>281</v>
      </c>
      <c r="BR1078" s="22">
        <v>45623</v>
      </c>
      <c r="BS1078" s="26">
        <f t="shared" ca="1" si="311"/>
        <v>0.94399993241105584</v>
      </c>
      <c r="BT1078" s="29">
        <f t="shared" ca="1" si="294"/>
        <v>229</v>
      </c>
      <c r="BV1078" s="22">
        <v>45623</v>
      </c>
      <c r="BW1078" s="26">
        <f t="shared" ca="1" si="312"/>
        <v>8.8009671404593037E-2</v>
      </c>
      <c r="BX1078" s="29">
        <f t="shared" ca="1" si="295"/>
        <v>141</v>
      </c>
    </row>
    <row r="1079" spans="2:77" ht="15.75" customHeight="1" x14ac:dyDescent="0.2">
      <c r="B1079" s="22">
        <v>45624</v>
      </c>
      <c r="C1079" s="26">
        <f t="shared" ca="1" si="277"/>
        <v>0.30642713994940352</v>
      </c>
      <c r="D1079" s="29">
        <f t="shared" ca="1" si="278"/>
        <v>65</v>
      </c>
      <c r="F1079" s="22"/>
      <c r="G1079" s="26">
        <f t="shared" ca="1" si="296"/>
        <v>0.24588611053544973</v>
      </c>
      <c r="H1079" s="29">
        <f t="shared" ca="1" si="279"/>
        <v>206</v>
      </c>
      <c r="J1079" s="22">
        <v>45624</v>
      </c>
      <c r="K1079" s="26">
        <f t="shared" ca="1" si="297"/>
        <v>0.78555439814201677</v>
      </c>
      <c r="L1079" s="29">
        <f t="shared" ca="1" si="280"/>
        <v>158</v>
      </c>
      <c r="N1079" s="22">
        <v>45624</v>
      </c>
      <c r="O1079" s="26">
        <f t="shared" ca="1" si="298"/>
        <v>0.28701814444878626</v>
      </c>
      <c r="P1079" s="29">
        <f t="shared" ca="1" si="281"/>
        <v>221</v>
      </c>
      <c r="R1079" s="22">
        <v>45624</v>
      </c>
      <c r="S1079" s="26">
        <f t="shared" ca="1" si="299"/>
        <v>0.11457389276199303</v>
      </c>
      <c r="T1079" s="29">
        <f t="shared" ca="1" si="282"/>
        <v>128</v>
      </c>
      <c r="V1079" s="22">
        <v>45624</v>
      </c>
      <c r="W1079" s="26">
        <f t="shared" ca="1" si="300"/>
        <v>0.13836739296069944</v>
      </c>
      <c r="X1079" s="29">
        <f t="shared" ca="1" si="283"/>
        <v>209</v>
      </c>
      <c r="Z1079" s="22">
        <v>45624</v>
      </c>
      <c r="AA1079" s="26">
        <f t="shared" ca="1" si="301"/>
        <v>4.4256834657557254E-2</v>
      </c>
      <c r="AB1079" s="29">
        <f t="shared" ca="1" si="284"/>
        <v>240</v>
      </c>
      <c r="AC1079"/>
      <c r="AD1079" s="25"/>
      <c r="AF1079" s="22">
        <v>45624</v>
      </c>
      <c r="AG1079" s="26">
        <f t="shared" ca="1" si="302"/>
        <v>0.49144384936831886</v>
      </c>
      <c r="AH1079" s="29">
        <f t="shared" ca="1" si="285"/>
        <v>326</v>
      </c>
      <c r="AJ1079" s="22">
        <v>45624</v>
      </c>
      <c r="AK1079" s="26">
        <f t="shared" ca="1" si="303"/>
        <v>0.69974266939297514</v>
      </c>
      <c r="AL1079" s="29">
        <f t="shared" ca="1" si="286"/>
        <v>195</v>
      </c>
      <c r="AN1079" s="22">
        <v>45624</v>
      </c>
      <c r="AO1079" s="26">
        <f t="shared" ca="1" si="304"/>
        <v>0.34255830473842586</v>
      </c>
      <c r="AP1079" s="29">
        <f t="shared" ca="1" si="287"/>
        <v>207</v>
      </c>
      <c r="AR1079" s="22">
        <v>45624</v>
      </c>
      <c r="AS1079" s="26">
        <f t="shared" ca="1" si="305"/>
        <v>0.66254484021650062</v>
      </c>
      <c r="AT1079" s="29">
        <f t="shared" ca="1" si="288"/>
        <v>221</v>
      </c>
      <c r="AV1079" s="22">
        <v>45624</v>
      </c>
      <c r="AW1079" s="26">
        <f t="shared" ca="1" si="306"/>
        <v>0.374547695669463</v>
      </c>
      <c r="AX1079" s="29">
        <f t="shared" ca="1" si="289"/>
        <v>188</v>
      </c>
      <c r="AZ1079" s="22">
        <v>45624</v>
      </c>
      <c r="BA1079" s="26">
        <f t="shared" ca="1" si="307"/>
        <v>0.94517671396656122</v>
      </c>
      <c r="BB1079" s="29">
        <f t="shared" ca="1" si="290"/>
        <v>334</v>
      </c>
      <c r="BC1079"/>
      <c r="BD1079" s="25"/>
      <c r="BF1079" s="22">
        <v>45624</v>
      </c>
      <c r="BG1079" s="26">
        <f t="shared" ca="1" si="308"/>
        <v>0.63456415882613304</v>
      </c>
      <c r="BH1079" s="29">
        <f t="shared" ca="1" si="291"/>
        <v>219</v>
      </c>
      <c r="BJ1079" s="22">
        <v>45624</v>
      </c>
      <c r="BK1079" s="26">
        <f t="shared" ca="1" si="309"/>
        <v>0.68987847685063153</v>
      </c>
      <c r="BL1079" s="29">
        <f t="shared" ca="1" si="292"/>
        <v>191</v>
      </c>
      <c r="BN1079" s="22">
        <v>45624</v>
      </c>
      <c r="BO1079" s="26">
        <f t="shared" ca="1" si="310"/>
        <v>0.9195149916628822</v>
      </c>
      <c r="BP1079" s="29">
        <f t="shared" ca="1" si="293"/>
        <v>297</v>
      </c>
      <c r="BR1079" s="22">
        <v>45624</v>
      </c>
      <c r="BS1079" s="26">
        <f t="shared" ca="1" si="311"/>
        <v>0.84284261242005465</v>
      </c>
      <c r="BT1079" s="29">
        <f t="shared" ca="1" si="294"/>
        <v>204</v>
      </c>
      <c r="BV1079" s="22">
        <v>45624</v>
      </c>
      <c r="BW1079" s="26">
        <f t="shared" ca="1" si="312"/>
        <v>0.3961670339175084</v>
      </c>
      <c r="BX1079" s="29">
        <f t="shared" ca="1" si="295"/>
        <v>204</v>
      </c>
    </row>
    <row r="1080" spans="2:77" ht="15.75" customHeight="1" x14ac:dyDescent="0.2">
      <c r="B1080" s="22">
        <v>45625</v>
      </c>
      <c r="C1080" s="26">
        <f t="shared" ca="1" si="277"/>
        <v>0.98236261359093202</v>
      </c>
      <c r="D1080" s="29">
        <f t="shared" ca="1" si="278"/>
        <v>118</v>
      </c>
      <c r="F1080" s="22"/>
      <c r="G1080" s="26">
        <f t="shared" ca="1" si="296"/>
        <v>0.57410293492137898</v>
      </c>
      <c r="H1080" s="29">
        <f t="shared" ca="1" si="279"/>
        <v>219</v>
      </c>
      <c r="J1080" s="22">
        <v>45625</v>
      </c>
      <c r="K1080" s="26">
        <f t="shared" ca="1" si="297"/>
        <v>0.43433676733780902</v>
      </c>
      <c r="L1080" s="29">
        <f t="shared" ca="1" si="280"/>
        <v>149</v>
      </c>
      <c r="N1080" s="22">
        <v>45625</v>
      </c>
      <c r="O1080" s="26">
        <f t="shared" ca="1" si="298"/>
        <v>0.20722253863563489</v>
      </c>
      <c r="P1080" s="29">
        <f t="shared" ca="1" si="281"/>
        <v>217</v>
      </c>
      <c r="R1080" s="22">
        <v>45625</v>
      </c>
      <c r="S1080" s="26">
        <f t="shared" ca="1" si="299"/>
        <v>0.47967999214132151</v>
      </c>
      <c r="T1080" s="29">
        <f t="shared" ca="1" si="282"/>
        <v>139</v>
      </c>
      <c r="V1080" s="22">
        <v>45625</v>
      </c>
      <c r="W1080" s="26">
        <f t="shared" ca="1" si="300"/>
        <v>0.61536524060137343</v>
      </c>
      <c r="X1080" s="29">
        <f t="shared" ca="1" si="283"/>
        <v>230</v>
      </c>
      <c r="Z1080" s="22">
        <v>45625</v>
      </c>
      <c r="AA1080" s="26">
        <f t="shared" ca="1" si="301"/>
        <v>0.71668704948833828</v>
      </c>
      <c r="AB1080" s="29">
        <f t="shared" ca="1" si="284"/>
        <v>281</v>
      </c>
      <c r="AC1080"/>
      <c r="AD1080" s="25"/>
      <c r="AF1080" s="22">
        <v>45625</v>
      </c>
      <c r="AG1080" s="26">
        <f t="shared" ca="1" si="302"/>
        <v>3.8935687169267763E-2</v>
      </c>
      <c r="AH1080" s="29">
        <f t="shared" ca="1" si="285"/>
        <v>174</v>
      </c>
      <c r="AJ1080" s="22">
        <v>45625</v>
      </c>
      <c r="AK1080" s="26">
        <f t="shared" ca="1" si="303"/>
        <v>0.63483812127251793</v>
      </c>
      <c r="AL1080" s="29">
        <f t="shared" ca="1" si="286"/>
        <v>187</v>
      </c>
      <c r="AN1080" s="22">
        <v>45625</v>
      </c>
      <c r="AO1080" s="26">
        <f t="shared" ca="1" si="304"/>
        <v>0.9276097958307109</v>
      </c>
      <c r="AP1080" s="29">
        <f t="shared" ca="1" si="287"/>
        <v>323</v>
      </c>
      <c r="AR1080" s="22">
        <v>45625</v>
      </c>
      <c r="AS1080" s="26">
        <f t="shared" ca="1" si="305"/>
        <v>0.5030294637406999</v>
      </c>
      <c r="AT1080" s="29">
        <f t="shared" ca="1" si="288"/>
        <v>199</v>
      </c>
      <c r="AV1080" s="22">
        <v>45625</v>
      </c>
      <c r="AW1080" s="26">
        <f t="shared" ca="1" si="306"/>
        <v>0.26753511069874714</v>
      </c>
      <c r="AX1080" s="29">
        <f t="shared" ca="1" si="289"/>
        <v>172</v>
      </c>
      <c r="AZ1080" s="22">
        <v>45625</v>
      </c>
      <c r="BA1080" s="26">
        <f t="shared" ca="1" si="307"/>
        <v>0.7483099222784716</v>
      </c>
      <c r="BB1080" s="29">
        <f t="shared" ca="1" si="290"/>
        <v>276</v>
      </c>
      <c r="BC1080"/>
      <c r="BD1080" s="25"/>
      <c r="BF1080" s="22">
        <v>45625</v>
      </c>
      <c r="BG1080" s="26">
        <f t="shared" ca="1" si="308"/>
        <v>0.21920776879470272</v>
      </c>
      <c r="BH1080" s="29">
        <f t="shared" ca="1" si="291"/>
        <v>160</v>
      </c>
      <c r="BJ1080" s="22">
        <v>45625</v>
      </c>
      <c r="BK1080" s="26">
        <f t="shared" ca="1" si="309"/>
        <v>0.16747478105596347</v>
      </c>
      <c r="BL1080" s="29">
        <f t="shared" ca="1" si="292"/>
        <v>126</v>
      </c>
      <c r="BN1080" s="22">
        <v>45625</v>
      </c>
      <c r="BO1080" s="26">
        <f t="shared" ca="1" si="310"/>
        <v>0.2820613687804332</v>
      </c>
      <c r="BP1080" s="29">
        <f t="shared" ca="1" si="293"/>
        <v>183</v>
      </c>
      <c r="BR1080" s="22">
        <v>45625</v>
      </c>
      <c r="BS1080" s="26">
        <f t="shared" ca="1" si="311"/>
        <v>0.97532463203312292</v>
      </c>
      <c r="BT1080" s="29">
        <f t="shared" ca="1" si="294"/>
        <v>245</v>
      </c>
      <c r="BV1080" s="22">
        <v>45625</v>
      </c>
      <c r="BW1080" s="26">
        <f t="shared" ca="1" si="312"/>
        <v>0.92637342717585147</v>
      </c>
      <c r="BX1080" s="29">
        <f t="shared" ca="1" si="295"/>
        <v>305</v>
      </c>
    </row>
    <row r="1081" spans="2:77" ht="15.75" customHeight="1" x14ac:dyDescent="0.2">
      <c r="B1081" s="22">
        <v>45626</v>
      </c>
      <c r="C1081" s="26">
        <f t="shared" ca="1" si="277"/>
        <v>7.7390276061834684E-2</v>
      </c>
      <c r="D1081" s="29">
        <f t="shared" ca="1" si="278"/>
        <v>47</v>
      </c>
      <c r="E1081">
        <v>2257</v>
      </c>
      <c r="F1081" s="22"/>
      <c r="G1081" s="26">
        <f t="shared" ca="1" si="296"/>
        <v>0.90557260379824012</v>
      </c>
      <c r="H1081" s="29">
        <f t="shared" ca="1" si="279"/>
        <v>235</v>
      </c>
      <c r="I1081">
        <v>2252</v>
      </c>
      <c r="J1081" s="22">
        <v>45626</v>
      </c>
      <c r="K1081" s="26">
        <f t="shared" ca="1" si="297"/>
        <v>0.22676962836274506</v>
      </c>
      <c r="L1081" s="29">
        <f t="shared" ca="1" si="280"/>
        <v>143</v>
      </c>
      <c r="M1081">
        <v>4518</v>
      </c>
      <c r="N1081" s="22">
        <v>45626</v>
      </c>
      <c r="O1081" s="26">
        <f t="shared" ca="1" si="298"/>
        <v>0.95010091676592179</v>
      </c>
      <c r="P1081" s="29">
        <f t="shared" ca="1" si="281"/>
        <v>255</v>
      </c>
      <c r="Q1081">
        <v>6845</v>
      </c>
      <c r="R1081" s="22">
        <v>45626</v>
      </c>
      <c r="S1081" s="26">
        <f t="shared" ca="1" si="299"/>
        <v>0.90196321552768222</v>
      </c>
      <c r="T1081" s="29">
        <f t="shared" ca="1" si="282"/>
        <v>151</v>
      </c>
      <c r="U1081">
        <v>4230</v>
      </c>
      <c r="V1081" s="22">
        <v>45626</v>
      </c>
      <c r="W1081" s="26">
        <f t="shared" ca="1" si="300"/>
        <v>0.71683255887008668</v>
      </c>
      <c r="X1081" s="29">
        <f t="shared" ca="1" si="283"/>
        <v>234</v>
      </c>
      <c r="Y1081">
        <v>6810</v>
      </c>
      <c r="Z1081" s="22">
        <v>45626</v>
      </c>
      <c r="AA1081" s="26">
        <f t="shared" ca="1" si="301"/>
        <v>0.69434354173450541</v>
      </c>
      <c r="AB1081" s="29">
        <f t="shared" ca="1" si="284"/>
        <v>280</v>
      </c>
      <c r="AC1081">
        <v>8193</v>
      </c>
      <c r="AD1081" s="25"/>
      <c r="AF1081" s="22">
        <v>45626</v>
      </c>
      <c r="AG1081" s="26">
        <f t="shared" ca="1" si="302"/>
        <v>0.14812123083857409</v>
      </c>
      <c r="AH1081" s="29">
        <f t="shared" ca="1" si="285"/>
        <v>236</v>
      </c>
      <c r="AI1081">
        <v>8968</v>
      </c>
      <c r="AJ1081" s="22">
        <v>45626</v>
      </c>
      <c r="AK1081" s="26">
        <f t="shared" ca="1" si="303"/>
        <v>0.10591786289720839</v>
      </c>
      <c r="AL1081" s="29">
        <f t="shared" ca="1" si="286"/>
        <v>114</v>
      </c>
      <c r="AM1081">
        <v>5441</v>
      </c>
      <c r="AN1081" s="22">
        <v>45626</v>
      </c>
      <c r="AO1081" s="26">
        <f t="shared" ca="1" si="304"/>
        <v>0.14077225221747958</v>
      </c>
      <c r="AP1081" s="29">
        <f t="shared" ca="1" si="287"/>
        <v>166</v>
      </c>
      <c r="AQ1081">
        <v>4324</v>
      </c>
      <c r="AR1081" s="22">
        <v>45626</v>
      </c>
      <c r="AS1081" s="26">
        <f t="shared" ca="1" si="305"/>
        <v>0.39626367910985083</v>
      </c>
      <c r="AT1081" s="29">
        <f t="shared" ca="1" si="288"/>
        <v>185</v>
      </c>
      <c r="AU1081">
        <v>6728</v>
      </c>
      <c r="AV1081" s="22">
        <v>45626</v>
      </c>
      <c r="AW1081" s="26">
        <f t="shared" ca="1" si="306"/>
        <v>0.64484682408590366</v>
      </c>
      <c r="AX1081" s="29">
        <f t="shared" ca="1" si="289"/>
        <v>226</v>
      </c>
      <c r="AY1081">
        <v>5497</v>
      </c>
      <c r="AZ1081" s="22">
        <v>45626</v>
      </c>
      <c r="BA1081" s="26">
        <f t="shared" ca="1" si="307"/>
        <v>0.29428643038602587</v>
      </c>
      <c r="BB1081" s="29">
        <f t="shared" ca="1" si="290"/>
        <v>200</v>
      </c>
      <c r="BC1081">
        <v>5783</v>
      </c>
      <c r="BD1081" s="25"/>
      <c r="BF1081" s="22">
        <v>45626</v>
      </c>
      <c r="BG1081" s="26">
        <f t="shared" ca="1" si="308"/>
        <v>0.67857632152656366</v>
      </c>
      <c r="BH1081" s="29">
        <f t="shared" ca="1" si="291"/>
        <v>226</v>
      </c>
      <c r="BI1081">
        <v>4441</v>
      </c>
      <c r="BJ1081" s="22">
        <v>45626</v>
      </c>
      <c r="BK1081" s="26">
        <f t="shared" ca="1" si="309"/>
        <v>0.99527326824545692</v>
      </c>
      <c r="BL1081" s="29">
        <f t="shared" ca="1" si="292"/>
        <v>286</v>
      </c>
      <c r="BM1081">
        <v>4918</v>
      </c>
      <c r="BN1081" s="22">
        <v>45626</v>
      </c>
      <c r="BO1081" s="26">
        <f t="shared" ca="1" si="310"/>
        <v>0.39996280797611417</v>
      </c>
      <c r="BP1081" s="29">
        <f t="shared" ca="1" si="293"/>
        <v>202</v>
      </c>
      <c r="BQ1081">
        <v>4038</v>
      </c>
      <c r="BR1081" s="22">
        <v>45626</v>
      </c>
      <c r="BS1081" s="26">
        <f t="shared" ca="1" si="311"/>
        <v>0.8488128754581683</v>
      </c>
      <c r="BT1081" s="29">
        <f t="shared" ca="1" si="294"/>
        <v>205</v>
      </c>
      <c r="BU1081">
        <v>4916</v>
      </c>
      <c r="BV1081" s="22">
        <v>45626</v>
      </c>
      <c r="BW1081" s="26">
        <f t="shared" ca="1" si="312"/>
        <v>0.74428205768000977</v>
      </c>
      <c r="BX1081" s="29">
        <f t="shared" ca="1" si="295"/>
        <v>258</v>
      </c>
      <c r="BY1081">
        <v>5840</v>
      </c>
    </row>
    <row r="1082" spans="2:77" ht="15.75" customHeight="1" x14ac:dyDescent="0.2">
      <c r="B1082" s="22">
        <v>45627</v>
      </c>
      <c r="C1082" s="26">
        <f t="shared" ca="1" si="277"/>
        <v>3.2673387965321932E-2</v>
      </c>
      <c r="D1082" s="29">
        <f ca="1">ROUNDUP(_xlfn.NORM.INV(C1081,C$10,C$12),0)</f>
        <v>47</v>
      </c>
      <c r="F1082" s="22"/>
      <c r="G1082" s="26">
        <f t="shared" ca="1" si="296"/>
        <v>0.46449124431268729</v>
      </c>
      <c r="H1082" s="29">
        <f ca="1">ROUNDUP(_xlfn.NORM.INV(G1081,G$10,G$12),0)</f>
        <v>235</v>
      </c>
      <c r="I1082">
        <v>0</v>
      </c>
      <c r="J1082" s="22">
        <v>45627</v>
      </c>
      <c r="K1082" s="26">
        <f t="shared" ca="1" si="297"/>
        <v>0.38383361705581276</v>
      </c>
      <c r="L1082" s="29">
        <f ca="1">ROUNDUP(_xlfn.NORM.INV(K1081,K$10,K$12),0)</f>
        <v>143</v>
      </c>
      <c r="N1082" s="22">
        <v>45627</v>
      </c>
      <c r="O1082" s="26">
        <f t="shared" ca="1" si="298"/>
        <v>0.62869594260002659</v>
      </c>
      <c r="P1082" s="29">
        <f ca="1">ROUNDUP(_xlfn.NORM.INV(O1081,O$10,O$12),0)</f>
        <v>255</v>
      </c>
      <c r="R1082" s="22">
        <v>45627</v>
      </c>
      <c r="S1082" s="26">
        <f t="shared" ca="1" si="299"/>
        <v>0.57009298099168126</v>
      </c>
      <c r="T1082" s="29">
        <f ca="1">ROUNDUP(_xlfn.NORM.INV(S1081,S$10,S$12),0)</f>
        <v>151</v>
      </c>
      <c r="V1082" s="22">
        <v>45627</v>
      </c>
      <c r="W1082" s="26">
        <f t="shared" ca="1" si="300"/>
        <v>0.52453321892444782</v>
      </c>
      <c r="X1082" s="29">
        <f ca="1">ROUNDUP(_xlfn.NORM.INV(W1081,W$10,W$12),0)</f>
        <v>234</v>
      </c>
      <c r="Z1082" s="22">
        <v>45627</v>
      </c>
      <c r="AA1082" s="26">
        <f t="shared" ca="1" si="301"/>
        <v>0.48800553657586065</v>
      </c>
      <c r="AB1082" s="29">
        <f ca="1">ROUNDUP(_xlfn.NORM.INV(AA1081,AA$10,AA$12),0)</f>
        <v>280</v>
      </c>
      <c r="AC1082"/>
      <c r="AD1082" s="25"/>
      <c r="AF1082" s="22">
        <v>45627</v>
      </c>
      <c r="AG1082" s="26">
        <f t="shared" ca="1" si="302"/>
        <v>0.92880396956508693</v>
      </c>
      <c r="AH1082" s="29">
        <f ca="1">ROUNDUP(_xlfn.NORM.INV(AG1081,AG$10,AG$12),0)</f>
        <v>236</v>
      </c>
      <c r="AJ1082" s="22">
        <v>45627</v>
      </c>
      <c r="AK1082" s="26">
        <f t="shared" ca="1" si="303"/>
        <v>0.53556421801553122</v>
      </c>
      <c r="AL1082" s="29">
        <f ca="1">ROUNDUP(_xlfn.NORM.INV(AK1081,AK$10,AK$12),0)</f>
        <v>114</v>
      </c>
      <c r="AN1082" s="22">
        <v>45627</v>
      </c>
      <c r="AO1082" s="26">
        <f t="shared" ca="1" si="304"/>
        <v>1.9568030020632898E-2</v>
      </c>
      <c r="AP1082" s="29">
        <f ca="1">ROUNDUP(_xlfn.NORM.INV(AO1081,AO$10,AO$12),0)</f>
        <v>166</v>
      </c>
      <c r="AR1082" s="22">
        <v>45627</v>
      </c>
      <c r="AS1082" s="26">
        <f t="shared" ca="1" si="305"/>
        <v>0.33247850781277133</v>
      </c>
      <c r="AT1082" s="29">
        <f ca="1">ROUNDUP(_xlfn.NORM.INV(AS1081,AS$10,AS$12),0)</f>
        <v>185</v>
      </c>
      <c r="AV1082" s="22">
        <v>45627</v>
      </c>
      <c r="AW1082" s="26">
        <f t="shared" ca="1" si="306"/>
        <v>0.12600124976479166</v>
      </c>
      <c r="AX1082" s="29">
        <f ca="1">ROUNDUP(_xlfn.NORM.INV(AW1081,AW$10,AW$12),0)</f>
        <v>226</v>
      </c>
      <c r="AZ1082" s="22">
        <v>45627</v>
      </c>
      <c r="BA1082" s="26">
        <f t="shared" ca="1" si="307"/>
        <v>0.48162240621780827</v>
      </c>
      <c r="BB1082" s="29">
        <f ca="1">ROUNDUP(_xlfn.NORM.INV(BA1081,BA$10,BA$12),0)</f>
        <v>200</v>
      </c>
      <c r="BC1082"/>
      <c r="BD1082" s="25"/>
      <c r="BF1082" s="22">
        <v>45627</v>
      </c>
      <c r="BG1082" s="26">
        <f t="shared" ca="1" si="308"/>
        <v>6.4461599098870059E-2</v>
      </c>
      <c r="BH1082" s="29">
        <f ca="1">ROUNDUP(_xlfn.NORM.INV(BG1081,BG$10,BG$12),0)</f>
        <v>226</v>
      </c>
      <c r="BJ1082" s="22">
        <v>45627</v>
      </c>
      <c r="BK1082" s="26">
        <f t="shared" ca="1" si="309"/>
        <v>0.17911375916438899</v>
      </c>
      <c r="BL1082" s="29">
        <f ca="1">ROUNDUP(_xlfn.NORM.INV(BK1081,BK$10,BK$12),0)</f>
        <v>286</v>
      </c>
      <c r="BN1082" s="22">
        <v>45627</v>
      </c>
      <c r="BO1082" s="26">
        <f t="shared" ca="1" si="310"/>
        <v>0.17320209177778922</v>
      </c>
      <c r="BP1082" s="29">
        <f ca="1">ROUNDUP(_xlfn.NORM.INV(BO1081,BO$10,BO$12),0)</f>
        <v>202</v>
      </c>
      <c r="BR1082" s="22">
        <v>45627</v>
      </c>
      <c r="BS1082" s="26">
        <f t="shared" ca="1" si="311"/>
        <v>0.36107913228899302</v>
      </c>
      <c r="BT1082" s="29">
        <f ca="1">ROUNDUP(_xlfn.NORM.INV(BS1081,BS$10,BS$12),0)</f>
        <v>205</v>
      </c>
      <c r="BV1082" s="22">
        <v>45627</v>
      </c>
      <c r="BW1082" s="26">
        <f t="shared" ca="1" si="312"/>
        <v>0.8949569604276576</v>
      </c>
      <c r="BX1082" s="29">
        <f ca="1">ROUNDUP(_xlfn.NORM.INV(BW1081,BW$10,BW$12),0)</f>
        <v>258</v>
      </c>
    </row>
    <row r="1083" spans="2:77" ht="15.75" customHeight="1" x14ac:dyDescent="0.2">
      <c r="B1083" s="22">
        <v>45628</v>
      </c>
      <c r="C1083" s="26">
        <f t="shared" ca="1" si="277"/>
        <v>0.20128481659775099</v>
      </c>
      <c r="D1083" s="29">
        <f t="shared" ca="1" si="278"/>
        <v>59</v>
      </c>
      <c r="F1083" s="22"/>
      <c r="G1083" s="26">
        <f t="shared" ca="1" si="296"/>
        <v>0.60901167089482333</v>
      </c>
      <c r="H1083" s="29">
        <f t="shared" ca="1" si="279"/>
        <v>220</v>
      </c>
      <c r="J1083" s="22">
        <v>45628</v>
      </c>
      <c r="K1083" s="26">
        <f t="shared" ca="1" si="297"/>
        <v>0.29421151737263496</v>
      </c>
      <c r="L1083" s="29">
        <f t="shared" ca="1" si="280"/>
        <v>145</v>
      </c>
      <c r="N1083" s="22">
        <v>45628</v>
      </c>
      <c r="O1083" s="26">
        <f t="shared" ca="1" si="298"/>
        <v>0.1172727247762716</v>
      </c>
      <c r="P1083" s="29">
        <f t="shared" ca="1" si="281"/>
        <v>212</v>
      </c>
      <c r="R1083" s="22">
        <v>45628</v>
      </c>
      <c r="S1083" s="26">
        <f t="shared" ca="1" si="299"/>
        <v>0.1445099049904518</v>
      </c>
      <c r="T1083" s="29">
        <f t="shared" ca="1" si="282"/>
        <v>129</v>
      </c>
      <c r="V1083" s="22">
        <v>45628</v>
      </c>
      <c r="W1083" s="26">
        <f t="shared" ca="1" si="300"/>
        <v>0.11670687111507294</v>
      </c>
      <c r="X1083" s="29">
        <f t="shared" ca="1" si="283"/>
        <v>208</v>
      </c>
      <c r="Z1083" s="22">
        <v>45628</v>
      </c>
      <c r="AA1083" s="26">
        <f t="shared" ca="1" si="301"/>
        <v>0.19010912539925606</v>
      </c>
      <c r="AB1083" s="29">
        <f t="shared" ca="1" si="284"/>
        <v>255</v>
      </c>
      <c r="AC1083"/>
      <c r="AD1083" s="25"/>
      <c r="AF1083" s="22">
        <v>45628</v>
      </c>
      <c r="AG1083" s="26">
        <f t="shared" ca="1" si="302"/>
        <v>0.68026126489094607</v>
      </c>
      <c r="AH1083" s="29">
        <f t="shared" ca="1" si="285"/>
        <v>368</v>
      </c>
      <c r="AJ1083" s="22">
        <v>45628</v>
      </c>
      <c r="AK1083" s="26">
        <f t="shared" ca="1" si="303"/>
        <v>3.6670027406416561E-2</v>
      </c>
      <c r="AL1083" s="29">
        <f t="shared" ca="1" si="286"/>
        <v>90</v>
      </c>
      <c r="AN1083" s="22">
        <v>45628</v>
      </c>
      <c r="AO1083" s="26">
        <f t="shared" ca="1" si="304"/>
        <v>2.9111469834793846E-3</v>
      </c>
      <c r="AP1083" s="29">
        <f t="shared" ca="1" si="287"/>
        <v>62</v>
      </c>
      <c r="AR1083" s="22">
        <v>45628</v>
      </c>
      <c r="AS1083" s="26">
        <f t="shared" ca="1" si="305"/>
        <v>0.14988858229676483</v>
      </c>
      <c r="AT1083" s="29">
        <f t="shared" ca="1" si="288"/>
        <v>144</v>
      </c>
      <c r="AV1083" s="22">
        <v>45628</v>
      </c>
      <c r="AW1083" s="26">
        <f t="shared" ca="1" si="306"/>
        <v>1.877923136449966E-3</v>
      </c>
      <c r="AX1083" s="29">
        <f t="shared" ca="1" si="289"/>
        <v>47</v>
      </c>
      <c r="AZ1083" s="22">
        <v>45628</v>
      </c>
      <c r="BA1083" s="26">
        <f t="shared" ca="1" si="307"/>
        <v>0.51328473481339065</v>
      </c>
      <c r="BB1083" s="29">
        <f t="shared" ca="1" si="290"/>
        <v>236</v>
      </c>
      <c r="BC1083"/>
      <c r="BD1083" s="25"/>
      <c r="BF1083" s="22">
        <v>45628</v>
      </c>
      <c r="BG1083" s="26">
        <f t="shared" ca="1" si="308"/>
        <v>0.55082603427994437</v>
      </c>
      <c r="BH1083" s="29">
        <f t="shared" ca="1" si="291"/>
        <v>208</v>
      </c>
      <c r="BJ1083" s="22">
        <v>45628</v>
      </c>
      <c r="BK1083" s="26">
        <f t="shared" ca="1" si="309"/>
        <v>0.92644812344055039</v>
      </c>
      <c r="BL1083" s="29">
        <f t="shared" ca="1" si="292"/>
        <v>234</v>
      </c>
      <c r="BN1083" s="22">
        <v>45628</v>
      </c>
      <c r="BO1083" s="26">
        <f t="shared" ca="1" si="310"/>
        <v>5.1586441584520082E-2</v>
      </c>
      <c r="BP1083" s="29">
        <f t="shared" ca="1" si="293"/>
        <v>122</v>
      </c>
      <c r="BR1083" s="22">
        <v>45628</v>
      </c>
      <c r="BS1083" s="26">
        <f t="shared" ca="1" si="311"/>
        <v>0.45003511405932506</v>
      </c>
      <c r="BT1083" s="29">
        <f t="shared" ca="1" si="294"/>
        <v>156</v>
      </c>
      <c r="BV1083" s="22">
        <v>45628</v>
      </c>
      <c r="BW1083" s="26">
        <f t="shared" ca="1" si="312"/>
        <v>0.65876646138834216</v>
      </c>
      <c r="BX1083" s="29">
        <f t="shared" ca="1" si="295"/>
        <v>244</v>
      </c>
    </row>
    <row r="1084" spans="2:77" ht="15.75" customHeight="1" x14ac:dyDescent="0.2">
      <c r="B1084" s="22">
        <v>45629</v>
      </c>
      <c r="C1084" s="26">
        <f t="shared" ca="1" si="277"/>
        <v>0.71821144347003008</v>
      </c>
      <c r="D1084" s="29">
        <f t="shared" ca="1" si="278"/>
        <v>87</v>
      </c>
      <c r="F1084" s="22"/>
      <c r="G1084" s="26">
        <f t="shared" ca="1" si="296"/>
        <v>0.48264443786615485</v>
      </c>
      <c r="H1084" s="29">
        <f t="shared" ca="1" si="279"/>
        <v>215</v>
      </c>
      <c r="J1084" s="22">
        <v>45629</v>
      </c>
      <c r="K1084" s="26">
        <f t="shared" ca="1" si="297"/>
        <v>0.19321444787154063</v>
      </c>
      <c r="L1084" s="29">
        <f t="shared" ca="1" si="280"/>
        <v>142</v>
      </c>
      <c r="N1084" s="22">
        <v>45629</v>
      </c>
      <c r="O1084" s="26">
        <f t="shared" ca="1" si="298"/>
        <v>0.75640948336665026</v>
      </c>
      <c r="P1084" s="29">
        <f t="shared" ca="1" si="281"/>
        <v>240</v>
      </c>
      <c r="R1084" s="22">
        <v>45629</v>
      </c>
      <c r="S1084" s="26">
        <f t="shared" ca="1" si="299"/>
        <v>0.64046435151468029</v>
      </c>
      <c r="T1084" s="29">
        <f t="shared" ca="1" si="282"/>
        <v>143</v>
      </c>
      <c r="V1084" s="22">
        <v>45629</v>
      </c>
      <c r="W1084" s="26">
        <f t="shared" ca="1" si="300"/>
        <v>0.13765887449633052</v>
      </c>
      <c r="X1084" s="29">
        <f t="shared" ca="1" si="283"/>
        <v>209</v>
      </c>
      <c r="Z1084" s="22">
        <v>45629</v>
      </c>
      <c r="AA1084" s="26">
        <f t="shared" ca="1" si="301"/>
        <v>0.71987706652938199</v>
      </c>
      <c r="AB1084" s="29">
        <f t="shared" ca="1" si="284"/>
        <v>281</v>
      </c>
      <c r="AC1084"/>
      <c r="AD1084" s="25"/>
      <c r="AF1084" s="22">
        <v>45629</v>
      </c>
      <c r="AG1084" s="26">
        <f t="shared" ca="1" si="302"/>
        <v>0.71378226833636516</v>
      </c>
      <c r="AH1084" s="29">
        <f t="shared" ca="1" si="285"/>
        <v>377</v>
      </c>
      <c r="AJ1084" s="22">
        <v>45629</v>
      </c>
      <c r="AK1084" s="26">
        <f t="shared" ca="1" si="303"/>
        <v>0.69503775500326781</v>
      </c>
      <c r="AL1084" s="29">
        <f t="shared" ca="1" si="286"/>
        <v>194</v>
      </c>
      <c r="AN1084" s="22">
        <v>45629</v>
      </c>
      <c r="AO1084" s="26">
        <f t="shared" ca="1" si="304"/>
        <v>0.58135398249519121</v>
      </c>
      <c r="AP1084" s="29">
        <f t="shared" ca="1" si="287"/>
        <v>245</v>
      </c>
      <c r="AR1084" s="22">
        <v>45629</v>
      </c>
      <c r="AS1084" s="26">
        <f t="shared" ca="1" si="305"/>
        <v>0.57023637437467212</v>
      </c>
      <c r="AT1084" s="29">
        <f t="shared" ca="1" si="288"/>
        <v>208</v>
      </c>
      <c r="AV1084" s="22">
        <v>45629</v>
      </c>
      <c r="AW1084" s="26">
        <f t="shared" ca="1" si="306"/>
        <v>0.14906154737820365</v>
      </c>
      <c r="AX1084" s="29">
        <f t="shared" ca="1" si="289"/>
        <v>149</v>
      </c>
      <c r="AZ1084" s="22">
        <v>45629</v>
      </c>
      <c r="BA1084" s="26">
        <f t="shared" ca="1" si="307"/>
        <v>0.78060592810724461</v>
      </c>
      <c r="BB1084" s="29">
        <f t="shared" ca="1" si="290"/>
        <v>282</v>
      </c>
      <c r="BC1084"/>
      <c r="BD1084" s="25"/>
      <c r="BF1084" s="22">
        <v>45629</v>
      </c>
      <c r="BG1084" s="26">
        <f t="shared" ca="1" si="308"/>
        <v>0.25898929333347642</v>
      </c>
      <c r="BH1084" s="29">
        <f t="shared" ca="1" si="291"/>
        <v>166</v>
      </c>
      <c r="BJ1084" s="22">
        <v>45629</v>
      </c>
      <c r="BK1084" s="26">
        <f t="shared" ca="1" si="309"/>
        <v>0.37637061589120913</v>
      </c>
      <c r="BL1084" s="29">
        <f t="shared" ca="1" si="292"/>
        <v>155</v>
      </c>
      <c r="BN1084" s="22">
        <v>45629</v>
      </c>
      <c r="BO1084" s="26">
        <f t="shared" ca="1" si="310"/>
        <v>0.74672685097256508</v>
      </c>
      <c r="BP1084" s="29">
        <f t="shared" ca="1" si="293"/>
        <v>254</v>
      </c>
      <c r="BR1084" s="22">
        <v>45629</v>
      </c>
      <c r="BS1084" s="26">
        <f t="shared" ca="1" si="311"/>
        <v>0.42853600316150853</v>
      </c>
      <c r="BT1084" s="29">
        <f t="shared" ca="1" si="294"/>
        <v>153</v>
      </c>
      <c r="BV1084" s="22">
        <v>45629</v>
      </c>
      <c r="BW1084" s="26">
        <f t="shared" ca="1" si="312"/>
        <v>6.2091274871174273E-2</v>
      </c>
      <c r="BX1084" s="29">
        <f t="shared" ca="1" si="295"/>
        <v>130</v>
      </c>
    </row>
    <row r="1085" spans="2:77" ht="15.75" customHeight="1" x14ac:dyDescent="0.2">
      <c r="B1085" s="22">
        <v>45630</v>
      </c>
      <c r="C1085" s="26">
        <f t="shared" ca="1" si="277"/>
        <v>0.41424505599659611</v>
      </c>
      <c r="D1085" s="29">
        <f t="shared" ca="1" si="278"/>
        <v>71</v>
      </c>
      <c r="F1085" s="22"/>
      <c r="G1085" s="26">
        <f t="shared" ca="1" si="296"/>
        <v>0.90525703852976136</v>
      </c>
      <c r="H1085" s="29">
        <f t="shared" ca="1" si="279"/>
        <v>235</v>
      </c>
      <c r="J1085" s="22">
        <v>45630</v>
      </c>
      <c r="K1085" s="26">
        <f t="shared" ca="1" si="297"/>
        <v>0.18516246450783991</v>
      </c>
      <c r="L1085" s="29">
        <f t="shared" ca="1" si="280"/>
        <v>142</v>
      </c>
      <c r="N1085" s="22">
        <v>45630</v>
      </c>
      <c r="O1085" s="26">
        <f t="shared" ca="1" si="298"/>
        <v>0.58062854459075619</v>
      </c>
      <c r="P1085" s="29">
        <f t="shared" ca="1" si="281"/>
        <v>233</v>
      </c>
      <c r="R1085" s="22">
        <v>45630</v>
      </c>
      <c r="S1085" s="26">
        <f t="shared" ca="1" si="299"/>
        <v>0.86769154954050132</v>
      </c>
      <c r="T1085" s="29">
        <f t="shared" ca="1" si="282"/>
        <v>150</v>
      </c>
      <c r="V1085" s="22">
        <v>45630</v>
      </c>
      <c r="W1085" s="26">
        <f t="shared" ca="1" si="300"/>
        <v>5.6479307881011964E-2</v>
      </c>
      <c r="X1085" s="29">
        <f t="shared" ca="1" si="283"/>
        <v>202</v>
      </c>
      <c r="Z1085" s="22">
        <v>45630</v>
      </c>
      <c r="AA1085" s="26">
        <f t="shared" ca="1" si="301"/>
        <v>0.91385389406965412</v>
      </c>
      <c r="AB1085" s="29">
        <f t="shared" ca="1" si="284"/>
        <v>295</v>
      </c>
      <c r="AC1085"/>
      <c r="AD1085" s="25"/>
      <c r="AF1085" s="22">
        <v>45630</v>
      </c>
      <c r="AG1085" s="26">
        <f t="shared" ca="1" si="302"/>
        <v>0.65405063296497057</v>
      </c>
      <c r="AH1085" s="29">
        <f t="shared" ca="1" si="285"/>
        <v>362</v>
      </c>
      <c r="AJ1085" s="22">
        <v>45630</v>
      </c>
      <c r="AK1085" s="26">
        <f t="shared" ca="1" si="303"/>
        <v>8.9275339148730315E-2</v>
      </c>
      <c r="AL1085" s="29">
        <f t="shared" ca="1" si="286"/>
        <v>110</v>
      </c>
      <c r="AN1085" s="22">
        <v>45630</v>
      </c>
      <c r="AO1085" s="26">
        <f t="shared" ca="1" si="304"/>
        <v>5.643827315314387E-2</v>
      </c>
      <c r="AP1085" s="29">
        <f t="shared" ca="1" si="287"/>
        <v>134</v>
      </c>
      <c r="AR1085" s="22">
        <v>45630</v>
      </c>
      <c r="AS1085" s="26">
        <f t="shared" ca="1" si="305"/>
        <v>0.58875145090365111</v>
      </c>
      <c r="AT1085" s="29">
        <f t="shared" ca="1" si="288"/>
        <v>210</v>
      </c>
      <c r="AV1085" s="22">
        <v>45630</v>
      </c>
      <c r="AW1085" s="26">
        <f t="shared" ca="1" si="306"/>
        <v>8.7053138710914135E-2</v>
      </c>
      <c r="AX1085" s="29">
        <f t="shared" ca="1" si="289"/>
        <v>132</v>
      </c>
      <c r="AZ1085" s="22">
        <v>45630</v>
      </c>
      <c r="BA1085" s="26">
        <f t="shared" ca="1" si="307"/>
        <v>0.69270127099581869</v>
      </c>
      <c r="BB1085" s="29">
        <f t="shared" ca="1" si="290"/>
        <v>265</v>
      </c>
      <c r="BC1085"/>
      <c r="BD1085" s="25"/>
      <c r="BF1085" s="22">
        <v>45630</v>
      </c>
      <c r="BG1085" s="26">
        <f t="shared" ca="1" si="308"/>
        <v>0.10740364017134096</v>
      </c>
      <c r="BH1085" s="29">
        <f t="shared" ca="1" si="291"/>
        <v>135</v>
      </c>
      <c r="BJ1085" s="22">
        <v>45630</v>
      </c>
      <c r="BK1085" s="26">
        <f t="shared" ca="1" si="309"/>
        <v>0.65686404468061266</v>
      </c>
      <c r="BL1085" s="29">
        <f t="shared" ca="1" si="292"/>
        <v>187</v>
      </c>
      <c r="BN1085" s="22">
        <v>45630</v>
      </c>
      <c r="BO1085" s="26">
        <f t="shared" ca="1" si="310"/>
        <v>1.1764979777721285E-2</v>
      </c>
      <c r="BP1085" s="29">
        <f t="shared" ca="1" si="293"/>
        <v>86</v>
      </c>
      <c r="BR1085" s="22">
        <v>45630</v>
      </c>
      <c r="BS1085" s="26">
        <f t="shared" ca="1" si="311"/>
        <v>0.20091191247227036</v>
      </c>
      <c r="BT1085" s="29">
        <f t="shared" ca="1" si="294"/>
        <v>125</v>
      </c>
      <c r="BV1085" s="22">
        <v>45630</v>
      </c>
      <c r="BW1085" s="26">
        <f t="shared" ca="1" si="312"/>
        <v>0.71276086167077479</v>
      </c>
      <c r="BX1085" s="29">
        <f t="shared" ca="1" si="295"/>
        <v>253</v>
      </c>
    </row>
    <row r="1086" spans="2:77" ht="15.75" customHeight="1" x14ac:dyDescent="0.2">
      <c r="B1086" s="22">
        <v>45631</v>
      </c>
      <c r="C1086" s="26">
        <f t="shared" ca="1" si="277"/>
        <v>0.74503349166473631</v>
      </c>
      <c r="D1086" s="29">
        <f t="shared" ca="1" si="278"/>
        <v>89</v>
      </c>
      <c r="F1086" s="22"/>
      <c r="G1086" s="26">
        <f t="shared" ca="1" si="296"/>
        <v>0.68253595116440924</v>
      </c>
      <c r="H1086" s="29">
        <f t="shared" ca="1" si="279"/>
        <v>223</v>
      </c>
      <c r="J1086" s="22">
        <v>45631</v>
      </c>
      <c r="K1086" s="26">
        <f t="shared" ca="1" si="297"/>
        <v>5.2331540170678092E-2</v>
      </c>
      <c r="L1086" s="29">
        <f t="shared" ca="1" si="280"/>
        <v>134</v>
      </c>
      <c r="N1086" s="22">
        <v>45631</v>
      </c>
      <c r="O1086" s="26">
        <f t="shared" ca="1" si="298"/>
        <v>3.2134925585374896E-2</v>
      </c>
      <c r="P1086" s="29">
        <f t="shared" ca="1" si="281"/>
        <v>202</v>
      </c>
      <c r="R1086" s="22">
        <v>45631</v>
      </c>
      <c r="S1086" s="26">
        <f t="shared" ca="1" si="299"/>
        <v>0.62588671200139723</v>
      </c>
      <c r="T1086" s="29">
        <f t="shared" ca="1" si="282"/>
        <v>142</v>
      </c>
      <c r="V1086" s="22">
        <v>45631</v>
      </c>
      <c r="W1086" s="26">
        <f t="shared" ca="1" si="300"/>
        <v>0.5775993818463212</v>
      </c>
      <c r="X1086" s="29">
        <f t="shared" ca="1" si="283"/>
        <v>228</v>
      </c>
      <c r="Z1086" s="22">
        <v>45631</v>
      </c>
      <c r="AA1086" s="26">
        <f t="shared" ca="1" si="301"/>
        <v>1.8089388846382781E-2</v>
      </c>
      <c r="AB1086" s="29">
        <f t="shared" ca="1" si="284"/>
        <v>233</v>
      </c>
      <c r="AC1086"/>
      <c r="AD1086" s="25"/>
      <c r="AF1086" s="22">
        <v>45631</v>
      </c>
      <c r="AG1086" s="26">
        <f t="shared" ca="1" si="302"/>
        <v>3.5552327706122044E-2</v>
      </c>
      <c r="AH1086" s="29">
        <f t="shared" ca="1" si="285"/>
        <v>170</v>
      </c>
      <c r="AJ1086" s="22">
        <v>45631</v>
      </c>
      <c r="AK1086" s="26">
        <f t="shared" ca="1" si="303"/>
        <v>7.2818586874405122E-2</v>
      </c>
      <c r="AL1086" s="29">
        <f t="shared" ca="1" si="286"/>
        <v>105</v>
      </c>
      <c r="AN1086" s="22">
        <v>45631</v>
      </c>
      <c r="AO1086" s="26">
        <f t="shared" ca="1" si="304"/>
        <v>0.88992806391559731</v>
      </c>
      <c r="AP1086" s="29">
        <f t="shared" ca="1" si="287"/>
        <v>308</v>
      </c>
      <c r="AR1086" s="22">
        <v>45631</v>
      </c>
      <c r="AS1086" s="26">
        <f t="shared" ca="1" si="305"/>
        <v>0.12517428510169315</v>
      </c>
      <c r="AT1086" s="29">
        <f t="shared" ca="1" si="288"/>
        <v>138</v>
      </c>
      <c r="AV1086" s="22">
        <v>45631</v>
      </c>
      <c r="AW1086" s="26">
        <f t="shared" ca="1" si="306"/>
        <v>0.13322378548766545</v>
      </c>
      <c r="AX1086" s="29">
        <f t="shared" ca="1" si="289"/>
        <v>145</v>
      </c>
      <c r="AZ1086" s="22">
        <v>45631</v>
      </c>
      <c r="BA1086" s="26">
        <f t="shared" ca="1" si="307"/>
        <v>0.61273718877013805</v>
      </c>
      <c r="BB1086" s="29">
        <f t="shared" ca="1" si="290"/>
        <v>252</v>
      </c>
      <c r="BC1086"/>
      <c r="BD1086" s="25"/>
      <c r="BF1086" s="22">
        <v>45631</v>
      </c>
      <c r="BG1086" s="26">
        <f t="shared" ca="1" si="308"/>
        <v>0.34225610579809496</v>
      </c>
      <c r="BH1086" s="29">
        <f t="shared" ca="1" si="291"/>
        <v>179</v>
      </c>
      <c r="BJ1086" s="22">
        <v>45631</v>
      </c>
      <c r="BK1086" s="26">
        <f t="shared" ca="1" si="309"/>
        <v>0.25942077349510384</v>
      </c>
      <c r="BL1086" s="29">
        <f t="shared" ca="1" si="292"/>
        <v>140</v>
      </c>
      <c r="BN1086" s="22">
        <v>45631</v>
      </c>
      <c r="BO1086" s="26">
        <f t="shared" ca="1" si="310"/>
        <v>0.89800906297353777</v>
      </c>
      <c r="BP1086" s="29">
        <f t="shared" ca="1" si="293"/>
        <v>289</v>
      </c>
      <c r="BR1086" s="22">
        <v>45631</v>
      </c>
      <c r="BS1086" s="26">
        <f t="shared" ca="1" si="311"/>
        <v>0.98961354849221916</v>
      </c>
      <c r="BT1086" s="29">
        <f t="shared" ca="1" si="294"/>
        <v>260</v>
      </c>
      <c r="BV1086" s="22">
        <v>45631</v>
      </c>
      <c r="BW1086" s="26">
        <f t="shared" ca="1" si="312"/>
        <v>0.34767421172056689</v>
      </c>
      <c r="BX1086" s="29">
        <f t="shared" ca="1" si="295"/>
        <v>197</v>
      </c>
    </row>
    <row r="1087" spans="2:77" ht="15.75" customHeight="1" x14ac:dyDescent="0.2">
      <c r="B1087" s="22">
        <v>45632</v>
      </c>
      <c r="C1087" s="26">
        <f t="shared" ca="1" si="277"/>
        <v>0.21717306386761714</v>
      </c>
      <c r="D1087" s="29">
        <f t="shared" ca="1" si="278"/>
        <v>60</v>
      </c>
      <c r="F1087" s="22"/>
      <c r="G1087" s="26">
        <f t="shared" ca="1" si="296"/>
        <v>8.2526726778542558E-2</v>
      </c>
      <c r="H1087" s="29">
        <f t="shared" ca="1" si="279"/>
        <v>196</v>
      </c>
      <c r="J1087" s="22">
        <v>45632</v>
      </c>
      <c r="K1087" s="26">
        <f t="shared" ca="1" si="297"/>
        <v>0.99867976642317535</v>
      </c>
      <c r="L1087" s="29">
        <f t="shared" ca="1" si="280"/>
        <v>181</v>
      </c>
      <c r="N1087" s="22">
        <v>45632</v>
      </c>
      <c r="O1087" s="26">
        <f t="shared" ca="1" si="298"/>
        <v>0.36569750177681981</v>
      </c>
      <c r="P1087" s="29">
        <f t="shared" ca="1" si="281"/>
        <v>225</v>
      </c>
      <c r="R1087" s="22">
        <v>45632</v>
      </c>
      <c r="S1087" s="26">
        <f t="shared" ca="1" si="299"/>
        <v>0.45351674717548507</v>
      </c>
      <c r="T1087" s="29">
        <f t="shared" ca="1" si="282"/>
        <v>138</v>
      </c>
      <c r="V1087" s="22">
        <v>45632</v>
      </c>
      <c r="W1087" s="26">
        <f t="shared" ca="1" si="300"/>
        <v>0.23253196700697909</v>
      </c>
      <c r="X1087" s="29">
        <f t="shared" ca="1" si="283"/>
        <v>215</v>
      </c>
      <c r="Z1087" s="22">
        <v>45632</v>
      </c>
      <c r="AA1087" s="26">
        <f t="shared" ca="1" si="301"/>
        <v>5.1671985527387276E-2</v>
      </c>
      <c r="AB1087" s="29">
        <f t="shared" ca="1" si="284"/>
        <v>241</v>
      </c>
      <c r="AC1087"/>
      <c r="AD1087" s="25"/>
      <c r="AF1087" s="22">
        <v>45632</v>
      </c>
      <c r="AG1087" s="26">
        <f t="shared" ca="1" si="302"/>
        <v>0.38944045810595818</v>
      </c>
      <c r="AH1087" s="29">
        <f t="shared" ca="1" si="285"/>
        <v>303</v>
      </c>
      <c r="AJ1087" s="22">
        <v>45632</v>
      </c>
      <c r="AK1087" s="26">
        <f t="shared" ca="1" si="303"/>
        <v>0.3355650315516584</v>
      </c>
      <c r="AL1087" s="29">
        <f t="shared" ca="1" si="286"/>
        <v>152</v>
      </c>
      <c r="AN1087" s="22">
        <v>45632</v>
      </c>
      <c r="AO1087" s="26">
        <f t="shared" ca="1" si="304"/>
        <v>0.85548893163248785</v>
      </c>
      <c r="AP1087" s="29">
        <f t="shared" ca="1" si="287"/>
        <v>298</v>
      </c>
      <c r="AR1087" s="22">
        <v>45632</v>
      </c>
      <c r="AS1087" s="26">
        <f t="shared" ca="1" si="305"/>
        <v>0.22477706133561726</v>
      </c>
      <c r="AT1087" s="29">
        <f t="shared" ca="1" si="288"/>
        <v>159</v>
      </c>
      <c r="AV1087" s="22">
        <v>45632</v>
      </c>
      <c r="AW1087" s="26">
        <f t="shared" ca="1" si="306"/>
        <v>0.26035656133695284</v>
      </c>
      <c r="AX1087" s="29">
        <f t="shared" ca="1" si="289"/>
        <v>171</v>
      </c>
      <c r="AZ1087" s="22">
        <v>45632</v>
      </c>
      <c r="BA1087" s="26">
        <f t="shared" ca="1" si="307"/>
        <v>0.55676336263769399</v>
      </c>
      <c r="BB1087" s="29">
        <f t="shared" ca="1" si="290"/>
        <v>243</v>
      </c>
      <c r="BC1087"/>
      <c r="BD1087" s="25"/>
      <c r="BF1087" s="22">
        <v>45632</v>
      </c>
      <c r="BG1087" s="26">
        <f t="shared" ca="1" si="308"/>
        <v>0.5625684606284852</v>
      </c>
      <c r="BH1087" s="29">
        <f t="shared" ca="1" si="291"/>
        <v>209</v>
      </c>
      <c r="BJ1087" s="22">
        <v>45632</v>
      </c>
      <c r="BK1087" s="26">
        <f t="shared" ca="1" si="309"/>
        <v>0.20359894627043695</v>
      </c>
      <c r="BL1087" s="29">
        <f t="shared" ca="1" si="292"/>
        <v>132</v>
      </c>
      <c r="BN1087" s="22">
        <v>45632</v>
      </c>
      <c r="BO1087" s="26">
        <f t="shared" ca="1" si="310"/>
        <v>0.99836028588966808</v>
      </c>
      <c r="BP1087" s="29">
        <f t="shared" ca="1" si="293"/>
        <v>385</v>
      </c>
      <c r="BR1087" s="22">
        <v>45632</v>
      </c>
      <c r="BS1087" s="26">
        <f t="shared" ca="1" si="311"/>
        <v>0.45380493133109534</v>
      </c>
      <c r="BT1087" s="29">
        <f t="shared" ca="1" si="294"/>
        <v>156</v>
      </c>
      <c r="BV1087" s="22">
        <v>45632</v>
      </c>
      <c r="BW1087" s="26">
        <f t="shared" ca="1" si="312"/>
        <v>0.50990890871908967</v>
      </c>
      <c r="BX1087" s="29">
        <f t="shared" ca="1" si="295"/>
        <v>221</v>
      </c>
    </row>
    <row r="1088" spans="2:77" ht="15.75" customHeight="1" x14ac:dyDescent="0.2">
      <c r="B1088" s="22">
        <v>45633</v>
      </c>
      <c r="C1088" s="26">
        <f t="shared" ca="1" si="277"/>
        <v>0.84614485814679308</v>
      </c>
      <c r="D1088" s="29">
        <f t="shared" ca="1" si="278"/>
        <v>96</v>
      </c>
      <c r="F1088" s="22"/>
      <c r="G1088" s="26">
        <f t="shared" ca="1" si="296"/>
        <v>0.18986857525013079</v>
      </c>
      <c r="H1088" s="29">
        <f t="shared" ca="1" si="279"/>
        <v>203</v>
      </c>
      <c r="J1088" s="22">
        <v>45633</v>
      </c>
      <c r="K1088" s="26">
        <f t="shared" ca="1" si="297"/>
        <v>3.8331735669572375E-2</v>
      </c>
      <c r="L1088" s="29">
        <f t="shared" ca="1" si="280"/>
        <v>133</v>
      </c>
      <c r="N1088" s="22">
        <v>45633</v>
      </c>
      <c r="O1088" s="26">
        <f t="shared" ca="1" si="298"/>
        <v>0.2370384515673376</v>
      </c>
      <c r="P1088" s="29">
        <f t="shared" ca="1" si="281"/>
        <v>219</v>
      </c>
      <c r="R1088" s="22">
        <v>45633</v>
      </c>
      <c r="S1088" s="26">
        <f t="shared" ca="1" si="299"/>
        <v>0.38943861394180868</v>
      </c>
      <c r="T1088" s="29">
        <f t="shared" ca="1" si="282"/>
        <v>137</v>
      </c>
      <c r="V1088" s="22">
        <v>45633</v>
      </c>
      <c r="W1088" s="26">
        <f t="shared" ca="1" si="300"/>
        <v>0.20578094509525557</v>
      </c>
      <c r="X1088" s="29">
        <f t="shared" ca="1" si="283"/>
        <v>213</v>
      </c>
      <c r="Z1088" s="22">
        <v>45633</v>
      </c>
      <c r="AA1088" s="26">
        <f t="shared" ca="1" si="301"/>
        <v>0.91351966354200642</v>
      </c>
      <c r="AB1088" s="29">
        <f t="shared" ca="1" si="284"/>
        <v>295</v>
      </c>
      <c r="AC1088"/>
      <c r="AD1088" s="25"/>
      <c r="AF1088" s="22">
        <v>45633</v>
      </c>
      <c r="AG1088" s="26">
        <f t="shared" ca="1" si="302"/>
        <v>0.93617829081663884</v>
      </c>
      <c r="AH1088" s="29">
        <f t="shared" ca="1" si="285"/>
        <v>460</v>
      </c>
      <c r="AJ1088" s="22">
        <v>45633</v>
      </c>
      <c r="AK1088" s="26">
        <f t="shared" ca="1" si="303"/>
        <v>2.7149088441670521E-2</v>
      </c>
      <c r="AL1088" s="29">
        <f t="shared" ca="1" si="286"/>
        <v>83</v>
      </c>
      <c r="AN1088" s="22">
        <v>45633</v>
      </c>
      <c r="AO1088" s="26">
        <f t="shared" ca="1" si="304"/>
        <v>0.3880914431545206</v>
      </c>
      <c r="AP1088" s="29">
        <f t="shared" ca="1" si="287"/>
        <v>215</v>
      </c>
      <c r="AR1088" s="22">
        <v>45633</v>
      </c>
      <c r="AS1088" s="26">
        <f t="shared" ca="1" si="305"/>
        <v>0.33325275058042647</v>
      </c>
      <c r="AT1088" s="29">
        <f t="shared" ca="1" si="288"/>
        <v>176</v>
      </c>
      <c r="AV1088" s="22">
        <v>45633</v>
      </c>
      <c r="AW1088" s="26">
        <f t="shared" ca="1" si="306"/>
        <v>0.88561678484791084</v>
      </c>
      <c r="AX1088" s="29">
        <f t="shared" ca="1" si="289"/>
        <v>272</v>
      </c>
      <c r="AZ1088" s="22">
        <v>45633</v>
      </c>
      <c r="BA1088" s="26">
        <f t="shared" ca="1" si="307"/>
        <v>0.27489903248902348</v>
      </c>
      <c r="BB1088" s="29">
        <f t="shared" ca="1" si="290"/>
        <v>197</v>
      </c>
      <c r="BC1088"/>
      <c r="BD1088" s="25"/>
      <c r="BF1088" s="22">
        <v>45633</v>
      </c>
      <c r="BG1088" s="26">
        <f t="shared" ca="1" si="308"/>
        <v>0.78038521969943508</v>
      </c>
      <c r="BH1088" s="29">
        <f t="shared" ca="1" si="291"/>
        <v>242</v>
      </c>
      <c r="BJ1088" s="22">
        <v>45633</v>
      </c>
      <c r="BK1088" s="26">
        <f t="shared" ca="1" si="309"/>
        <v>0.68558770045835149</v>
      </c>
      <c r="BL1088" s="29">
        <f t="shared" ca="1" si="292"/>
        <v>191</v>
      </c>
      <c r="BN1088" s="22">
        <v>45633</v>
      </c>
      <c r="BO1088" s="26">
        <f t="shared" ca="1" si="310"/>
        <v>0.99318116314445293</v>
      </c>
      <c r="BP1088" s="29">
        <f t="shared" ca="1" si="293"/>
        <v>358</v>
      </c>
      <c r="BR1088" s="22">
        <v>45633</v>
      </c>
      <c r="BS1088" s="26">
        <f t="shared" ca="1" si="311"/>
        <v>0.31087719479220688</v>
      </c>
      <c r="BT1088" s="29">
        <f t="shared" ca="1" si="294"/>
        <v>140</v>
      </c>
      <c r="BV1088" s="22">
        <v>45633</v>
      </c>
      <c r="BW1088" s="26">
        <f t="shared" ca="1" si="312"/>
        <v>0.97181430944533609</v>
      </c>
      <c r="BX1088" s="29">
        <f t="shared" ca="1" si="295"/>
        <v>331</v>
      </c>
    </row>
    <row r="1089" spans="2:76" ht="15.75" customHeight="1" x14ac:dyDescent="0.2">
      <c r="B1089" s="22">
        <v>45634</v>
      </c>
      <c r="C1089" s="26">
        <f t="shared" ca="1" si="277"/>
        <v>0.9259408285044386</v>
      </c>
      <c r="D1089" s="29">
        <f t="shared" ca="1" si="278"/>
        <v>104</v>
      </c>
      <c r="F1089" s="22"/>
      <c r="G1089" s="26">
        <f t="shared" ca="1" si="296"/>
        <v>0.99204342499630394</v>
      </c>
      <c r="H1089" s="29">
        <f t="shared" ca="1" si="279"/>
        <v>251</v>
      </c>
      <c r="J1089" s="22">
        <v>45634</v>
      </c>
      <c r="K1089" s="26">
        <f t="shared" ca="1" si="297"/>
        <v>0.43943155039831328</v>
      </c>
      <c r="L1089" s="29">
        <f t="shared" ca="1" si="280"/>
        <v>149</v>
      </c>
      <c r="N1089" s="22">
        <v>45634</v>
      </c>
      <c r="O1089" s="26">
        <f t="shared" ca="1" si="298"/>
        <v>0.22852097967643814</v>
      </c>
      <c r="P1089" s="29">
        <f t="shared" ca="1" si="281"/>
        <v>218</v>
      </c>
      <c r="R1089" s="22">
        <v>45634</v>
      </c>
      <c r="S1089" s="26">
        <f t="shared" ca="1" si="299"/>
        <v>0.79129329926729752</v>
      </c>
      <c r="T1089" s="29">
        <f t="shared" ca="1" si="282"/>
        <v>147</v>
      </c>
      <c r="V1089" s="22">
        <v>45634</v>
      </c>
      <c r="W1089" s="26">
        <f t="shared" ca="1" si="300"/>
        <v>0.63765054503114926</v>
      </c>
      <c r="X1089" s="29">
        <f t="shared" ca="1" si="283"/>
        <v>231</v>
      </c>
      <c r="Z1089" s="22">
        <v>45634</v>
      </c>
      <c r="AA1089" s="26">
        <f t="shared" ca="1" si="301"/>
        <v>0.45405120946975153</v>
      </c>
      <c r="AB1089" s="29">
        <f t="shared" ca="1" si="284"/>
        <v>268</v>
      </c>
      <c r="AC1089"/>
      <c r="AD1089" s="25"/>
      <c r="AF1089" s="22">
        <v>45634</v>
      </c>
      <c r="AG1089" s="26">
        <f t="shared" ca="1" si="302"/>
        <v>1.687459745166231E-2</v>
      </c>
      <c r="AH1089" s="29">
        <f t="shared" ca="1" si="285"/>
        <v>142</v>
      </c>
      <c r="AJ1089" s="22">
        <v>45634</v>
      </c>
      <c r="AK1089" s="26">
        <f t="shared" ca="1" si="303"/>
        <v>0.7222087168722322</v>
      </c>
      <c r="AL1089" s="29">
        <f t="shared" ca="1" si="286"/>
        <v>198</v>
      </c>
      <c r="AN1089" s="22">
        <v>45634</v>
      </c>
      <c r="AO1089" s="26">
        <f t="shared" ca="1" si="304"/>
        <v>0.53514979898796866</v>
      </c>
      <c r="AP1089" s="29">
        <f t="shared" ca="1" si="287"/>
        <v>238</v>
      </c>
      <c r="AR1089" s="22">
        <v>45634</v>
      </c>
      <c r="AS1089" s="26">
        <f t="shared" ca="1" si="305"/>
        <v>0.34137903298071803</v>
      </c>
      <c r="AT1089" s="29">
        <f t="shared" ca="1" si="288"/>
        <v>177</v>
      </c>
      <c r="AV1089" s="22">
        <v>45634</v>
      </c>
      <c r="AW1089" s="26">
        <f t="shared" ca="1" si="306"/>
        <v>0.62303382159764797</v>
      </c>
      <c r="AX1089" s="29">
        <f t="shared" ca="1" si="289"/>
        <v>223</v>
      </c>
      <c r="AZ1089" s="22">
        <v>45634</v>
      </c>
      <c r="BA1089" s="26">
        <f t="shared" ca="1" si="307"/>
        <v>7.0733802291989112E-2</v>
      </c>
      <c r="BB1089" s="29">
        <f t="shared" ca="1" si="290"/>
        <v>142</v>
      </c>
      <c r="BC1089"/>
      <c r="BD1089" s="25"/>
      <c r="BF1089" s="22">
        <v>45634</v>
      </c>
      <c r="BG1089" s="26">
        <f t="shared" ca="1" si="308"/>
        <v>0.61007736053345507</v>
      </c>
      <c r="BH1089" s="29">
        <f t="shared" ca="1" si="291"/>
        <v>216</v>
      </c>
      <c r="BJ1089" s="22">
        <v>45634</v>
      </c>
      <c r="BK1089" s="26">
        <f t="shared" ca="1" si="309"/>
        <v>0.18677793174079593</v>
      </c>
      <c r="BL1089" s="29">
        <f t="shared" ca="1" si="292"/>
        <v>129</v>
      </c>
      <c r="BN1089" s="22">
        <v>45634</v>
      </c>
      <c r="BO1089" s="26">
        <f t="shared" ca="1" si="310"/>
        <v>4.7097030126774797E-4</v>
      </c>
      <c r="BP1089" s="29">
        <f t="shared" ca="1" si="293"/>
        <v>26</v>
      </c>
      <c r="BR1089" s="22">
        <v>45634</v>
      </c>
      <c r="BS1089" s="26">
        <f t="shared" ca="1" si="311"/>
        <v>0.95857670401583051</v>
      </c>
      <c r="BT1089" s="29">
        <f t="shared" ca="1" si="294"/>
        <v>235</v>
      </c>
      <c r="BV1089" s="22">
        <v>45634</v>
      </c>
      <c r="BW1089" s="26">
        <f t="shared" ca="1" si="312"/>
        <v>0.19783655425381586</v>
      </c>
      <c r="BX1089" s="29">
        <f t="shared" ca="1" si="295"/>
        <v>170</v>
      </c>
    </row>
    <row r="1090" spans="2:76" ht="15.75" customHeight="1" x14ac:dyDescent="0.2">
      <c r="B1090" s="22">
        <v>45635</v>
      </c>
      <c r="C1090" s="26">
        <f t="shared" ca="1" si="277"/>
        <v>0.68391857116492172</v>
      </c>
      <c r="D1090" s="29">
        <f t="shared" ca="1" si="278"/>
        <v>85</v>
      </c>
      <c r="F1090" s="22"/>
      <c r="G1090" s="26">
        <f t="shared" ca="1" si="296"/>
        <v>3.0777186081830221E-2</v>
      </c>
      <c r="H1090" s="29">
        <f t="shared" ca="1" si="279"/>
        <v>189</v>
      </c>
      <c r="J1090" s="22">
        <v>45635</v>
      </c>
      <c r="K1090" s="26">
        <f t="shared" ca="1" si="297"/>
        <v>0.75223230298890187</v>
      </c>
      <c r="L1090" s="29">
        <f t="shared" ca="1" si="280"/>
        <v>157</v>
      </c>
      <c r="N1090" s="22">
        <v>45635</v>
      </c>
      <c r="O1090" s="26">
        <f t="shared" ca="1" si="298"/>
        <v>0.23135650798881979</v>
      </c>
      <c r="P1090" s="29">
        <f t="shared" ca="1" si="281"/>
        <v>219</v>
      </c>
      <c r="R1090" s="22">
        <v>45635</v>
      </c>
      <c r="S1090" s="26">
        <f t="shared" ca="1" si="299"/>
        <v>0.91790793043526131</v>
      </c>
      <c r="T1090" s="29">
        <f t="shared" ca="1" si="282"/>
        <v>152</v>
      </c>
      <c r="V1090" s="22">
        <v>45635</v>
      </c>
      <c r="W1090" s="26">
        <f t="shared" ca="1" si="300"/>
        <v>0.3748005788504768</v>
      </c>
      <c r="X1090" s="29">
        <f t="shared" ca="1" si="283"/>
        <v>221</v>
      </c>
      <c r="Z1090" s="22">
        <v>45635</v>
      </c>
      <c r="AA1090" s="26">
        <f t="shared" ca="1" si="301"/>
        <v>0.11750645916058244</v>
      </c>
      <c r="AB1090" s="29">
        <f t="shared" ca="1" si="284"/>
        <v>249</v>
      </c>
      <c r="AC1090"/>
      <c r="AD1090" s="25"/>
      <c r="AF1090" s="22">
        <v>45635</v>
      </c>
      <c r="AG1090" s="26">
        <f t="shared" ca="1" si="302"/>
        <v>0.91226832579333927</v>
      </c>
      <c r="AH1090" s="29">
        <f t="shared" ca="1" si="285"/>
        <v>446</v>
      </c>
      <c r="AJ1090" s="22">
        <v>45635</v>
      </c>
      <c r="AK1090" s="26">
        <f t="shared" ca="1" si="303"/>
        <v>0.71365525009651021</v>
      </c>
      <c r="AL1090" s="29">
        <f t="shared" ca="1" si="286"/>
        <v>197</v>
      </c>
      <c r="AN1090" s="22">
        <v>45635</v>
      </c>
      <c r="AO1090" s="26">
        <f t="shared" ca="1" si="304"/>
        <v>0.43092579792556684</v>
      </c>
      <c r="AP1090" s="29">
        <f t="shared" ca="1" si="287"/>
        <v>222</v>
      </c>
      <c r="AR1090" s="22">
        <v>45635</v>
      </c>
      <c r="AS1090" s="26">
        <f t="shared" ca="1" si="305"/>
        <v>0.51946266313400691</v>
      </c>
      <c r="AT1090" s="29">
        <f t="shared" ca="1" si="288"/>
        <v>201</v>
      </c>
      <c r="AV1090" s="22">
        <v>45635</v>
      </c>
      <c r="AW1090" s="26">
        <f t="shared" ca="1" si="306"/>
        <v>0.53167150187126255</v>
      </c>
      <c r="AX1090" s="29">
        <f t="shared" ca="1" si="289"/>
        <v>210</v>
      </c>
      <c r="AZ1090" s="22">
        <v>45635</v>
      </c>
      <c r="BA1090" s="26">
        <f t="shared" ca="1" si="307"/>
        <v>0.16359597586633556</v>
      </c>
      <c r="BB1090" s="29">
        <f t="shared" ca="1" si="290"/>
        <v>173</v>
      </c>
      <c r="BC1090"/>
      <c r="BD1090" s="25"/>
      <c r="BF1090" s="22">
        <v>45635</v>
      </c>
      <c r="BG1090" s="26">
        <f t="shared" ca="1" si="308"/>
        <v>0.93701223884913221</v>
      </c>
      <c r="BH1090" s="29">
        <f t="shared" ca="1" si="291"/>
        <v>283</v>
      </c>
      <c r="BJ1090" s="22">
        <v>45635</v>
      </c>
      <c r="BK1090" s="26">
        <f t="shared" ca="1" si="309"/>
        <v>0.7073469064806579</v>
      </c>
      <c r="BL1090" s="29">
        <f t="shared" ca="1" si="292"/>
        <v>194</v>
      </c>
      <c r="BN1090" s="22">
        <v>45635</v>
      </c>
      <c r="BO1090" s="26">
        <f t="shared" ca="1" si="310"/>
        <v>0.80250970123927268</v>
      </c>
      <c r="BP1090" s="29">
        <f t="shared" ca="1" si="293"/>
        <v>265</v>
      </c>
      <c r="BR1090" s="22">
        <v>45635</v>
      </c>
      <c r="BS1090" s="26">
        <f t="shared" ca="1" si="311"/>
        <v>0.2598509446307129</v>
      </c>
      <c r="BT1090" s="29">
        <f t="shared" ca="1" si="294"/>
        <v>134</v>
      </c>
      <c r="BV1090" s="22">
        <v>45635</v>
      </c>
      <c r="BW1090" s="26">
        <f t="shared" ca="1" si="312"/>
        <v>8.9265473010355145E-2</v>
      </c>
      <c r="BX1090" s="29">
        <f t="shared" ca="1" si="295"/>
        <v>141</v>
      </c>
    </row>
    <row r="1091" spans="2:76" ht="15.75" customHeight="1" x14ac:dyDescent="0.2">
      <c r="B1091" s="22">
        <v>45636</v>
      </c>
      <c r="C1091" s="26">
        <f t="shared" ca="1" si="277"/>
        <v>0.73431875452874384</v>
      </c>
      <c r="D1091" s="29">
        <f t="shared" ca="1" si="278"/>
        <v>88</v>
      </c>
      <c r="F1091" s="22"/>
      <c r="G1091" s="26">
        <f t="shared" ca="1" si="296"/>
        <v>0.73333662541065792</v>
      </c>
      <c r="H1091" s="29">
        <f t="shared" ca="1" si="279"/>
        <v>225</v>
      </c>
      <c r="J1091" s="22">
        <v>45636</v>
      </c>
      <c r="K1091" s="26">
        <f t="shared" ca="1" si="297"/>
        <v>0.57567516736587965</v>
      </c>
      <c r="L1091" s="29">
        <f t="shared" ca="1" si="280"/>
        <v>152</v>
      </c>
      <c r="N1091" s="22">
        <v>45636</v>
      </c>
      <c r="O1091" s="26">
        <f t="shared" ca="1" si="298"/>
        <v>0.58885153892367437</v>
      </c>
      <c r="P1091" s="29">
        <f t="shared" ca="1" si="281"/>
        <v>233</v>
      </c>
      <c r="R1091" s="22">
        <v>45636</v>
      </c>
      <c r="S1091" s="26">
        <f t="shared" ca="1" si="299"/>
        <v>0.97756768469036737</v>
      </c>
      <c r="T1091" s="29">
        <f t="shared" ca="1" si="282"/>
        <v>158</v>
      </c>
      <c r="V1091" s="22">
        <v>45636</v>
      </c>
      <c r="W1091" s="26">
        <f t="shared" ca="1" si="300"/>
        <v>0.91475251913218669</v>
      </c>
      <c r="X1091" s="29">
        <f t="shared" ca="1" si="283"/>
        <v>246</v>
      </c>
      <c r="Z1091" s="22">
        <v>45636</v>
      </c>
      <c r="AA1091" s="26">
        <f t="shared" ca="1" si="301"/>
        <v>0.91012905314991044</v>
      </c>
      <c r="AB1091" s="29">
        <f t="shared" ca="1" si="284"/>
        <v>295</v>
      </c>
      <c r="AC1091"/>
      <c r="AD1091" s="25"/>
      <c r="AF1091" s="22">
        <v>45636</v>
      </c>
      <c r="AG1091" s="26">
        <f t="shared" ca="1" si="302"/>
        <v>6.8863073848160372E-2</v>
      </c>
      <c r="AH1091" s="29">
        <f t="shared" ca="1" si="285"/>
        <v>198</v>
      </c>
      <c r="AJ1091" s="22">
        <v>45636</v>
      </c>
      <c r="AK1091" s="26">
        <f t="shared" ca="1" si="303"/>
        <v>0.12239717354359714</v>
      </c>
      <c r="AL1091" s="29">
        <f t="shared" ca="1" si="286"/>
        <v>118</v>
      </c>
      <c r="AN1091" s="22">
        <v>45636</v>
      </c>
      <c r="AO1091" s="26">
        <f t="shared" ca="1" si="304"/>
        <v>0.61606975049213575</v>
      </c>
      <c r="AP1091" s="29">
        <f t="shared" ca="1" si="287"/>
        <v>251</v>
      </c>
      <c r="AR1091" s="22">
        <v>45636</v>
      </c>
      <c r="AS1091" s="26">
        <f t="shared" ca="1" si="305"/>
        <v>0.22972186455630605</v>
      </c>
      <c r="AT1091" s="29">
        <f t="shared" ca="1" si="288"/>
        <v>159</v>
      </c>
      <c r="AV1091" s="22">
        <v>45636</v>
      </c>
      <c r="AW1091" s="26">
        <f t="shared" ca="1" si="306"/>
        <v>0.14460460223069471</v>
      </c>
      <c r="AX1091" s="29">
        <f t="shared" ca="1" si="289"/>
        <v>148</v>
      </c>
      <c r="AZ1091" s="22">
        <v>45636</v>
      </c>
      <c r="BA1091" s="26">
        <f t="shared" ca="1" si="307"/>
        <v>0.68396635697431385</v>
      </c>
      <c r="BB1091" s="29">
        <f t="shared" ca="1" si="290"/>
        <v>264</v>
      </c>
      <c r="BC1091"/>
      <c r="BD1091" s="25"/>
      <c r="BF1091" s="22">
        <v>45636</v>
      </c>
      <c r="BG1091" s="26">
        <f t="shared" ca="1" si="308"/>
        <v>0.21328468104250142</v>
      </c>
      <c r="BH1091" s="29">
        <f t="shared" ca="1" si="291"/>
        <v>159</v>
      </c>
      <c r="BJ1091" s="22">
        <v>45636</v>
      </c>
      <c r="BK1091" s="26">
        <f t="shared" ca="1" si="309"/>
        <v>0.80166035240936095</v>
      </c>
      <c r="BL1091" s="29">
        <f t="shared" ca="1" si="292"/>
        <v>207</v>
      </c>
      <c r="BN1091" s="22">
        <v>45636</v>
      </c>
      <c r="BO1091" s="26">
        <f t="shared" ca="1" si="310"/>
        <v>0.16019075019842621</v>
      </c>
      <c r="BP1091" s="29">
        <f t="shared" ca="1" si="293"/>
        <v>159</v>
      </c>
      <c r="BR1091" s="22">
        <v>45636</v>
      </c>
      <c r="BS1091" s="26">
        <f t="shared" ca="1" si="311"/>
        <v>0.85572704033952685</v>
      </c>
      <c r="BT1091" s="29">
        <f t="shared" ca="1" si="294"/>
        <v>207</v>
      </c>
      <c r="BV1091" s="22">
        <v>45636</v>
      </c>
      <c r="BW1091" s="26">
        <f t="shared" ca="1" si="312"/>
        <v>0.51432831994413808</v>
      </c>
      <c r="BX1091" s="29">
        <f t="shared" ca="1" si="295"/>
        <v>222</v>
      </c>
    </row>
    <row r="1092" spans="2:76" ht="15.75" customHeight="1" x14ac:dyDescent="0.2">
      <c r="B1092" s="22">
        <v>45637</v>
      </c>
      <c r="C1092" s="26">
        <f t="shared" ca="1" si="277"/>
        <v>0.38266237526972502</v>
      </c>
      <c r="D1092" s="29">
        <f t="shared" ca="1" si="278"/>
        <v>70</v>
      </c>
      <c r="F1092" s="22"/>
      <c r="G1092" s="26">
        <f t="shared" ca="1" si="296"/>
        <v>0.19753910123693719</v>
      </c>
      <c r="H1092" s="29">
        <f t="shared" ca="1" si="279"/>
        <v>204</v>
      </c>
      <c r="J1092" s="22">
        <v>45637</v>
      </c>
      <c r="K1092" s="26">
        <f t="shared" ca="1" si="297"/>
        <v>0.4842881354409041</v>
      </c>
      <c r="L1092" s="29">
        <f t="shared" ca="1" si="280"/>
        <v>150</v>
      </c>
      <c r="N1092" s="22">
        <v>45637</v>
      </c>
      <c r="O1092" s="26">
        <f t="shared" ca="1" si="298"/>
        <v>0.8557878837233992</v>
      </c>
      <c r="P1092" s="29">
        <f t="shared" ca="1" si="281"/>
        <v>246</v>
      </c>
      <c r="R1092" s="22">
        <v>45637</v>
      </c>
      <c r="S1092" s="26">
        <f t="shared" ca="1" si="299"/>
        <v>0.83599249252945274</v>
      </c>
      <c r="T1092" s="29">
        <f t="shared" ca="1" si="282"/>
        <v>148</v>
      </c>
      <c r="V1092" s="22">
        <v>45637</v>
      </c>
      <c r="W1092" s="26">
        <f t="shared" ca="1" si="300"/>
        <v>0.99544896424460183</v>
      </c>
      <c r="X1092" s="29">
        <f t="shared" ca="1" si="283"/>
        <v>265</v>
      </c>
      <c r="Z1092" s="22">
        <v>45637</v>
      </c>
      <c r="AA1092" s="26">
        <f t="shared" ca="1" si="301"/>
        <v>0.75899835678534733</v>
      </c>
      <c r="AB1092" s="29">
        <f t="shared" ca="1" si="284"/>
        <v>283</v>
      </c>
      <c r="AC1092"/>
      <c r="AD1092" s="25"/>
      <c r="AF1092" s="22">
        <v>45637</v>
      </c>
      <c r="AG1092" s="26">
        <f t="shared" ca="1" si="302"/>
        <v>0.83781592918998726</v>
      </c>
      <c r="AH1092" s="29">
        <f t="shared" ca="1" si="285"/>
        <v>413</v>
      </c>
      <c r="AJ1092" s="22">
        <v>45637</v>
      </c>
      <c r="AK1092" s="26">
        <f t="shared" ca="1" si="303"/>
        <v>0.63971319098387214</v>
      </c>
      <c r="AL1092" s="29">
        <f t="shared" ca="1" si="286"/>
        <v>187</v>
      </c>
      <c r="AN1092" s="22">
        <v>45637</v>
      </c>
      <c r="AO1092" s="26">
        <f t="shared" ca="1" si="304"/>
        <v>0.38673798079993937</v>
      </c>
      <c r="AP1092" s="29">
        <f t="shared" ca="1" si="287"/>
        <v>215</v>
      </c>
      <c r="AR1092" s="22">
        <v>45637</v>
      </c>
      <c r="AS1092" s="26">
        <f t="shared" ca="1" si="305"/>
        <v>0.12247726230101141</v>
      </c>
      <c r="AT1092" s="29">
        <f t="shared" ca="1" si="288"/>
        <v>137</v>
      </c>
      <c r="AV1092" s="22">
        <v>45637</v>
      </c>
      <c r="AW1092" s="26">
        <f t="shared" ca="1" si="306"/>
        <v>0.65046935369538972</v>
      </c>
      <c r="AX1092" s="29">
        <f t="shared" ca="1" si="289"/>
        <v>227</v>
      </c>
      <c r="AZ1092" s="22">
        <v>45637</v>
      </c>
      <c r="BA1092" s="26">
        <f t="shared" ca="1" si="307"/>
        <v>0.82600445787178156</v>
      </c>
      <c r="BB1092" s="29">
        <f t="shared" ca="1" si="290"/>
        <v>292</v>
      </c>
      <c r="BC1092"/>
      <c r="BD1092" s="25"/>
      <c r="BF1092" s="22">
        <v>45637</v>
      </c>
      <c r="BG1092" s="26">
        <f t="shared" ca="1" si="308"/>
        <v>0.48802756275815828</v>
      </c>
      <c r="BH1092" s="29">
        <f t="shared" ca="1" si="291"/>
        <v>199</v>
      </c>
      <c r="BJ1092" s="22">
        <v>45637</v>
      </c>
      <c r="BK1092" s="26">
        <f t="shared" ca="1" si="309"/>
        <v>0.55586617338483046</v>
      </c>
      <c r="BL1092" s="29">
        <f t="shared" ca="1" si="292"/>
        <v>175</v>
      </c>
      <c r="BN1092" s="22">
        <v>45637</v>
      </c>
      <c r="BO1092" s="26">
        <f t="shared" ca="1" si="310"/>
        <v>0.50265967719230975</v>
      </c>
      <c r="BP1092" s="29">
        <f t="shared" ca="1" si="293"/>
        <v>217</v>
      </c>
      <c r="BR1092" s="22">
        <v>45637</v>
      </c>
      <c r="BS1092" s="26">
        <f t="shared" ca="1" si="311"/>
        <v>0.42832945900904595</v>
      </c>
      <c r="BT1092" s="29">
        <f t="shared" ca="1" si="294"/>
        <v>153</v>
      </c>
      <c r="BV1092" s="22">
        <v>45637</v>
      </c>
      <c r="BW1092" s="26">
        <f t="shared" ca="1" si="312"/>
        <v>2.06321397150111E-3</v>
      </c>
      <c r="BX1092" s="29">
        <f t="shared" ca="1" si="295"/>
        <v>52</v>
      </c>
    </row>
    <row r="1093" spans="2:76" ht="15.75" customHeight="1" x14ac:dyDescent="0.2">
      <c r="B1093" s="22">
        <v>45638</v>
      </c>
      <c r="C1093" s="26">
        <f t="shared" ca="1" si="277"/>
        <v>4.388625802073709E-2</v>
      </c>
      <c r="D1093" s="29">
        <f t="shared" ca="1" si="278"/>
        <v>41</v>
      </c>
      <c r="F1093" s="22"/>
      <c r="G1093" s="26">
        <f t="shared" ca="1" si="296"/>
        <v>0.50053284720031133</v>
      </c>
      <c r="H1093" s="29">
        <f t="shared" ca="1" si="279"/>
        <v>216</v>
      </c>
      <c r="J1093" s="22">
        <v>45638</v>
      </c>
      <c r="K1093" s="26">
        <f t="shared" ca="1" si="297"/>
        <v>0.97663285248593434</v>
      </c>
      <c r="L1093" s="29">
        <f t="shared" ca="1" si="280"/>
        <v>170</v>
      </c>
      <c r="N1093" s="22">
        <v>45638</v>
      </c>
      <c r="O1093" s="26">
        <f t="shared" ca="1" si="298"/>
        <v>0.60705477482651182</v>
      </c>
      <c r="P1093" s="29">
        <f t="shared" ca="1" si="281"/>
        <v>234</v>
      </c>
      <c r="R1093" s="22">
        <v>45638</v>
      </c>
      <c r="S1093" s="26">
        <f t="shared" ca="1" si="299"/>
        <v>0.53604008683422077</v>
      </c>
      <c r="T1093" s="29">
        <f t="shared" ca="1" si="282"/>
        <v>140</v>
      </c>
      <c r="V1093" s="22">
        <v>45638</v>
      </c>
      <c r="W1093" s="26">
        <f t="shared" ca="1" si="300"/>
        <v>0.14422250960663874</v>
      </c>
      <c r="X1093" s="29">
        <f t="shared" ca="1" si="283"/>
        <v>210</v>
      </c>
      <c r="Z1093" s="22">
        <v>45638</v>
      </c>
      <c r="AA1093" s="26">
        <f t="shared" ca="1" si="301"/>
        <v>0.36622366575085485</v>
      </c>
      <c r="AB1093" s="29">
        <f t="shared" ca="1" si="284"/>
        <v>264</v>
      </c>
      <c r="AC1093"/>
      <c r="AD1093" s="25"/>
      <c r="AF1093" s="22">
        <v>45638</v>
      </c>
      <c r="AG1093" s="26">
        <f t="shared" ca="1" si="302"/>
        <v>0.45916271232067574</v>
      </c>
      <c r="AH1093" s="29">
        <f t="shared" ca="1" si="285"/>
        <v>319</v>
      </c>
      <c r="AJ1093" s="22">
        <v>45638</v>
      </c>
      <c r="AK1093" s="26">
        <f t="shared" ca="1" si="303"/>
        <v>0.15236239912307958</v>
      </c>
      <c r="AL1093" s="29">
        <f t="shared" ca="1" si="286"/>
        <v>124</v>
      </c>
      <c r="AN1093" s="22">
        <v>45638</v>
      </c>
      <c r="AO1093" s="26">
        <f t="shared" ca="1" si="304"/>
        <v>0.75806989486121912</v>
      </c>
      <c r="AP1093" s="29">
        <f t="shared" ca="1" si="287"/>
        <v>276</v>
      </c>
      <c r="AR1093" s="22">
        <v>45638</v>
      </c>
      <c r="AS1093" s="26">
        <f t="shared" ca="1" si="305"/>
        <v>0.54038068399580952</v>
      </c>
      <c r="AT1093" s="29">
        <f t="shared" ca="1" si="288"/>
        <v>204</v>
      </c>
      <c r="AV1093" s="22">
        <v>45638</v>
      </c>
      <c r="AW1093" s="26">
        <f t="shared" ca="1" si="306"/>
        <v>0.23005266731952356</v>
      </c>
      <c r="AX1093" s="29">
        <f t="shared" ca="1" si="289"/>
        <v>166</v>
      </c>
      <c r="AZ1093" s="22">
        <v>45638</v>
      </c>
      <c r="BA1093" s="26">
        <f t="shared" ca="1" si="307"/>
        <v>0.92105375839305403</v>
      </c>
      <c r="BB1093" s="29">
        <f t="shared" ca="1" si="290"/>
        <v>322</v>
      </c>
      <c r="BC1093"/>
      <c r="BD1093" s="25"/>
      <c r="BF1093" s="22">
        <v>45638</v>
      </c>
      <c r="BG1093" s="26">
        <f t="shared" ca="1" si="308"/>
        <v>0.55634517034927133</v>
      </c>
      <c r="BH1093" s="29">
        <f t="shared" ca="1" si="291"/>
        <v>209</v>
      </c>
      <c r="BJ1093" s="22">
        <v>45638</v>
      </c>
      <c r="BK1093" s="26">
        <f t="shared" ca="1" si="309"/>
        <v>0.97143731708156833</v>
      </c>
      <c r="BL1093" s="29">
        <f t="shared" ca="1" si="292"/>
        <v>255</v>
      </c>
      <c r="BN1093" s="22">
        <v>45638</v>
      </c>
      <c r="BO1093" s="26">
        <f t="shared" ca="1" si="310"/>
        <v>0.47080653317903132</v>
      </c>
      <c r="BP1093" s="29">
        <f t="shared" ca="1" si="293"/>
        <v>212</v>
      </c>
      <c r="BR1093" s="22">
        <v>45638</v>
      </c>
      <c r="BS1093" s="26">
        <f t="shared" ca="1" si="311"/>
        <v>0.64286707037073021</v>
      </c>
      <c r="BT1093" s="29">
        <f t="shared" ca="1" si="294"/>
        <v>177</v>
      </c>
      <c r="BV1093" s="22">
        <v>45638</v>
      </c>
      <c r="BW1093" s="26">
        <f t="shared" ca="1" si="312"/>
        <v>0.31680847571904125</v>
      </c>
      <c r="BX1093" s="29">
        <f t="shared" ca="1" si="295"/>
        <v>192</v>
      </c>
    </row>
    <row r="1094" spans="2:76" ht="15.75" customHeight="1" x14ac:dyDescent="0.2">
      <c r="B1094" s="22">
        <v>45639</v>
      </c>
      <c r="C1094" s="26">
        <f t="shared" ca="1" si="277"/>
        <v>0.1583618661926367</v>
      </c>
      <c r="D1094" s="29">
        <f t="shared" ca="1" si="278"/>
        <v>55</v>
      </c>
      <c r="F1094" s="22"/>
      <c r="G1094" s="26">
        <f t="shared" ca="1" si="296"/>
        <v>0.48920036447218973</v>
      </c>
      <c r="H1094" s="29">
        <f t="shared" ca="1" si="279"/>
        <v>216</v>
      </c>
      <c r="J1094" s="22">
        <v>45639</v>
      </c>
      <c r="K1094" s="26">
        <f t="shared" ca="1" si="297"/>
        <v>6.8811856377000269E-2</v>
      </c>
      <c r="L1094" s="29">
        <f t="shared" ca="1" si="280"/>
        <v>136</v>
      </c>
      <c r="N1094" s="22">
        <v>45639</v>
      </c>
      <c r="O1094" s="26">
        <f t="shared" ca="1" si="298"/>
        <v>0.32407777126971049</v>
      </c>
      <c r="P1094" s="29">
        <f t="shared" ca="1" si="281"/>
        <v>223</v>
      </c>
      <c r="R1094" s="22">
        <v>45639</v>
      </c>
      <c r="S1094" s="26">
        <f t="shared" ca="1" si="299"/>
        <v>0.51640896700061067</v>
      </c>
      <c r="T1094" s="29">
        <f t="shared" ca="1" si="282"/>
        <v>140</v>
      </c>
      <c r="V1094" s="22">
        <v>45639</v>
      </c>
      <c r="W1094" s="26">
        <f t="shared" ca="1" si="300"/>
        <v>7.7470605935923809E-2</v>
      </c>
      <c r="X1094" s="29">
        <f t="shared" ca="1" si="283"/>
        <v>204</v>
      </c>
      <c r="Z1094" s="22">
        <v>45639</v>
      </c>
      <c r="AA1094" s="26">
        <f t="shared" ca="1" si="301"/>
        <v>0.43328577382642652</v>
      </c>
      <c r="AB1094" s="29">
        <f t="shared" ca="1" si="284"/>
        <v>267</v>
      </c>
      <c r="AC1094"/>
      <c r="AD1094" s="25"/>
      <c r="AF1094" s="22">
        <v>45639</v>
      </c>
      <c r="AG1094" s="26">
        <f t="shared" ca="1" si="302"/>
        <v>0.29782872707114605</v>
      </c>
      <c r="AH1094" s="29">
        <f t="shared" ca="1" si="285"/>
        <v>281</v>
      </c>
      <c r="AJ1094" s="22">
        <v>45639</v>
      </c>
      <c r="AK1094" s="26">
        <f t="shared" ca="1" si="303"/>
        <v>0.10993173656845867</v>
      </c>
      <c r="AL1094" s="29">
        <f t="shared" ca="1" si="286"/>
        <v>115</v>
      </c>
      <c r="AN1094" s="22">
        <v>45639</v>
      </c>
      <c r="AO1094" s="26">
        <f t="shared" ca="1" si="304"/>
        <v>0.19980251067239385</v>
      </c>
      <c r="AP1094" s="29">
        <f t="shared" ca="1" si="287"/>
        <v>180</v>
      </c>
      <c r="AR1094" s="22">
        <v>45639</v>
      </c>
      <c r="AS1094" s="26">
        <f t="shared" ca="1" si="305"/>
        <v>0.72035516437250302</v>
      </c>
      <c r="AT1094" s="29">
        <f t="shared" ca="1" si="288"/>
        <v>229</v>
      </c>
      <c r="AV1094" s="22">
        <v>45639</v>
      </c>
      <c r="AW1094" s="26">
        <f t="shared" ca="1" si="306"/>
        <v>0.69713358066445474</v>
      </c>
      <c r="AX1094" s="29">
        <f t="shared" ca="1" si="289"/>
        <v>234</v>
      </c>
      <c r="AZ1094" s="22">
        <v>45639</v>
      </c>
      <c r="BA1094" s="26">
        <f t="shared" ca="1" si="307"/>
        <v>0.58305880192761028</v>
      </c>
      <c r="BB1094" s="29">
        <f t="shared" ca="1" si="290"/>
        <v>247</v>
      </c>
      <c r="BC1094"/>
      <c r="BD1094" s="25"/>
      <c r="BF1094" s="22">
        <v>45639</v>
      </c>
      <c r="BG1094" s="26">
        <f t="shared" ca="1" si="308"/>
        <v>0.50921462572371867</v>
      </c>
      <c r="BH1094" s="29">
        <f t="shared" ca="1" si="291"/>
        <v>202</v>
      </c>
      <c r="BJ1094" s="22">
        <v>45639</v>
      </c>
      <c r="BK1094" s="26">
        <f t="shared" ca="1" si="309"/>
        <v>0.15346689275492587</v>
      </c>
      <c r="BL1094" s="29">
        <f t="shared" ca="1" si="292"/>
        <v>123</v>
      </c>
      <c r="BN1094" s="22">
        <v>45639</v>
      </c>
      <c r="BO1094" s="26">
        <f t="shared" ca="1" si="310"/>
        <v>0.70089784473071171</v>
      </c>
      <c r="BP1094" s="29">
        <f t="shared" ca="1" si="293"/>
        <v>247</v>
      </c>
      <c r="BR1094" s="22">
        <v>45639</v>
      </c>
      <c r="BS1094" s="26">
        <f t="shared" ca="1" si="311"/>
        <v>0.29548056695667102</v>
      </c>
      <c r="BT1094" s="29">
        <f t="shared" ca="1" si="294"/>
        <v>138</v>
      </c>
      <c r="BV1094" s="22">
        <v>45639</v>
      </c>
      <c r="BW1094" s="26">
        <f t="shared" ca="1" si="312"/>
        <v>0.48356929802255866</v>
      </c>
      <c r="BX1094" s="29">
        <f t="shared" ca="1" si="295"/>
        <v>217</v>
      </c>
    </row>
    <row r="1095" spans="2:76" ht="15.75" customHeight="1" x14ac:dyDescent="0.2">
      <c r="B1095" s="22">
        <v>45640</v>
      </c>
      <c r="C1095" s="26">
        <f t="shared" ca="1" si="277"/>
        <v>0.87493416429609427</v>
      </c>
      <c r="D1095" s="29">
        <f t="shared" ca="1" si="278"/>
        <v>99</v>
      </c>
      <c r="F1095" s="22"/>
      <c r="G1095" s="26">
        <f t="shared" ca="1" si="296"/>
        <v>4.2420341876882928E-2</v>
      </c>
      <c r="H1095" s="29">
        <f t="shared" ca="1" si="279"/>
        <v>191</v>
      </c>
      <c r="J1095" s="22">
        <v>45640</v>
      </c>
      <c r="K1095" s="26">
        <f t="shared" ca="1" si="297"/>
        <v>0.63796260964014784</v>
      </c>
      <c r="L1095" s="29">
        <f t="shared" ca="1" si="280"/>
        <v>154</v>
      </c>
      <c r="N1095" s="22">
        <v>45640</v>
      </c>
      <c r="O1095" s="26">
        <f t="shared" ca="1" si="298"/>
        <v>1.9344552828147732E-2</v>
      </c>
      <c r="P1095" s="29">
        <f t="shared" ca="1" si="281"/>
        <v>198</v>
      </c>
      <c r="R1095" s="22">
        <v>45640</v>
      </c>
      <c r="S1095" s="26">
        <f t="shared" ca="1" si="299"/>
        <v>0.9872473871226296</v>
      </c>
      <c r="T1095" s="29">
        <f t="shared" ca="1" si="282"/>
        <v>160</v>
      </c>
      <c r="V1095" s="22">
        <v>45640</v>
      </c>
      <c r="W1095" s="26">
        <f t="shared" ca="1" si="300"/>
        <v>0.69733432748886792</v>
      </c>
      <c r="X1095" s="29">
        <f t="shared" ca="1" si="283"/>
        <v>233</v>
      </c>
      <c r="Z1095" s="22">
        <v>45640</v>
      </c>
      <c r="AA1095" s="26">
        <f t="shared" ca="1" si="301"/>
        <v>0.60495881837027032</v>
      </c>
      <c r="AB1095" s="29">
        <f t="shared" ca="1" si="284"/>
        <v>275</v>
      </c>
      <c r="AC1095"/>
      <c r="AD1095" s="25"/>
      <c r="AF1095" s="22">
        <v>45640</v>
      </c>
      <c r="AG1095" s="26">
        <f t="shared" ca="1" si="302"/>
        <v>0.96495805683579594</v>
      </c>
      <c r="AH1095" s="29">
        <f t="shared" ca="1" si="285"/>
        <v>485</v>
      </c>
      <c r="AJ1095" s="22">
        <v>45640</v>
      </c>
      <c r="AK1095" s="26">
        <f t="shared" ca="1" si="303"/>
        <v>0.89589471906495111</v>
      </c>
      <c r="AL1095" s="29">
        <f t="shared" ca="1" si="286"/>
        <v>228</v>
      </c>
      <c r="AN1095" s="22">
        <v>45640</v>
      </c>
      <c r="AO1095" s="26">
        <f t="shared" ca="1" si="304"/>
        <v>0.84844319387007805</v>
      </c>
      <c r="AP1095" s="29">
        <f t="shared" ca="1" si="287"/>
        <v>296</v>
      </c>
      <c r="AR1095" s="22">
        <v>45640</v>
      </c>
      <c r="AS1095" s="26">
        <f t="shared" ca="1" si="305"/>
        <v>0.63141603947529767</v>
      </c>
      <c r="AT1095" s="29">
        <f t="shared" ca="1" si="288"/>
        <v>216</v>
      </c>
      <c r="AV1095" s="22">
        <v>45640</v>
      </c>
      <c r="AW1095" s="26">
        <f t="shared" ca="1" si="306"/>
        <v>0.43136021349164766</v>
      </c>
      <c r="AX1095" s="29">
        <f t="shared" ca="1" si="289"/>
        <v>197</v>
      </c>
      <c r="AZ1095" s="22">
        <v>45640</v>
      </c>
      <c r="BA1095" s="26">
        <f t="shared" ca="1" si="307"/>
        <v>5.2335648687974023E-2</v>
      </c>
      <c r="BB1095" s="29">
        <f t="shared" ca="1" si="290"/>
        <v>133</v>
      </c>
      <c r="BC1095"/>
      <c r="BD1095" s="25"/>
      <c r="BF1095" s="22">
        <v>45640</v>
      </c>
      <c r="BG1095" s="26">
        <f t="shared" ca="1" si="308"/>
        <v>0.70937162210110183</v>
      </c>
      <c r="BH1095" s="29">
        <f t="shared" ca="1" si="291"/>
        <v>231</v>
      </c>
      <c r="BJ1095" s="22">
        <v>45640</v>
      </c>
      <c r="BK1095" s="26">
        <f t="shared" ca="1" si="309"/>
        <v>0.37177449011155927</v>
      </c>
      <c r="BL1095" s="29">
        <f t="shared" ca="1" si="292"/>
        <v>154</v>
      </c>
      <c r="BN1095" s="22">
        <v>45640</v>
      </c>
      <c r="BO1095" s="26">
        <f t="shared" ca="1" si="310"/>
        <v>0.94214314466336957</v>
      </c>
      <c r="BP1095" s="29">
        <f t="shared" ca="1" si="293"/>
        <v>307</v>
      </c>
      <c r="BR1095" s="22">
        <v>45640</v>
      </c>
      <c r="BS1095" s="26">
        <f t="shared" ca="1" si="311"/>
        <v>1.1372199294258034E-2</v>
      </c>
      <c r="BT1095" s="29">
        <f t="shared" ca="1" si="294"/>
        <v>64</v>
      </c>
      <c r="BV1095" s="22">
        <v>45640</v>
      </c>
      <c r="BW1095" s="26">
        <f t="shared" ca="1" si="312"/>
        <v>0.34449314063490599</v>
      </c>
      <c r="BX1095" s="29">
        <f t="shared" ca="1" si="295"/>
        <v>196</v>
      </c>
    </row>
    <row r="1096" spans="2:76" ht="15.75" customHeight="1" x14ac:dyDescent="0.2">
      <c r="B1096" s="22">
        <v>45641</v>
      </c>
      <c r="C1096" s="26">
        <f t="shared" ca="1" si="277"/>
        <v>0.1795197585662579</v>
      </c>
      <c r="D1096" s="29">
        <f t="shared" ca="1" si="278"/>
        <v>57</v>
      </c>
      <c r="F1096" s="22"/>
      <c r="G1096" s="26">
        <f t="shared" ca="1" si="296"/>
        <v>0.435723759880985</v>
      </c>
      <c r="H1096" s="29">
        <f t="shared" ca="1" si="279"/>
        <v>214</v>
      </c>
      <c r="J1096" s="22">
        <v>45641</v>
      </c>
      <c r="K1096" s="26">
        <f t="shared" ca="1" si="297"/>
        <v>0.59209545262153007</v>
      </c>
      <c r="L1096" s="29">
        <f t="shared" ca="1" si="280"/>
        <v>153</v>
      </c>
      <c r="N1096" s="22">
        <v>45641</v>
      </c>
      <c r="O1096" s="26">
        <f t="shared" ca="1" si="298"/>
        <v>0.19348758693617907</v>
      </c>
      <c r="P1096" s="29">
        <f t="shared" ca="1" si="281"/>
        <v>217</v>
      </c>
      <c r="R1096" s="22">
        <v>45641</v>
      </c>
      <c r="S1096" s="26">
        <f t="shared" ca="1" si="299"/>
        <v>0.32433097174514391</v>
      </c>
      <c r="T1096" s="29">
        <f t="shared" ca="1" si="282"/>
        <v>135</v>
      </c>
      <c r="V1096" s="22">
        <v>45641</v>
      </c>
      <c r="W1096" s="26">
        <f t="shared" ca="1" si="300"/>
        <v>7.7466465374465887E-2</v>
      </c>
      <c r="X1096" s="29">
        <f t="shared" ca="1" si="283"/>
        <v>204</v>
      </c>
      <c r="Z1096" s="22">
        <v>45641</v>
      </c>
      <c r="AA1096" s="26">
        <f t="shared" ca="1" si="301"/>
        <v>0.13534233485865999</v>
      </c>
      <c r="AB1096" s="29">
        <f t="shared" ca="1" si="284"/>
        <v>251</v>
      </c>
      <c r="AC1096"/>
      <c r="AD1096" s="25"/>
      <c r="AF1096" s="22">
        <v>45641</v>
      </c>
      <c r="AG1096" s="26">
        <f t="shared" ca="1" si="302"/>
        <v>0.55971267271014902</v>
      </c>
      <c r="AH1096" s="29">
        <f t="shared" ca="1" si="285"/>
        <v>341</v>
      </c>
      <c r="AJ1096" s="22">
        <v>45641</v>
      </c>
      <c r="AK1096" s="26">
        <f t="shared" ca="1" si="303"/>
        <v>0.29683552641512456</v>
      </c>
      <c r="AL1096" s="29">
        <f t="shared" ca="1" si="286"/>
        <v>147</v>
      </c>
      <c r="AN1096" s="22">
        <v>45641</v>
      </c>
      <c r="AO1096" s="26">
        <f t="shared" ca="1" si="304"/>
        <v>0.48511545884072582</v>
      </c>
      <c r="AP1096" s="29">
        <f t="shared" ca="1" si="287"/>
        <v>230</v>
      </c>
      <c r="AR1096" s="22">
        <v>45641</v>
      </c>
      <c r="AS1096" s="26">
        <f t="shared" ca="1" si="305"/>
        <v>0.69554925733937356</v>
      </c>
      <c r="AT1096" s="29">
        <f t="shared" ca="1" si="288"/>
        <v>226</v>
      </c>
      <c r="AV1096" s="22">
        <v>45641</v>
      </c>
      <c r="AW1096" s="26">
        <f t="shared" ca="1" si="306"/>
        <v>0.92061668480067205</v>
      </c>
      <c r="AX1096" s="29">
        <f t="shared" ca="1" si="289"/>
        <v>283</v>
      </c>
      <c r="AZ1096" s="22">
        <v>45641</v>
      </c>
      <c r="BA1096" s="26">
        <f t="shared" ca="1" si="307"/>
        <v>0.97282395256854848</v>
      </c>
      <c r="BB1096" s="29">
        <f t="shared" ca="1" si="290"/>
        <v>354</v>
      </c>
      <c r="BC1096"/>
      <c r="BD1096" s="25"/>
      <c r="BF1096" s="22">
        <v>45641</v>
      </c>
      <c r="BG1096" s="26">
        <f t="shared" ca="1" si="308"/>
        <v>0.29316939085047389</v>
      </c>
      <c r="BH1096" s="29">
        <f t="shared" ca="1" si="291"/>
        <v>172</v>
      </c>
      <c r="BJ1096" s="22">
        <v>45641</v>
      </c>
      <c r="BK1096" s="26">
        <f t="shared" ca="1" si="309"/>
        <v>0.11320400742910042</v>
      </c>
      <c r="BL1096" s="29">
        <f t="shared" ca="1" si="292"/>
        <v>115</v>
      </c>
      <c r="BN1096" s="22">
        <v>45641</v>
      </c>
      <c r="BO1096" s="26">
        <f t="shared" ca="1" si="310"/>
        <v>7.0511738428130299E-2</v>
      </c>
      <c r="BP1096" s="29">
        <f t="shared" ca="1" si="293"/>
        <v>132</v>
      </c>
      <c r="BR1096" s="22">
        <v>45641</v>
      </c>
      <c r="BS1096" s="26">
        <f t="shared" ca="1" si="311"/>
        <v>0.85671418130312493</v>
      </c>
      <c r="BT1096" s="29">
        <f t="shared" ca="1" si="294"/>
        <v>207</v>
      </c>
      <c r="BV1096" s="22">
        <v>45641</v>
      </c>
      <c r="BW1096" s="26">
        <f t="shared" ca="1" si="312"/>
        <v>0.64447624551163074</v>
      </c>
      <c r="BX1096" s="29">
        <f t="shared" ca="1" si="295"/>
        <v>241</v>
      </c>
    </row>
    <row r="1097" spans="2:76" ht="15.75" customHeight="1" x14ac:dyDescent="0.2">
      <c r="B1097" s="22">
        <v>45642</v>
      </c>
      <c r="C1097" s="26">
        <f t="shared" ca="1" si="277"/>
        <v>0.98271343062524152</v>
      </c>
      <c r="D1097" s="29">
        <f t="shared" ca="1" si="278"/>
        <v>118</v>
      </c>
      <c r="F1097" s="22"/>
      <c r="G1097" s="26">
        <f t="shared" ca="1" si="296"/>
        <v>0.42278810578500103</v>
      </c>
      <c r="H1097" s="29">
        <f t="shared" ca="1" si="279"/>
        <v>213</v>
      </c>
      <c r="J1097" s="22">
        <v>45642</v>
      </c>
      <c r="K1097" s="26">
        <f t="shared" ca="1" si="297"/>
        <v>0.37050735527522183</v>
      </c>
      <c r="L1097" s="29">
        <f t="shared" ca="1" si="280"/>
        <v>147</v>
      </c>
      <c r="N1097" s="22">
        <v>45642</v>
      </c>
      <c r="O1097" s="26">
        <f t="shared" ca="1" si="298"/>
        <v>0.25261096478828349</v>
      </c>
      <c r="P1097" s="29">
        <f t="shared" ca="1" si="281"/>
        <v>220</v>
      </c>
      <c r="R1097" s="22">
        <v>45642</v>
      </c>
      <c r="S1097" s="26">
        <f t="shared" ca="1" si="299"/>
        <v>0.65260501895262346</v>
      </c>
      <c r="T1097" s="29">
        <f t="shared" ca="1" si="282"/>
        <v>143</v>
      </c>
      <c r="V1097" s="22">
        <v>45642</v>
      </c>
      <c r="W1097" s="26">
        <f t="shared" ca="1" si="300"/>
        <v>0.90719177968340758</v>
      </c>
      <c r="X1097" s="29">
        <f t="shared" ca="1" si="283"/>
        <v>245</v>
      </c>
      <c r="Z1097" s="22">
        <v>45642</v>
      </c>
      <c r="AA1097" s="26">
        <f t="shared" ca="1" si="301"/>
        <v>0.23414830146538534</v>
      </c>
      <c r="AB1097" s="29">
        <f t="shared" ca="1" si="284"/>
        <v>257</v>
      </c>
      <c r="AC1097"/>
      <c r="AD1097" s="25"/>
      <c r="AF1097" s="22">
        <v>45642</v>
      </c>
      <c r="AG1097" s="26">
        <f t="shared" ca="1" si="302"/>
        <v>2.6224639165849828E-2</v>
      </c>
      <c r="AH1097" s="29">
        <f t="shared" ca="1" si="285"/>
        <v>158</v>
      </c>
      <c r="AJ1097" s="22">
        <v>45642</v>
      </c>
      <c r="AK1097" s="26">
        <f t="shared" ca="1" si="303"/>
        <v>1.355426884645039E-2</v>
      </c>
      <c r="AL1097" s="29">
        <f t="shared" ca="1" si="286"/>
        <v>70</v>
      </c>
      <c r="AN1097" s="22">
        <v>45642</v>
      </c>
      <c r="AO1097" s="26">
        <f t="shared" ca="1" si="304"/>
        <v>0.84920332649871533</v>
      </c>
      <c r="AP1097" s="29">
        <f t="shared" ca="1" si="287"/>
        <v>296</v>
      </c>
      <c r="AR1097" s="22">
        <v>45642</v>
      </c>
      <c r="AS1097" s="26">
        <f t="shared" ca="1" si="305"/>
        <v>0.63313662896231904</v>
      </c>
      <c r="AT1097" s="29">
        <f t="shared" ca="1" si="288"/>
        <v>216</v>
      </c>
      <c r="AV1097" s="22">
        <v>45642</v>
      </c>
      <c r="AW1097" s="26">
        <f t="shared" ca="1" si="306"/>
        <v>0.34304963236971919</v>
      </c>
      <c r="AX1097" s="29">
        <f t="shared" ca="1" si="289"/>
        <v>184</v>
      </c>
      <c r="AZ1097" s="22">
        <v>45642</v>
      </c>
      <c r="BA1097" s="26">
        <f t="shared" ca="1" si="307"/>
        <v>0.96870838060861075</v>
      </c>
      <c r="BB1097" s="29">
        <f t="shared" ca="1" si="290"/>
        <v>350</v>
      </c>
      <c r="BC1097"/>
      <c r="BD1097" s="25"/>
      <c r="BF1097" s="22">
        <v>45642</v>
      </c>
      <c r="BG1097" s="26">
        <f t="shared" ca="1" si="308"/>
        <v>0.58000333593880593</v>
      </c>
      <c r="BH1097" s="29">
        <f t="shared" ca="1" si="291"/>
        <v>212</v>
      </c>
      <c r="BJ1097" s="22">
        <v>45642</v>
      </c>
      <c r="BK1097" s="26">
        <f t="shared" ca="1" si="309"/>
        <v>0.91769068486966199</v>
      </c>
      <c r="BL1097" s="29">
        <f t="shared" ca="1" si="292"/>
        <v>232</v>
      </c>
      <c r="BN1097" s="22">
        <v>45642</v>
      </c>
      <c r="BO1097" s="26">
        <f t="shared" ca="1" si="310"/>
        <v>5.1972014664986355E-2</v>
      </c>
      <c r="BP1097" s="29">
        <f t="shared" ca="1" si="293"/>
        <v>123</v>
      </c>
      <c r="BR1097" s="22">
        <v>45642</v>
      </c>
      <c r="BS1097" s="26">
        <f t="shared" ca="1" si="311"/>
        <v>0.1762537746687296</v>
      </c>
      <c r="BT1097" s="29">
        <f t="shared" ca="1" si="294"/>
        <v>121</v>
      </c>
      <c r="BV1097" s="22">
        <v>45642</v>
      </c>
      <c r="BW1097" s="26">
        <f t="shared" ca="1" si="312"/>
        <v>0.55606097741066318</v>
      </c>
      <c r="BX1097" s="29">
        <f t="shared" ca="1" si="295"/>
        <v>228</v>
      </c>
    </row>
    <row r="1098" spans="2:76" ht="15.75" customHeight="1" x14ac:dyDescent="0.2">
      <c r="B1098" s="22">
        <v>45643</v>
      </c>
      <c r="C1098" s="26">
        <f t="shared" ca="1" si="277"/>
        <v>5.0381580468310871E-2</v>
      </c>
      <c r="D1098" s="29">
        <f t="shared" ca="1" si="278"/>
        <v>43</v>
      </c>
      <c r="F1098" s="22"/>
      <c r="G1098" s="26">
        <f t="shared" ca="1" si="296"/>
        <v>0.6364289135374811</v>
      </c>
      <c r="H1098" s="29">
        <f t="shared" ca="1" si="279"/>
        <v>221</v>
      </c>
      <c r="J1098" s="22">
        <v>45643</v>
      </c>
      <c r="K1098" s="26">
        <f t="shared" ca="1" si="297"/>
        <v>0.17243881699867081</v>
      </c>
      <c r="L1098" s="29">
        <f t="shared" ca="1" si="280"/>
        <v>141</v>
      </c>
      <c r="N1098" s="22">
        <v>45643</v>
      </c>
      <c r="O1098" s="26">
        <f t="shared" ca="1" si="298"/>
        <v>7.7587070957224946E-2</v>
      </c>
      <c r="P1098" s="29">
        <f t="shared" ca="1" si="281"/>
        <v>208</v>
      </c>
      <c r="R1098" s="22">
        <v>45643</v>
      </c>
      <c r="S1098" s="26">
        <f t="shared" ca="1" si="299"/>
        <v>0.68350394252013458</v>
      </c>
      <c r="T1098" s="29">
        <f t="shared" ca="1" si="282"/>
        <v>144</v>
      </c>
      <c r="V1098" s="22">
        <v>45643</v>
      </c>
      <c r="W1098" s="26">
        <f t="shared" ca="1" si="300"/>
        <v>0.91244247666481515</v>
      </c>
      <c r="X1098" s="29">
        <f t="shared" ca="1" si="283"/>
        <v>246</v>
      </c>
      <c r="Z1098" s="22">
        <v>45643</v>
      </c>
      <c r="AA1098" s="26">
        <f t="shared" ca="1" si="301"/>
        <v>0.12860483135003042</v>
      </c>
      <c r="AB1098" s="29">
        <f t="shared" ca="1" si="284"/>
        <v>250</v>
      </c>
      <c r="AC1098"/>
      <c r="AD1098" s="25"/>
      <c r="AF1098" s="22">
        <v>45643</v>
      </c>
      <c r="AG1098" s="26">
        <f t="shared" ca="1" si="302"/>
        <v>0.59105774244624631</v>
      </c>
      <c r="AH1098" s="29">
        <f t="shared" ca="1" si="285"/>
        <v>348</v>
      </c>
      <c r="AJ1098" s="22">
        <v>45643</v>
      </c>
      <c r="AK1098" s="26">
        <f t="shared" ca="1" si="303"/>
        <v>0.91510225851432581</v>
      </c>
      <c r="AL1098" s="29">
        <f t="shared" ca="1" si="286"/>
        <v>233</v>
      </c>
      <c r="AN1098" s="22">
        <v>45643</v>
      </c>
      <c r="AO1098" s="26">
        <f t="shared" ca="1" si="304"/>
        <v>0.74037610963339684</v>
      </c>
      <c r="AP1098" s="29">
        <f t="shared" ca="1" si="287"/>
        <v>272</v>
      </c>
      <c r="AR1098" s="22">
        <v>45643</v>
      </c>
      <c r="AS1098" s="26">
        <f t="shared" ca="1" si="305"/>
        <v>0.74339391208985162</v>
      </c>
      <c r="AT1098" s="29">
        <f t="shared" ca="1" si="288"/>
        <v>233</v>
      </c>
      <c r="AV1098" s="22">
        <v>45643</v>
      </c>
      <c r="AW1098" s="26">
        <f t="shared" ca="1" si="306"/>
        <v>0.23859923285914375</v>
      </c>
      <c r="AX1098" s="29">
        <f t="shared" ca="1" si="289"/>
        <v>167</v>
      </c>
      <c r="AZ1098" s="22">
        <v>45643</v>
      </c>
      <c r="BA1098" s="26">
        <f t="shared" ca="1" si="307"/>
        <v>0.28864213151515039</v>
      </c>
      <c r="BB1098" s="29">
        <f t="shared" ca="1" si="290"/>
        <v>199</v>
      </c>
      <c r="BC1098"/>
      <c r="BD1098" s="25"/>
      <c r="BF1098" s="22">
        <v>45643</v>
      </c>
      <c r="BG1098" s="26">
        <f t="shared" ca="1" si="308"/>
        <v>0.46794625280159541</v>
      </c>
      <c r="BH1098" s="29">
        <f t="shared" ca="1" si="291"/>
        <v>197</v>
      </c>
      <c r="BJ1098" s="22">
        <v>45643</v>
      </c>
      <c r="BK1098" s="26">
        <f t="shared" ca="1" si="309"/>
        <v>0.15126119582320952</v>
      </c>
      <c r="BL1098" s="29">
        <f t="shared" ca="1" si="292"/>
        <v>123</v>
      </c>
      <c r="BN1098" s="22">
        <v>45643</v>
      </c>
      <c r="BO1098" s="26">
        <f t="shared" ca="1" si="310"/>
        <v>0.68591832321349755</v>
      </c>
      <c r="BP1098" s="29">
        <f t="shared" ca="1" si="293"/>
        <v>244</v>
      </c>
      <c r="BR1098" s="22">
        <v>45643</v>
      </c>
      <c r="BS1098" s="26">
        <f t="shared" ca="1" si="311"/>
        <v>0.54447627866279202</v>
      </c>
      <c r="BT1098" s="29">
        <f t="shared" ca="1" si="294"/>
        <v>166</v>
      </c>
      <c r="BV1098" s="22">
        <v>45643</v>
      </c>
      <c r="BW1098" s="26">
        <f t="shared" ca="1" si="312"/>
        <v>1.8562948948879665E-2</v>
      </c>
      <c r="BX1098" s="29">
        <f t="shared" ca="1" si="295"/>
        <v>98</v>
      </c>
    </row>
    <row r="1099" spans="2:76" ht="15.75" customHeight="1" x14ac:dyDescent="0.2">
      <c r="B1099" s="22">
        <v>45644</v>
      </c>
      <c r="C1099" s="26">
        <f t="shared" ca="1" si="277"/>
        <v>0.83035440731671406</v>
      </c>
      <c r="D1099" s="29">
        <v>0</v>
      </c>
      <c r="F1099" s="22"/>
      <c r="G1099" s="26">
        <f t="shared" ca="1" si="296"/>
        <v>0.42786452247896056</v>
      </c>
      <c r="H1099" s="29">
        <v>0</v>
      </c>
      <c r="J1099" s="22">
        <v>45644</v>
      </c>
      <c r="K1099" s="26">
        <f t="shared" ca="1" si="297"/>
        <v>0.5294211237803027</v>
      </c>
      <c r="L1099" s="29">
        <v>0</v>
      </c>
      <c r="N1099" s="22">
        <v>45644</v>
      </c>
      <c r="O1099" s="26">
        <f t="shared" ca="1" si="298"/>
        <v>0.94507737723511798</v>
      </c>
      <c r="P1099" s="29">
        <v>0</v>
      </c>
      <c r="R1099" s="22">
        <v>45644</v>
      </c>
      <c r="S1099" s="26">
        <f t="shared" ca="1" si="299"/>
        <v>0.2945026851761513</v>
      </c>
      <c r="T1099" s="29">
        <v>0</v>
      </c>
      <c r="V1099" s="22">
        <v>45644</v>
      </c>
      <c r="W1099" s="26">
        <f t="shared" ca="1" si="300"/>
        <v>0.45434177235998596</v>
      </c>
      <c r="X1099" s="29">
        <v>0</v>
      </c>
      <c r="Z1099" s="22">
        <v>45644</v>
      </c>
      <c r="AA1099" s="26">
        <f t="shared" ca="1" si="301"/>
        <v>0.94703869390798068</v>
      </c>
      <c r="AB1099" s="29">
        <v>0</v>
      </c>
      <c r="AC1099"/>
      <c r="AD1099" s="25"/>
      <c r="AF1099" s="22">
        <v>45644</v>
      </c>
      <c r="AG1099" s="26">
        <f t="shared" ca="1" si="302"/>
        <v>3.5549935667558819E-2</v>
      </c>
      <c r="AH1099" s="29">
        <v>0</v>
      </c>
      <c r="AJ1099" s="22">
        <v>45644</v>
      </c>
      <c r="AK1099" s="26">
        <f t="shared" ca="1" si="303"/>
        <v>0.37423264809166434</v>
      </c>
      <c r="AL1099" s="29">
        <v>0</v>
      </c>
      <c r="AN1099" s="22">
        <v>45644</v>
      </c>
      <c r="AO1099" s="26">
        <f t="shared" ca="1" si="304"/>
        <v>0.33939263267772823</v>
      </c>
      <c r="AP1099" s="29">
        <v>0</v>
      </c>
      <c r="AR1099" s="22">
        <v>45644</v>
      </c>
      <c r="AS1099" s="26">
        <f t="shared" ca="1" si="305"/>
        <v>8.7666962155305117E-2</v>
      </c>
      <c r="AT1099" s="29">
        <v>0</v>
      </c>
      <c r="AV1099" s="22">
        <v>45644</v>
      </c>
      <c r="AW1099" s="26">
        <f t="shared" ca="1" si="306"/>
        <v>0.26379459207445144</v>
      </c>
      <c r="AX1099" s="29">
        <v>0</v>
      </c>
      <c r="AZ1099" s="22">
        <v>45644</v>
      </c>
      <c r="BA1099" s="26">
        <f t="shared" ca="1" si="307"/>
        <v>0.18859276990699014</v>
      </c>
      <c r="BB1099" s="29">
        <v>0</v>
      </c>
      <c r="BC1099"/>
      <c r="BD1099" s="25"/>
      <c r="BF1099" s="22">
        <v>45644</v>
      </c>
      <c r="BG1099" s="26">
        <f t="shared" ca="1" si="308"/>
        <v>0.6987060918823742</v>
      </c>
      <c r="BH1099" s="29">
        <v>0</v>
      </c>
      <c r="BJ1099" s="22">
        <v>45644</v>
      </c>
      <c r="BK1099" s="26">
        <f t="shared" ca="1" si="309"/>
        <v>0.65160080650768826</v>
      </c>
      <c r="BL1099" s="29">
        <v>0</v>
      </c>
      <c r="BN1099" s="22">
        <v>45644</v>
      </c>
      <c r="BO1099" s="26">
        <f t="shared" ca="1" si="310"/>
        <v>0.96418928989876529</v>
      </c>
      <c r="BP1099" s="29">
        <v>0</v>
      </c>
      <c r="BR1099" s="22">
        <v>45644</v>
      </c>
      <c r="BS1099" s="26">
        <f t="shared" ca="1" si="311"/>
        <v>0.7503757819071768</v>
      </c>
      <c r="BT1099" s="29">
        <v>0</v>
      </c>
      <c r="BV1099" s="22">
        <v>45644</v>
      </c>
      <c r="BW1099" s="26">
        <f t="shared" ca="1" si="312"/>
        <v>0.64227258492460426</v>
      </c>
      <c r="BX1099" s="29">
        <v>0</v>
      </c>
    </row>
    <row r="1100" spans="2:76" ht="15.75" customHeight="1" x14ac:dyDescent="0.2">
      <c r="B1100" s="22">
        <v>45645</v>
      </c>
      <c r="C1100" s="26">
        <f t="shared" ca="1" si="277"/>
        <v>0.25422675417266971</v>
      </c>
      <c r="D1100" s="29">
        <v>0</v>
      </c>
      <c r="F1100" s="22"/>
      <c r="G1100" s="26">
        <f t="shared" ca="1" si="296"/>
        <v>0.96197299693009863</v>
      </c>
      <c r="H1100" s="29">
        <v>0</v>
      </c>
      <c r="J1100" s="22">
        <v>45645</v>
      </c>
      <c r="K1100" s="26">
        <f t="shared" ca="1" si="297"/>
        <v>0.19378084442850485</v>
      </c>
      <c r="L1100" s="29">
        <v>0</v>
      </c>
      <c r="N1100" s="22">
        <v>45645</v>
      </c>
      <c r="O1100" s="26">
        <f t="shared" ca="1" si="298"/>
        <v>0.34591829077283831</v>
      </c>
      <c r="P1100" s="29">
        <v>0</v>
      </c>
      <c r="R1100" s="22">
        <v>45645</v>
      </c>
      <c r="S1100" s="26">
        <f t="shared" ca="1" si="299"/>
        <v>0.70584935821999795</v>
      </c>
      <c r="T1100" s="29">
        <v>0</v>
      </c>
      <c r="V1100" s="22">
        <v>45645</v>
      </c>
      <c r="W1100" s="26">
        <f t="shared" ca="1" si="300"/>
        <v>9.1972882093503516E-2</v>
      </c>
      <c r="X1100" s="29">
        <v>0</v>
      </c>
      <c r="Z1100" s="22">
        <v>45645</v>
      </c>
      <c r="AA1100" s="26">
        <f t="shared" ca="1" si="301"/>
        <v>8.2208638180097493E-2</v>
      </c>
      <c r="AB1100" s="29">
        <v>0</v>
      </c>
      <c r="AC1100"/>
      <c r="AD1100" s="25"/>
      <c r="AF1100" s="22">
        <v>45645</v>
      </c>
      <c r="AG1100" s="26">
        <f t="shared" ca="1" si="302"/>
        <v>0.23695103191273492</v>
      </c>
      <c r="AH1100" s="29">
        <v>0</v>
      </c>
      <c r="AJ1100" s="22">
        <v>45645</v>
      </c>
      <c r="AK1100" s="26">
        <f t="shared" ca="1" si="303"/>
        <v>0.46344610630323513</v>
      </c>
      <c r="AL1100" s="29">
        <v>0</v>
      </c>
      <c r="AN1100" s="22">
        <v>45645</v>
      </c>
      <c r="AO1100" s="26">
        <f t="shared" ca="1" si="304"/>
        <v>0.2033554303107693</v>
      </c>
      <c r="AP1100" s="29">
        <v>0</v>
      </c>
      <c r="AR1100" s="22">
        <v>45645</v>
      </c>
      <c r="AS1100" s="26">
        <f t="shared" ca="1" si="305"/>
        <v>0.19769750758757987</v>
      </c>
      <c r="AT1100" s="29">
        <v>0</v>
      </c>
      <c r="AV1100" s="22">
        <v>45645</v>
      </c>
      <c r="AW1100" s="26">
        <f t="shared" ca="1" si="306"/>
        <v>9.6926808644069884E-2</v>
      </c>
      <c r="AX1100" s="29">
        <v>0</v>
      </c>
      <c r="AZ1100" s="22">
        <v>45645</v>
      </c>
      <c r="BA1100" s="26">
        <f t="shared" ca="1" si="307"/>
        <v>0.60696413259053517</v>
      </c>
      <c r="BB1100" s="29">
        <v>0</v>
      </c>
      <c r="BC1100"/>
      <c r="BD1100" s="25"/>
      <c r="BF1100" s="22">
        <v>45645</v>
      </c>
      <c r="BG1100" s="26">
        <f t="shared" ca="1" si="308"/>
        <v>0.59359811536410589</v>
      </c>
      <c r="BH1100" s="29">
        <v>0</v>
      </c>
      <c r="BJ1100" s="22">
        <v>45645</v>
      </c>
      <c r="BK1100" s="26">
        <f t="shared" ca="1" si="309"/>
        <v>0.69744651895068388</v>
      </c>
      <c r="BL1100" s="29">
        <v>0</v>
      </c>
      <c r="BN1100" s="22">
        <v>45645</v>
      </c>
      <c r="BO1100" s="26">
        <f t="shared" ca="1" si="310"/>
        <v>0.4937396780737231</v>
      </c>
      <c r="BP1100" s="29">
        <v>0</v>
      </c>
      <c r="BR1100" s="22">
        <v>45645</v>
      </c>
      <c r="BS1100" s="26">
        <f t="shared" ca="1" si="311"/>
        <v>0.85674166132875385</v>
      </c>
      <c r="BT1100" s="29">
        <v>0</v>
      </c>
      <c r="BV1100" s="22">
        <v>45645</v>
      </c>
      <c r="BW1100" s="26">
        <f t="shared" ca="1" si="312"/>
        <v>0.77445261606409554</v>
      </c>
      <c r="BX1100" s="29">
        <v>0</v>
      </c>
    </row>
    <row r="1101" spans="2:76" ht="15.75" customHeight="1" x14ac:dyDescent="0.2">
      <c r="B1101" s="22">
        <v>45646</v>
      </c>
      <c r="C1101" s="26">
        <f t="shared" ca="1" si="277"/>
        <v>0.5829822406542331</v>
      </c>
      <c r="D1101" s="29">
        <v>0</v>
      </c>
      <c r="F1101" s="22"/>
      <c r="G1101" s="26">
        <f t="shared" ca="1" si="296"/>
        <v>4.5254003652707708E-2</v>
      </c>
      <c r="H1101" s="29">
        <v>0</v>
      </c>
      <c r="J1101" s="22">
        <v>45646</v>
      </c>
      <c r="K1101" s="26">
        <f t="shared" ca="1" si="297"/>
        <v>0.34024889244101264</v>
      </c>
      <c r="L1101" s="29">
        <v>0</v>
      </c>
      <c r="N1101" s="22">
        <v>45646</v>
      </c>
      <c r="O1101" s="26">
        <f t="shared" ca="1" si="298"/>
        <v>0.55701580506212012</v>
      </c>
      <c r="P1101" s="29">
        <v>0</v>
      </c>
      <c r="R1101" s="22">
        <v>45646</v>
      </c>
      <c r="S1101" s="26">
        <f t="shared" ca="1" si="299"/>
        <v>0.72538994566270132</v>
      </c>
      <c r="T1101" s="29">
        <v>0</v>
      </c>
      <c r="V1101" s="22">
        <v>45646</v>
      </c>
      <c r="W1101" s="26">
        <f t="shared" ca="1" si="300"/>
        <v>0.6927216265200864</v>
      </c>
      <c r="X1101" s="29">
        <v>0</v>
      </c>
      <c r="Z1101" s="22">
        <v>45646</v>
      </c>
      <c r="AA1101" s="26">
        <f t="shared" ca="1" si="301"/>
        <v>0.2248619326938559</v>
      </c>
      <c r="AB1101" s="29">
        <v>0</v>
      </c>
      <c r="AC1101"/>
      <c r="AD1101" s="25"/>
      <c r="AF1101" s="22">
        <v>45646</v>
      </c>
      <c r="AG1101" s="26">
        <f t="shared" ca="1" si="302"/>
        <v>0.44009331886436287</v>
      </c>
      <c r="AH1101" s="29">
        <v>0</v>
      </c>
      <c r="AJ1101" s="22">
        <v>45646</v>
      </c>
      <c r="AK1101" s="26">
        <f t="shared" ca="1" si="303"/>
        <v>0.220538524622371</v>
      </c>
      <c r="AL1101" s="29">
        <v>0</v>
      </c>
      <c r="AN1101" s="22">
        <v>45646</v>
      </c>
      <c r="AO1101" s="26">
        <f t="shared" ca="1" si="304"/>
        <v>0.92092573814111967</v>
      </c>
      <c r="AP1101" s="29">
        <v>0</v>
      </c>
      <c r="AR1101" s="22">
        <v>45646</v>
      </c>
      <c r="AS1101" s="26">
        <f t="shared" ca="1" si="305"/>
        <v>0.28027495015573367</v>
      </c>
      <c r="AT1101" s="29">
        <v>0</v>
      </c>
      <c r="AV1101" s="22">
        <v>45646</v>
      </c>
      <c r="AW1101" s="26">
        <f t="shared" ca="1" si="306"/>
        <v>0.5265734368243753</v>
      </c>
      <c r="AX1101" s="29">
        <v>0</v>
      </c>
      <c r="AZ1101" s="22">
        <v>45646</v>
      </c>
      <c r="BA1101" s="26">
        <f t="shared" ca="1" si="307"/>
        <v>0.27954034262432859</v>
      </c>
      <c r="BB1101" s="29">
        <v>0</v>
      </c>
      <c r="BC1101"/>
      <c r="BD1101" s="25"/>
      <c r="BF1101" s="22">
        <v>45646</v>
      </c>
      <c r="BG1101" s="26">
        <f t="shared" ca="1" si="308"/>
        <v>0.37696088361887981</v>
      </c>
      <c r="BH1101" s="29">
        <v>0</v>
      </c>
      <c r="BJ1101" s="22">
        <v>45646</v>
      </c>
      <c r="BK1101" s="26">
        <f t="shared" ca="1" si="309"/>
        <v>0.80512118669563371</v>
      </c>
      <c r="BL1101" s="29">
        <v>0</v>
      </c>
      <c r="BN1101" s="22">
        <v>45646</v>
      </c>
      <c r="BO1101" s="26">
        <f t="shared" ca="1" si="310"/>
        <v>0.69327161846615326</v>
      </c>
      <c r="BP1101" s="29">
        <v>0</v>
      </c>
      <c r="BR1101" s="22">
        <v>45646</v>
      </c>
      <c r="BS1101" s="26">
        <f t="shared" ca="1" si="311"/>
        <v>0.76166501857666324</v>
      </c>
      <c r="BT1101" s="29">
        <v>0</v>
      </c>
      <c r="BV1101" s="22">
        <v>45646</v>
      </c>
      <c r="BW1101" s="26">
        <f t="shared" ca="1" si="312"/>
        <v>0.45182558023962038</v>
      </c>
      <c r="BX1101" s="29">
        <v>0</v>
      </c>
    </row>
    <row r="1102" spans="2:76" ht="15.75" customHeight="1" x14ac:dyDescent="0.2">
      <c r="B1102" s="22">
        <v>45647</v>
      </c>
      <c r="C1102" s="26">
        <f t="shared" ca="1" si="277"/>
        <v>0.36296846261121396</v>
      </c>
      <c r="D1102" s="29">
        <v>0</v>
      </c>
      <c r="F1102" s="22"/>
      <c r="G1102" s="26">
        <f t="shared" ca="1" si="296"/>
        <v>0.27173594153776814</v>
      </c>
      <c r="H1102" s="29">
        <v>0</v>
      </c>
      <c r="J1102" s="22">
        <v>45647</v>
      </c>
      <c r="K1102" s="26">
        <f t="shared" ca="1" si="297"/>
        <v>2.6561171215956914E-2</v>
      </c>
      <c r="L1102" s="29">
        <v>0</v>
      </c>
      <c r="N1102" s="22">
        <v>45647</v>
      </c>
      <c r="O1102" s="26">
        <f t="shared" ca="1" si="298"/>
        <v>0.12097652734587849</v>
      </c>
      <c r="P1102" s="29">
        <v>0</v>
      </c>
      <c r="R1102" s="22">
        <v>45647</v>
      </c>
      <c r="S1102" s="26">
        <f t="shared" ca="1" si="299"/>
        <v>0.86918106323279254</v>
      </c>
      <c r="T1102" s="29">
        <v>0</v>
      </c>
      <c r="V1102" s="22">
        <v>45647</v>
      </c>
      <c r="W1102" s="26">
        <f t="shared" ca="1" si="300"/>
        <v>0.91255585006046736</v>
      </c>
      <c r="X1102" s="29">
        <v>0</v>
      </c>
      <c r="Z1102" s="22">
        <v>45647</v>
      </c>
      <c r="AA1102" s="26">
        <f t="shared" ca="1" si="301"/>
        <v>0.94229430626235122</v>
      </c>
      <c r="AB1102" s="29">
        <v>0</v>
      </c>
      <c r="AC1102"/>
      <c r="AD1102" s="25"/>
      <c r="AF1102" s="22">
        <v>45647</v>
      </c>
      <c r="AG1102" s="26">
        <f t="shared" ca="1" si="302"/>
        <v>0.81442397432782609</v>
      </c>
      <c r="AH1102" s="29">
        <v>0</v>
      </c>
      <c r="AJ1102" s="22">
        <v>45647</v>
      </c>
      <c r="AK1102" s="26">
        <f t="shared" ca="1" si="303"/>
        <v>5.3048406519694224E-2</v>
      </c>
      <c r="AL1102" s="29">
        <v>0</v>
      </c>
      <c r="AN1102" s="22">
        <v>45647</v>
      </c>
      <c r="AO1102" s="26">
        <f t="shared" ca="1" si="304"/>
        <v>0.35641080224063992</v>
      </c>
      <c r="AP1102" s="29">
        <v>0</v>
      </c>
      <c r="AR1102" s="22">
        <v>45647</v>
      </c>
      <c r="AS1102" s="26">
        <f t="shared" ca="1" si="305"/>
        <v>0.23482470211248962</v>
      </c>
      <c r="AT1102" s="29">
        <v>0</v>
      </c>
      <c r="AV1102" s="22">
        <v>45647</v>
      </c>
      <c r="AW1102" s="26">
        <f t="shared" ca="1" si="306"/>
        <v>0.96674358595793253</v>
      </c>
      <c r="AX1102" s="29">
        <v>0</v>
      </c>
      <c r="AZ1102" s="22">
        <v>45647</v>
      </c>
      <c r="BA1102" s="26">
        <f t="shared" ca="1" si="307"/>
        <v>0.69979510782520427</v>
      </c>
      <c r="BB1102" s="29">
        <v>0</v>
      </c>
      <c r="BC1102"/>
      <c r="BD1102" s="25"/>
      <c r="BF1102" s="22">
        <v>45647</v>
      </c>
      <c r="BG1102" s="26">
        <f t="shared" ca="1" si="308"/>
        <v>0.98862261517125405</v>
      </c>
      <c r="BH1102" s="29">
        <v>0</v>
      </c>
      <c r="BJ1102" s="22">
        <v>45647</v>
      </c>
      <c r="BK1102" s="26">
        <f t="shared" ca="1" si="309"/>
        <v>0.18686033601953989</v>
      </c>
      <c r="BL1102" s="29">
        <v>0</v>
      </c>
      <c r="BN1102" s="22">
        <v>45647</v>
      </c>
      <c r="BO1102" s="26">
        <f t="shared" ca="1" si="310"/>
        <v>0.44308822938337233</v>
      </c>
      <c r="BP1102" s="29">
        <v>0</v>
      </c>
      <c r="BR1102" s="22">
        <v>45647</v>
      </c>
      <c r="BS1102" s="26">
        <f t="shared" ca="1" si="311"/>
        <v>0.15252214455478919</v>
      </c>
      <c r="BT1102" s="29">
        <v>0</v>
      </c>
      <c r="BV1102" s="22">
        <v>45647</v>
      </c>
      <c r="BW1102" s="26">
        <f t="shared" ca="1" si="312"/>
        <v>0.76511353880732802</v>
      </c>
      <c r="BX1102" s="29">
        <v>0</v>
      </c>
    </row>
    <row r="1103" spans="2:76" ht="15.75" customHeight="1" x14ac:dyDescent="0.2">
      <c r="B1103" s="22">
        <v>45648</v>
      </c>
      <c r="C1103" s="26">
        <f t="shared" ca="1" si="277"/>
        <v>0.12603566710365177</v>
      </c>
      <c r="D1103" s="29">
        <v>0</v>
      </c>
      <c r="F1103" s="22"/>
      <c r="G1103" s="26">
        <f t="shared" ca="1" si="296"/>
        <v>0.49731321761294367</v>
      </c>
      <c r="H1103" s="29">
        <v>0</v>
      </c>
      <c r="J1103" s="22">
        <v>45648</v>
      </c>
      <c r="K1103" s="26">
        <f t="shared" ca="1" si="297"/>
        <v>0.91640371231515072</v>
      </c>
      <c r="L1103" s="29">
        <v>0</v>
      </c>
      <c r="N1103" s="22">
        <v>45648</v>
      </c>
      <c r="O1103" s="26">
        <f t="shared" ca="1" si="298"/>
        <v>0.2816561963813331</v>
      </c>
      <c r="P1103" s="29">
        <v>0</v>
      </c>
      <c r="R1103" s="22">
        <v>45648</v>
      </c>
      <c r="S1103" s="26">
        <f t="shared" ca="1" si="299"/>
        <v>0.65347438694626414</v>
      </c>
      <c r="T1103" s="29">
        <v>0</v>
      </c>
      <c r="V1103" s="22">
        <v>45648</v>
      </c>
      <c r="W1103" s="26">
        <f t="shared" ca="1" si="300"/>
        <v>0.63839687990493765</v>
      </c>
      <c r="X1103" s="29">
        <v>0</v>
      </c>
      <c r="Z1103" s="22">
        <v>45648</v>
      </c>
      <c r="AA1103" s="26">
        <f t="shared" ca="1" si="301"/>
        <v>0.95377879964660539</v>
      </c>
      <c r="AB1103" s="29">
        <v>0</v>
      </c>
      <c r="AC1103"/>
      <c r="AD1103" s="25"/>
      <c r="AF1103" s="22">
        <v>45648</v>
      </c>
      <c r="AG1103" s="26">
        <f t="shared" ca="1" si="302"/>
        <v>5.1452411670358522E-2</v>
      </c>
      <c r="AH1103" s="29">
        <v>0</v>
      </c>
      <c r="AJ1103" s="22">
        <v>45648</v>
      </c>
      <c r="AK1103" s="26">
        <f t="shared" ca="1" si="303"/>
        <v>0.68818616796025245</v>
      </c>
      <c r="AL1103" s="29">
        <v>0</v>
      </c>
      <c r="AN1103" s="22">
        <v>45648</v>
      </c>
      <c r="AO1103" s="26">
        <f t="shared" ca="1" si="304"/>
        <v>0.59913493559204067</v>
      </c>
      <c r="AP1103" s="29">
        <v>0</v>
      </c>
      <c r="AR1103" s="22">
        <v>45648</v>
      </c>
      <c r="AS1103" s="26">
        <f t="shared" ca="1" si="305"/>
        <v>0.68293524763815816</v>
      </c>
      <c r="AT1103" s="29">
        <v>0</v>
      </c>
      <c r="AV1103" s="22">
        <v>45648</v>
      </c>
      <c r="AW1103" s="26">
        <f t="shared" ca="1" si="306"/>
        <v>0.74285780956167802</v>
      </c>
      <c r="AX1103" s="29">
        <v>0</v>
      </c>
      <c r="AZ1103" s="22">
        <v>45648</v>
      </c>
      <c r="BA1103" s="26">
        <f t="shared" ca="1" si="307"/>
        <v>0.47673157478661654</v>
      </c>
      <c r="BB1103" s="29">
        <v>0</v>
      </c>
      <c r="BC1103"/>
      <c r="BD1103" s="25"/>
      <c r="BF1103" s="22">
        <v>45648</v>
      </c>
      <c r="BG1103" s="26">
        <f t="shared" ca="1" si="308"/>
        <v>0.56722739378617271</v>
      </c>
      <c r="BH1103" s="29">
        <v>0</v>
      </c>
      <c r="BJ1103" s="22">
        <v>45648</v>
      </c>
      <c r="BK1103" s="26">
        <f t="shared" ca="1" si="309"/>
        <v>0.43861674369299319</v>
      </c>
      <c r="BL1103" s="29">
        <v>0</v>
      </c>
      <c r="BN1103" s="22">
        <v>45648</v>
      </c>
      <c r="BO1103" s="26">
        <f t="shared" ca="1" si="310"/>
        <v>0.64598559994672111</v>
      </c>
      <c r="BP1103" s="29">
        <v>0</v>
      </c>
      <c r="BR1103" s="22">
        <v>45648</v>
      </c>
      <c r="BS1103" s="26">
        <f t="shared" ca="1" si="311"/>
        <v>0.84871389125633501</v>
      </c>
      <c r="BT1103" s="29">
        <v>0</v>
      </c>
      <c r="BV1103" s="22">
        <v>45648</v>
      </c>
      <c r="BW1103" s="26">
        <f t="shared" ca="1" si="312"/>
        <v>0.67370926653808616</v>
      </c>
      <c r="BX1103" s="29">
        <v>0</v>
      </c>
    </row>
    <row r="1104" spans="2:76" ht="15.75" customHeight="1" x14ac:dyDescent="0.2">
      <c r="B1104" s="22">
        <v>45649</v>
      </c>
      <c r="C1104" s="26">
        <f t="shared" ca="1" si="277"/>
        <v>1.8616009740471617E-2</v>
      </c>
      <c r="D1104" s="29">
        <v>0</v>
      </c>
      <c r="F1104" s="22"/>
      <c r="G1104" s="26">
        <f t="shared" ca="1" si="296"/>
        <v>0.87515687514997131</v>
      </c>
      <c r="H1104" s="29">
        <v>0</v>
      </c>
      <c r="J1104" s="22">
        <v>45649</v>
      </c>
      <c r="K1104" s="26">
        <f t="shared" ca="1" si="297"/>
        <v>0.5018833599302539</v>
      </c>
      <c r="L1104" s="29">
        <v>0</v>
      </c>
      <c r="N1104" s="22">
        <v>45649</v>
      </c>
      <c r="O1104" s="26">
        <f t="shared" ca="1" si="298"/>
        <v>0.76196201621133575</v>
      </c>
      <c r="P1104" s="29">
        <v>0</v>
      </c>
      <c r="R1104" s="22">
        <v>45649</v>
      </c>
      <c r="S1104" s="26">
        <f t="shared" ca="1" si="299"/>
        <v>0.70285647694018794</v>
      </c>
      <c r="T1104" s="29">
        <v>0</v>
      </c>
      <c r="V1104" s="22">
        <v>45649</v>
      </c>
      <c r="W1104" s="26">
        <f t="shared" ca="1" si="300"/>
        <v>0.33543833427748793</v>
      </c>
      <c r="X1104" s="29">
        <v>0</v>
      </c>
      <c r="Z1104" s="22">
        <v>45649</v>
      </c>
      <c r="AA1104" s="26">
        <f t="shared" ca="1" si="301"/>
        <v>0.68684298671712218</v>
      </c>
      <c r="AB1104" s="29">
        <v>0</v>
      </c>
      <c r="AC1104"/>
      <c r="AD1104" s="25"/>
      <c r="AF1104" s="22">
        <v>45649</v>
      </c>
      <c r="AG1104" s="26">
        <f t="shared" ca="1" si="302"/>
        <v>0.62908617984509829</v>
      </c>
      <c r="AH1104" s="29">
        <v>0</v>
      </c>
      <c r="AJ1104" s="22">
        <v>45649</v>
      </c>
      <c r="AK1104" s="26">
        <f t="shared" ca="1" si="303"/>
        <v>0.11080817182687674</v>
      </c>
      <c r="AL1104" s="29">
        <v>0</v>
      </c>
      <c r="AN1104" s="22">
        <v>45649</v>
      </c>
      <c r="AO1104" s="26">
        <f t="shared" ca="1" si="304"/>
        <v>0.40560840852685742</v>
      </c>
      <c r="AP1104" s="29">
        <v>0</v>
      </c>
      <c r="AR1104" s="22">
        <v>45649</v>
      </c>
      <c r="AS1104" s="26">
        <f t="shared" ca="1" si="305"/>
        <v>0.28817443860234371</v>
      </c>
      <c r="AT1104" s="29">
        <v>0</v>
      </c>
      <c r="AV1104" s="22">
        <v>45649</v>
      </c>
      <c r="AW1104" s="26">
        <f t="shared" ca="1" si="306"/>
        <v>0.51755022135575568</v>
      </c>
      <c r="AX1104" s="29">
        <v>0</v>
      </c>
      <c r="AZ1104" s="22">
        <v>45649</v>
      </c>
      <c r="BA1104" s="26">
        <f t="shared" ca="1" si="307"/>
        <v>0.68009218642852831</v>
      </c>
      <c r="BB1104" s="29">
        <v>0</v>
      </c>
      <c r="BC1104"/>
      <c r="BD1104" s="25"/>
      <c r="BF1104" s="22">
        <v>45649</v>
      </c>
      <c r="BG1104" s="26">
        <f t="shared" ca="1" si="308"/>
        <v>0.12599992892367262</v>
      </c>
      <c r="BH1104" s="29">
        <v>0</v>
      </c>
      <c r="BJ1104" s="22">
        <v>45649</v>
      </c>
      <c r="BK1104" s="26">
        <f t="shared" ca="1" si="309"/>
        <v>0.87250674170484444</v>
      </c>
      <c r="BL1104" s="29">
        <v>0</v>
      </c>
      <c r="BN1104" s="22">
        <v>45649</v>
      </c>
      <c r="BO1104" s="26">
        <f t="shared" ca="1" si="310"/>
        <v>0.2137181245422819</v>
      </c>
      <c r="BP1104" s="29">
        <v>0</v>
      </c>
      <c r="BR1104" s="22">
        <v>45649</v>
      </c>
      <c r="BS1104" s="26">
        <f t="shared" ca="1" si="311"/>
        <v>1.3625912497238546E-2</v>
      </c>
      <c r="BT1104" s="29">
        <v>0</v>
      </c>
      <c r="BV1104" s="22">
        <v>45649</v>
      </c>
      <c r="BW1104" s="26">
        <f t="shared" ca="1" si="312"/>
        <v>0.50956847162996699</v>
      </c>
      <c r="BX1104" s="29">
        <v>0</v>
      </c>
    </row>
    <row r="1105" spans="2:77" ht="15.75" customHeight="1" x14ac:dyDescent="0.2">
      <c r="B1105" s="22">
        <v>45650</v>
      </c>
      <c r="C1105" s="26">
        <f t="shared" ca="1" si="277"/>
        <v>0.55213681607448795</v>
      </c>
      <c r="D1105" s="29">
        <v>0</v>
      </c>
      <c r="F1105" s="22"/>
      <c r="G1105" s="26">
        <f t="shared" ca="1" si="296"/>
        <v>0.97134446884014658</v>
      </c>
      <c r="H1105" s="29">
        <v>0</v>
      </c>
      <c r="J1105" s="22">
        <v>45650</v>
      </c>
      <c r="K1105" s="26">
        <f t="shared" ca="1" si="297"/>
        <v>0.30763729124089123</v>
      </c>
      <c r="L1105" s="29">
        <v>0</v>
      </c>
      <c r="N1105" s="22">
        <v>45650</v>
      </c>
      <c r="O1105" s="26">
        <f t="shared" ca="1" si="298"/>
        <v>4.7239600972821982E-2</v>
      </c>
      <c r="P1105" s="29">
        <v>0</v>
      </c>
      <c r="R1105" s="22">
        <v>45650</v>
      </c>
      <c r="S1105" s="26">
        <f t="shared" ca="1" si="299"/>
        <v>0.79256423489001082</v>
      </c>
      <c r="T1105" s="29">
        <v>0</v>
      </c>
      <c r="V1105" s="22">
        <v>45650</v>
      </c>
      <c r="W1105" s="26">
        <f t="shared" ca="1" si="300"/>
        <v>0.34512458025189063</v>
      </c>
      <c r="X1105" s="29">
        <v>0</v>
      </c>
      <c r="Z1105" s="22">
        <v>45650</v>
      </c>
      <c r="AA1105" s="26">
        <f t="shared" ca="1" si="301"/>
        <v>0.15464976105408135</v>
      </c>
      <c r="AB1105" s="29">
        <v>0</v>
      </c>
      <c r="AC1105"/>
      <c r="AD1105" s="25"/>
      <c r="AF1105" s="22">
        <v>45650</v>
      </c>
      <c r="AG1105" s="26">
        <f t="shared" ca="1" si="302"/>
        <v>0.48889682030973725</v>
      </c>
      <c r="AH1105" s="29">
        <v>0</v>
      </c>
      <c r="AJ1105" s="22">
        <v>45650</v>
      </c>
      <c r="AK1105" s="26">
        <f t="shared" ca="1" si="303"/>
        <v>0.6188459080810419</v>
      </c>
      <c r="AL1105" s="29">
        <v>0</v>
      </c>
      <c r="AN1105" s="22">
        <v>45650</v>
      </c>
      <c r="AO1105" s="26">
        <f t="shared" ca="1" si="304"/>
        <v>0.26166745286224702</v>
      </c>
      <c r="AP1105" s="29">
        <v>0</v>
      </c>
      <c r="AR1105" s="22">
        <v>45650</v>
      </c>
      <c r="AS1105" s="26">
        <f t="shared" ca="1" si="305"/>
        <v>0.12118834415248236</v>
      </c>
      <c r="AT1105" s="29">
        <v>0</v>
      </c>
      <c r="AV1105" s="22">
        <v>45650</v>
      </c>
      <c r="AW1105" s="26">
        <f t="shared" ca="1" si="306"/>
        <v>0.3529066062153412</v>
      </c>
      <c r="AX1105" s="29">
        <v>0</v>
      </c>
      <c r="AZ1105" s="22">
        <v>45650</v>
      </c>
      <c r="BA1105" s="26">
        <f t="shared" ca="1" si="307"/>
        <v>0.41251021681336042</v>
      </c>
      <c r="BB1105" s="29">
        <v>0</v>
      </c>
      <c r="BC1105"/>
      <c r="BD1105" s="25"/>
      <c r="BF1105" s="22">
        <v>45650</v>
      </c>
      <c r="BG1105" s="26">
        <f t="shared" ca="1" si="308"/>
        <v>0.21306767228770596</v>
      </c>
      <c r="BH1105" s="29">
        <v>0</v>
      </c>
      <c r="BJ1105" s="22">
        <v>45650</v>
      </c>
      <c r="BK1105" s="26">
        <f t="shared" ca="1" si="309"/>
        <v>1.0107847582347174E-2</v>
      </c>
      <c r="BL1105" s="29">
        <v>0</v>
      </c>
      <c r="BN1105" s="22">
        <v>45650</v>
      </c>
      <c r="BO1105" s="26">
        <f t="shared" ca="1" si="310"/>
        <v>0.60909954393149524</v>
      </c>
      <c r="BP1105" s="29">
        <v>0</v>
      </c>
      <c r="BR1105" s="22">
        <v>45650</v>
      </c>
      <c r="BS1105" s="26">
        <f t="shared" ca="1" si="311"/>
        <v>6.5678375204846207E-3</v>
      </c>
      <c r="BT1105" s="29">
        <v>0</v>
      </c>
      <c r="BV1105" s="22">
        <v>45650</v>
      </c>
      <c r="BW1105" s="26">
        <f t="shared" ca="1" si="312"/>
        <v>0.17576079237039599</v>
      </c>
      <c r="BX1105" s="29">
        <v>0</v>
      </c>
    </row>
    <row r="1106" spans="2:77" ht="15.75" customHeight="1" x14ac:dyDescent="0.2">
      <c r="B1106" s="22">
        <v>45651</v>
      </c>
      <c r="C1106" s="26">
        <f t="shared" ca="1" si="277"/>
        <v>7.2132969577439643E-2</v>
      </c>
      <c r="D1106" s="29">
        <v>0</v>
      </c>
      <c r="F1106" s="22"/>
      <c r="G1106" s="26">
        <f t="shared" ca="1" si="296"/>
        <v>0.44339719780497655</v>
      </c>
      <c r="H1106" s="29">
        <v>0</v>
      </c>
      <c r="J1106" s="22">
        <v>45651</v>
      </c>
      <c r="K1106" s="26">
        <f t="shared" ca="1" si="297"/>
        <v>0.88976100887030007</v>
      </c>
      <c r="L1106" s="29">
        <v>0</v>
      </c>
      <c r="N1106" s="22">
        <v>45651</v>
      </c>
      <c r="O1106" s="26">
        <f t="shared" ca="1" si="298"/>
        <v>0.66504682952349403</v>
      </c>
      <c r="P1106" s="29">
        <v>0</v>
      </c>
      <c r="R1106" s="22">
        <v>45651</v>
      </c>
      <c r="S1106" s="26">
        <f t="shared" ca="1" si="299"/>
        <v>0.50769811153482947</v>
      </c>
      <c r="T1106" s="29">
        <v>0</v>
      </c>
      <c r="V1106" s="22">
        <v>45651</v>
      </c>
      <c r="W1106" s="26">
        <f t="shared" ca="1" si="300"/>
        <v>1.267429276763854E-2</v>
      </c>
      <c r="X1106" s="29">
        <v>0</v>
      </c>
      <c r="Z1106" s="22">
        <v>45651</v>
      </c>
      <c r="AA1106" s="26">
        <f t="shared" ca="1" si="301"/>
        <v>0.67947171212161694</v>
      </c>
      <c r="AB1106" s="29">
        <v>0</v>
      </c>
      <c r="AC1106"/>
      <c r="AD1106" s="25"/>
      <c r="AF1106" s="22">
        <v>45651</v>
      </c>
      <c r="AG1106" s="26">
        <f t="shared" ca="1" si="302"/>
        <v>0.21827701190507043</v>
      </c>
      <c r="AH1106" s="29">
        <v>0</v>
      </c>
      <c r="AJ1106" s="22">
        <v>45651</v>
      </c>
      <c r="AK1106" s="26">
        <f t="shared" ca="1" si="303"/>
        <v>0.81620714576743458</v>
      </c>
      <c r="AL1106" s="29">
        <v>0</v>
      </c>
      <c r="AN1106" s="22">
        <v>45651</v>
      </c>
      <c r="AO1106" s="26">
        <f t="shared" ca="1" si="304"/>
        <v>0.29621657684542824</v>
      </c>
      <c r="AP1106" s="29">
        <v>0</v>
      </c>
      <c r="AR1106" s="22">
        <v>45651</v>
      </c>
      <c r="AS1106" s="26">
        <f t="shared" ca="1" si="305"/>
        <v>0.55893688388168516</v>
      </c>
      <c r="AT1106" s="29">
        <v>0</v>
      </c>
      <c r="AV1106" s="22">
        <v>45651</v>
      </c>
      <c r="AW1106" s="26">
        <f t="shared" ca="1" si="306"/>
        <v>0.60060888642537447</v>
      </c>
      <c r="AX1106" s="29">
        <v>0</v>
      </c>
      <c r="AZ1106" s="22">
        <v>45651</v>
      </c>
      <c r="BA1106" s="26">
        <f t="shared" ca="1" si="307"/>
        <v>0.47967083897029128</v>
      </c>
      <c r="BB1106" s="29">
        <v>0</v>
      </c>
      <c r="BC1106"/>
      <c r="BD1106" s="25"/>
      <c r="BF1106" s="22">
        <v>45651</v>
      </c>
      <c r="BG1106" s="26">
        <f t="shared" ca="1" si="308"/>
        <v>0.45122651289594773</v>
      </c>
      <c r="BH1106" s="29">
        <v>0</v>
      </c>
      <c r="BJ1106" s="22">
        <v>45651</v>
      </c>
      <c r="BK1106" s="26">
        <f t="shared" ca="1" si="309"/>
        <v>0.43820477081464604</v>
      </c>
      <c r="BL1106" s="29">
        <v>0</v>
      </c>
      <c r="BN1106" s="22">
        <v>45651</v>
      </c>
      <c r="BO1106" s="26">
        <f t="shared" ca="1" si="310"/>
        <v>0.11547750128833945</v>
      </c>
      <c r="BP1106" s="29">
        <v>0</v>
      </c>
      <c r="BR1106" s="22">
        <v>45651</v>
      </c>
      <c r="BS1106" s="26">
        <f t="shared" ca="1" si="311"/>
        <v>0.27802908490368228</v>
      </c>
      <c r="BT1106" s="29">
        <v>0</v>
      </c>
      <c r="BV1106" s="22">
        <v>45651</v>
      </c>
      <c r="BW1106" s="26">
        <f t="shared" ca="1" si="312"/>
        <v>0.8317214591811346</v>
      </c>
      <c r="BX1106" s="29">
        <v>0</v>
      </c>
    </row>
    <row r="1107" spans="2:77" ht="15.75" customHeight="1" x14ac:dyDescent="0.2">
      <c r="B1107" s="22">
        <v>45652</v>
      </c>
      <c r="C1107" s="26">
        <f t="shared" ca="1" si="277"/>
        <v>0.35811450585613347</v>
      </c>
      <c r="D1107" s="29">
        <v>0</v>
      </c>
      <c r="F1107" s="22"/>
      <c r="G1107" s="26">
        <f t="shared" ca="1" si="296"/>
        <v>0.7018715301105497</v>
      </c>
      <c r="H1107" s="29">
        <v>0</v>
      </c>
      <c r="J1107" s="22">
        <v>45652</v>
      </c>
      <c r="K1107" s="26">
        <f t="shared" ca="1" si="297"/>
        <v>0.47489998582315884</v>
      </c>
      <c r="L1107" s="29">
        <v>0</v>
      </c>
      <c r="N1107" s="22">
        <v>45652</v>
      </c>
      <c r="O1107" s="26">
        <f t="shared" ca="1" si="298"/>
        <v>0.82435471720602616</v>
      </c>
      <c r="P1107" s="29">
        <v>0</v>
      </c>
      <c r="R1107" s="22">
        <v>45652</v>
      </c>
      <c r="S1107" s="26">
        <f t="shared" ca="1" si="299"/>
        <v>0.57601288992605604</v>
      </c>
      <c r="T1107" s="29">
        <v>0</v>
      </c>
      <c r="V1107" s="22">
        <v>45652</v>
      </c>
      <c r="W1107" s="26">
        <f t="shared" ca="1" si="300"/>
        <v>0.99036730585427546</v>
      </c>
      <c r="X1107" s="29">
        <v>0</v>
      </c>
      <c r="Z1107" s="22">
        <v>45652</v>
      </c>
      <c r="AA1107" s="26">
        <f t="shared" ca="1" si="301"/>
        <v>0.21317955358732499</v>
      </c>
      <c r="AB1107" s="29">
        <v>0</v>
      </c>
      <c r="AC1107"/>
      <c r="AD1107" s="25"/>
      <c r="AF1107" s="22">
        <v>45652</v>
      </c>
      <c r="AG1107" s="26">
        <f t="shared" ca="1" si="302"/>
        <v>0.40698975754411493</v>
      </c>
      <c r="AH1107" s="29">
        <v>0</v>
      </c>
      <c r="AJ1107" s="22">
        <v>45652</v>
      </c>
      <c r="AK1107" s="26">
        <f t="shared" ca="1" si="303"/>
        <v>0.35594805813336483</v>
      </c>
      <c r="AL1107" s="29">
        <v>0</v>
      </c>
      <c r="AN1107" s="22">
        <v>45652</v>
      </c>
      <c r="AO1107" s="26">
        <f t="shared" ca="1" si="304"/>
        <v>0.92813919801438349</v>
      </c>
      <c r="AP1107" s="29">
        <v>0</v>
      </c>
      <c r="AR1107" s="22">
        <v>45652</v>
      </c>
      <c r="AS1107" s="26">
        <f t="shared" ca="1" si="305"/>
        <v>1.1449405050238504E-2</v>
      </c>
      <c r="AT1107" s="29">
        <v>0</v>
      </c>
      <c r="AV1107" s="22">
        <v>45652</v>
      </c>
      <c r="AW1107" s="26">
        <f t="shared" ca="1" si="306"/>
        <v>0.4981139965622573</v>
      </c>
      <c r="AX1107" s="29">
        <v>0</v>
      </c>
      <c r="AZ1107" s="22">
        <v>45652</v>
      </c>
      <c r="BA1107" s="26">
        <f t="shared" ca="1" si="307"/>
        <v>0.16802096903817776</v>
      </c>
      <c r="BB1107" s="29">
        <v>0</v>
      </c>
      <c r="BC1107"/>
      <c r="BD1107" s="25"/>
      <c r="BF1107" s="22">
        <v>45652</v>
      </c>
      <c r="BG1107" s="26">
        <f t="shared" ca="1" si="308"/>
        <v>0.72251280465813228</v>
      </c>
      <c r="BH1107" s="29">
        <v>0</v>
      </c>
      <c r="BJ1107" s="22">
        <v>45652</v>
      </c>
      <c r="BK1107" s="26">
        <f t="shared" ca="1" si="309"/>
        <v>2.1603935494886151E-2</v>
      </c>
      <c r="BL1107" s="29">
        <v>0</v>
      </c>
      <c r="BN1107" s="22">
        <v>45652</v>
      </c>
      <c r="BO1107" s="26">
        <f t="shared" ca="1" si="310"/>
        <v>0.14213592175777412</v>
      </c>
      <c r="BP1107" s="29">
        <v>0</v>
      </c>
      <c r="BR1107" s="22">
        <v>45652</v>
      </c>
      <c r="BS1107" s="26">
        <f t="shared" ca="1" si="311"/>
        <v>0.77074761829002447</v>
      </c>
      <c r="BT1107" s="29">
        <v>0</v>
      </c>
      <c r="BV1107" s="22">
        <v>45652</v>
      </c>
      <c r="BW1107" s="26">
        <f t="shared" ca="1" si="312"/>
        <v>0.85460210337038311</v>
      </c>
      <c r="BX1107" s="29">
        <v>0</v>
      </c>
    </row>
    <row r="1108" spans="2:77" ht="15.75" customHeight="1" x14ac:dyDescent="0.2">
      <c r="B1108" s="22">
        <v>45653</v>
      </c>
      <c r="C1108" s="26">
        <f t="shared" ref="C1108:C1112" ca="1" si="313">RAND()</f>
        <v>0.28594109399338918</v>
      </c>
      <c r="D1108" s="29">
        <v>0</v>
      </c>
      <c r="F1108" s="22"/>
      <c r="G1108" s="26">
        <f t="shared" ca="1" si="296"/>
        <v>1.7055107361401811E-2</v>
      </c>
      <c r="H1108" s="29">
        <v>0</v>
      </c>
      <c r="J1108" s="22">
        <v>45653</v>
      </c>
      <c r="K1108" s="26">
        <f t="shared" ca="1" si="297"/>
        <v>0.80076208734555765</v>
      </c>
      <c r="L1108" s="29">
        <v>0</v>
      </c>
      <c r="N1108" s="22">
        <v>45653</v>
      </c>
      <c r="O1108" s="26">
        <f t="shared" ca="1" si="298"/>
        <v>0.5535796051593459</v>
      </c>
      <c r="P1108" s="29">
        <v>0</v>
      </c>
      <c r="R1108" s="22">
        <v>45653</v>
      </c>
      <c r="S1108" s="26">
        <f t="shared" ca="1" si="299"/>
        <v>0.18829222943992152</v>
      </c>
      <c r="T1108" s="29">
        <v>0</v>
      </c>
      <c r="V1108" s="22">
        <v>45653</v>
      </c>
      <c r="W1108" s="26">
        <f t="shared" ca="1" si="300"/>
        <v>0.47300179485247762</v>
      </c>
      <c r="X1108" s="29">
        <v>0</v>
      </c>
      <c r="Z1108" s="22">
        <v>45653</v>
      </c>
      <c r="AA1108" s="26">
        <f t="shared" ca="1" si="301"/>
        <v>0.91100529984893952</v>
      </c>
      <c r="AB1108" s="29">
        <v>0</v>
      </c>
      <c r="AC1108"/>
      <c r="AD1108" s="25"/>
      <c r="AF1108" s="22">
        <v>45653</v>
      </c>
      <c r="AG1108" s="26">
        <f t="shared" ca="1" si="302"/>
        <v>0.79737545424418566</v>
      </c>
      <c r="AH1108" s="29">
        <v>0</v>
      </c>
      <c r="AJ1108" s="22">
        <v>45653</v>
      </c>
      <c r="AK1108" s="26">
        <f t="shared" ca="1" si="303"/>
        <v>0.53726380866631285</v>
      </c>
      <c r="AL1108" s="29">
        <v>0</v>
      </c>
      <c r="AN1108" s="22">
        <v>45653</v>
      </c>
      <c r="AO1108" s="26">
        <f t="shared" ca="1" si="304"/>
        <v>0.85943054934019469</v>
      </c>
      <c r="AP1108" s="29">
        <v>0</v>
      </c>
      <c r="AR1108" s="22">
        <v>45653</v>
      </c>
      <c r="AS1108" s="26">
        <f t="shared" ca="1" si="305"/>
        <v>0.50415393852450985</v>
      </c>
      <c r="AT1108" s="29">
        <v>0</v>
      </c>
      <c r="AV1108" s="22">
        <v>45653</v>
      </c>
      <c r="AW1108" s="26">
        <f t="shared" ca="1" si="306"/>
        <v>0.62562758103746918</v>
      </c>
      <c r="AX1108" s="29">
        <v>0</v>
      </c>
      <c r="AZ1108" s="22">
        <v>45653</v>
      </c>
      <c r="BA1108" s="26">
        <f t="shared" ca="1" si="307"/>
        <v>0.32707754579698378</v>
      </c>
      <c r="BB1108" s="29">
        <v>0</v>
      </c>
      <c r="BC1108"/>
      <c r="BD1108" s="25"/>
      <c r="BF1108" s="22">
        <v>45653</v>
      </c>
      <c r="BG1108" s="26">
        <f t="shared" ca="1" si="308"/>
        <v>0.80137965875966788</v>
      </c>
      <c r="BH1108" s="29">
        <v>0</v>
      </c>
      <c r="BJ1108" s="22">
        <v>45653</v>
      </c>
      <c r="BK1108" s="26">
        <f t="shared" ca="1" si="309"/>
        <v>0.41552513004825886</v>
      </c>
      <c r="BL1108" s="29">
        <v>0</v>
      </c>
      <c r="BN1108" s="22">
        <v>45653</v>
      </c>
      <c r="BO1108" s="26">
        <f t="shared" ca="1" si="310"/>
        <v>0.52147371203669812</v>
      </c>
      <c r="BP1108" s="29">
        <v>0</v>
      </c>
      <c r="BR1108" s="22">
        <v>45653</v>
      </c>
      <c r="BS1108" s="26">
        <f t="shared" ca="1" si="311"/>
        <v>0.91310658426177538</v>
      </c>
      <c r="BT1108" s="29">
        <v>0</v>
      </c>
      <c r="BV1108" s="22">
        <v>45653</v>
      </c>
      <c r="BW1108" s="26">
        <f t="shared" ca="1" si="312"/>
        <v>0.27675813853349573</v>
      </c>
      <c r="BX1108" s="29">
        <v>0</v>
      </c>
    </row>
    <row r="1109" spans="2:77" ht="15.75" customHeight="1" x14ac:dyDescent="0.2">
      <c r="B1109" s="22">
        <v>45654</v>
      </c>
      <c r="C1109" s="26">
        <f t="shared" ca="1" si="313"/>
        <v>0.27614208605694868</v>
      </c>
      <c r="D1109" s="29">
        <v>0</v>
      </c>
      <c r="F1109" s="22"/>
      <c r="G1109" s="26">
        <f t="shared" ca="1" si="296"/>
        <v>0.87384195205426496</v>
      </c>
      <c r="H1109" s="29">
        <v>0</v>
      </c>
      <c r="J1109" s="22">
        <v>45654</v>
      </c>
      <c r="K1109" s="26">
        <f t="shared" ca="1" si="297"/>
        <v>0.21962651347008622</v>
      </c>
      <c r="L1109" s="29">
        <v>0</v>
      </c>
      <c r="N1109" s="22">
        <v>45654</v>
      </c>
      <c r="O1109" s="26">
        <f t="shared" ca="1" si="298"/>
        <v>0.15253600462254024</v>
      </c>
      <c r="P1109" s="29">
        <v>0</v>
      </c>
      <c r="R1109" s="22">
        <v>45654</v>
      </c>
      <c r="S1109" s="26">
        <f t="shared" ca="1" si="299"/>
        <v>0.90660123787439006</v>
      </c>
      <c r="T1109" s="29">
        <v>0</v>
      </c>
      <c r="V1109" s="22">
        <v>45654</v>
      </c>
      <c r="W1109" s="26">
        <f t="shared" ca="1" si="300"/>
        <v>0.37693447200893582</v>
      </c>
      <c r="X1109" s="29">
        <v>0</v>
      </c>
      <c r="Z1109" s="22">
        <v>45654</v>
      </c>
      <c r="AA1109" s="26">
        <f t="shared" ca="1" si="301"/>
        <v>4.9829455307394466E-2</v>
      </c>
      <c r="AB1109" s="29">
        <v>0</v>
      </c>
      <c r="AC1109"/>
      <c r="AD1109" s="25"/>
      <c r="AF1109" s="22">
        <v>45654</v>
      </c>
      <c r="AG1109" s="26">
        <f t="shared" ca="1" si="302"/>
        <v>0.96689269510270515</v>
      </c>
      <c r="AH1109" s="29">
        <v>0</v>
      </c>
      <c r="AJ1109" s="22">
        <v>45654</v>
      </c>
      <c r="AK1109" s="26">
        <f t="shared" ca="1" si="303"/>
        <v>0.79031060118282292</v>
      </c>
      <c r="AL1109" s="29">
        <v>0</v>
      </c>
      <c r="AN1109" s="22">
        <v>45654</v>
      </c>
      <c r="AO1109" s="26">
        <f t="shared" ca="1" si="304"/>
        <v>0.24915079836958176</v>
      </c>
      <c r="AP1109" s="29">
        <v>0</v>
      </c>
      <c r="AR1109" s="22">
        <v>45654</v>
      </c>
      <c r="AS1109" s="26">
        <f t="shared" ca="1" si="305"/>
        <v>0.20278073889596349</v>
      </c>
      <c r="AT1109" s="29">
        <v>0</v>
      </c>
      <c r="AV1109" s="22">
        <v>45654</v>
      </c>
      <c r="AW1109" s="26">
        <f t="shared" ca="1" si="306"/>
        <v>0.58417615783649823</v>
      </c>
      <c r="AX1109" s="29">
        <v>0</v>
      </c>
      <c r="AZ1109" s="22">
        <v>45654</v>
      </c>
      <c r="BA1109" s="26">
        <f t="shared" ca="1" si="307"/>
        <v>0.49727617831859194</v>
      </c>
      <c r="BB1109" s="29">
        <v>0</v>
      </c>
      <c r="BC1109"/>
      <c r="BD1109" s="25"/>
      <c r="BF1109" s="22">
        <v>45654</v>
      </c>
      <c r="BG1109" s="26">
        <f t="shared" ca="1" si="308"/>
        <v>8.110459473392917E-2</v>
      </c>
      <c r="BH1109" s="29">
        <v>0</v>
      </c>
      <c r="BJ1109" s="22">
        <v>45654</v>
      </c>
      <c r="BK1109" s="26">
        <f t="shared" ca="1" si="309"/>
        <v>0.97876837382004422</v>
      </c>
      <c r="BL1109" s="29">
        <v>0</v>
      </c>
      <c r="BN1109" s="22">
        <v>45654</v>
      </c>
      <c r="BO1109" s="26">
        <f t="shared" ca="1" si="310"/>
        <v>0.53969848521342323</v>
      </c>
      <c r="BP1109" s="29">
        <v>0</v>
      </c>
      <c r="BR1109" s="22">
        <v>45654</v>
      </c>
      <c r="BS1109" s="26">
        <f t="shared" ca="1" si="311"/>
        <v>5.657350675101791E-2</v>
      </c>
      <c r="BT1109" s="29">
        <v>0</v>
      </c>
      <c r="BV1109" s="22">
        <v>45654</v>
      </c>
      <c r="BW1109" s="26">
        <f t="shared" ca="1" si="312"/>
        <v>0.78432035214487272</v>
      </c>
      <c r="BX1109" s="29">
        <v>0</v>
      </c>
    </row>
    <row r="1110" spans="2:77" ht="15.75" customHeight="1" x14ac:dyDescent="0.2">
      <c r="B1110" s="22">
        <v>45655</v>
      </c>
      <c r="C1110" s="26">
        <f t="shared" ca="1" si="313"/>
        <v>0.32789964005491323</v>
      </c>
      <c r="D1110" s="29">
        <v>0</v>
      </c>
      <c r="F1110" s="22"/>
      <c r="G1110" s="26">
        <f t="shared" ca="1" si="296"/>
        <v>0.97542901067578625</v>
      </c>
      <c r="H1110" s="29">
        <v>0</v>
      </c>
      <c r="J1110" s="22">
        <v>45655</v>
      </c>
      <c r="K1110" s="26">
        <f t="shared" ca="1" si="297"/>
        <v>0.11227719630796096</v>
      </c>
      <c r="L1110" s="29">
        <v>0</v>
      </c>
      <c r="N1110" s="22">
        <v>45655</v>
      </c>
      <c r="O1110" s="26">
        <f t="shared" ca="1" si="298"/>
        <v>0.42293829297825181</v>
      </c>
      <c r="P1110" s="29">
        <v>0</v>
      </c>
      <c r="R1110" s="22">
        <v>45655</v>
      </c>
      <c r="S1110" s="26">
        <f t="shared" ca="1" si="299"/>
        <v>0.18514069822140333</v>
      </c>
      <c r="T1110" s="29">
        <v>0</v>
      </c>
      <c r="V1110" s="22">
        <v>45655</v>
      </c>
      <c r="W1110" s="26">
        <f t="shared" ca="1" si="300"/>
        <v>0.17720138708110655</v>
      </c>
      <c r="X1110" s="29">
        <v>0</v>
      </c>
      <c r="Z1110" s="22">
        <v>45655</v>
      </c>
      <c r="AA1110" s="26">
        <f t="shared" ca="1" si="301"/>
        <v>0.13707070609275263</v>
      </c>
      <c r="AB1110" s="29">
        <v>0</v>
      </c>
      <c r="AC1110"/>
      <c r="AD1110" s="25"/>
      <c r="AF1110" s="22">
        <v>45655</v>
      </c>
      <c r="AG1110" s="26">
        <f t="shared" ca="1" si="302"/>
        <v>0.41161670745920675</v>
      </c>
      <c r="AH1110" s="29">
        <v>0</v>
      </c>
      <c r="AJ1110" s="22">
        <v>45655</v>
      </c>
      <c r="AK1110" s="26">
        <f t="shared" ca="1" si="303"/>
        <v>0.70725694544329076</v>
      </c>
      <c r="AL1110" s="29">
        <v>0</v>
      </c>
      <c r="AN1110" s="22">
        <v>45655</v>
      </c>
      <c r="AO1110" s="26">
        <f t="shared" ca="1" si="304"/>
        <v>0.52185309626759291</v>
      </c>
      <c r="AP1110" s="29">
        <v>0</v>
      </c>
      <c r="AR1110" s="22">
        <v>45655</v>
      </c>
      <c r="AS1110" s="26">
        <f t="shared" ca="1" si="305"/>
        <v>0.29835113896831877</v>
      </c>
      <c r="AT1110" s="29">
        <v>0</v>
      </c>
      <c r="AV1110" s="22">
        <v>45655</v>
      </c>
      <c r="AW1110" s="26">
        <f t="shared" ca="1" si="306"/>
        <v>0.21669626528275743</v>
      </c>
      <c r="AX1110" s="29">
        <v>0</v>
      </c>
      <c r="AZ1110" s="22">
        <v>45655</v>
      </c>
      <c r="BA1110" s="26">
        <f t="shared" ca="1" si="307"/>
        <v>0.65115743181745334</v>
      </c>
      <c r="BB1110" s="29">
        <v>0</v>
      </c>
      <c r="BC1110"/>
      <c r="BD1110" s="25"/>
      <c r="BF1110" s="22">
        <v>45655</v>
      </c>
      <c r="BG1110" s="26">
        <f t="shared" ca="1" si="308"/>
        <v>0.12629694831694271</v>
      </c>
      <c r="BH1110" s="29">
        <v>0</v>
      </c>
      <c r="BJ1110" s="22">
        <v>45655</v>
      </c>
      <c r="BK1110" s="26">
        <f t="shared" ca="1" si="309"/>
        <v>0.94339749219502889</v>
      </c>
      <c r="BL1110" s="29">
        <v>0</v>
      </c>
      <c r="BN1110" s="22">
        <v>45655</v>
      </c>
      <c r="BO1110" s="26">
        <f t="shared" ca="1" si="310"/>
        <v>6.0258945178566226E-3</v>
      </c>
      <c r="BP1110" s="29">
        <v>0</v>
      </c>
      <c r="BR1110" s="22">
        <v>45655</v>
      </c>
      <c r="BS1110" s="26">
        <f t="shared" ca="1" si="311"/>
        <v>0.30791403569850795</v>
      </c>
      <c r="BT1110" s="29">
        <v>0</v>
      </c>
      <c r="BV1110" s="22">
        <v>45655</v>
      </c>
      <c r="BW1110" s="26">
        <f t="shared" ca="1" si="312"/>
        <v>0.99843654619617683</v>
      </c>
      <c r="BX1110" s="29">
        <v>0</v>
      </c>
    </row>
    <row r="1111" spans="2:77" ht="15.75" customHeight="1" x14ac:dyDescent="0.2">
      <c r="B1111" s="22">
        <v>45656</v>
      </c>
      <c r="C1111" s="26">
        <f t="shared" ca="1" si="313"/>
        <v>0.66294404864492373</v>
      </c>
      <c r="D1111" s="29">
        <v>0</v>
      </c>
      <c r="F1111" s="22"/>
      <c r="G1111" s="26">
        <f t="shared" ca="1" si="296"/>
        <v>0.53177291946961402</v>
      </c>
      <c r="H1111" s="29">
        <v>0</v>
      </c>
      <c r="J1111" s="22">
        <v>45656</v>
      </c>
      <c r="K1111" s="26">
        <f t="shared" ca="1" si="297"/>
        <v>0.33646596095807368</v>
      </c>
      <c r="L1111" s="29">
        <v>0</v>
      </c>
      <c r="N1111" s="22">
        <v>45656</v>
      </c>
      <c r="O1111" s="26">
        <f t="shared" ca="1" si="298"/>
        <v>0.37953108020051229</v>
      </c>
      <c r="P1111" s="29">
        <v>0</v>
      </c>
      <c r="R1111" s="22">
        <v>45656</v>
      </c>
      <c r="S1111" s="26">
        <f t="shared" ca="1" si="299"/>
        <v>0.39063902122971872</v>
      </c>
      <c r="T1111" s="29">
        <v>0</v>
      </c>
      <c r="V1111" s="22">
        <v>45656</v>
      </c>
      <c r="W1111" s="26">
        <f t="shared" ca="1" si="300"/>
        <v>0.16438811003618925</v>
      </c>
      <c r="X1111" s="29">
        <v>0</v>
      </c>
      <c r="Z1111" s="22">
        <v>45656</v>
      </c>
      <c r="AA1111" s="26">
        <f t="shared" ca="1" si="301"/>
        <v>0.92197480038386681</v>
      </c>
      <c r="AB1111" s="29">
        <v>0</v>
      </c>
      <c r="AC1111"/>
      <c r="AD1111" s="25"/>
      <c r="AF1111" s="22">
        <v>45656</v>
      </c>
      <c r="AG1111" s="26">
        <f t="shared" ca="1" si="302"/>
        <v>0.44691205669230383</v>
      </c>
      <c r="AH1111" s="29">
        <v>0</v>
      </c>
      <c r="AJ1111" s="22">
        <v>45656</v>
      </c>
      <c r="AK1111" s="26">
        <f t="shared" ca="1" si="303"/>
        <v>0.67996644519772154</v>
      </c>
      <c r="AL1111" s="29">
        <v>0</v>
      </c>
      <c r="AN1111" s="22">
        <v>45656</v>
      </c>
      <c r="AO1111" s="26">
        <f t="shared" ca="1" si="304"/>
        <v>0.59999591292813981</v>
      </c>
      <c r="AP1111" s="29">
        <v>0</v>
      </c>
      <c r="AR1111" s="22">
        <v>45656</v>
      </c>
      <c r="AS1111" s="26">
        <f t="shared" ca="1" si="305"/>
        <v>0.17054335925722319</v>
      </c>
      <c r="AT1111" s="29">
        <v>0</v>
      </c>
      <c r="AV1111" s="22">
        <v>45656</v>
      </c>
      <c r="AW1111" s="26">
        <f t="shared" ca="1" si="306"/>
        <v>0.18316332745710151</v>
      </c>
      <c r="AX1111" s="29">
        <v>0</v>
      </c>
      <c r="AZ1111" s="22">
        <v>45656</v>
      </c>
      <c r="BA1111" s="26">
        <f t="shared" ca="1" si="307"/>
        <v>0.6400287856254071</v>
      </c>
      <c r="BB1111" s="29">
        <v>0</v>
      </c>
      <c r="BC1111"/>
      <c r="BD1111" s="25"/>
      <c r="BF1111" s="22">
        <v>45656</v>
      </c>
      <c r="BG1111" s="26">
        <f t="shared" ca="1" si="308"/>
        <v>0.18534743458230307</v>
      </c>
      <c r="BH1111" s="29">
        <v>0</v>
      </c>
      <c r="BJ1111" s="22">
        <v>45656</v>
      </c>
      <c r="BK1111" s="26">
        <f t="shared" ca="1" si="309"/>
        <v>0.51717197790716474</v>
      </c>
      <c r="BL1111" s="29">
        <v>0</v>
      </c>
      <c r="BN1111" s="22">
        <v>45656</v>
      </c>
      <c r="BO1111" s="26">
        <f t="shared" ca="1" si="310"/>
        <v>0.87617396249003143</v>
      </c>
      <c r="BP1111" s="29">
        <v>0</v>
      </c>
      <c r="BR1111" s="22">
        <v>45656</v>
      </c>
      <c r="BS1111" s="26">
        <f t="shared" ca="1" si="311"/>
        <v>0.96189096565074939</v>
      </c>
      <c r="BT1111" s="29">
        <v>0</v>
      </c>
      <c r="BV1111" s="22">
        <v>45656</v>
      </c>
      <c r="BW1111" s="26">
        <f t="shared" ca="1" si="312"/>
        <v>0.88371305065863082</v>
      </c>
      <c r="BX1111" s="29">
        <v>0</v>
      </c>
    </row>
    <row r="1112" spans="2:77" ht="15.75" customHeight="1" x14ac:dyDescent="0.2">
      <c r="B1112" s="23">
        <v>45657</v>
      </c>
      <c r="C1112" s="32">
        <f t="shared" ca="1" si="313"/>
        <v>0.39119424648678025</v>
      </c>
      <c r="D1112" s="33">
        <v>0</v>
      </c>
      <c r="E1112">
        <v>1381</v>
      </c>
      <c r="F1112" s="23"/>
      <c r="G1112" s="32">
        <f t="shared" ca="1" si="296"/>
        <v>0.22111965564346314</v>
      </c>
      <c r="H1112" s="33">
        <v>0</v>
      </c>
      <c r="J1112" s="23">
        <v>45657</v>
      </c>
      <c r="K1112" s="32">
        <f t="shared" ca="1" si="297"/>
        <v>0.29575407171223356</v>
      </c>
      <c r="L1112" s="33">
        <v>0</v>
      </c>
      <c r="M1112">
        <v>2524</v>
      </c>
      <c r="N1112" s="23">
        <v>45657</v>
      </c>
      <c r="O1112" s="32">
        <f t="shared" ca="1" si="298"/>
        <v>0.89885959786558967</v>
      </c>
      <c r="P1112" s="33">
        <v>0</v>
      </c>
      <c r="Q1112">
        <v>3999</v>
      </c>
      <c r="R1112" s="23">
        <v>45657</v>
      </c>
      <c r="S1112" s="32">
        <f t="shared" ca="1" si="299"/>
        <v>1.143806567392891E-2</v>
      </c>
      <c r="T1112" s="33">
        <v>0</v>
      </c>
      <c r="U1112">
        <v>2333</v>
      </c>
      <c r="V1112" s="23">
        <v>45657</v>
      </c>
      <c r="W1112" s="32">
        <f t="shared" ca="1" si="300"/>
        <v>3.415192159426228E-2</v>
      </c>
      <c r="X1112" s="33">
        <v>0</v>
      </c>
      <c r="Y1112">
        <v>3809</v>
      </c>
      <c r="Z1112" s="23">
        <v>45657</v>
      </c>
      <c r="AA1112" s="32">
        <f t="shared" ca="1" si="301"/>
        <v>0.43233296166346802</v>
      </c>
      <c r="AB1112" s="33">
        <v>0</v>
      </c>
      <c r="AC1112">
        <v>4609</v>
      </c>
      <c r="AD1112" s="25"/>
      <c r="AF1112" s="23">
        <v>45657</v>
      </c>
      <c r="AG1112" s="32">
        <f t="shared" ca="1" si="302"/>
        <v>0.18740469193072939</v>
      </c>
      <c r="AH1112" s="33">
        <v>0</v>
      </c>
      <c r="AI1112">
        <v>5964</v>
      </c>
      <c r="AJ1112" s="23">
        <v>45657</v>
      </c>
      <c r="AK1112" s="32">
        <f t="shared" ca="1" si="303"/>
        <v>0.44255593596618015</v>
      </c>
      <c r="AL1112" s="33">
        <v>0</v>
      </c>
      <c r="AM1112">
        <v>3140</v>
      </c>
      <c r="AN1112" s="23">
        <v>45657</v>
      </c>
      <c r="AO1112" s="32">
        <f t="shared" ca="1" si="304"/>
        <v>0.26754474396001349</v>
      </c>
      <c r="AP1112" s="33">
        <v>0</v>
      </c>
      <c r="AQ1112">
        <v>2463</v>
      </c>
      <c r="AR1112" s="23">
        <v>45657</v>
      </c>
      <c r="AS1112" s="32">
        <f t="shared" ca="1" si="305"/>
        <v>8.8796118145552105E-3</v>
      </c>
      <c r="AT1112" s="33">
        <v>0</v>
      </c>
      <c r="AU1112">
        <v>3784</v>
      </c>
      <c r="AV1112" s="23">
        <v>45657</v>
      </c>
      <c r="AW1112" s="32">
        <f t="shared" ca="1" si="306"/>
        <v>0.94713038144788964</v>
      </c>
      <c r="AX1112" s="33">
        <v>0</v>
      </c>
      <c r="AY1112">
        <v>3480</v>
      </c>
      <c r="AZ1112" s="23">
        <v>45657</v>
      </c>
      <c r="BA1112" s="32">
        <f t="shared" ca="1" si="307"/>
        <v>0.94756198800057112</v>
      </c>
      <c r="BB1112" s="33">
        <v>0</v>
      </c>
      <c r="BC1112">
        <v>2854</v>
      </c>
      <c r="BD1112" s="25"/>
      <c r="BF1112" s="23">
        <v>45657</v>
      </c>
      <c r="BG1112" s="32">
        <f t="shared" ca="1" si="308"/>
        <v>0.47001029977330355</v>
      </c>
      <c r="BH1112" s="33">
        <v>0</v>
      </c>
      <c r="BI1112">
        <v>2945</v>
      </c>
      <c r="BJ1112" s="23">
        <v>45657</v>
      </c>
      <c r="BK1112" s="32">
        <f t="shared" ca="1" si="309"/>
        <v>0.99585328726905631</v>
      </c>
      <c r="BL1112" s="33">
        <v>0</v>
      </c>
      <c r="BM1112">
        <v>3099</v>
      </c>
      <c r="BN1112" s="23">
        <v>45657</v>
      </c>
      <c r="BO1112" s="32">
        <f t="shared" ca="1" si="310"/>
        <v>3.106947497346968E-3</v>
      </c>
      <c r="BP1112" s="33">
        <v>0</v>
      </c>
      <c r="BQ1112">
        <v>2105</v>
      </c>
      <c r="BR1112" s="23">
        <v>45657</v>
      </c>
      <c r="BS1112" s="32">
        <f t="shared" ca="1" si="311"/>
        <v>0.95656578231431544</v>
      </c>
      <c r="BT1112" s="33">
        <v>0</v>
      </c>
      <c r="BU1112">
        <v>2837</v>
      </c>
      <c r="BV1112" s="23">
        <v>45657</v>
      </c>
      <c r="BW1112" s="32">
        <f t="shared" ca="1" si="312"/>
        <v>0.3390633514503506</v>
      </c>
      <c r="BX1112" s="33">
        <v>0</v>
      </c>
      <c r="BY1112">
        <v>2780</v>
      </c>
    </row>
    <row r="1113" spans="2:77" ht="15.75" customHeight="1" x14ac:dyDescent="0.2">
      <c r="B1113" s="5"/>
      <c r="C1113" s="6"/>
      <c r="D1113" s="7"/>
      <c r="E1113" s="24"/>
      <c r="F1113" s="24"/>
      <c r="G1113" s="24"/>
      <c r="H1113" s="24"/>
      <c r="AR1113" s="23"/>
    </row>
    <row r="1114" spans="2:77" ht="15.75" customHeight="1" x14ac:dyDescent="0.2">
      <c r="E1114" s="24"/>
      <c r="F1114" s="24"/>
      <c r="G1114" s="24"/>
      <c r="H1114" s="24"/>
    </row>
  </sheetData>
  <mergeCells count="19">
    <mergeCell ref="BF7:BG7"/>
    <mergeCell ref="BJ7:BK7"/>
    <mergeCell ref="BN7:BO7"/>
    <mergeCell ref="BR7:BS7"/>
    <mergeCell ref="BV7:BW7"/>
    <mergeCell ref="AN7:AO7"/>
    <mergeCell ref="AR7:AS7"/>
    <mergeCell ref="AV7:AW7"/>
    <mergeCell ref="AZ7:BA7"/>
    <mergeCell ref="R7:S7"/>
    <mergeCell ref="V7:W7"/>
    <mergeCell ref="Z7:AA7"/>
    <mergeCell ref="AF7:AG7"/>
    <mergeCell ref="AJ7:AK7"/>
    <mergeCell ref="B6:C6"/>
    <mergeCell ref="B7:C7"/>
    <mergeCell ref="F7:G7"/>
    <mergeCell ref="J7:K7"/>
    <mergeCell ref="N7:O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euil1.compute">
                <anchor moveWithCells="1" sizeWithCells="1">
                  <from>
                    <xdr:col>2</xdr:col>
                    <xdr:colOff>66675</xdr:colOff>
                    <xdr:row>1</xdr:row>
                    <xdr:rowOff>9525</xdr:rowOff>
                  </from>
                  <to>
                    <xdr:col>5</xdr:col>
                    <xdr:colOff>1143000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otal">
                <anchor moveWithCells="1" sizeWithCells="1">
                  <from>
                    <xdr:col>6</xdr:col>
                    <xdr:colOff>1009650</xdr:colOff>
                    <xdr:row>0</xdr:row>
                    <xdr:rowOff>152400</xdr:rowOff>
                  </from>
                  <to>
                    <xdr:col>11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2:BT379"/>
  <sheetViews>
    <sheetView tabSelected="1" zoomScale="85" zoomScaleNormal="85" workbookViewId="0">
      <selection activeCell="D18" sqref="D18"/>
    </sheetView>
  </sheetViews>
  <sheetFormatPr baseColWidth="10" defaultRowHeight="12.75" x14ac:dyDescent="0.2"/>
  <cols>
    <col min="1" max="1" width="10.28515625" bestFit="1" customWidth="1"/>
    <col min="2" max="2" width="20.28515625" bestFit="1" customWidth="1"/>
    <col min="3" max="3" width="13.42578125" bestFit="1" customWidth="1"/>
    <col min="4" max="4" width="25.7109375" bestFit="1" customWidth="1"/>
    <col min="6" max="6" width="17.140625" bestFit="1" customWidth="1"/>
    <col min="7" max="7" width="15" bestFit="1" customWidth="1"/>
    <col min="8" max="8" width="20.85546875" bestFit="1" customWidth="1"/>
    <col min="10" max="10" width="17.140625" bestFit="1" customWidth="1"/>
    <col min="11" max="11" width="15" bestFit="1" customWidth="1"/>
    <col min="12" max="12" width="20.85546875" bestFit="1" customWidth="1"/>
    <col min="14" max="14" width="17.140625" bestFit="1" customWidth="1"/>
    <col min="15" max="15" width="15" bestFit="1" customWidth="1"/>
    <col min="16" max="16" width="20.85546875" bestFit="1" customWidth="1"/>
    <col min="18" max="18" width="17.140625" bestFit="1" customWidth="1"/>
    <col min="19" max="19" width="13.42578125" bestFit="1" customWidth="1"/>
    <col min="20" max="20" width="20.85546875" bestFit="1" customWidth="1"/>
    <col min="22" max="22" width="17.140625" bestFit="1" customWidth="1"/>
    <col min="23" max="23" width="15" bestFit="1" customWidth="1"/>
    <col min="24" max="24" width="20.85546875" bestFit="1" customWidth="1"/>
    <col min="26" max="26" width="17.140625" bestFit="1" customWidth="1"/>
    <col min="27" max="27" width="15" bestFit="1" customWidth="1"/>
    <col min="28" max="28" width="20.85546875" bestFit="1" customWidth="1"/>
    <col min="30" max="30" width="17.140625" bestFit="1" customWidth="1"/>
    <col min="31" max="31" width="15" bestFit="1" customWidth="1"/>
    <col min="32" max="32" width="20.85546875" bestFit="1" customWidth="1"/>
    <col min="34" max="34" width="17.140625" bestFit="1" customWidth="1"/>
    <col min="35" max="35" width="15" bestFit="1" customWidth="1"/>
    <col min="36" max="36" width="20.85546875" bestFit="1" customWidth="1"/>
    <col min="38" max="38" width="17.140625" bestFit="1" customWidth="1"/>
    <col min="39" max="39" width="13.42578125" bestFit="1" customWidth="1"/>
    <col min="40" max="40" width="20.85546875" bestFit="1" customWidth="1"/>
    <col min="42" max="42" width="17.140625" bestFit="1" customWidth="1"/>
    <col min="43" max="43" width="15" bestFit="1" customWidth="1"/>
    <col min="44" max="44" width="20.85546875" bestFit="1" customWidth="1"/>
    <col min="46" max="46" width="17.140625" bestFit="1" customWidth="1"/>
    <col min="47" max="47" width="15" bestFit="1" customWidth="1"/>
    <col min="48" max="48" width="20.85546875" bestFit="1" customWidth="1"/>
    <col min="50" max="50" width="17.140625" bestFit="1" customWidth="1"/>
    <col min="51" max="51" width="15" bestFit="1" customWidth="1"/>
    <col min="52" max="52" width="20.85546875" bestFit="1" customWidth="1"/>
    <col min="54" max="54" width="17.140625" bestFit="1" customWidth="1"/>
    <col min="55" max="55" width="15" bestFit="1" customWidth="1"/>
    <col min="56" max="56" width="20.85546875" bestFit="1" customWidth="1"/>
    <col min="58" max="58" width="17.140625" bestFit="1" customWidth="1"/>
    <col min="59" max="59" width="15" bestFit="1" customWidth="1"/>
    <col min="60" max="60" width="20.85546875" bestFit="1" customWidth="1"/>
    <col min="62" max="62" width="17.140625" bestFit="1" customWidth="1"/>
    <col min="63" max="63" width="13.42578125" bestFit="1" customWidth="1"/>
    <col min="64" max="64" width="20.85546875" bestFit="1" customWidth="1"/>
    <col min="66" max="66" width="17.140625" bestFit="1" customWidth="1"/>
    <col min="67" max="67" width="15" bestFit="1" customWidth="1"/>
    <col min="68" max="68" width="20.85546875" bestFit="1" customWidth="1"/>
    <col min="70" max="70" width="17.140625" bestFit="1" customWidth="1"/>
    <col min="71" max="71" width="15" bestFit="1" customWidth="1"/>
    <col min="72" max="72" width="20.85546875" bestFit="1" customWidth="1"/>
  </cols>
  <sheetData>
    <row r="2" spans="1:72" s="40" customFormat="1" x14ac:dyDescent="0.2">
      <c r="B2" s="28" t="s">
        <v>0</v>
      </c>
      <c r="C2" s="2">
        <f>'Nombre campus'!$C$5</f>
        <v>500</v>
      </c>
      <c r="F2" s="28" t="s">
        <v>0</v>
      </c>
      <c r="G2" s="2">
        <f>'Nombre campus'!C6</f>
        <v>1436</v>
      </c>
      <c r="H2" s="41"/>
      <c r="I2" s="41"/>
      <c r="J2" s="28" t="s">
        <v>0</v>
      </c>
      <c r="K2" s="2">
        <f>'Nombre campus'!C7</f>
        <v>1000</v>
      </c>
      <c r="L2" s="41"/>
      <c r="M2" s="41"/>
      <c r="N2" s="28" t="s">
        <v>0</v>
      </c>
      <c r="O2" s="2">
        <f>'Nombre campus'!C8</f>
        <v>1529</v>
      </c>
      <c r="P2" s="41"/>
      <c r="Q2" s="41"/>
      <c r="R2" s="28" t="s">
        <v>0</v>
      </c>
      <c r="S2" s="2">
        <f>'Nombre campus'!C9</f>
        <v>925</v>
      </c>
      <c r="T2" s="41"/>
      <c r="U2" s="41"/>
      <c r="V2" s="28" t="s">
        <v>0</v>
      </c>
      <c r="W2" s="2">
        <f>'Nombre campus'!C10</f>
        <v>1500</v>
      </c>
      <c r="X2" s="41"/>
      <c r="Y2" s="41"/>
      <c r="Z2" s="28" t="s">
        <v>0</v>
      </c>
      <c r="AA2" s="2">
        <f>'Nombre campus'!C11</f>
        <v>1800</v>
      </c>
      <c r="AB2" s="41"/>
      <c r="AC2" s="41"/>
      <c r="AD2" s="28" t="s">
        <v>0</v>
      </c>
      <c r="AE2" s="2">
        <f>'Nombre campus'!C12</f>
        <v>2180</v>
      </c>
      <c r="AF2" s="41"/>
      <c r="AG2" s="41"/>
      <c r="AH2" s="28" t="s">
        <v>0</v>
      </c>
      <c r="AI2" s="2">
        <f ca="1">'Nombre campus'!C13</f>
        <v>1136</v>
      </c>
      <c r="AJ2" s="41"/>
      <c r="AK2" s="41"/>
      <c r="AL2" s="28" t="s">
        <v>0</v>
      </c>
      <c r="AM2" s="2">
        <f ca="1">'Nombre campus'!C14</f>
        <v>1547</v>
      </c>
      <c r="AN2" s="41"/>
      <c r="AO2" s="41"/>
      <c r="AP2" s="28" t="s">
        <v>0</v>
      </c>
      <c r="AQ2" s="2">
        <f ca="1">'Nombre campus'!C15</f>
        <v>1320</v>
      </c>
      <c r="AR2" s="41"/>
      <c r="AS2" s="41"/>
      <c r="AT2" s="28" t="s">
        <v>0</v>
      </c>
      <c r="AU2" s="2">
        <f ca="1">'Nombre campus'!C16</f>
        <v>1370</v>
      </c>
      <c r="AV2" s="41"/>
      <c r="AW2" s="41"/>
      <c r="AX2" s="28" t="s">
        <v>0</v>
      </c>
      <c r="AY2" s="2">
        <f ca="1">'Nombre campus'!C17</f>
        <v>1557</v>
      </c>
      <c r="AZ2" s="41"/>
      <c r="BA2" s="41"/>
      <c r="BB2" s="28" t="s">
        <v>0</v>
      </c>
      <c r="BC2" s="2">
        <f ca="1">'Nombre campus'!C18</f>
        <v>1337</v>
      </c>
      <c r="BD2" s="41"/>
      <c r="BE2" s="41"/>
      <c r="BF2" s="28" t="s">
        <v>0</v>
      </c>
      <c r="BG2" s="2">
        <f ca="1">'Nombre campus'!C19</f>
        <v>1124</v>
      </c>
      <c r="BH2" s="41"/>
      <c r="BI2" s="41"/>
      <c r="BJ2" s="28" t="s">
        <v>0</v>
      </c>
      <c r="BK2" s="2">
        <f ca="1">'Nombre campus'!C20</f>
        <v>1438</v>
      </c>
      <c r="BL2" s="41"/>
      <c r="BM2" s="41"/>
      <c r="BN2" s="28" t="s">
        <v>0</v>
      </c>
      <c r="BO2" s="2">
        <f ca="1">'Nombre campus'!C21</f>
        <v>1071</v>
      </c>
      <c r="BP2" s="41"/>
      <c r="BQ2" s="41"/>
      <c r="BR2" s="28" t="s">
        <v>0</v>
      </c>
      <c r="BS2" s="2">
        <f ca="1">'Nombre campus'!C22</f>
        <v>1462</v>
      </c>
    </row>
    <row r="3" spans="1:72" s="40" customFormat="1" x14ac:dyDescent="0.2">
      <c r="B3" s="28" t="s">
        <v>1</v>
      </c>
      <c r="C3" s="3">
        <v>0.2</v>
      </c>
      <c r="F3" s="28" t="s">
        <v>1</v>
      </c>
      <c r="G3" s="3">
        <v>0.15</v>
      </c>
      <c r="H3" s="41"/>
      <c r="I3" s="41"/>
      <c r="J3" s="28" t="s">
        <v>1</v>
      </c>
      <c r="K3" s="3">
        <f>G3</f>
        <v>0.15</v>
      </c>
      <c r="L3" s="41"/>
      <c r="M3" s="41"/>
      <c r="N3" s="28" t="s">
        <v>1</v>
      </c>
      <c r="O3" s="3">
        <f>G3</f>
        <v>0.15</v>
      </c>
      <c r="P3" s="41"/>
      <c r="Q3" s="41"/>
      <c r="R3" s="28" t="s">
        <v>1</v>
      </c>
      <c r="S3" s="3">
        <f>G3</f>
        <v>0.15</v>
      </c>
      <c r="T3" s="41"/>
      <c r="U3" s="41"/>
      <c r="V3" s="28" t="s">
        <v>1</v>
      </c>
      <c r="W3" s="3">
        <f>G3</f>
        <v>0.15</v>
      </c>
      <c r="X3" s="41"/>
      <c r="Y3" s="41"/>
      <c r="Z3" s="28" t="s">
        <v>1</v>
      </c>
      <c r="AA3" s="3">
        <f>G3</f>
        <v>0.15</v>
      </c>
      <c r="AB3" s="41"/>
      <c r="AC3" s="41"/>
      <c r="AD3" s="28" t="s">
        <v>1</v>
      </c>
      <c r="AE3" s="3">
        <f>G3</f>
        <v>0.15</v>
      </c>
      <c r="AF3" s="41"/>
      <c r="AG3" s="41"/>
      <c r="AH3" s="28" t="s">
        <v>1</v>
      </c>
      <c r="AI3" s="3">
        <f>G3</f>
        <v>0.15</v>
      </c>
      <c r="AJ3" s="41"/>
      <c r="AK3" s="41"/>
      <c r="AL3" s="28" t="s">
        <v>1</v>
      </c>
      <c r="AM3" s="3">
        <f>G3</f>
        <v>0.15</v>
      </c>
      <c r="AN3" s="41"/>
      <c r="AO3" s="41"/>
      <c r="AP3" s="28" t="s">
        <v>1</v>
      </c>
      <c r="AQ3" s="3">
        <f>G3</f>
        <v>0.15</v>
      </c>
      <c r="AR3" s="41"/>
      <c r="AS3" s="41"/>
      <c r="AT3" s="28" t="s">
        <v>1</v>
      </c>
      <c r="AU3" s="3">
        <f>G3</f>
        <v>0.15</v>
      </c>
      <c r="AV3" s="41"/>
      <c r="AW3" s="41"/>
      <c r="AX3" s="28" t="s">
        <v>1</v>
      </c>
      <c r="AY3" s="3">
        <f>G3</f>
        <v>0.15</v>
      </c>
      <c r="AZ3" s="41"/>
      <c r="BA3" s="41"/>
      <c r="BB3" s="28" t="s">
        <v>1</v>
      </c>
      <c r="BC3" s="3">
        <f>G3</f>
        <v>0.15</v>
      </c>
      <c r="BD3" s="41"/>
      <c r="BE3" s="41"/>
      <c r="BF3" s="28" t="s">
        <v>1</v>
      </c>
      <c r="BG3" s="3">
        <f>G3</f>
        <v>0.15</v>
      </c>
      <c r="BH3" s="41"/>
      <c r="BI3" s="41"/>
      <c r="BJ3" s="28" t="s">
        <v>1</v>
      </c>
      <c r="BK3" s="3">
        <f>G3</f>
        <v>0.15</v>
      </c>
      <c r="BL3" s="41"/>
      <c r="BM3" s="41"/>
      <c r="BN3" s="28" t="s">
        <v>1</v>
      </c>
      <c r="BO3" s="3">
        <f>G3</f>
        <v>0.15</v>
      </c>
      <c r="BP3" s="41"/>
      <c r="BQ3" s="41"/>
      <c r="BR3" s="28" t="s">
        <v>1</v>
      </c>
      <c r="BS3" s="3">
        <f>G3</f>
        <v>0.15</v>
      </c>
    </row>
    <row r="4" spans="1:72" s="40" customFormat="1" x14ac:dyDescent="0.2">
      <c r="B4" s="28" t="s">
        <v>2</v>
      </c>
      <c r="C4" s="2">
        <f>C2*C3</f>
        <v>100</v>
      </c>
      <c r="F4" s="28" t="s">
        <v>2</v>
      </c>
      <c r="G4" s="2">
        <f>G2*G3</f>
        <v>215.4</v>
      </c>
      <c r="H4" s="41"/>
      <c r="I4" s="41"/>
      <c r="J4" s="28" t="s">
        <v>2</v>
      </c>
      <c r="K4" s="2">
        <f>K2*K3</f>
        <v>150</v>
      </c>
      <c r="L4" s="41"/>
      <c r="M4" s="41"/>
      <c r="N4" s="28" t="s">
        <v>2</v>
      </c>
      <c r="O4" s="2">
        <f>O2*O3</f>
        <v>229.35</v>
      </c>
      <c r="P4" s="41"/>
      <c r="Q4" s="41"/>
      <c r="R4" s="28" t="s">
        <v>2</v>
      </c>
      <c r="S4" s="2">
        <f>S2*S3</f>
        <v>138.75</v>
      </c>
      <c r="T4" s="41"/>
      <c r="U4" s="41"/>
      <c r="V4" s="28" t="s">
        <v>2</v>
      </c>
      <c r="W4" s="2">
        <f>W2*W3</f>
        <v>225</v>
      </c>
      <c r="X4" s="41"/>
      <c r="Y4" s="41"/>
      <c r="Z4" s="28" t="s">
        <v>2</v>
      </c>
      <c r="AA4" s="2">
        <f>AA2*AA3</f>
        <v>270</v>
      </c>
      <c r="AB4" s="41"/>
      <c r="AC4" s="41"/>
      <c r="AD4" s="28" t="s">
        <v>2</v>
      </c>
      <c r="AE4" s="2">
        <f>AE2*AE3</f>
        <v>327</v>
      </c>
      <c r="AF4" s="41"/>
      <c r="AG4" s="41"/>
      <c r="AH4" s="28" t="s">
        <v>2</v>
      </c>
      <c r="AI4" s="2">
        <f ca="1">AI2*AI3</f>
        <v>170.4</v>
      </c>
      <c r="AJ4" s="41"/>
      <c r="AK4" s="41"/>
      <c r="AL4" s="28" t="s">
        <v>2</v>
      </c>
      <c r="AM4" s="2">
        <f ca="1">AM2*AM3</f>
        <v>232.04999999999998</v>
      </c>
      <c r="AN4" s="41"/>
      <c r="AO4" s="41"/>
      <c r="AP4" s="28" t="s">
        <v>2</v>
      </c>
      <c r="AQ4" s="2">
        <f ca="1">AQ2*AQ3</f>
        <v>198</v>
      </c>
      <c r="AR4" s="41"/>
      <c r="AS4" s="41"/>
      <c r="AT4" s="28" t="s">
        <v>2</v>
      </c>
      <c r="AU4" s="2">
        <f ca="1">AU2*AU3</f>
        <v>205.5</v>
      </c>
      <c r="AV4" s="41"/>
      <c r="AW4" s="41"/>
      <c r="AX4" s="28" t="s">
        <v>2</v>
      </c>
      <c r="AY4" s="2">
        <f ca="1">AY2*AY3</f>
        <v>233.54999999999998</v>
      </c>
      <c r="AZ4" s="41"/>
      <c r="BA4" s="41"/>
      <c r="BB4" s="28" t="s">
        <v>2</v>
      </c>
      <c r="BC4" s="2">
        <f ca="1">BC2*BC3</f>
        <v>200.54999999999998</v>
      </c>
      <c r="BD4" s="41"/>
      <c r="BE4" s="41"/>
      <c r="BF4" s="28" t="s">
        <v>2</v>
      </c>
      <c r="BG4" s="2">
        <f ca="1">BG2*BG3</f>
        <v>168.6</v>
      </c>
      <c r="BH4" s="41"/>
      <c r="BI4" s="41"/>
      <c r="BJ4" s="28" t="s">
        <v>2</v>
      </c>
      <c r="BK4" s="2">
        <f ca="1">BK2*BK3</f>
        <v>215.7</v>
      </c>
      <c r="BL4" s="41"/>
      <c r="BM4" s="41"/>
      <c r="BN4" s="28" t="s">
        <v>2</v>
      </c>
      <c r="BO4" s="2">
        <f ca="1">BO2*BO3</f>
        <v>160.65</v>
      </c>
      <c r="BP4" s="41"/>
      <c r="BQ4" s="41"/>
      <c r="BR4" s="28" t="s">
        <v>2</v>
      </c>
      <c r="BS4" s="2">
        <f ca="1">BS2*BS3</f>
        <v>219.29999999999998</v>
      </c>
    </row>
    <row r="5" spans="1:72" s="40" customFormat="1" x14ac:dyDescent="0.2">
      <c r="B5" s="28" t="s">
        <v>3</v>
      </c>
      <c r="C5" s="3">
        <v>0.04</v>
      </c>
      <c r="F5" s="28" t="s">
        <v>3</v>
      </c>
      <c r="G5" s="3">
        <v>0.04</v>
      </c>
      <c r="H5" s="41"/>
      <c r="I5" s="41"/>
      <c r="J5" s="28" t="s">
        <v>3</v>
      </c>
      <c r="K5" s="3">
        <f>G5</f>
        <v>0.04</v>
      </c>
      <c r="L5" s="41"/>
      <c r="M5" s="41"/>
      <c r="N5" s="28" t="s">
        <v>3</v>
      </c>
      <c r="O5" s="3">
        <f>G5</f>
        <v>0.04</v>
      </c>
      <c r="P5" s="41"/>
      <c r="Q5" s="41"/>
      <c r="R5" s="28" t="s">
        <v>3</v>
      </c>
      <c r="S5" s="3">
        <f>G5</f>
        <v>0.04</v>
      </c>
      <c r="T5" s="41"/>
      <c r="U5" s="41"/>
      <c r="V5" s="28" t="s">
        <v>3</v>
      </c>
      <c r="W5" s="3">
        <f>G5</f>
        <v>0.04</v>
      </c>
      <c r="X5" s="41"/>
      <c r="Y5" s="41"/>
      <c r="Z5" s="28" t="s">
        <v>3</v>
      </c>
      <c r="AA5" s="3">
        <f>G5</f>
        <v>0.04</v>
      </c>
      <c r="AB5" s="41"/>
      <c r="AC5" s="41"/>
      <c r="AD5" s="28" t="s">
        <v>3</v>
      </c>
      <c r="AE5" s="3">
        <f>G5</f>
        <v>0.04</v>
      </c>
      <c r="AF5" s="41"/>
      <c r="AG5" s="41"/>
      <c r="AH5" s="28" t="s">
        <v>3</v>
      </c>
      <c r="AI5" s="3">
        <f>G5</f>
        <v>0.04</v>
      </c>
      <c r="AJ5" s="41"/>
      <c r="AK5" s="41"/>
      <c r="AL5" s="28" t="s">
        <v>3</v>
      </c>
      <c r="AM5" s="3">
        <f>G5</f>
        <v>0.04</v>
      </c>
      <c r="AN5" s="41"/>
      <c r="AO5" s="41"/>
      <c r="AP5" s="28" t="s">
        <v>3</v>
      </c>
      <c r="AQ5" s="3">
        <f>G5</f>
        <v>0.04</v>
      </c>
      <c r="AR5" s="41"/>
      <c r="AS5" s="41"/>
      <c r="AT5" s="28" t="s">
        <v>3</v>
      </c>
      <c r="AU5" s="3">
        <f>G5</f>
        <v>0.04</v>
      </c>
      <c r="AV5" s="41"/>
      <c r="AW5" s="41"/>
      <c r="AX5" s="28" t="s">
        <v>3</v>
      </c>
      <c r="AY5" s="3">
        <f>G5</f>
        <v>0.04</v>
      </c>
      <c r="AZ5" s="41"/>
      <c r="BA5" s="41"/>
      <c r="BB5" s="28" t="s">
        <v>3</v>
      </c>
      <c r="BC5" s="3">
        <f>G5</f>
        <v>0.04</v>
      </c>
      <c r="BD5" s="41"/>
      <c r="BE5" s="41"/>
      <c r="BF5" s="28" t="s">
        <v>3</v>
      </c>
      <c r="BG5" s="3">
        <f>G5</f>
        <v>0.04</v>
      </c>
      <c r="BH5" s="41"/>
      <c r="BI5" s="41"/>
      <c r="BJ5" s="28" t="s">
        <v>3</v>
      </c>
      <c r="BK5" s="3">
        <f>G5</f>
        <v>0.04</v>
      </c>
      <c r="BL5" s="41"/>
      <c r="BM5" s="41"/>
      <c r="BN5" s="28" t="s">
        <v>3</v>
      </c>
      <c r="BO5" s="3">
        <f>G5</f>
        <v>0.04</v>
      </c>
      <c r="BP5" s="41"/>
      <c r="BQ5" s="41"/>
      <c r="BR5" s="28" t="s">
        <v>3</v>
      </c>
      <c r="BS5" s="3">
        <f>G5</f>
        <v>0.04</v>
      </c>
    </row>
    <row r="6" spans="1:72" x14ac:dyDescent="0.2">
      <c r="B6" s="28" t="s">
        <v>4</v>
      </c>
      <c r="C6" s="2">
        <f>C2*C5</f>
        <v>20</v>
      </c>
      <c r="F6" s="28" t="s">
        <v>4</v>
      </c>
      <c r="G6" s="2">
        <f>G2*G5</f>
        <v>57.44</v>
      </c>
      <c r="H6" s="41"/>
      <c r="I6" s="41"/>
      <c r="J6" s="28" t="s">
        <v>4</v>
      </c>
      <c r="K6" s="2">
        <f>K2*K5</f>
        <v>40</v>
      </c>
      <c r="L6" s="41"/>
      <c r="M6" s="41"/>
      <c r="N6" s="28" t="s">
        <v>4</v>
      </c>
      <c r="O6" s="2">
        <f>O2*O5</f>
        <v>61.160000000000004</v>
      </c>
      <c r="P6" s="41"/>
      <c r="Q6" s="41"/>
      <c r="R6" s="28" t="s">
        <v>4</v>
      </c>
      <c r="S6" s="2">
        <f>S2*S5</f>
        <v>37</v>
      </c>
      <c r="T6" s="41"/>
      <c r="U6" s="41"/>
      <c r="V6" s="28" t="s">
        <v>4</v>
      </c>
      <c r="W6" s="2">
        <f>W2*W5</f>
        <v>60</v>
      </c>
      <c r="X6" s="41"/>
      <c r="Y6" s="41"/>
      <c r="Z6" s="28" t="s">
        <v>4</v>
      </c>
      <c r="AA6" s="2">
        <f>AA2*AA5</f>
        <v>72</v>
      </c>
      <c r="AB6" s="41"/>
      <c r="AC6" s="41"/>
      <c r="AD6" s="28" t="s">
        <v>4</v>
      </c>
      <c r="AE6" s="2">
        <f>AE2*AE5</f>
        <v>87.2</v>
      </c>
      <c r="AF6" s="41"/>
      <c r="AG6" s="41"/>
      <c r="AH6" s="28" t="s">
        <v>4</v>
      </c>
      <c r="AI6" s="2">
        <f ca="1">AI2*AI5</f>
        <v>45.44</v>
      </c>
      <c r="AJ6" s="41"/>
      <c r="AK6" s="41"/>
      <c r="AL6" s="28" t="s">
        <v>4</v>
      </c>
      <c r="AM6" s="2">
        <f ca="1">AM2*AM5</f>
        <v>61.88</v>
      </c>
      <c r="AN6" s="41"/>
      <c r="AO6" s="41"/>
      <c r="AP6" s="28" t="s">
        <v>4</v>
      </c>
      <c r="AQ6" s="2">
        <f ca="1">AQ2*AQ5</f>
        <v>52.800000000000004</v>
      </c>
      <c r="AR6" s="41"/>
      <c r="AS6" s="41"/>
      <c r="AT6" s="28" t="s">
        <v>4</v>
      </c>
      <c r="AU6" s="2">
        <f ca="1">AU2*AU5</f>
        <v>54.800000000000004</v>
      </c>
      <c r="AV6" s="41"/>
      <c r="AW6" s="41"/>
      <c r="AX6" s="28" t="s">
        <v>4</v>
      </c>
      <c r="AY6" s="2">
        <f ca="1">AY2*AY5</f>
        <v>62.28</v>
      </c>
      <c r="AZ6" s="41"/>
      <c r="BA6" s="41"/>
      <c r="BB6" s="28" t="s">
        <v>4</v>
      </c>
      <c r="BC6" s="2">
        <f ca="1">BC2*BC5</f>
        <v>53.480000000000004</v>
      </c>
      <c r="BD6" s="41"/>
      <c r="BE6" s="41"/>
      <c r="BF6" s="28" t="s">
        <v>4</v>
      </c>
      <c r="BG6" s="2">
        <f ca="1">BG2*BG5</f>
        <v>44.96</v>
      </c>
      <c r="BH6" s="41"/>
      <c r="BI6" s="41"/>
      <c r="BJ6" s="28" t="s">
        <v>4</v>
      </c>
      <c r="BK6" s="2">
        <f ca="1">BK2*BK5</f>
        <v>57.52</v>
      </c>
      <c r="BL6" s="41"/>
      <c r="BM6" s="41"/>
      <c r="BN6" s="28" t="s">
        <v>4</v>
      </c>
      <c r="BO6" s="2">
        <f ca="1">BO2*BO5</f>
        <v>42.84</v>
      </c>
      <c r="BP6" s="41"/>
      <c r="BQ6" s="41"/>
      <c r="BR6" s="28" t="s">
        <v>4</v>
      </c>
      <c r="BS6" s="2">
        <f ca="1">BS2*BS5</f>
        <v>58.480000000000004</v>
      </c>
    </row>
    <row r="7" spans="1:72" s="40" customFormat="1" x14ac:dyDescent="0.2">
      <c r="B7" s="28" t="s">
        <v>5</v>
      </c>
      <c r="C7" s="2">
        <f>3*C6</f>
        <v>60</v>
      </c>
      <c r="F7" s="28" t="s">
        <v>5</v>
      </c>
      <c r="G7" s="2">
        <f>3*G6</f>
        <v>172.32</v>
      </c>
      <c r="H7" s="41"/>
      <c r="I7" s="41"/>
      <c r="J7" s="28" t="s">
        <v>5</v>
      </c>
      <c r="K7" s="2">
        <f>3*K6</f>
        <v>120</v>
      </c>
      <c r="L7" s="41"/>
      <c r="M7" s="41"/>
      <c r="N7" s="28" t="s">
        <v>5</v>
      </c>
      <c r="O7" s="2">
        <f>3*O6</f>
        <v>183.48000000000002</v>
      </c>
      <c r="P7" s="41"/>
      <c r="Q7" s="41"/>
      <c r="R7" s="28" t="s">
        <v>5</v>
      </c>
      <c r="S7" s="2">
        <f>3*S6</f>
        <v>111</v>
      </c>
      <c r="T7" s="41"/>
      <c r="U7" s="41"/>
      <c r="V7" s="28" t="s">
        <v>5</v>
      </c>
      <c r="W7" s="2">
        <f>3*W6</f>
        <v>180</v>
      </c>
      <c r="X7" s="41"/>
      <c r="Y7" s="41"/>
      <c r="Z7" s="28" t="s">
        <v>5</v>
      </c>
      <c r="AA7" s="2">
        <f>3*AA6</f>
        <v>216</v>
      </c>
      <c r="AB7" s="41"/>
      <c r="AC7" s="41"/>
      <c r="AD7" s="28" t="s">
        <v>5</v>
      </c>
      <c r="AE7" s="2">
        <f>3*AE6</f>
        <v>261.60000000000002</v>
      </c>
      <c r="AF7" s="41"/>
      <c r="AG7" s="41"/>
      <c r="AH7" s="28" t="s">
        <v>5</v>
      </c>
      <c r="AI7" s="2">
        <f ca="1">3*AI6</f>
        <v>136.32</v>
      </c>
      <c r="AJ7" s="41"/>
      <c r="AK7" s="41"/>
      <c r="AL7" s="28" t="s">
        <v>5</v>
      </c>
      <c r="AM7" s="2">
        <f ca="1">3*AM6</f>
        <v>185.64000000000001</v>
      </c>
      <c r="AN7" s="41"/>
      <c r="AO7" s="41"/>
      <c r="AP7" s="28" t="s">
        <v>5</v>
      </c>
      <c r="AQ7" s="2">
        <f ca="1">3*AQ6</f>
        <v>158.4</v>
      </c>
      <c r="AR7" s="41"/>
      <c r="AS7" s="41"/>
      <c r="AT7" s="28" t="s">
        <v>5</v>
      </c>
      <c r="AU7" s="2">
        <f ca="1">3*AU6</f>
        <v>164.4</v>
      </c>
      <c r="AV7" s="41"/>
      <c r="AW7" s="41"/>
      <c r="AX7" s="28" t="s">
        <v>5</v>
      </c>
      <c r="AY7" s="2">
        <f ca="1">3*AY6</f>
        <v>186.84</v>
      </c>
      <c r="AZ7" s="41"/>
      <c r="BA7" s="41"/>
      <c r="BB7" s="28" t="s">
        <v>5</v>
      </c>
      <c r="BC7" s="2">
        <f ca="1">3*BC6</f>
        <v>160.44</v>
      </c>
      <c r="BD7" s="41"/>
      <c r="BE7" s="41"/>
      <c r="BF7" s="28" t="s">
        <v>5</v>
      </c>
      <c r="BG7" s="2">
        <f ca="1">3*BG6</f>
        <v>134.88</v>
      </c>
      <c r="BH7" s="41"/>
      <c r="BI7" s="41"/>
      <c r="BJ7" s="28" t="s">
        <v>5</v>
      </c>
      <c r="BK7" s="2">
        <f ca="1">3*BK6</f>
        <v>172.56</v>
      </c>
      <c r="BL7" s="41"/>
      <c r="BM7" s="41"/>
      <c r="BN7" s="28" t="s">
        <v>5</v>
      </c>
      <c r="BO7" s="2">
        <f ca="1">3*BO6</f>
        <v>128.52000000000001</v>
      </c>
      <c r="BP7" s="41"/>
      <c r="BQ7" s="41"/>
      <c r="BR7" s="28" t="s">
        <v>5</v>
      </c>
      <c r="BS7" s="2">
        <f ca="1">3*BS6</f>
        <v>175.44</v>
      </c>
    </row>
    <row r="8" spans="1:72" s="40" customFormat="1" x14ac:dyDescent="0.2">
      <c r="B8" s="28" t="s">
        <v>6</v>
      </c>
      <c r="C8" s="4">
        <f>6*C6</f>
        <v>120</v>
      </c>
      <c r="F8" s="28" t="s">
        <v>6</v>
      </c>
      <c r="G8" s="4">
        <f>6*G6</f>
        <v>344.64</v>
      </c>
      <c r="H8" s="41"/>
      <c r="I8" s="41"/>
      <c r="J8" s="28" t="s">
        <v>6</v>
      </c>
      <c r="K8" s="4">
        <f>6*K6</f>
        <v>240</v>
      </c>
      <c r="L8" s="41"/>
      <c r="M8" s="41"/>
      <c r="N8" s="28" t="s">
        <v>6</v>
      </c>
      <c r="O8" s="4">
        <f>6*O6</f>
        <v>366.96000000000004</v>
      </c>
      <c r="P8" s="41"/>
      <c r="Q8" s="41"/>
      <c r="R8" s="28" t="s">
        <v>6</v>
      </c>
      <c r="S8" s="4">
        <f>6*S6</f>
        <v>222</v>
      </c>
      <c r="T8" s="41"/>
      <c r="U8" s="41"/>
      <c r="V8" s="28" t="s">
        <v>6</v>
      </c>
      <c r="W8" s="4">
        <f>6*W6</f>
        <v>360</v>
      </c>
      <c r="X8" s="41"/>
      <c r="Y8" s="41"/>
      <c r="Z8" s="28" t="s">
        <v>6</v>
      </c>
      <c r="AA8" s="4">
        <f>6*AA6</f>
        <v>432</v>
      </c>
      <c r="AB8" s="41"/>
      <c r="AC8" s="41"/>
      <c r="AD8" s="28" t="s">
        <v>6</v>
      </c>
      <c r="AE8" s="4">
        <f>6*AE6</f>
        <v>523.20000000000005</v>
      </c>
      <c r="AF8" s="41"/>
      <c r="AG8" s="41"/>
      <c r="AH8" s="28" t="s">
        <v>6</v>
      </c>
      <c r="AI8" s="4">
        <f ca="1">6*AI6</f>
        <v>272.64</v>
      </c>
      <c r="AJ8" s="41"/>
      <c r="AK8" s="41"/>
      <c r="AL8" s="28" t="s">
        <v>6</v>
      </c>
      <c r="AM8" s="4">
        <f ca="1">6*AM6</f>
        <v>371.28000000000003</v>
      </c>
      <c r="AN8" s="41"/>
      <c r="AO8" s="41"/>
      <c r="AP8" s="28" t="s">
        <v>6</v>
      </c>
      <c r="AQ8" s="4">
        <f ca="1">6*AQ6</f>
        <v>316.8</v>
      </c>
      <c r="AR8" s="41"/>
      <c r="AS8" s="41"/>
      <c r="AT8" s="28" t="s">
        <v>6</v>
      </c>
      <c r="AU8" s="4">
        <f ca="1">6*AU6</f>
        <v>328.8</v>
      </c>
      <c r="AV8" s="41"/>
      <c r="AW8" s="41"/>
      <c r="AX8" s="28" t="s">
        <v>6</v>
      </c>
      <c r="AY8" s="4">
        <f ca="1">6*AY6</f>
        <v>373.68</v>
      </c>
      <c r="AZ8" s="41"/>
      <c r="BA8" s="41"/>
      <c r="BB8" s="28" t="s">
        <v>6</v>
      </c>
      <c r="BC8" s="4">
        <f ca="1">6*BC6</f>
        <v>320.88</v>
      </c>
      <c r="BD8" s="41"/>
      <c r="BE8" s="41"/>
      <c r="BF8" s="28" t="s">
        <v>6</v>
      </c>
      <c r="BG8" s="4">
        <f ca="1">6*BG6</f>
        <v>269.76</v>
      </c>
      <c r="BH8" s="41"/>
      <c r="BI8" s="41"/>
      <c r="BJ8" s="28" t="s">
        <v>6</v>
      </c>
      <c r="BK8" s="4">
        <f ca="1">6*BK6</f>
        <v>345.12</v>
      </c>
      <c r="BL8" s="41"/>
      <c r="BM8" s="41"/>
      <c r="BN8" s="28" t="s">
        <v>6</v>
      </c>
      <c r="BO8" s="4">
        <f ca="1">6*BO6</f>
        <v>257.04000000000002</v>
      </c>
      <c r="BP8" s="41"/>
      <c r="BQ8" s="41"/>
      <c r="BR8" s="28" t="s">
        <v>6</v>
      </c>
      <c r="BS8" s="4">
        <f ca="1">6*BS6</f>
        <v>350.88</v>
      </c>
    </row>
    <row r="13" spans="1:72" x14ac:dyDescent="0.2">
      <c r="B13" s="49" t="str">
        <f>'Nombre campus'!B5</f>
        <v>G. Charpak</v>
      </c>
      <c r="C13" s="50"/>
      <c r="D13" s="27"/>
      <c r="E13" s="24"/>
      <c r="F13" s="49" t="str">
        <f>'Nombre campus'!B6</f>
        <v>Mines ICM</v>
      </c>
      <c r="G13" s="50"/>
      <c r="H13" s="27"/>
      <c r="I13" s="39"/>
      <c r="J13" s="51" t="str">
        <f>'Nombre campus'!B7</f>
        <v>Mines Albi</v>
      </c>
      <c r="K13" s="51"/>
      <c r="L13" s="42"/>
      <c r="M13" s="39"/>
      <c r="N13" s="49" t="str">
        <f>'Nombre campus'!B8</f>
        <v>Telecom Paris</v>
      </c>
      <c r="O13" s="50"/>
      <c r="P13" s="27"/>
      <c r="Q13" s="39"/>
      <c r="R13" s="49" t="str">
        <f>'Nombre campus'!B9</f>
        <v xml:space="preserve">Telecom sud Paris </v>
      </c>
      <c r="S13" s="50"/>
      <c r="T13" s="27"/>
      <c r="U13" s="39"/>
      <c r="V13" s="51" t="str">
        <f>'Nombre campus'!B10</f>
        <v>IMT Business school</v>
      </c>
      <c r="W13" s="51"/>
      <c r="X13" s="42"/>
      <c r="Y13" s="39"/>
      <c r="Z13" s="49" t="str">
        <f>'Nombre campus'!B11</f>
        <v>IMT Atlantique</v>
      </c>
      <c r="AA13" s="50"/>
      <c r="AB13" s="27"/>
      <c r="AC13" s="39"/>
      <c r="AD13" s="51" t="str">
        <f>'Nombre campus'!B12</f>
        <v>IMT Douai</v>
      </c>
      <c r="AE13" s="51"/>
      <c r="AF13" s="42"/>
      <c r="AG13" s="39"/>
      <c r="AH13" s="49" t="str">
        <f>'Nombre campus'!B13</f>
        <v>Campus 1</v>
      </c>
      <c r="AI13" s="50"/>
      <c r="AJ13" s="27"/>
      <c r="AK13" s="39"/>
      <c r="AL13" s="51" t="str">
        <f>'Nombre campus'!B14</f>
        <v>Campus 2</v>
      </c>
      <c r="AM13" s="51"/>
      <c r="AN13" s="42"/>
      <c r="AO13" s="39"/>
      <c r="AP13" s="49" t="str">
        <f>'Nombre campus'!B15</f>
        <v>Campus 3</v>
      </c>
      <c r="AQ13" s="50"/>
      <c r="AR13" s="27"/>
      <c r="AS13" s="39"/>
      <c r="AT13" s="49" t="str">
        <f>'Nombre campus'!B16</f>
        <v>Campus 4</v>
      </c>
      <c r="AU13" s="50"/>
      <c r="AV13" s="27"/>
      <c r="AW13" s="39"/>
      <c r="AX13" s="51" t="str">
        <f>'Nombre campus'!B17</f>
        <v>Campus 5</v>
      </c>
      <c r="AY13" s="51"/>
      <c r="AZ13" s="42"/>
      <c r="BA13" s="25"/>
      <c r="BB13" s="49" t="str">
        <f>'Nombre campus'!B18</f>
        <v>Campus 6</v>
      </c>
      <c r="BC13" s="50"/>
      <c r="BD13" s="27"/>
      <c r="BE13" s="39"/>
      <c r="BF13" s="51" t="str">
        <f>'Nombre campus'!B19</f>
        <v>Campus 7</v>
      </c>
      <c r="BG13" s="51"/>
      <c r="BH13" s="42"/>
      <c r="BI13" s="39"/>
      <c r="BJ13" s="49" t="str">
        <f>'Nombre campus'!B20</f>
        <v>Campus 8</v>
      </c>
      <c r="BK13" s="50"/>
      <c r="BL13" s="27"/>
      <c r="BM13" s="39"/>
      <c r="BN13" s="51" t="str">
        <f>'Nombre campus'!B21</f>
        <v>Campus 9</v>
      </c>
      <c r="BO13" s="51"/>
      <c r="BP13" s="42"/>
      <c r="BQ13" s="39"/>
      <c r="BR13" s="49" t="str">
        <f>'Nombre campus'!B22</f>
        <v>Campus 10</v>
      </c>
      <c r="BS13" s="50"/>
      <c r="BT13" s="27"/>
    </row>
    <row r="14" spans="1:72" x14ac:dyDescent="0.2">
      <c r="A14" s="31" t="s">
        <v>7</v>
      </c>
      <c r="B14" s="42" t="s">
        <v>8</v>
      </c>
      <c r="C14" s="10" t="s">
        <v>37</v>
      </c>
      <c r="D14" s="42" t="s">
        <v>9</v>
      </c>
      <c r="F14" s="42" t="s">
        <v>8</v>
      </c>
      <c r="G14" s="10" t="s">
        <v>37</v>
      </c>
      <c r="H14" s="42" t="s">
        <v>9</v>
      </c>
      <c r="J14" s="42" t="s">
        <v>8</v>
      </c>
      <c r="K14" s="10" t="s">
        <v>37</v>
      </c>
      <c r="L14" s="42" t="s">
        <v>9</v>
      </c>
      <c r="N14" s="42" t="s">
        <v>8</v>
      </c>
      <c r="O14" s="10" t="s">
        <v>37</v>
      </c>
      <c r="P14" s="42" t="s">
        <v>9</v>
      </c>
      <c r="R14" s="42" t="s">
        <v>8</v>
      </c>
      <c r="S14" s="10" t="s">
        <v>37</v>
      </c>
      <c r="T14" s="42" t="s">
        <v>9</v>
      </c>
      <c r="V14" s="42" t="s">
        <v>8</v>
      </c>
      <c r="W14" s="10" t="s">
        <v>37</v>
      </c>
      <c r="X14" s="42" t="s">
        <v>9</v>
      </c>
      <c r="Z14" s="42" t="s">
        <v>8</v>
      </c>
      <c r="AA14" s="10" t="s">
        <v>37</v>
      </c>
      <c r="AB14" s="42" t="s">
        <v>9</v>
      </c>
      <c r="AD14" s="42" t="s">
        <v>8</v>
      </c>
      <c r="AE14" s="10" t="s">
        <v>37</v>
      </c>
      <c r="AF14" s="42" t="s">
        <v>9</v>
      </c>
      <c r="AH14" s="42" t="s">
        <v>8</v>
      </c>
      <c r="AI14" s="10" t="s">
        <v>37</v>
      </c>
      <c r="AJ14" s="42" t="s">
        <v>9</v>
      </c>
      <c r="AL14" s="42" t="s">
        <v>8</v>
      </c>
      <c r="AM14" s="10" t="s">
        <v>37</v>
      </c>
      <c r="AN14" s="42" t="s">
        <v>9</v>
      </c>
      <c r="AP14" s="42" t="s">
        <v>8</v>
      </c>
      <c r="AQ14" s="10" t="s">
        <v>37</v>
      </c>
      <c r="AR14" s="42" t="s">
        <v>9</v>
      </c>
      <c r="AT14" s="42" t="s">
        <v>8</v>
      </c>
      <c r="AU14" s="10" t="s">
        <v>37</v>
      </c>
      <c r="AV14" s="42" t="s">
        <v>9</v>
      </c>
      <c r="AX14" s="42" t="s">
        <v>8</v>
      </c>
      <c r="AY14" s="10" t="s">
        <v>37</v>
      </c>
      <c r="AZ14" s="42" t="s">
        <v>9</v>
      </c>
      <c r="BB14" s="42" t="s">
        <v>8</v>
      </c>
      <c r="BC14" s="10" t="s">
        <v>37</v>
      </c>
      <c r="BD14" s="42" t="s">
        <v>9</v>
      </c>
      <c r="BF14" s="42" t="s">
        <v>8</v>
      </c>
      <c r="BG14" s="10" t="s">
        <v>37</v>
      </c>
      <c r="BH14" s="42" t="s">
        <v>9</v>
      </c>
      <c r="BJ14" s="42" t="s">
        <v>8</v>
      </c>
      <c r="BK14" s="10" t="s">
        <v>37</v>
      </c>
      <c r="BL14" s="42" t="s">
        <v>9</v>
      </c>
      <c r="BN14" s="42" t="s">
        <v>8</v>
      </c>
      <c r="BO14" s="10" t="s">
        <v>37</v>
      </c>
      <c r="BP14" s="42" t="s">
        <v>9</v>
      </c>
      <c r="BR14" s="42" t="s">
        <v>8</v>
      </c>
      <c r="BS14" s="10" t="s">
        <v>37</v>
      </c>
      <c r="BT14" s="42" t="s">
        <v>9</v>
      </c>
    </row>
    <row r="15" spans="1:72" x14ac:dyDescent="0.2">
      <c r="A15" s="22">
        <v>44562</v>
      </c>
      <c r="B15" s="43">
        <f t="shared" ref="B15:B269" ca="1" si="0">RAND()</f>
        <v>0.95795429815369071</v>
      </c>
      <c r="C15" s="8">
        <v>1</v>
      </c>
      <c r="D15" s="42">
        <v>0</v>
      </c>
      <c r="F15" s="43">
        <f t="shared" ref="F15:F269" ca="1" si="1">RAND()</f>
        <v>0.99146385177554952</v>
      </c>
      <c r="G15" s="8">
        <v>1</v>
      </c>
      <c r="H15" s="42">
        <v>0</v>
      </c>
      <c r="J15" s="43">
        <f t="shared" ref="J15:J269" ca="1" si="2">RAND()</f>
        <v>0.68981593750461867</v>
      </c>
      <c r="K15" s="8">
        <v>1</v>
      </c>
      <c r="L15" s="42">
        <v>0</v>
      </c>
      <c r="N15" s="43">
        <f t="shared" ref="N15:N269" ca="1" si="3">RAND()</f>
        <v>0.18713257161437513</v>
      </c>
      <c r="O15" s="8">
        <v>1</v>
      </c>
      <c r="P15" s="42">
        <v>0</v>
      </c>
      <c r="R15" s="43">
        <f t="shared" ref="R15:R269" ca="1" si="4">RAND()</f>
        <v>0.58368910969122978</v>
      </c>
      <c r="S15" s="8">
        <v>1</v>
      </c>
      <c r="T15" s="42">
        <v>0</v>
      </c>
      <c r="V15" s="43">
        <f t="shared" ref="V15:V269" ca="1" si="5">RAND()</f>
        <v>0.57261162569801927</v>
      </c>
      <c r="W15" s="8">
        <v>1</v>
      </c>
      <c r="X15" s="42">
        <v>0</v>
      </c>
      <c r="Z15" s="43">
        <f t="shared" ref="Z15:Z269" ca="1" si="6">RAND()</f>
        <v>0.53093017825061317</v>
      </c>
      <c r="AA15" s="8">
        <v>1</v>
      </c>
      <c r="AB15" s="42">
        <v>0</v>
      </c>
      <c r="AD15" s="43">
        <f t="shared" ref="AD15:AD269" ca="1" si="7">RAND()</f>
        <v>0.28519471507245098</v>
      </c>
      <c r="AE15" s="8">
        <v>1</v>
      </c>
      <c r="AF15" s="42">
        <v>0</v>
      </c>
      <c r="AH15" s="43">
        <f t="shared" ref="AH15:AH269" ca="1" si="8">RAND()</f>
        <v>0.83428225474442863</v>
      </c>
      <c r="AI15" s="8">
        <v>1</v>
      </c>
      <c r="AJ15" s="42">
        <v>0</v>
      </c>
      <c r="AL15" s="43">
        <f t="shared" ref="AL15:AL269" ca="1" si="9">RAND()</f>
        <v>0.96531196009111708</v>
      </c>
      <c r="AM15" s="8">
        <v>1</v>
      </c>
      <c r="AN15" s="42">
        <v>0</v>
      </c>
      <c r="AP15" s="43">
        <f t="shared" ref="AP15:AP269" ca="1" si="10">RAND()</f>
        <v>0.67987207473948963</v>
      </c>
      <c r="AQ15" s="8">
        <v>1</v>
      </c>
      <c r="AR15" s="42">
        <v>0</v>
      </c>
      <c r="AT15" s="43">
        <f t="shared" ref="AT15:AT269" ca="1" si="11">RAND()</f>
        <v>0.85315659086176876</v>
      </c>
      <c r="AU15" s="8">
        <v>1</v>
      </c>
      <c r="AV15" s="42">
        <v>0</v>
      </c>
      <c r="AX15" s="43">
        <f t="shared" ref="AX15:AX269" ca="1" si="12">RAND()</f>
        <v>0.80506946808026547</v>
      </c>
      <c r="AY15" s="8">
        <v>1</v>
      </c>
      <c r="AZ15" s="42">
        <v>0</v>
      </c>
      <c r="BB15" s="43">
        <f t="shared" ref="BB15:BB269" ca="1" si="13">RAND()</f>
        <v>0.38404750760554229</v>
      </c>
      <c r="BC15" s="8">
        <v>1</v>
      </c>
      <c r="BD15" s="42">
        <v>0</v>
      </c>
      <c r="BF15" s="43">
        <f t="shared" ref="BF15:BF269" ca="1" si="14">RAND()</f>
        <v>0.31697729700606569</v>
      </c>
      <c r="BG15" s="8">
        <v>1</v>
      </c>
      <c r="BH15" s="42">
        <v>0</v>
      </c>
      <c r="BJ15" s="43">
        <f t="shared" ref="BJ15:BJ269" ca="1" si="15">RAND()</f>
        <v>5.5332368115871278E-2</v>
      </c>
      <c r="BK15" s="8">
        <v>1</v>
      </c>
      <c r="BL15" s="42">
        <v>0</v>
      </c>
      <c r="BN15" s="43">
        <f t="shared" ref="BN15:BN269" ca="1" si="16">RAND()</f>
        <v>0.19785565171109221</v>
      </c>
      <c r="BO15" s="8">
        <v>1</v>
      </c>
      <c r="BP15" s="42">
        <v>0</v>
      </c>
      <c r="BR15" s="43">
        <f t="shared" ref="BR15:BR269" ca="1" si="17">RAND()</f>
        <v>0.89363219115766002</v>
      </c>
      <c r="BS15" s="8">
        <v>1</v>
      </c>
      <c r="BT15" s="42">
        <v>0</v>
      </c>
    </row>
    <row r="16" spans="1:72" x14ac:dyDescent="0.2">
      <c r="A16" s="22">
        <v>44563</v>
      </c>
      <c r="B16" s="43">
        <f t="shared" ca="1" si="0"/>
        <v>0.45297873400521305</v>
      </c>
      <c r="C16" s="8">
        <v>1</v>
      </c>
      <c r="D16" s="42">
        <v>0</v>
      </c>
      <c r="F16" s="43">
        <f t="shared" ca="1" si="1"/>
        <v>0.63786141501853688</v>
      </c>
      <c r="G16" s="8">
        <v>1</v>
      </c>
      <c r="H16" s="42">
        <v>0</v>
      </c>
      <c r="J16" s="43">
        <f t="shared" ca="1" si="2"/>
        <v>9.657367148622753E-2</v>
      </c>
      <c r="K16" s="8">
        <v>1</v>
      </c>
      <c r="L16" s="42">
        <v>0</v>
      </c>
      <c r="N16" s="43">
        <f t="shared" ca="1" si="3"/>
        <v>9.1351632947701544E-2</v>
      </c>
      <c r="O16" s="8">
        <v>1</v>
      </c>
      <c r="P16" s="42">
        <v>0</v>
      </c>
      <c r="R16" s="43">
        <f t="shared" ca="1" si="4"/>
        <v>0.61076401600704855</v>
      </c>
      <c r="S16" s="8">
        <v>1</v>
      </c>
      <c r="T16" s="42">
        <v>0</v>
      </c>
      <c r="V16" s="43">
        <f t="shared" ca="1" si="5"/>
        <v>7.9585651474869512E-2</v>
      </c>
      <c r="W16" s="8">
        <v>1</v>
      </c>
      <c r="X16" s="42">
        <v>0</v>
      </c>
      <c r="Z16" s="43">
        <f t="shared" ca="1" si="6"/>
        <v>0.7484894345445855</v>
      </c>
      <c r="AA16" s="8">
        <v>1</v>
      </c>
      <c r="AB16" s="42">
        <v>0</v>
      </c>
      <c r="AD16" s="43">
        <f t="shared" ca="1" si="7"/>
        <v>0.53064642054812983</v>
      </c>
      <c r="AE16" s="8">
        <v>1</v>
      </c>
      <c r="AF16" s="42">
        <v>0</v>
      </c>
      <c r="AH16" s="43">
        <f t="shared" ca="1" si="8"/>
        <v>0.30175186982490265</v>
      </c>
      <c r="AI16" s="8">
        <v>1</v>
      </c>
      <c r="AJ16" s="42">
        <v>0</v>
      </c>
      <c r="AL16" s="43">
        <f t="shared" ca="1" si="9"/>
        <v>0.49370515225305656</v>
      </c>
      <c r="AM16" s="8">
        <v>1</v>
      </c>
      <c r="AN16" s="42">
        <v>0</v>
      </c>
      <c r="AP16" s="43">
        <f t="shared" ca="1" si="10"/>
        <v>0.38903101726746903</v>
      </c>
      <c r="AQ16" s="8">
        <v>1</v>
      </c>
      <c r="AR16" s="42">
        <v>0</v>
      </c>
      <c r="AT16" s="43">
        <f t="shared" ca="1" si="11"/>
        <v>0.71768702457894118</v>
      </c>
      <c r="AU16" s="8">
        <v>1</v>
      </c>
      <c r="AV16" s="42">
        <v>0</v>
      </c>
      <c r="AX16" s="43">
        <f t="shared" ca="1" si="12"/>
        <v>0.18270345485984174</v>
      </c>
      <c r="AY16" s="8">
        <v>1</v>
      </c>
      <c r="AZ16" s="42">
        <v>0</v>
      </c>
      <c r="BB16" s="43">
        <f t="shared" ca="1" si="13"/>
        <v>0.63647719310656192</v>
      </c>
      <c r="BC16" s="8">
        <v>1</v>
      </c>
      <c r="BD16" s="42">
        <v>0</v>
      </c>
      <c r="BF16" s="43">
        <f t="shared" ca="1" si="14"/>
        <v>0.99647521695573993</v>
      </c>
      <c r="BG16" s="8">
        <v>1</v>
      </c>
      <c r="BH16" s="42">
        <v>0</v>
      </c>
      <c r="BJ16" s="43">
        <f t="shared" ca="1" si="15"/>
        <v>0.13257513087884742</v>
      </c>
      <c r="BK16" s="8">
        <v>1</v>
      </c>
      <c r="BL16" s="42">
        <v>0</v>
      </c>
      <c r="BN16" s="43">
        <f t="shared" ca="1" si="16"/>
        <v>0.34031222037638797</v>
      </c>
      <c r="BO16" s="8">
        <v>1</v>
      </c>
      <c r="BP16" s="42">
        <v>0</v>
      </c>
      <c r="BR16" s="43">
        <f t="shared" ca="1" si="17"/>
        <v>0.29270579203412461</v>
      </c>
      <c r="BS16" s="8">
        <v>1</v>
      </c>
      <c r="BT16" s="42">
        <v>0</v>
      </c>
    </row>
    <row r="17" spans="1:72" x14ac:dyDescent="0.2">
      <c r="A17" s="22">
        <v>44564</v>
      </c>
      <c r="B17" s="43">
        <f t="shared" ca="1" si="0"/>
        <v>0.52800556765507312</v>
      </c>
      <c r="C17" s="8">
        <v>1</v>
      </c>
      <c r="D17" s="42">
        <v>0</v>
      </c>
      <c r="F17" s="43">
        <f t="shared" ca="1" si="1"/>
        <v>0.94168611557811943</v>
      </c>
      <c r="G17" s="8">
        <v>1</v>
      </c>
      <c r="H17" s="42">
        <v>0</v>
      </c>
      <c r="J17" s="43">
        <f t="shared" ca="1" si="2"/>
        <v>0.91398129282455498</v>
      </c>
      <c r="K17" s="8">
        <v>1</v>
      </c>
      <c r="L17" s="42">
        <v>0</v>
      </c>
      <c r="N17" s="43">
        <f t="shared" ca="1" si="3"/>
        <v>0.81794731565029444</v>
      </c>
      <c r="O17" s="8">
        <v>1</v>
      </c>
      <c r="P17" s="42">
        <v>0</v>
      </c>
      <c r="R17" s="43">
        <f t="shared" ca="1" si="4"/>
        <v>0.58872823207620262</v>
      </c>
      <c r="S17" s="8">
        <v>1</v>
      </c>
      <c r="T17" s="42">
        <v>0</v>
      </c>
      <c r="V17" s="43">
        <f t="shared" ca="1" si="5"/>
        <v>0.67161263363515911</v>
      </c>
      <c r="W17" s="8">
        <v>1</v>
      </c>
      <c r="X17" s="42">
        <v>0</v>
      </c>
      <c r="Z17" s="43">
        <f t="shared" ca="1" si="6"/>
        <v>0.89405754042587726</v>
      </c>
      <c r="AA17" s="8">
        <v>1</v>
      </c>
      <c r="AB17" s="42">
        <v>0</v>
      </c>
      <c r="AD17" s="43">
        <f t="shared" ca="1" si="7"/>
        <v>0.21986918831988522</v>
      </c>
      <c r="AE17" s="8">
        <v>1</v>
      </c>
      <c r="AF17" s="42">
        <v>0</v>
      </c>
      <c r="AH17" s="43">
        <f t="shared" ca="1" si="8"/>
        <v>0.35762256746858256</v>
      </c>
      <c r="AI17" s="8">
        <v>1</v>
      </c>
      <c r="AJ17" s="42">
        <v>0</v>
      </c>
      <c r="AL17" s="43">
        <f t="shared" ca="1" si="9"/>
        <v>0.61178404054944646</v>
      </c>
      <c r="AM17" s="8">
        <v>1</v>
      </c>
      <c r="AN17" s="42">
        <v>0</v>
      </c>
      <c r="AP17" s="43">
        <f t="shared" ca="1" si="10"/>
        <v>0.82419822519669894</v>
      </c>
      <c r="AQ17" s="8">
        <v>1</v>
      </c>
      <c r="AR17" s="42">
        <v>0</v>
      </c>
      <c r="AT17" s="43">
        <f t="shared" ca="1" si="11"/>
        <v>0.44323876543706253</v>
      </c>
      <c r="AU17" s="8">
        <v>1</v>
      </c>
      <c r="AV17" s="42">
        <v>0</v>
      </c>
      <c r="AX17" s="43">
        <f t="shared" ca="1" si="12"/>
        <v>0.32653575452333561</v>
      </c>
      <c r="AY17" s="8">
        <v>1</v>
      </c>
      <c r="AZ17" s="42">
        <v>0</v>
      </c>
      <c r="BB17" s="43">
        <f t="shared" ca="1" si="13"/>
        <v>0.36361074127504367</v>
      </c>
      <c r="BC17" s="8">
        <v>1</v>
      </c>
      <c r="BD17" s="42">
        <v>0</v>
      </c>
      <c r="BF17" s="43">
        <f t="shared" ca="1" si="14"/>
        <v>0.20365794084989863</v>
      </c>
      <c r="BG17" s="8">
        <v>1</v>
      </c>
      <c r="BH17" s="42">
        <v>0</v>
      </c>
      <c r="BJ17" s="43">
        <f t="shared" ca="1" si="15"/>
        <v>0.95210662222543618</v>
      </c>
      <c r="BK17" s="8">
        <v>1</v>
      </c>
      <c r="BL17" s="42">
        <v>0</v>
      </c>
      <c r="BN17" s="43">
        <f t="shared" ca="1" si="16"/>
        <v>0.60196382144704819</v>
      </c>
      <c r="BO17" s="8">
        <v>1</v>
      </c>
      <c r="BP17" s="42">
        <v>0</v>
      </c>
      <c r="BR17" s="43">
        <f t="shared" ca="1" si="17"/>
        <v>0.82747644555642885</v>
      </c>
      <c r="BS17" s="8">
        <v>1</v>
      </c>
      <c r="BT17" s="42">
        <v>0</v>
      </c>
    </row>
    <row r="18" spans="1:72" x14ac:dyDescent="0.2">
      <c r="A18" s="22">
        <v>44565</v>
      </c>
      <c r="B18" s="43">
        <f t="shared" ca="1" si="0"/>
        <v>0.56254330682477449</v>
      </c>
      <c r="C18" s="8">
        <v>0.8</v>
      </c>
      <c r="D18" s="42">
        <f ca="1">ROUNDUP(_xlfn.NORM.INV(B18,C$4*C18,C$6*C18),0)</f>
        <v>83</v>
      </c>
      <c r="F18" s="43">
        <f t="shared" ca="1" si="1"/>
        <v>0.94437119497225863</v>
      </c>
      <c r="G18" s="8">
        <v>0.8</v>
      </c>
      <c r="H18" s="42">
        <f ca="1">ROUNDUP(_xlfn.NORM.INV(F18,G$4*G18,G$6*G18),0)</f>
        <v>246</v>
      </c>
      <c r="J18" s="43">
        <f t="shared" ca="1" si="2"/>
        <v>0.96447984859553915</v>
      </c>
      <c r="K18" s="8">
        <v>0.8</v>
      </c>
      <c r="L18" s="42">
        <f ca="1">ROUNDUP(_xlfn.NORM.INV(J18,K$4*K18,K$6*K18),0)</f>
        <v>178</v>
      </c>
      <c r="N18" s="43">
        <f t="shared" ca="1" si="3"/>
        <v>0.56161465059707039</v>
      </c>
      <c r="O18" s="8">
        <v>0.8</v>
      </c>
      <c r="P18" s="42">
        <f ca="1">ROUNDUP(_xlfn.NORM.INV(N18,O$4*O18,O$6*O18),0)</f>
        <v>192</v>
      </c>
      <c r="R18" s="43">
        <f t="shared" ca="1" si="4"/>
        <v>0.51657179795327546</v>
      </c>
      <c r="S18" s="8">
        <v>0.8</v>
      </c>
      <c r="T18" s="42">
        <f ca="1">ROUNDUP(_xlfn.NORM.INV(R18,S$4*S18,S$6*S18),0)</f>
        <v>113</v>
      </c>
      <c r="V18" s="43">
        <f t="shared" ca="1" si="5"/>
        <v>8.137216989425089E-2</v>
      </c>
      <c r="W18" s="8">
        <v>0.8</v>
      </c>
      <c r="X18" s="42">
        <f ca="1">ROUNDUP(_xlfn.NORM.INV(V18,W$4*W18,W$6*W18),0)</f>
        <v>113</v>
      </c>
      <c r="Z18" s="43">
        <f t="shared" ca="1" si="6"/>
        <v>0.71579472650279063</v>
      </c>
      <c r="AA18" s="8">
        <v>0.8</v>
      </c>
      <c r="AB18" s="42">
        <f ca="1">ROUNDUP(_xlfn.NORM.INV(Z18,AA$4*AA18,AA$6*AA18),0)</f>
        <v>249</v>
      </c>
      <c r="AD18" s="43">
        <f t="shared" ca="1" si="7"/>
        <v>0.92949229930844834</v>
      </c>
      <c r="AE18" s="8">
        <v>0.8</v>
      </c>
      <c r="AF18" s="42">
        <f ca="1">ROUNDUP(_xlfn.NORM.INV(AD18,AE$4*AE18,AE$6*AE18),0)</f>
        <v>365</v>
      </c>
      <c r="AH18" s="43">
        <f t="shared" ca="1" si="8"/>
        <v>0.93032216421093239</v>
      </c>
      <c r="AI18" s="8">
        <v>0.8</v>
      </c>
      <c r="AJ18" s="42">
        <f ca="1">ROUNDUP(_xlfn.NORM.INV(AH18,AI$4*AI18,AI$6*AI18),0)</f>
        <v>191</v>
      </c>
      <c r="AL18" s="43">
        <f t="shared" ca="1" si="9"/>
        <v>6.3500716842361471E-2</v>
      </c>
      <c r="AM18" s="8">
        <v>0.8</v>
      </c>
      <c r="AN18" s="42">
        <f ca="1">ROUNDUP(_xlfn.NORM.INV(AL18,AM$4*AM18,AM$6*AM18),0)</f>
        <v>111</v>
      </c>
      <c r="AP18" s="43">
        <f t="shared" ca="1" si="10"/>
        <v>0.64909398398442442</v>
      </c>
      <c r="AQ18" s="8">
        <v>0.8</v>
      </c>
      <c r="AR18" s="42">
        <f ca="1">ROUNDUP(_xlfn.NORM.INV(AP18,AQ$4*AQ18,AQ$6*AQ18),0)</f>
        <v>175</v>
      </c>
      <c r="AT18" s="43">
        <f t="shared" ca="1" si="11"/>
        <v>0.40066117787898059</v>
      </c>
      <c r="AU18" s="8">
        <v>0.8</v>
      </c>
      <c r="AV18" s="42">
        <f ca="1">ROUNDUP(_xlfn.NORM.INV(AT18,AU$4*AU18,AU$6*AU18),0)</f>
        <v>154</v>
      </c>
      <c r="AX18" s="43">
        <f t="shared" ca="1" si="12"/>
        <v>0.24561973635176615</v>
      </c>
      <c r="AY18" s="8">
        <v>0.8</v>
      </c>
      <c r="AZ18" s="42">
        <f ca="1">ROUNDUP(_xlfn.NORM.INV(AX18,AY$4*AY18,AY$6*AY18),0)</f>
        <v>153</v>
      </c>
      <c r="BB18" s="43">
        <f t="shared" ca="1" si="13"/>
        <v>0.24663107664272776</v>
      </c>
      <c r="BC18" s="8">
        <v>0.8</v>
      </c>
      <c r="BD18" s="42">
        <f ca="1">ROUNDUP(_xlfn.NORM.INV(BB18,BC$4*BC18,BC$6*BC18),0)</f>
        <v>132</v>
      </c>
      <c r="BF18" s="43">
        <f t="shared" ca="1" si="14"/>
        <v>0.32907896629130673</v>
      </c>
      <c r="BG18" s="8">
        <v>0.8</v>
      </c>
      <c r="BH18" s="42">
        <f ca="1">ROUNDUP(_xlfn.NORM.INV(BF18,BG$4*BG18,BG$6*BG18),0)</f>
        <v>119</v>
      </c>
      <c r="BJ18" s="43">
        <f t="shared" ca="1" si="15"/>
        <v>0.7864974754680224</v>
      </c>
      <c r="BK18" s="8">
        <v>0.8</v>
      </c>
      <c r="BL18" s="42">
        <f ca="1">ROUNDUP(_xlfn.NORM.INV(BJ18,BK$4*BK18,BK$6*BK18),0)</f>
        <v>210</v>
      </c>
      <c r="BN18" s="43">
        <f t="shared" ca="1" si="16"/>
        <v>0.73698654719217582</v>
      </c>
      <c r="BO18" s="8">
        <v>0.8</v>
      </c>
      <c r="BP18" s="42">
        <f ca="1">ROUNDUP(_xlfn.NORM.INV(BN18,BO$4*BO18,BO$6*BO18),0)</f>
        <v>151</v>
      </c>
      <c r="BR18" s="43">
        <f t="shared" ca="1" si="17"/>
        <v>0.76598292294088699</v>
      </c>
      <c r="BS18" s="8">
        <v>0.8</v>
      </c>
      <c r="BT18" s="42">
        <f ca="1">ROUNDUP(_xlfn.NORM.INV(BR18,BS$4*BS18,BS$6*BS18),0)</f>
        <v>210</v>
      </c>
    </row>
    <row r="19" spans="1:72" x14ac:dyDescent="0.2">
      <c r="A19" s="22">
        <v>44566</v>
      </c>
      <c r="B19" s="43">
        <f t="shared" ca="1" si="0"/>
        <v>0.89144809417047122</v>
      </c>
      <c r="C19" s="8">
        <v>0.8</v>
      </c>
      <c r="D19" s="42">
        <f t="shared" ref="D19:D50" ca="1" si="18">ROUNDUP(_xlfn.NORM.INV(B19,C$4*C19,C$6*C19),0)</f>
        <v>100</v>
      </c>
      <c r="F19" s="43">
        <f t="shared" ca="1" si="1"/>
        <v>0.59979653304044356</v>
      </c>
      <c r="G19" s="8">
        <v>0.8</v>
      </c>
      <c r="H19" s="42">
        <f t="shared" ref="H19:H46" ca="1" si="19">ROUNDUP(_xlfn.NORM.INV(F19,G$4*G19,G$6*G19),0)</f>
        <v>184</v>
      </c>
      <c r="J19" s="43">
        <f t="shared" ca="1" si="2"/>
        <v>0.62835961135765706</v>
      </c>
      <c r="K19" s="8">
        <v>0.8</v>
      </c>
      <c r="L19" s="42">
        <f t="shared" ref="L19:L46" ca="1" si="20">ROUNDUP(_xlfn.NORM.INV(J19,K$4*K19,K$6*K19),0)</f>
        <v>131</v>
      </c>
      <c r="N19" s="43">
        <f t="shared" ca="1" si="3"/>
        <v>0.84890385286803527</v>
      </c>
      <c r="O19" s="8">
        <v>0.8</v>
      </c>
      <c r="P19" s="42">
        <f t="shared" ref="P19:P46" ca="1" si="21">ROUNDUP(_xlfn.NORM.INV(N19,O$4*O19,O$6*O19),0)</f>
        <v>234</v>
      </c>
      <c r="R19" s="43">
        <f t="shared" ca="1" si="4"/>
        <v>0.6521497735069629</v>
      </c>
      <c r="S19" s="8">
        <v>0.8</v>
      </c>
      <c r="T19" s="42">
        <f t="shared" ref="T19:T46" ca="1" si="22">ROUNDUP(_xlfn.NORM.INV(R19,S$4*S19,S$6*S19),0)</f>
        <v>123</v>
      </c>
      <c r="V19" s="43">
        <f t="shared" ca="1" si="5"/>
        <v>2.4340566449973178E-2</v>
      </c>
      <c r="W19" s="8">
        <v>0.8</v>
      </c>
      <c r="X19" s="42">
        <f t="shared" ref="X19:X46" ca="1" si="23">ROUNDUP(_xlfn.NORM.INV(V19,W$4*W19,W$6*W19),0)</f>
        <v>86</v>
      </c>
      <c r="Z19" s="43">
        <f t="shared" ca="1" si="6"/>
        <v>0.96124944911669452</v>
      </c>
      <c r="AA19" s="8">
        <v>0.8</v>
      </c>
      <c r="AB19" s="42">
        <f t="shared" ref="AB19:AB46" ca="1" si="24">ROUNDUP(_xlfn.NORM.INV(Z19,AA$4*AA19,AA$6*AA19),0)</f>
        <v>318</v>
      </c>
      <c r="AD19" s="43">
        <f t="shared" ca="1" si="7"/>
        <v>0.82943166774105925</v>
      </c>
      <c r="AE19" s="8">
        <v>0.8</v>
      </c>
      <c r="AF19" s="42">
        <f t="shared" ref="AF19:AF46" ca="1" si="25">ROUNDUP(_xlfn.NORM.INV(AD19,AE$4*AE19,AE$6*AE19),0)</f>
        <v>329</v>
      </c>
      <c r="AH19" s="43">
        <f t="shared" ca="1" si="8"/>
        <v>0.92743851313057801</v>
      </c>
      <c r="AI19" s="8">
        <v>0.8</v>
      </c>
      <c r="AJ19" s="42">
        <f t="shared" ref="AJ19:AJ46" ca="1" si="26">ROUNDUP(_xlfn.NORM.INV(AH19,AI$4*AI19,AI$6*AI19),0)</f>
        <v>190</v>
      </c>
      <c r="AL19" s="43">
        <f t="shared" ca="1" si="9"/>
        <v>0.48380313474920689</v>
      </c>
      <c r="AM19" s="8">
        <v>0.8</v>
      </c>
      <c r="AN19" s="42">
        <f t="shared" ref="AN19:AN46" ca="1" si="27">ROUNDUP(_xlfn.NORM.INV(AL19,AM$4*AM19,AM$6*AM19),0)</f>
        <v>184</v>
      </c>
      <c r="AP19" s="43">
        <f t="shared" ca="1" si="10"/>
        <v>0.56564855126267888</v>
      </c>
      <c r="AQ19" s="8">
        <v>0.8</v>
      </c>
      <c r="AR19" s="42">
        <f t="shared" ref="AR19:AR46" ca="1" si="28">ROUNDUP(_xlfn.NORM.INV(AP19,AQ$4*AQ19,AQ$6*AQ19),0)</f>
        <v>166</v>
      </c>
      <c r="AT19" s="43">
        <f t="shared" ca="1" si="11"/>
        <v>0.57045290049663822</v>
      </c>
      <c r="AU19" s="8">
        <v>0.8</v>
      </c>
      <c r="AV19" s="42">
        <f t="shared" ref="AV19:AV46" ca="1" si="29">ROUNDUP(_xlfn.NORM.INV(AT19,AU$4*AU19,AU$6*AU19),0)</f>
        <v>173</v>
      </c>
      <c r="AX19" s="43">
        <f t="shared" ca="1" si="12"/>
        <v>0.26119380650783808</v>
      </c>
      <c r="AY19" s="8">
        <v>0.8</v>
      </c>
      <c r="AZ19" s="42">
        <f t="shared" ref="AZ19:AZ46" ca="1" si="30">ROUNDUP(_xlfn.NORM.INV(AX19,AY$4*AY19,AY$6*AY19),0)</f>
        <v>155</v>
      </c>
      <c r="BB19" s="43">
        <f t="shared" ca="1" si="13"/>
        <v>0.30577400411042654</v>
      </c>
      <c r="BC19" s="8">
        <v>0.8</v>
      </c>
      <c r="BD19" s="42">
        <f t="shared" ref="BD19:BD46" ca="1" si="31">ROUNDUP(_xlfn.NORM.INV(BB19,BC$4*BC19,BC$6*BC19),0)</f>
        <v>139</v>
      </c>
      <c r="BF19" s="43">
        <f t="shared" ca="1" si="14"/>
        <v>0.96030436745468828</v>
      </c>
      <c r="BG19" s="8">
        <v>0.8</v>
      </c>
      <c r="BH19" s="42">
        <f t="shared" ref="BH19:BH46" ca="1" si="32">ROUNDUP(_xlfn.NORM.INV(BF19,BG$4*BG19,BG$6*BG19),0)</f>
        <v>198</v>
      </c>
      <c r="BJ19" s="43">
        <f t="shared" ca="1" si="15"/>
        <v>9.1352550269894528E-2</v>
      </c>
      <c r="BK19" s="8">
        <v>0.8</v>
      </c>
      <c r="BL19" s="42">
        <f t="shared" ref="BL19:BL46" ca="1" si="33">ROUNDUP(_xlfn.NORM.INV(BJ19,BK$4*BK19,BK$6*BK19),0)</f>
        <v>112</v>
      </c>
      <c r="BN19" s="43">
        <f t="shared" ca="1" si="16"/>
        <v>0.91746317399183985</v>
      </c>
      <c r="BO19" s="8">
        <v>0.8</v>
      </c>
      <c r="BP19" s="42">
        <f t="shared" ref="BP19:BP46" ca="1" si="34">ROUNDUP(_xlfn.NORM.INV(BN19,BO$4*BO19,BO$6*BO19),0)</f>
        <v>177</v>
      </c>
      <c r="BR19" s="43">
        <f t="shared" ca="1" si="17"/>
        <v>0.36401935933274421</v>
      </c>
      <c r="BS19" s="8">
        <v>0.8</v>
      </c>
      <c r="BT19" s="42">
        <f t="shared" ref="BT19:BT46" ca="1" si="35">ROUNDUP(_xlfn.NORM.INV(BR19,BS$4*BS19,BS$6*BS19),0)</f>
        <v>160</v>
      </c>
    </row>
    <row r="20" spans="1:72" x14ac:dyDescent="0.2">
      <c r="A20" s="22">
        <v>44567</v>
      </c>
      <c r="B20" s="43">
        <f t="shared" ca="1" si="0"/>
        <v>0.31791689279091884</v>
      </c>
      <c r="C20" s="8">
        <v>0.8</v>
      </c>
      <c r="D20" s="42">
        <f t="shared" ca="1" si="18"/>
        <v>73</v>
      </c>
      <c r="F20" s="43">
        <f t="shared" ca="1" si="1"/>
        <v>0.65263985969623439</v>
      </c>
      <c r="G20" s="8">
        <v>0.8</v>
      </c>
      <c r="H20" s="42">
        <f t="shared" ca="1" si="19"/>
        <v>191</v>
      </c>
      <c r="J20" s="43">
        <f t="shared" ca="1" si="2"/>
        <v>0.32986011295133677</v>
      </c>
      <c r="K20" s="8">
        <v>0.8</v>
      </c>
      <c r="L20" s="42">
        <f t="shared" ca="1" si="20"/>
        <v>106</v>
      </c>
      <c r="N20" s="43">
        <f t="shared" ca="1" si="3"/>
        <v>0.81180191583360517</v>
      </c>
      <c r="O20" s="8">
        <v>0.8</v>
      </c>
      <c r="P20" s="42">
        <f t="shared" ca="1" si="21"/>
        <v>227</v>
      </c>
      <c r="R20" s="43">
        <f t="shared" ca="1" si="4"/>
        <v>2.6150850375421308E-2</v>
      </c>
      <c r="S20" s="8">
        <v>0.8</v>
      </c>
      <c r="T20" s="42">
        <f t="shared" ca="1" si="22"/>
        <v>54</v>
      </c>
      <c r="V20" s="43">
        <f t="shared" ca="1" si="5"/>
        <v>0.98466269684372976</v>
      </c>
      <c r="W20" s="8">
        <v>0.8</v>
      </c>
      <c r="X20" s="42">
        <f t="shared" ca="1" si="23"/>
        <v>284</v>
      </c>
      <c r="Z20" s="43">
        <f t="shared" ca="1" si="6"/>
        <v>0.54756716070228451</v>
      </c>
      <c r="AA20" s="8">
        <v>0.8</v>
      </c>
      <c r="AB20" s="42">
        <f t="shared" ca="1" si="24"/>
        <v>223</v>
      </c>
      <c r="AD20" s="43">
        <f t="shared" ca="1" si="7"/>
        <v>0.54114372550283951</v>
      </c>
      <c r="AE20" s="8">
        <v>0.8</v>
      </c>
      <c r="AF20" s="42">
        <f t="shared" ca="1" si="25"/>
        <v>269</v>
      </c>
      <c r="AH20" s="43">
        <f t="shared" ca="1" si="8"/>
        <v>0.56399511853837581</v>
      </c>
      <c r="AI20" s="8">
        <v>0.8</v>
      </c>
      <c r="AJ20" s="42">
        <f t="shared" ca="1" si="26"/>
        <v>143</v>
      </c>
      <c r="AL20" s="43">
        <f t="shared" ca="1" si="9"/>
        <v>0.8097986123576334</v>
      </c>
      <c r="AM20" s="8">
        <v>0.8</v>
      </c>
      <c r="AN20" s="42">
        <f t="shared" ca="1" si="27"/>
        <v>230</v>
      </c>
      <c r="AP20" s="43">
        <f t="shared" ca="1" si="10"/>
        <v>0.85442255556333591</v>
      </c>
      <c r="AQ20" s="8">
        <v>0.8</v>
      </c>
      <c r="AR20" s="42">
        <f t="shared" ca="1" si="28"/>
        <v>203</v>
      </c>
      <c r="AT20" s="43">
        <f t="shared" ca="1" si="11"/>
        <v>0.53720037916642749</v>
      </c>
      <c r="AU20" s="8">
        <v>0.8</v>
      </c>
      <c r="AV20" s="42">
        <f t="shared" ca="1" si="29"/>
        <v>169</v>
      </c>
      <c r="AX20" s="43">
        <f t="shared" ca="1" si="12"/>
        <v>0.26819801704366097</v>
      </c>
      <c r="AY20" s="8">
        <v>0.8</v>
      </c>
      <c r="AZ20" s="42">
        <f t="shared" ca="1" si="30"/>
        <v>157</v>
      </c>
      <c r="BB20" s="43">
        <f t="shared" ca="1" si="13"/>
        <v>0.29495193682414511</v>
      </c>
      <c r="BC20" s="8">
        <v>0.8</v>
      </c>
      <c r="BD20" s="42">
        <f t="shared" ca="1" si="31"/>
        <v>138</v>
      </c>
      <c r="BF20" s="43">
        <f t="shared" ca="1" si="14"/>
        <v>5.4295133539045137E-3</v>
      </c>
      <c r="BG20" s="8">
        <v>0.8</v>
      </c>
      <c r="BH20" s="42">
        <f t="shared" ca="1" si="32"/>
        <v>44</v>
      </c>
      <c r="BJ20" s="43">
        <f t="shared" ca="1" si="15"/>
        <v>0.12043971629912942</v>
      </c>
      <c r="BK20" s="8">
        <v>0.8</v>
      </c>
      <c r="BL20" s="42">
        <f t="shared" ca="1" si="33"/>
        <v>119</v>
      </c>
      <c r="BN20" s="43">
        <f t="shared" ca="1" si="16"/>
        <v>8.6933117812431293E-2</v>
      </c>
      <c r="BO20" s="8">
        <v>0.8</v>
      </c>
      <c r="BP20" s="42">
        <f t="shared" ca="1" si="34"/>
        <v>82</v>
      </c>
      <c r="BR20" s="43">
        <f t="shared" ca="1" si="17"/>
        <v>0.23675329199403039</v>
      </c>
      <c r="BS20" s="8">
        <v>0.8</v>
      </c>
      <c r="BT20" s="42">
        <f t="shared" ca="1" si="35"/>
        <v>142</v>
      </c>
    </row>
    <row r="21" spans="1:72" x14ac:dyDescent="0.2">
      <c r="A21" s="22">
        <v>44568</v>
      </c>
      <c r="B21" s="43">
        <f t="shared" ca="1" si="0"/>
        <v>0.6427781623714377</v>
      </c>
      <c r="C21" s="8">
        <v>0.8</v>
      </c>
      <c r="D21" s="42">
        <f t="shared" ca="1" si="18"/>
        <v>86</v>
      </c>
      <c r="F21" s="43">
        <f t="shared" ca="1" si="1"/>
        <v>0.43385048041806873</v>
      </c>
      <c r="G21" s="8">
        <v>0.8</v>
      </c>
      <c r="H21" s="42">
        <f t="shared" ca="1" si="19"/>
        <v>165</v>
      </c>
      <c r="J21" s="43">
        <f t="shared" ca="1" si="2"/>
        <v>0.41975958394503499</v>
      </c>
      <c r="K21" s="8">
        <v>0.8</v>
      </c>
      <c r="L21" s="42">
        <f t="shared" ca="1" si="20"/>
        <v>114</v>
      </c>
      <c r="N21" s="43">
        <f t="shared" ca="1" si="3"/>
        <v>0.78031485715564486</v>
      </c>
      <c r="O21" s="8">
        <v>0.8</v>
      </c>
      <c r="P21" s="42">
        <f t="shared" ca="1" si="21"/>
        <v>222</v>
      </c>
      <c r="R21" s="43">
        <f t="shared" ca="1" si="4"/>
        <v>0.18720486135159164</v>
      </c>
      <c r="S21" s="8">
        <v>0.8</v>
      </c>
      <c r="T21" s="42">
        <f t="shared" ca="1" si="22"/>
        <v>85</v>
      </c>
      <c r="V21" s="43">
        <f t="shared" ca="1" si="5"/>
        <v>0.76585471289413809</v>
      </c>
      <c r="W21" s="8">
        <v>0.8</v>
      </c>
      <c r="X21" s="42">
        <f t="shared" ca="1" si="23"/>
        <v>215</v>
      </c>
      <c r="Z21" s="43">
        <f t="shared" ca="1" si="6"/>
        <v>0.86854442611047666</v>
      </c>
      <c r="AA21" s="8">
        <v>0.8</v>
      </c>
      <c r="AB21" s="42">
        <f t="shared" ca="1" si="24"/>
        <v>281</v>
      </c>
      <c r="AD21" s="43">
        <f t="shared" ca="1" si="7"/>
        <v>0.36505086875903137</v>
      </c>
      <c r="AE21" s="8">
        <v>0.8</v>
      </c>
      <c r="AF21" s="42">
        <f t="shared" ca="1" si="25"/>
        <v>238</v>
      </c>
      <c r="AH21" s="43">
        <f t="shared" ca="1" si="8"/>
        <v>0.8940420915413485</v>
      </c>
      <c r="AI21" s="8">
        <v>0.8</v>
      </c>
      <c r="AJ21" s="42">
        <f t="shared" ca="1" si="26"/>
        <v>182</v>
      </c>
      <c r="AL21" s="43">
        <f t="shared" ca="1" si="9"/>
        <v>0.86316125577147718</v>
      </c>
      <c r="AM21" s="8">
        <v>0.8</v>
      </c>
      <c r="AN21" s="42">
        <f t="shared" ca="1" si="27"/>
        <v>240</v>
      </c>
      <c r="AP21" s="43">
        <f t="shared" ca="1" si="10"/>
        <v>0.27011086991564681</v>
      </c>
      <c r="AQ21" s="8">
        <v>0.8</v>
      </c>
      <c r="AR21" s="42">
        <f t="shared" ca="1" si="28"/>
        <v>133</v>
      </c>
      <c r="AT21" s="43">
        <f t="shared" ca="1" si="11"/>
        <v>0.37659759724919839</v>
      </c>
      <c r="AU21" s="8">
        <v>0.8</v>
      </c>
      <c r="AV21" s="42">
        <f t="shared" ca="1" si="29"/>
        <v>151</v>
      </c>
      <c r="AX21" s="43">
        <f t="shared" ca="1" si="12"/>
        <v>0.14803511420586102</v>
      </c>
      <c r="AY21" s="8">
        <v>0.8</v>
      </c>
      <c r="AZ21" s="42">
        <f t="shared" ca="1" si="30"/>
        <v>135</v>
      </c>
      <c r="BB21" s="43">
        <f t="shared" ca="1" si="13"/>
        <v>0.3397282422941541</v>
      </c>
      <c r="BC21" s="8">
        <v>0.8</v>
      </c>
      <c r="BD21" s="42">
        <f t="shared" ca="1" si="31"/>
        <v>143</v>
      </c>
      <c r="BF21" s="43">
        <f t="shared" ca="1" si="14"/>
        <v>0.25621796982603207</v>
      </c>
      <c r="BG21" s="8">
        <v>0.8</v>
      </c>
      <c r="BH21" s="42">
        <f t="shared" ca="1" si="32"/>
        <v>112</v>
      </c>
      <c r="BJ21" s="43">
        <f t="shared" ca="1" si="15"/>
        <v>0.14449749752224583</v>
      </c>
      <c r="BK21" s="8">
        <v>0.8</v>
      </c>
      <c r="BL21" s="42">
        <f t="shared" ca="1" si="33"/>
        <v>124</v>
      </c>
      <c r="BN21" s="43">
        <f t="shared" ca="1" si="16"/>
        <v>0.43056220104188814</v>
      </c>
      <c r="BO21" s="8">
        <v>0.8</v>
      </c>
      <c r="BP21" s="42">
        <f t="shared" ca="1" si="34"/>
        <v>123</v>
      </c>
      <c r="BR21" s="43">
        <f t="shared" ca="1" si="17"/>
        <v>0.57268680222693102</v>
      </c>
      <c r="BS21" s="8">
        <v>0.8</v>
      </c>
      <c r="BT21" s="42">
        <f t="shared" ca="1" si="35"/>
        <v>185</v>
      </c>
    </row>
    <row r="22" spans="1:72" x14ac:dyDescent="0.2">
      <c r="A22" s="22">
        <v>44569</v>
      </c>
      <c r="B22" s="43">
        <f t="shared" ca="1" si="0"/>
        <v>0.70082736568267234</v>
      </c>
      <c r="C22" s="8">
        <v>0.8</v>
      </c>
      <c r="D22" s="42">
        <f t="shared" ca="1" si="18"/>
        <v>89</v>
      </c>
      <c r="F22" s="43">
        <f t="shared" ca="1" si="1"/>
        <v>0.44478907730456529</v>
      </c>
      <c r="G22" s="8">
        <v>0.8</v>
      </c>
      <c r="H22" s="42">
        <f t="shared" ca="1" si="19"/>
        <v>166</v>
      </c>
      <c r="J22" s="43">
        <f t="shared" ca="1" si="2"/>
        <v>0.5372930358476764</v>
      </c>
      <c r="K22" s="8">
        <v>0.8</v>
      </c>
      <c r="L22" s="42">
        <f t="shared" ca="1" si="20"/>
        <v>123</v>
      </c>
      <c r="N22" s="43">
        <f t="shared" ca="1" si="3"/>
        <v>0.85841018794160473</v>
      </c>
      <c r="O22" s="8">
        <v>0.8</v>
      </c>
      <c r="P22" s="42">
        <f t="shared" ca="1" si="21"/>
        <v>236</v>
      </c>
      <c r="R22" s="43">
        <f t="shared" ca="1" si="4"/>
        <v>0.87249859204215563</v>
      </c>
      <c r="S22" s="8">
        <v>0.8</v>
      </c>
      <c r="T22" s="42">
        <f t="shared" ca="1" si="22"/>
        <v>145</v>
      </c>
      <c r="V22" s="43">
        <f t="shared" ca="1" si="5"/>
        <v>0.10778598812925222</v>
      </c>
      <c r="W22" s="8">
        <v>0.8</v>
      </c>
      <c r="X22" s="42">
        <f t="shared" ca="1" si="23"/>
        <v>121</v>
      </c>
      <c r="Z22" s="43">
        <f t="shared" ca="1" si="6"/>
        <v>0.96518210038770025</v>
      </c>
      <c r="AA22" s="8">
        <v>0.8</v>
      </c>
      <c r="AB22" s="42">
        <f t="shared" ca="1" si="24"/>
        <v>321</v>
      </c>
      <c r="AD22" s="43">
        <f t="shared" ca="1" si="7"/>
        <v>0.83342244803806498</v>
      </c>
      <c r="AE22" s="8">
        <v>0.8</v>
      </c>
      <c r="AF22" s="42">
        <f t="shared" ca="1" si="25"/>
        <v>330</v>
      </c>
      <c r="AH22" s="43">
        <f t="shared" ca="1" si="8"/>
        <v>0.55013065239569725</v>
      </c>
      <c r="AI22" s="8">
        <v>0.8</v>
      </c>
      <c r="AJ22" s="42">
        <f t="shared" ca="1" si="26"/>
        <v>141</v>
      </c>
      <c r="AL22" s="43">
        <f t="shared" ca="1" si="9"/>
        <v>0.91213267202023596</v>
      </c>
      <c r="AM22" s="8">
        <v>0.8</v>
      </c>
      <c r="AN22" s="42">
        <f t="shared" ca="1" si="27"/>
        <v>253</v>
      </c>
      <c r="AP22" s="43">
        <f t="shared" ca="1" si="10"/>
        <v>0.83136497602234471</v>
      </c>
      <c r="AQ22" s="8">
        <v>0.8</v>
      </c>
      <c r="AR22" s="42">
        <f t="shared" ca="1" si="28"/>
        <v>199</v>
      </c>
      <c r="AT22" s="43">
        <f t="shared" ca="1" si="11"/>
        <v>0.68239390715332882</v>
      </c>
      <c r="AU22" s="8">
        <v>0.8</v>
      </c>
      <c r="AV22" s="42">
        <f t="shared" ca="1" si="29"/>
        <v>186</v>
      </c>
      <c r="AX22" s="43">
        <f t="shared" ca="1" si="12"/>
        <v>0.76037805992759278</v>
      </c>
      <c r="AY22" s="8">
        <v>0.8</v>
      </c>
      <c r="AZ22" s="42">
        <f t="shared" ca="1" si="30"/>
        <v>223</v>
      </c>
      <c r="BB22" s="43">
        <f t="shared" ca="1" si="13"/>
        <v>0.7012870905235602</v>
      </c>
      <c r="BC22" s="8">
        <v>0.8</v>
      </c>
      <c r="BD22" s="42">
        <f t="shared" ca="1" si="31"/>
        <v>184</v>
      </c>
      <c r="BF22" s="43">
        <f t="shared" ca="1" si="14"/>
        <v>0.41751779169400172</v>
      </c>
      <c r="BG22" s="8">
        <v>0.8</v>
      </c>
      <c r="BH22" s="42">
        <f t="shared" ca="1" si="32"/>
        <v>128</v>
      </c>
      <c r="BJ22" s="43">
        <f t="shared" ca="1" si="15"/>
        <v>0.85563686399513983</v>
      </c>
      <c r="BK22" s="8">
        <v>0.8</v>
      </c>
      <c r="BL22" s="42">
        <f t="shared" ca="1" si="33"/>
        <v>222</v>
      </c>
      <c r="BN22" s="43">
        <f t="shared" ca="1" si="16"/>
        <v>0.28916700708244358</v>
      </c>
      <c r="BO22" s="8">
        <v>0.8</v>
      </c>
      <c r="BP22" s="42">
        <f t="shared" ca="1" si="34"/>
        <v>110</v>
      </c>
      <c r="BR22" s="43">
        <f t="shared" ca="1" si="17"/>
        <v>0.47649491275149913</v>
      </c>
      <c r="BS22" s="8">
        <v>0.8</v>
      </c>
      <c r="BT22" s="42">
        <f t="shared" ca="1" si="35"/>
        <v>173</v>
      </c>
    </row>
    <row r="23" spans="1:72" x14ac:dyDescent="0.2">
      <c r="A23" s="22">
        <v>44570</v>
      </c>
      <c r="B23" s="43">
        <f t="shared" ca="1" si="0"/>
        <v>5.1199727747459622E-2</v>
      </c>
      <c r="C23" s="8">
        <v>0.8</v>
      </c>
      <c r="D23" s="42">
        <f t="shared" ca="1" si="18"/>
        <v>54</v>
      </c>
      <c r="F23" s="43">
        <f t="shared" ca="1" si="1"/>
        <v>0.99684852891693265</v>
      </c>
      <c r="G23" s="8">
        <v>0.8</v>
      </c>
      <c r="H23" s="42">
        <f t="shared" ca="1" si="19"/>
        <v>298</v>
      </c>
      <c r="J23" s="43">
        <f t="shared" ca="1" si="2"/>
        <v>0.27110923752516858</v>
      </c>
      <c r="K23" s="8">
        <v>0.8</v>
      </c>
      <c r="L23" s="42">
        <f t="shared" ca="1" si="20"/>
        <v>101</v>
      </c>
      <c r="N23" s="43">
        <f t="shared" ca="1" si="3"/>
        <v>0.74279667151735551</v>
      </c>
      <c r="O23" s="8">
        <v>0.8</v>
      </c>
      <c r="P23" s="42">
        <f t="shared" ca="1" si="21"/>
        <v>216</v>
      </c>
      <c r="R23" s="43">
        <f t="shared" ca="1" si="4"/>
        <v>0.4276586437535409</v>
      </c>
      <c r="S23" s="8">
        <v>0.8</v>
      </c>
      <c r="T23" s="42">
        <f t="shared" ca="1" si="22"/>
        <v>106</v>
      </c>
      <c r="V23" s="43">
        <f t="shared" ca="1" si="5"/>
        <v>0.16216966757586304</v>
      </c>
      <c r="W23" s="8">
        <v>0.8</v>
      </c>
      <c r="X23" s="42">
        <f t="shared" ca="1" si="23"/>
        <v>133</v>
      </c>
      <c r="Z23" s="43">
        <f t="shared" ca="1" si="6"/>
        <v>6.8656889751346206E-3</v>
      </c>
      <c r="AA23" s="8">
        <v>0.8</v>
      </c>
      <c r="AB23" s="42">
        <f t="shared" ca="1" si="24"/>
        <v>75</v>
      </c>
      <c r="AD23" s="43">
        <f t="shared" ca="1" si="7"/>
        <v>0.54467052376110014</v>
      </c>
      <c r="AE23" s="8">
        <v>0.8</v>
      </c>
      <c r="AF23" s="42">
        <f t="shared" ca="1" si="25"/>
        <v>270</v>
      </c>
      <c r="AH23" s="43">
        <f t="shared" ca="1" si="8"/>
        <v>0.64136501035490268</v>
      </c>
      <c r="AI23" s="8">
        <v>0.8</v>
      </c>
      <c r="AJ23" s="42">
        <f t="shared" ca="1" si="26"/>
        <v>150</v>
      </c>
      <c r="AL23" s="43">
        <f t="shared" ca="1" si="9"/>
        <v>0.36471435859399959</v>
      </c>
      <c r="AM23" s="8">
        <v>0.8</v>
      </c>
      <c r="AN23" s="42">
        <f t="shared" ca="1" si="27"/>
        <v>169</v>
      </c>
      <c r="AP23" s="43">
        <f t="shared" ca="1" si="10"/>
        <v>0.67298412165752264</v>
      </c>
      <c r="AQ23" s="8">
        <v>0.8</v>
      </c>
      <c r="AR23" s="42">
        <f t="shared" ca="1" si="28"/>
        <v>178</v>
      </c>
      <c r="AT23" s="43">
        <f t="shared" ca="1" si="11"/>
        <v>0.47789007686497242</v>
      </c>
      <c r="AU23" s="8">
        <v>0.8</v>
      </c>
      <c r="AV23" s="42">
        <f t="shared" ca="1" si="29"/>
        <v>162</v>
      </c>
      <c r="AX23" s="43">
        <f t="shared" ca="1" si="12"/>
        <v>0.41332110785312726</v>
      </c>
      <c r="AY23" s="8">
        <v>0.8</v>
      </c>
      <c r="AZ23" s="42">
        <f t="shared" ca="1" si="30"/>
        <v>176</v>
      </c>
      <c r="BB23" s="43">
        <f t="shared" ca="1" si="13"/>
        <v>0.12113336328689617</v>
      </c>
      <c r="BC23" s="8">
        <v>0.8</v>
      </c>
      <c r="BD23" s="42">
        <f t="shared" ca="1" si="31"/>
        <v>111</v>
      </c>
      <c r="BF23" s="43">
        <f t="shared" ca="1" si="14"/>
        <v>0.25536539091907007</v>
      </c>
      <c r="BG23" s="8">
        <v>0.8</v>
      </c>
      <c r="BH23" s="42">
        <f t="shared" ca="1" si="32"/>
        <v>112</v>
      </c>
      <c r="BJ23" s="43">
        <f t="shared" ca="1" si="15"/>
        <v>0.47330855970638108</v>
      </c>
      <c r="BK23" s="8">
        <v>0.8</v>
      </c>
      <c r="BL23" s="42">
        <f t="shared" ca="1" si="33"/>
        <v>170</v>
      </c>
      <c r="BN23" s="43">
        <f t="shared" ca="1" si="16"/>
        <v>0.69628668962435636</v>
      </c>
      <c r="BO23" s="8">
        <v>0.8</v>
      </c>
      <c r="BP23" s="42">
        <f t="shared" ca="1" si="34"/>
        <v>147</v>
      </c>
      <c r="BR23" s="43">
        <f t="shared" ca="1" si="17"/>
        <v>4.1566242539716636E-2</v>
      </c>
      <c r="BS23" s="8">
        <v>0.8</v>
      </c>
      <c r="BT23" s="42">
        <f t="shared" ca="1" si="35"/>
        <v>95</v>
      </c>
    </row>
    <row r="24" spans="1:72" x14ac:dyDescent="0.2">
      <c r="A24" s="22">
        <v>44571</v>
      </c>
      <c r="B24" s="43">
        <f t="shared" ca="1" si="0"/>
        <v>4.2930721782780901E-2</v>
      </c>
      <c r="C24" s="8">
        <v>0.8</v>
      </c>
      <c r="D24" s="42">
        <f t="shared" ca="1" si="18"/>
        <v>53</v>
      </c>
      <c r="F24" s="43">
        <f t="shared" ca="1" si="1"/>
        <v>3.3253932792856933E-2</v>
      </c>
      <c r="G24" s="8">
        <v>0.8</v>
      </c>
      <c r="H24" s="42">
        <f t="shared" ca="1" si="19"/>
        <v>88</v>
      </c>
      <c r="J24" s="43">
        <f t="shared" ca="1" si="2"/>
        <v>0.89573392539672558</v>
      </c>
      <c r="K24" s="8">
        <v>0.8</v>
      </c>
      <c r="L24" s="42">
        <f t="shared" ca="1" si="20"/>
        <v>161</v>
      </c>
      <c r="N24" s="43">
        <f t="shared" ca="1" si="3"/>
        <v>3.6213569906907161E-2</v>
      </c>
      <c r="O24" s="8">
        <v>0.8</v>
      </c>
      <c r="P24" s="42">
        <f t="shared" ca="1" si="21"/>
        <v>96</v>
      </c>
      <c r="R24" s="43">
        <f t="shared" ca="1" si="4"/>
        <v>0.68166463443338132</v>
      </c>
      <c r="S24" s="8">
        <v>0.8</v>
      </c>
      <c r="T24" s="42">
        <f t="shared" ca="1" si="22"/>
        <v>125</v>
      </c>
      <c r="V24" s="43">
        <f t="shared" ca="1" si="5"/>
        <v>8.9615458935530246E-3</v>
      </c>
      <c r="W24" s="8">
        <v>0.8</v>
      </c>
      <c r="X24" s="42">
        <f t="shared" ca="1" si="23"/>
        <v>67</v>
      </c>
      <c r="Z24" s="43">
        <f t="shared" ca="1" si="6"/>
        <v>0.8032035258272413</v>
      </c>
      <c r="AA24" s="8">
        <v>0.8</v>
      </c>
      <c r="AB24" s="42">
        <f t="shared" ca="1" si="24"/>
        <v>266</v>
      </c>
      <c r="AD24" s="43">
        <f t="shared" ca="1" si="7"/>
        <v>0.53040872838060582</v>
      </c>
      <c r="AE24" s="8">
        <v>0.8</v>
      </c>
      <c r="AF24" s="42">
        <f t="shared" ca="1" si="25"/>
        <v>267</v>
      </c>
      <c r="AH24" s="43">
        <f t="shared" ca="1" si="8"/>
        <v>0.45656559381023054</v>
      </c>
      <c r="AI24" s="8">
        <v>0.8</v>
      </c>
      <c r="AJ24" s="42">
        <f t="shared" ca="1" si="26"/>
        <v>133</v>
      </c>
      <c r="AL24" s="43">
        <f t="shared" ca="1" si="9"/>
        <v>0.5695825223143347</v>
      </c>
      <c r="AM24" s="8">
        <v>0.8</v>
      </c>
      <c r="AN24" s="42">
        <f t="shared" ca="1" si="27"/>
        <v>195</v>
      </c>
      <c r="AP24" s="43">
        <f t="shared" ca="1" si="10"/>
        <v>0.51753211736741955</v>
      </c>
      <c r="AQ24" s="8">
        <v>0.8</v>
      </c>
      <c r="AR24" s="42">
        <f t="shared" ca="1" si="28"/>
        <v>161</v>
      </c>
      <c r="AT24" s="43">
        <f t="shared" ca="1" si="11"/>
        <v>0.70793465685116674</v>
      </c>
      <c r="AU24" s="8">
        <v>0.8</v>
      </c>
      <c r="AV24" s="42">
        <f t="shared" ca="1" si="29"/>
        <v>189</v>
      </c>
      <c r="AX24" s="43">
        <f t="shared" ca="1" si="12"/>
        <v>0.35399279639051484</v>
      </c>
      <c r="AY24" s="8">
        <v>0.8</v>
      </c>
      <c r="AZ24" s="42">
        <f t="shared" ca="1" si="30"/>
        <v>169</v>
      </c>
      <c r="BB24" s="43">
        <f t="shared" ca="1" si="13"/>
        <v>0.49284151992391889</v>
      </c>
      <c r="BC24" s="8">
        <v>0.8</v>
      </c>
      <c r="BD24" s="42">
        <f t="shared" ca="1" si="31"/>
        <v>160</v>
      </c>
      <c r="BF24" s="43">
        <f t="shared" ca="1" si="14"/>
        <v>0.82345086681273505</v>
      </c>
      <c r="BG24" s="8">
        <v>0.8</v>
      </c>
      <c r="BH24" s="42">
        <f t="shared" ca="1" si="32"/>
        <v>169</v>
      </c>
      <c r="BJ24" s="43">
        <f t="shared" ca="1" si="15"/>
        <v>0.68502288072036444</v>
      </c>
      <c r="BK24" s="8">
        <v>0.8</v>
      </c>
      <c r="BL24" s="42">
        <f t="shared" ca="1" si="33"/>
        <v>195</v>
      </c>
      <c r="BN24" s="43">
        <f t="shared" ca="1" si="16"/>
        <v>0.94122057978814866</v>
      </c>
      <c r="BO24" s="8">
        <v>0.8</v>
      </c>
      <c r="BP24" s="42">
        <f t="shared" ca="1" si="34"/>
        <v>183</v>
      </c>
      <c r="BR24" s="43">
        <f t="shared" ca="1" si="17"/>
        <v>0.57955151400863825</v>
      </c>
      <c r="BS24" s="8">
        <v>0.8</v>
      </c>
      <c r="BT24" s="42">
        <f t="shared" ca="1" si="35"/>
        <v>185</v>
      </c>
    </row>
    <row r="25" spans="1:72" x14ac:dyDescent="0.2">
      <c r="A25" s="22">
        <v>44572</v>
      </c>
      <c r="B25" s="43">
        <f t="shared" ca="1" si="0"/>
        <v>0.27996851565087943</v>
      </c>
      <c r="C25" s="8">
        <v>0.8</v>
      </c>
      <c r="D25" s="42">
        <f t="shared" ca="1" si="18"/>
        <v>71</v>
      </c>
      <c r="F25" s="43">
        <f t="shared" ca="1" si="1"/>
        <v>0.40764647326784931</v>
      </c>
      <c r="G25" s="8">
        <v>0.8</v>
      </c>
      <c r="H25" s="42">
        <f t="shared" ca="1" si="19"/>
        <v>162</v>
      </c>
      <c r="J25" s="43">
        <f t="shared" ca="1" si="2"/>
        <v>0.17461202525995956</v>
      </c>
      <c r="K25" s="8">
        <v>0.8</v>
      </c>
      <c r="L25" s="42">
        <f t="shared" ca="1" si="20"/>
        <v>91</v>
      </c>
      <c r="N25" s="43">
        <f t="shared" ca="1" si="3"/>
        <v>0.95062604441893506</v>
      </c>
      <c r="O25" s="8">
        <v>0.8</v>
      </c>
      <c r="P25" s="42">
        <f t="shared" ca="1" si="21"/>
        <v>265</v>
      </c>
      <c r="R25" s="43">
        <f t="shared" ca="1" si="4"/>
        <v>0.9481109995118977</v>
      </c>
      <c r="S25" s="8">
        <v>0.8</v>
      </c>
      <c r="T25" s="42">
        <f t="shared" ca="1" si="22"/>
        <v>160</v>
      </c>
      <c r="V25" s="43">
        <f t="shared" ca="1" si="5"/>
        <v>6.9162479173101254E-2</v>
      </c>
      <c r="W25" s="8">
        <v>0.8</v>
      </c>
      <c r="X25" s="42">
        <f t="shared" ca="1" si="23"/>
        <v>109</v>
      </c>
      <c r="Z25" s="43">
        <f t="shared" ca="1" si="6"/>
        <v>0.59626642799413943</v>
      </c>
      <c r="AA25" s="8">
        <v>0.8</v>
      </c>
      <c r="AB25" s="42">
        <f t="shared" ca="1" si="24"/>
        <v>231</v>
      </c>
      <c r="AD25" s="43">
        <f t="shared" ca="1" si="7"/>
        <v>0.23151951328185605</v>
      </c>
      <c r="AE25" s="8">
        <v>0.8</v>
      </c>
      <c r="AF25" s="42">
        <f t="shared" ca="1" si="25"/>
        <v>211</v>
      </c>
      <c r="AH25" s="43">
        <f t="shared" ca="1" si="8"/>
        <v>0.89654156881046887</v>
      </c>
      <c r="AI25" s="8">
        <v>0.8</v>
      </c>
      <c r="AJ25" s="42">
        <f t="shared" ca="1" si="26"/>
        <v>183</v>
      </c>
      <c r="AL25" s="43">
        <f t="shared" ca="1" si="9"/>
        <v>5.2141721892761006E-2</v>
      </c>
      <c r="AM25" s="8">
        <v>0.8</v>
      </c>
      <c r="AN25" s="42">
        <f t="shared" ca="1" si="27"/>
        <v>106</v>
      </c>
      <c r="AP25" s="43">
        <f t="shared" ca="1" si="10"/>
        <v>0.45841030482160761</v>
      </c>
      <c r="AQ25" s="8">
        <v>0.8</v>
      </c>
      <c r="AR25" s="42">
        <f t="shared" ca="1" si="28"/>
        <v>154</v>
      </c>
      <c r="AT25" s="43">
        <f t="shared" ca="1" si="11"/>
        <v>0.80967201887051554</v>
      </c>
      <c r="AU25" s="8">
        <v>0.8</v>
      </c>
      <c r="AV25" s="42">
        <f t="shared" ca="1" si="29"/>
        <v>203</v>
      </c>
      <c r="AX25" s="43">
        <f t="shared" ca="1" si="12"/>
        <v>1.9687436170365613E-2</v>
      </c>
      <c r="AY25" s="8">
        <v>0.8</v>
      </c>
      <c r="AZ25" s="42">
        <f t="shared" ca="1" si="30"/>
        <v>85</v>
      </c>
      <c r="BB25" s="43">
        <f t="shared" ca="1" si="13"/>
        <v>0.47190861171663545</v>
      </c>
      <c r="BC25" s="8">
        <v>0.8</v>
      </c>
      <c r="BD25" s="42">
        <f t="shared" ca="1" si="31"/>
        <v>158</v>
      </c>
      <c r="BF25" s="43">
        <f t="shared" ca="1" si="14"/>
        <v>0.87695664222952951</v>
      </c>
      <c r="BG25" s="8">
        <v>0.8</v>
      </c>
      <c r="BH25" s="42">
        <f t="shared" ca="1" si="32"/>
        <v>177</v>
      </c>
      <c r="BJ25" s="43">
        <f t="shared" ca="1" si="15"/>
        <v>0.84510080574672264</v>
      </c>
      <c r="BK25" s="8">
        <v>0.8</v>
      </c>
      <c r="BL25" s="42">
        <f t="shared" ca="1" si="33"/>
        <v>220</v>
      </c>
      <c r="BN25" s="43">
        <f t="shared" ca="1" si="16"/>
        <v>0.83398939686165152</v>
      </c>
      <c r="BO25" s="8">
        <v>0.8</v>
      </c>
      <c r="BP25" s="42">
        <f t="shared" ca="1" si="34"/>
        <v>162</v>
      </c>
      <c r="BR25" s="43">
        <f t="shared" ca="1" si="17"/>
        <v>0.38215133851923433</v>
      </c>
      <c r="BS25" s="8">
        <v>0.8</v>
      </c>
      <c r="BT25" s="42">
        <f t="shared" ca="1" si="35"/>
        <v>162</v>
      </c>
    </row>
    <row r="26" spans="1:72" x14ac:dyDescent="0.2">
      <c r="A26" s="22">
        <v>44573</v>
      </c>
      <c r="B26" s="43">
        <f t="shared" ca="1" si="0"/>
        <v>0.19670083878482991</v>
      </c>
      <c r="C26" s="8">
        <v>0.8</v>
      </c>
      <c r="D26" s="42">
        <f t="shared" ca="1" si="18"/>
        <v>67</v>
      </c>
      <c r="F26" s="43">
        <f t="shared" ca="1" si="1"/>
        <v>0.27099065395781019</v>
      </c>
      <c r="G26" s="8">
        <v>0.8</v>
      </c>
      <c r="H26" s="42">
        <f t="shared" ca="1" si="19"/>
        <v>145</v>
      </c>
      <c r="J26" s="43">
        <f t="shared" ca="1" si="2"/>
        <v>0.26666802485240582</v>
      </c>
      <c r="K26" s="8">
        <v>0.8</v>
      </c>
      <c r="L26" s="42">
        <f t="shared" ca="1" si="20"/>
        <v>101</v>
      </c>
      <c r="N26" s="43">
        <f t="shared" ca="1" si="3"/>
        <v>0.9915842734178506</v>
      </c>
      <c r="O26" s="8">
        <v>0.8</v>
      </c>
      <c r="P26" s="42">
        <f t="shared" ca="1" si="21"/>
        <v>301</v>
      </c>
      <c r="R26" s="43">
        <f t="shared" ca="1" si="4"/>
        <v>3.797383190656678E-2</v>
      </c>
      <c r="S26" s="8">
        <v>0.8</v>
      </c>
      <c r="T26" s="42">
        <f t="shared" ca="1" si="22"/>
        <v>59</v>
      </c>
      <c r="V26" s="43">
        <f t="shared" ca="1" si="5"/>
        <v>0.9357032207678494</v>
      </c>
      <c r="W26" s="8">
        <v>0.8</v>
      </c>
      <c r="X26" s="42">
        <f t="shared" ca="1" si="23"/>
        <v>253</v>
      </c>
      <c r="Z26" s="43">
        <f t="shared" ca="1" si="6"/>
        <v>0.8752546353087447</v>
      </c>
      <c r="AA26" s="8">
        <v>0.8</v>
      </c>
      <c r="AB26" s="42">
        <f t="shared" ca="1" si="24"/>
        <v>283</v>
      </c>
      <c r="AD26" s="43">
        <f t="shared" ca="1" si="7"/>
        <v>0.51246596289056368</v>
      </c>
      <c r="AE26" s="8">
        <v>0.8</v>
      </c>
      <c r="AF26" s="42">
        <f t="shared" ca="1" si="25"/>
        <v>264</v>
      </c>
      <c r="AH26" s="43">
        <f t="shared" ca="1" si="8"/>
        <v>1.1038931655271256E-2</v>
      </c>
      <c r="AI26" s="8">
        <v>0.8</v>
      </c>
      <c r="AJ26" s="42">
        <f t="shared" ca="1" si="26"/>
        <v>54</v>
      </c>
      <c r="AL26" s="43">
        <f t="shared" ca="1" si="9"/>
        <v>0.20181501185797635</v>
      </c>
      <c r="AM26" s="8">
        <v>0.8</v>
      </c>
      <c r="AN26" s="42">
        <f t="shared" ca="1" si="27"/>
        <v>145</v>
      </c>
      <c r="AP26" s="43">
        <f t="shared" ca="1" si="10"/>
        <v>0.88434282893021887</v>
      </c>
      <c r="AQ26" s="8">
        <v>0.8</v>
      </c>
      <c r="AR26" s="42">
        <f t="shared" ca="1" si="28"/>
        <v>209</v>
      </c>
      <c r="AT26" s="43">
        <f t="shared" ca="1" si="11"/>
        <v>0.48941450704126899</v>
      </c>
      <c r="AU26" s="8">
        <v>0.8</v>
      </c>
      <c r="AV26" s="42">
        <f t="shared" ca="1" si="29"/>
        <v>164</v>
      </c>
      <c r="AX26" s="43">
        <f t="shared" ca="1" si="12"/>
        <v>0.71337152882904975</v>
      </c>
      <c r="AY26" s="8">
        <v>0.8</v>
      </c>
      <c r="AZ26" s="42">
        <f t="shared" ca="1" si="30"/>
        <v>215</v>
      </c>
      <c r="BB26" s="43">
        <f t="shared" ca="1" si="13"/>
        <v>0.48832086011383735</v>
      </c>
      <c r="BC26" s="8">
        <v>0.8</v>
      </c>
      <c r="BD26" s="42">
        <f t="shared" ca="1" si="31"/>
        <v>160</v>
      </c>
      <c r="BF26" s="43">
        <f t="shared" ca="1" si="14"/>
        <v>0.3805922420047454</v>
      </c>
      <c r="BG26" s="8">
        <v>0.8</v>
      </c>
      <c r="BH26" s="42">
        <f t="shared" ca="1" si="32"/>
        <v>124</v>
      </c>
      <c r="BJ26" s="43">
        <f t="shared" ca="1" si="15"/>
        <v>0.92178552498845345</v>
      </c>
      <c r="BK26" s="8">
        <v>0.8</v>
      </c>
      <c r="BL26" s="42">
        <f t="shared" ca="1" si="33"/>
        <v>238</v>
      </c>
      <c r="BN26" s="43">
        <f t="shared" ca="1" si="16"/>
        <v>2.3775350677092022E-2</v>
      </c>
      <c r="BO26" s="8">
        <v>0.8</v>
      </c>
      <c r="BP26" s="42">
        <f t="shared" ca="1" si="34"/>
        <v>61</v>
      </c>
      <c r="BR26" s="43">
        <f t="shared" ca="1" si="17"/>
        <v>0.38876103581589694</v>
      </c>
      <c r="BS26" s="8">
        <v>0.8</v>
      </c>
      <c r="BT26" s="42">
        <f t="shared" ca="1" si="35"/>
        <v>163</v>
      </c>
    </row>
    <row r="27" spans="1:72" x14ac:dyDescent="0.2">
      <c r="A27" s="22">
        <v>44574</v>
      </c>
      <c r="B27" s="43">
        <f t="shared" ca="1" si="0"/>
        <v>0.76052515558674882</v>
      </c>
      <c r="C27" s="8">
        <v>0.8</v>
      </c>
      <c r="D27" s="42">
        <f t="shared" ca="1" si="18"/>
        <v>92</v>
      </c>
      <c r="F27" s="43">
        <f t="shared" ca="1" si="1"/>
        <v>0.38807981531808955</v>
      </c>
      <c r="G27" s="8">
        <v>0.8</v>
      </c>
      <c r="H27" s="42">
        <f t="shared" ca="1" si="19"/>
        <v>160</v>
      </c>
      <c r="J27" s="43">
        <f t="shared" ca="1" si="2"/>
        <v>0.19598937542900574</v>
      </c>
      <c r="K27" s="8">
        <v>0.8</v>
      </c>
      <c r="L27" s="42">
        <f t="shared" ca="1" si="20"/>
        <v>93</v>
      </c>
      <c r="N27" s="43">
        <f t="shared" ca="1" si="3"/>
        <v>1.1524216318579916E-2</v>
      </c>
      <c r="O27" s="8">
        <v>0.8</v>
      </c>
      <c r="P27" s="42">
        <f t="shared" ca="1" si="21"/>
        <v>73</v>
      </c>
      <c r="R27" s="43">
        <f t="shared" ca="1" si="4"/>
        <v>0.61589465157313783</v>
      </c>
      <c r="S27" s="8">
        <v>0.8</v>
      </c>
      <c r="T27" s="42">
        <f t="shared" ca="1" si="22"/>
        <v>120</v>
      </c>
      <c r="V27" s="43">
        <f t="shared" ca="1" si="5"/>
        <v>0.15266872430031764</v>
      </c>
      <c r="W27" s="8">
        <v>0.8</v>
      </c>
      <c r="X27" s="42">
        <f t="shared" ca="1" si="23"/>
        <v>131</v>
      </c>
      <c r="Z27" s="43">
        <f t="shared" ca="1" si="6"/>
        <v>0.12840698102162096</v>
      </c>
      <c r="AA27" s="8">
        <v>0.8</v>
      </c>
      <c r="AB27" s="42">
        <f t="shared" ca="1" si="24"/>
        <v>151</v>
      </c>
      <c r="AD27" s="43">
        <f t="shared" ca="1" si="7"/>
        <v>0.91460250347930172</v>
      </c>
      <c r="AE27" s="8">
        <v>0.8</v>
      </c>
      <c r="AF27" s="42">
        <f t="shared" ca="1" si="25"/>
        <v>358</v>
      </c>
      <c r="AH27" s="43">
        <f t="shared" ca="1" si="8"/>
        <v>0.63919124580824316</v>
      </c>
      <c r="AI27" s="8">
        <v>0.8</v>
      </c>
      <c r="AJ27" s="42">
        <f t="shared" ca="1" si="26"/>
        <v>150</v>
      </c>
      <c r="AL27" s="43">
        <f t="shared" ca="1" si="9"/>
        <v>0.31967574787166564</v>
      </c>
      <c r="AM27" s="8">
        <v>0.8</v>
      </c>
      <c r="AN27" s="42">
        <f t="shared" ca="1" si="27"/>
        <v>163</v>
      </c>
      <c r="AP27" s="43">
        <f t="shared" ca="1" si="10"/>
        <v>0.71738866209850927</v>
      </c>
      <c r="AQ27" s="8">
        <v>0.8</v>
      </c>
      <c r="AR27" s="42">
        <f t="shared" ca="1" si="28"/>
        <v>183</v>
      </c>
      <c r="AT27" s="43">
        <f t="shared" ca="1" si="11"/>
        <v>0.41745448870799673</v>
      </c>
      <c r="AU27" s="8">
        <v>0.8</v>
      </c>
      <c r="AV27" s="42">
        <f t="shared" ca="1" si="29"/>
        <v>156</v>
      </c>
      <c r="AX27" s="43">
        <f t="shared" ca="1" si="12"/>
        <v>0.14528963037293541</v>
      </c>
      <c r="AY27" s="8">
        <v>0.8</v>
      </c>
      <c r="AZ27" s="42">
        <f t="shared" ca="1" si="30"/>
        <v>135</v>
      </c>
      <c r="BB27" s="43">
        <f t="shared" ca="1" si="13"/>
        <v>0.93085279821867939</v>
      </c>
      <c r="BC27" s="8">
        <v>0.8</v>
      </c>
      <c r="BD27" s="42">
        <f t="shared" ca="1" si="31"/>
        <v>224</v>
      </c>
      <c r="BF27" s="43">
        <f t="shared" ca="1" si="14"/>
        <v>0.36923745000439667</v>
      </c>
      <c r="BG27" s="8">
        <v>0.8</v>
      </c>
      <c r="BH27" s="42">
        <f t="shared" ca="1" si="32"/>
        <v>123</v>
      </c>
      <c r="BJ27" s="43">
        <f t="shared" ca="1" si="15"/>
        <v>0.39911898803994139</v>
      </c>
      <c r="BK27" s="8">
        <v>0.8</v>
      </c>
      <c r="BL27" s="42">
        <f t="shared" ca="1" si="33"/>
        <v>161</v>
      </c>
      <c r="BN27" s="43">
        <f t="shared" ca="1" si="16"/>
        <v>0.89164956882142832</v>
      </c>
      <c r="BO27" s="8">
        <v>0.8</v>
      </c>
      <c r="BP27" s="42">
        <f t="shared" ca="1" si="34"/>
        <v>171</v>
      </c>
      <c r="BR27" s="43">
        <f t="shared" ca="1" si="17"/>
        <v>0.536540046099659</v>
      </c>
      <c r="BS27" s="8">
        <v>0.8</v>
      </c>
      <c r="BT27" s="42">
        <f t="shared" ca="1" si="35"/>
        <v>180</v>
      </c>
    </row>
    <row r="28" spans="1:72" x14ac:dyDescent="0.2">
      <c r="A28" s="22">
        <v>44575</v>
      </c>
      <c r="B28" s="43">
        <f t="shared" ca="1" si="0"/>
        <v>0.88641691966170477</v>
      </c>
      <c r="C28" s="8">
        <v>0.8</v>
      </c>
      <c r="D28" s="42">
        <f t="shared" ca="1" si="18"/>
        <v>100</v>
      </c>
      <c r="F28" s="43">
        <f t="shared" ca="1" si="1"/>
        <v>0.86298995281361746</v>
      </c>
      <c r="G28" s="8">
        <v>0.8</v>
      </c>
      <c r="H28" s="42">
        <f t="shared" ca="1" si="19"/>
        <v>223</v>
      </c>
      <c r="J28" s="43">
        <f t="shared" ca="1" si="2"/>
        <v>0.64867761542027091</v>
      </c>
      <c r="K28" s="8">
        <v>0.8</v>
      </c>
      <c r="L28" s="42">
        <f t="shared" ca="1" si="20"/>
        <v>133</v>
      </c>
      <c r="N28" s="43">
        <f t="shared" ca="1" si="3"/>
        <v>0.68491639185998632</v>
      </c>
      <c r="O28" s="8">
        <v>0.8</v>
      </c>
      <c r="P28" s="42">
        <f t="shared" ca="1" si="21"/>
        <v>208</v>
      </c>
      <c r="R28" s="43">
        <f t="shared" ca="1" si="4"/>
        <v>4.9105639373848042E-2</v>
      </c>
      <c r="S28" s="8">
        <v>0.8</v>
      </c>
      <c r="T28" s="42">
        <f t="shared" ca="1" si="22"/>
        <v>63</v>
      </c>
      <c r="V28" s="43">
        <f t="shared" ca="1" si="5"/>
        <v>0.37244721142067705</v>
      </c>
      <c r="W28" s="8">
        <v>0.8</v>
      </c>
      <c r="X28" s="42">
        <f t="shared" ca="1" si="23"/>
        <v>165</v>
      </c>
      <c r="Z28" s="43">
        <f t="shared" ca="1" si="6"/>
        <v>2.4622483956410424E-2</v>
      </c>
      <c r="AA28" s="8">
        <v>0.8</v>
      </c>
      <c r="AB28" s="42">
        <f t="shared" ca="1" si="24"/>
        <v>103</v>
      </c>
      <c r="AD28" s="43">
        <f t="shared" ca="1" si="7"/>
        <v>0.77765633911122778</v>
      </c>
      <c r="AE28" s="8">
        <v>0.8</v>
      </c>
      <c r="AF28" s="42">
        <f t="shared" ca="1" si="25"/>
        <v>315</v>
      </c>
      <c r="AH28" s="43">
        <f t="shared" ca="1" si="8"/>
        <v>4.8421082884240851E-2</v>
      </c>
      <c r="AI28" s="8">
        <v>0.8</v>
      </c>
      <c r="AJ28" s="42">
        <f t="shared" ca="1" si="26"/>
        <v>76</v>
      </c>
      <c r="AL28" s="43">
        <f t="shared" ca="1" si="9"/>
        <v>0.3155217536830236</v>
      </c>
      <c r="AM28" s="8">
        <v>0.8</v>
      </c>
      <c r="AN28" s="42">
        <f t="shared" ca="1" si="27"/>
        <v>162</v>
      </c>
      <c r="AP28" s="43">
        <f t="shared" ca="1" si="10"/>
        <v>0.54715409709980745</v>
      </c>
      <c r="AQ28" s="8">
        <v>0.8</v>
      </c>
      <c r="AR28" s="42">
        <f t="shared" ca="1" si="28"/>
        <v>164</v>
      </c>
      <c r="AT28" s="43">
        <f t="shared" ca="1" si="11"/>
        <v>0.62020542526576994</v>
      </c>
      <c r="AU28" s="8">
        <v>0.8</v>
      </c>
      <c r="AV28" s="42">
        <f t="shared" ca="1" si="29"/>
        <v>178</v>
      </c>
      <c r="AX28" s="43">
        <f t="shared" ca="1" si="12"/>
        <v>0.70861417541779248</v>
      </c>
      <c r="AY28" s="8">
        <v>0.8</v>
      </c>
      <c r="AZ28" s="42">
        <f t="shared" ca="1" si="30"/>
        <v>215</v>
      </c>
      <c r="BB28" s="43">
        <f t="shared" ca="1" si="13"/>
        <v>0.33614860803471169</v>
      </c>
      <c r="BC28" s="8">
        <v>0.8</v>
      </c>
      <c r="BD28" s="42">
        <f t="shared" ca="1" si="31"/>
        <v>143</v>
      </c>
      <c r="BF28" s="43">
        <f t="shared" ca="1" si="14"/>
        <v>0.6006811640516474</v>
      </c>
      <c r="BG28" s="8">
        <v>0.8</v>
      </c>
      <c r="BH28" s="42">
        <f t="shared" ca="1" si="32"/>
        <v>145</v>
      </c>
      <c r="BJ28" s="43">
        <f t="shared" ca="1" si="15"/>
        <v>0.80563923696715145</v>
      </c>
      <c r="BK28" s="8">
        <v>0.8</v>
      </c>
      <c r="BL28" s="42">
        <f t="shared" ca="1" si="33"/>
        <v>213</v>
      </c>
      <c r="BN28" s="43">
        <f t="shared" ca="1" si="16"/>
        <v>0.36299231765503381</v>
      </c>
      <c r="BO28" s="8">
        <v>0.8</v>
      </c>
      <c r="BP28" s="42">
        <f t="shared" ca="1" si="34"/>
        <v>117</v>
      </c>
      <c r="BR28" s="43">
        <f t="shared" ca="1" si="17"/>
        <v>0.71223217651123727</v>
      </c>
      <c r="BS28" s="8">
        <v>0.8</v>
      </c>
      <c r="BT28" s="42">
        <f t="shared" ca="1" si="35"/>
        <v>202</v>
      </c>
    </row>
    <row r="29" spans="1:72" x14ac:dyDescent="0.2">
      <c r="A29" s="22">
        <v>44576</v>
      </c>
      <c r="B29" s="43">
        <f t="shared" ca="1" si="0"/>
        <v>3.9585923767473052E-2</v>
      </c>
      <c r="C29" s="8">
        <v>0.8</v>
      </c>
      <c r="D29" s="42">
        <f t="shared" ca="1" si="18"/>
        <v>52</v>
      </c>
      <c r="F29" s="43">
        <f t="shared" ca="1" si="1"/>
        <v>0.79212333830667558</v>
      </c>
      <c r="G29" s="8">
        <v>0.8</v>
      </c>
      <c r="H29" s="42">
        <f t="shared" ca="1" si="19"/>
        <v>210</v>
      </c>
      <c r="J29" s="43">
        <f t="shared" ca="1" si="2"/>
        <v>0.62484252424480358</v>
      </c>
      <c r="K29" s="8">
        <v>0.8</v>
      </c>
      <c r="L29" s="42">
        <f t="shared" ca="1" si="20"/>
        <v>131</v>
      </c>
      <c r="N29" s="43">
        <f t="shared" ca="1" si="3"/>
        <v>0.7984260279395955</v>
      </c>
      <c r="O29" s="8">
        <v>0.8</v>
      </c>
      <c r="P29" s="42">
        <f t="shared" ca="1" si="21"/>
        <v>225</v>
      </c>
      <c r="R29" s="43">
        <f t="shared" ca="1" si="4"/>
        <v>0.15979787309004811</v>
      </c>
      <c r="S29" s="8">
        <v>0.8</v>
      </c>
      <c r="T29" s="42">
        <f t="shared" ca="1" si="22"/>
        <v>82</v>
      </c>
      <c r="V29" s="43">
        <f t="shared" ca="1" si="5"/>
        <v>0.93304689089056903</v>
      </c>
      <c r="W29" s="8">
        <v>0.8</v>
      </c>
      <c r="X29" s="42">
        <f t="shared" ca="1" si="23"/>
        <v>252</v>
      </c>
      <c r="Z29" s="43">
        <f t="shared" ca="1" si="6"/>
        <v>0.57800885147059533</v>
      </c>
      <c r="AA29" s="8">
        <v>0.8</v>
      </c>
      <c r="AB29" s="42">
        <f t="shared" ca="1" si="24"/>
        <v>228</v>
      </c>
      <c r="AD29" s="43">
        <f t="shared" ca="1" si="7"/>
        <v>0.49176438238132181</v>
      </c>
      <c r="AE29" s="8">
        <v>0.8</v>
      </c>
      <c r="AF29" s="42">
        <f t="shared" ca="1" si="25"/>
        <v>261</v>
      </c>
      <c r="AH29" s="43">
        <f t="shared" ca="1" si="8"/>
        <v>0.25304260367085851</v>
      </c>
      <c r="AI29" s="8">
        <v>0.8</v>
      </c>
      <c r="AJ29" s="42">
        <f t="shared" ca="1" si="26"/>
        <v>113</v>
      </c>
      <c r="AL29" s="43">
        <f t="shared" ca="1" si="9"/>
        <v>0.80038604203544861</v>
      </c>
      <c r="AM29" s="8">
        <v>0.8</v>
      </c>
      <c r="AN29" s="42">
        <f t="shared" ca="1" si="27"/>
        <v>228</v>
      </c>
      <c r="AP29" s="43">
        <f t="shared" ca="1" si="10"/>
        <v>0.34871569969399174</v>
      </c>
      <c r="AQ29" s="8">
        <v>0.8</v>
      </c>
      <c r="AR29" s="42">
        <f t="shared" ca="1" si="28"/>
        <v>142</v>
      </c>
      <c r="AT29" s="43">
        <f t="shared" ca="1" si="11"/>
        <v>0.64592691699897531</v>
      </c>
      <c r="AU29" s="8">
        <v>0.8</v>
      </c>
      <c r="AV29" s="42">
        <f t="shared" ca="1" si="29"/>
        <v>181</v>
      </c>
      <c r="AX29" s="43">
        <f t="shared" ca="1" si="12"/>
        <v>0.84649858868938366</v>
      </c>
      <c r="AY29" s="8">
        <v>0.8</v>
      </c>
      <c r="AZ29" s="42">
        <f t="shared" ca="1" si="30"/>
        <v>238</v>
      </c>
      <c r="BB29" s="43">
        <f t="shared" ca="1" si="13"/>
        <v>0.27260905573715299</v>
      </c>
      <c r="BC29" s="8">
        <v>0.8</v>
      </c>
      <c r="BD29" s="42">
        <f t="shared" ca="1" si="31"/>
        <v>135</v>
      </c>
      <c r="BF29" s="43">
        <f t="shared" ca="1" si="14"/>
        <v>0.33329599976379676</v>
      </c>
      <c r="BG29" s="8">
        <v>0.8</v>
      </c>
      <c r="BH29" s="42">
        <f t="shared" ca="1" si="32"/>
        <v>120</v>
      </c>
      <c r="BJ29" s="43">
        <f t="shared" ca="1" si="15"/>
        <v>0.85212016582212158</v>
      </c>
      <c r="BK29" s="8">
        <v>0.8</v>
      </c>
      <c r="BL29" s="42">
        <f t="shared" ca="1" si="33"/>
        <v>221</v>
      </c>
      <c r="BN29" s="43">
        <f t="shared" ca="1" si="16"/>
        <v>0.23413147395728573</v>
      </c>
      <c r="BO29" s="8">
        <v>0.8</v>
      </c>
      <c r="BP29" s="42">
        <f t="shared" ca="1" si="34"/>
        <v>104</v>
      </c>
      <c r="BR29" s="43">
        <f t="shared" ca="1" si="17"/>
        <v>5.4302716427268027E-4</v>
      </c>
      <c r="BS29" s="8">
        <v>0.8</v>
      </c>
      <c r="BT29" s="42">
        <f t="shared" ca="1" si="35"/>
        <v>23</v>
      </c>
    </row>
    <row r="30" spans="1:72" x14ac:dyDescent="0.2">
      <c r="A30" s="22">
        <v>44577</v>
      </c>
      <c r="B30" s="43">
        <f t="shared" ca="1" si="0"/>
        <v>0.43273644897271069</v>
      </c>
      <c r="C30" s="8">
        <v>0.8</v>
      </c>
      <c r="D30" s="42">
        <f t="shared" ca="1" si="18"/>
        <v>78</v>
      </c>
      <c r="F30" s="43">
        <f t="shared" ca="1" si="1"/>
        <v>0.77511459558984075</v>
      </c>
      <c r="G30" s="8">
        <v>0.8</v>
      </c>
      <c r="H30" s="42">
        <f t="shared" ca="1" si="19"/>
        <v>208</v>
      </c>
      <c r="J30" s="43">
        <f t="shared" ca="1" si="2"/>
        <v>0.25148767311339926</v>
      </c>
      <c r="K30" s="8">
        <v>0.8</v>
      </c>
      <c r="L30" s="42">
        <f t="shared" ca="1" si="20"/>
        <v>99</v>
      </c>
      <c r="N30" s="43">
        <f t="shared" ca="1" si="3"/>
        <v>0.38959428917882755</v>
      </c>
      <c r="O30" s="8">
        <v>0.8</v>
      </c>
      <c r="P30" s="42">
        <f t="shared" ca="1" si="21"/>
        <v>170</v>
      </c>
      <c r="R30" s="43">
        <f t="shared" ca="1" si="4"/>
        <v>8.3407900934562407E-2</v>
      </c>
      <c r="S30" s="8">
        <v>0.8</v>
      </c>
      <c r="T30" s="42">
        <f t="shared" ca="1" si="22"/>
        <v>71</v>
      </c>
      <c r="V30" s="43">
        <f t="shared" ca="1" si="5"/>
        <v>0.78861606779858573</v>
      </c>
      <c r="W30" s="8">
        <v>0.8</v>
      </c>
      <c r="X30" s="42">
        <f t="shared" ca="1" si="23"/>
        <v>219</v>
      </c>
      <c r="Z30" s="43">
        <f t="shared" ca="1" si="6"/>
        <v>0.95770061571897747</v>
      </c>
      <c r="AA30" s="8">
        <v>0.8</v>
      </c>
      <c r="AB30" s="42">
        <f t="shared" ca="1" si="24"/>
        <v>316</v>
      </c>
      <c r="AD30" s="43">
        <f t="shared" ca="1" si="7"/>
        <v>0.35680757119430861</v>
      </c>
      <c r="AE30" s="8">
        <v>0.8</v>
      </c>
      <c r="AF30" s="42">
        <f t="shared" ca="1" si="25"/>
        <v>236</v>
      </c>
      <c r="AH30" s="43">
        <f t="shared" ca="1" si="8"/>
        <v>5.9004417926888708E-2</v>
      </c>
      <c r="AI30" s="8">
        <v>0.8</v>
      </c>
      <c r="AJ30" s="42">
        <f t="shared" ca="1" si="26"/>
        <v>80</v>
      </c>
      <c r="AL30" s="43">
        <f t="shared" ca="1" si="9"/>
        <v>1.1684550828624407E-2</v>
      </c>
      <c r="AM30" s="8">
        <v>0.8</v>
      </c>
      <c r="AN30" s="42">
        <f t="shared" ca="1" si="27"/>
        <v>74</v>
      </c>
      <c r="AP30" s="43">
        <f t="shared" ca="1" si="10"/>
        <v>0.51244816881577238</v>
      </c>
      <c r="AQ30" s="8">
        <v>0.8</v>
      </c>
      <c r="AR30" s="42">
        <f t="shared" ca="1" si="28"/>
        <v>160</v>
      </c>
      <c r="AT30" s="43">
        <f t="shared" ca="1" si="11"/>
        <v>0.80612311153332683</v>
      </c>
      <c r="AU30" s="8">
        <v>0.8</v>
      </c>
      <c r="AV30" s="42">
        <f t="shared" ca="1" si="29"/>
        <v>203</v>
      </c>
      <c r="AX30" s="43">
        <f t="shared" ca="1" si="12"/>
        <v>0.60436601816536861</v>
      </c>
      <c r="AY30" s="8">
        <v>0.8</v>
      </c>
      <c r="AZ30" s="42">
        <f t="shared" ca="1" si="30"/>
        <v>201</v>
      </c>
      <c r="BB30" s="43">
        <f t="shared" ca="1" si="13"/>
        <v>0.79284221601219129</v>
      </c>
      <c r="BC30" s="8">
        <v>0.8</v>
      </c>
      <c r="BD30" s="42">
        <f t="shared" ca="1" si="31"/>
        <v>196</v>
      </c>
      <c r="BF30" s="43">
        <f t="shared" ca="1" si="14"/>
        <v>9.7906529469831916E-2</v>
      </c>
      <c r="BG30" s="8">
        <v>0.8</v>
      </c>
      <c r="BH30" s="42">
        <f t="shared" ca="1" si="32"/>
        <v>89</v>
      </c>
      <c r="BJ30" s="43">
        <f t="shared" ca="1" si="15"/>
        <v>4.1657433151708001E-2</v>
      </c>
      <c r="BK30" s="8">
        <v>0.8</v>
      </c>
      <c r="BL30" s="42">
        <f t="shared" ca="1" si="33"/>
        <v>93</v>
      </c>
      <c r="BN30" s="43">
        <f t="shared" ca="1" si="16"/>
        <v>3.2385987156373752E-2</v>
      </c>
      <c r="BO30" s="8">
        <v>0.8</v>
      </c>
      <c r="BP30" s="42">
        <f t="shared" ca="1" si="34"/>
        <v>66</v>
      </c>
      <c r="BR30" s="43">
        <f t="shared" ca="1" si="17"/>
        <v>0.38994654573865595</v>
      </c>
      <c r="BS30" s="8">
        <v>0.8</v>
      </c>
      <c r="BT30" s="42">
        <f t="shared" ca="1" si="35"/>
        <v>163</v>
      </c>
    </row>
    <row r="31" spans="1:72" x14ac:dyDescent="0.2">
      <c r="A31" s="22">
        <v>44578</v>
      </c>
      <c r="B31" s="43">
        <f t="shared" ca="1" si="0"/>
        <v>0.63395777885282267</v>
      </c>
      <c r="C31" s="8">
        <v>0.8</v>
      </c>
      <c r="D31" s="42">
        <f t="shared" ca="1" si="18"/>
        <v>86</v>
      </c>
      <c r="F31" s="43">
        <f t="shared" ca="1" si="1"/>
        <v>0.83169937816930795</v>
      </c>
      <c r="G31" s="8">
        <v>0.8</v>
      </c>
      <c r="H31" s="42">
        <f t="shared" ca="1" si="19"/>
        <v>217</v>
      </c>
      <c r="J31" s="43">
        <f t="shared" ca="1" si="2"/>
        <v>7.325576186988747E-2</v>
      </c>
      <c r="K31" s="8">
        <v>0.8</v>
      </c>
      <c r="L31" s="42">
        <f t="shared" ca="1" si="20"/>
        <v>74</v>
      </c>
      <c r="N31" s="43">
        <f t="shared" ca="1" si="3"/>
        <v>7.7366240070428693E-2</v>
      </c>
      <c r="O31" s="8">
        <v>0.8</v>
      </c>
      <c r="P31" s="42">
        <f t="shared" ca="1" si="21"/>
        <v>114</v>
      </c>
      <c r="R31" s="43">
        <f t="shared" ca="1" si="4"/>
        <v>0.84438916972656719</v>
      </c>
      <c r="S31" s="8">
        <v>0.8</v>
      </c>
      <c r="T31" s="42">
        <f t="shared" ca="1" si="22"/>
        <v>141</v>
      </c>
      <c r="V31" s="43">
        <f t="shared" ca="1" si="5"/>
        <v>0.44905900991894465</v>
      </c>
      <c r="W31" s="8">
        <v>0.8</v>
      </c>
      <c r="X31" s="42">
        <f t="shared" ca="1" si="23"/>
        <v>174</v>
      </c>
      <c r="Z31" s="43">
        <f t="shared" ca="1" si="6"/>
        <v>0.3491662752417668</v>
      </c>
      <c r="AA31" s="8">
        <v>0.8</v>
      </c>
      <c r="AB31" s="42">
        <f t="shared" ca="1" si="24"/>
        <v>194</v>
      </c>
      <c r="AD31" s="43">
        <f t="shared" ca="1" si="7"/>
        <v>0.68721443296477169</v>
      </c>
      <c r="AE31" s="8">
        <v>0.8</v>
      </c>
      <c r="AF31" s="42">
        <f t="shared" ca="1" si="25"/>
        <v>296</v>
      </c>
      <c r="AH31" s="43">
        <f t="shared" ca="1" si="8"/>
        <v>0.40936567451989914</v>
      </c>
      <c r="AI31" s="8">
        <v>0.8</v>
      </c>
      <c r="AJ31" s="42">
        <f t="shared" ca="1" si="26"/>
        <v>128</v>
      </c>
      <c r="AL31" s="43">
        <f t="shared" ca="1" si="9"/>
        <v>0.41443153378602005</v>
      </c>
      <c r="AM31" s="8">
        <v>0.8</v>
      </c>
      <c r="AN31" s="42">
        <f t="shared" ca="1" si="27"/>
        <v>175</v>
      </c>
      <c r="AP31" s="43">
        <f t="shared" ca="1" si="10"/>
        <v>0.64031818817727493</v>
      </c>
      <c r="AQ31" s="8">
        <v>0.8</v>
      </c>
      <c r="AR31" s="42">
        <f t="shared" ca="1" si="28"/>
        <v>174</v>
      </c>
      <c r="AT31" s="43">
        <f t="shared" ca="1" si="11"/>
        <v>0.28936785106519669</v>
      </c>
      <c r="AU31" s="8">
        <v>0.8</v>
      </c>
      <c r="AV31" s="42">
        <f t="shared" ca="1" si="29"/>
        <v>141</v>
      </c>
      <c r="AX31" s="43">
        <f t="shared" ca="1" si="12"/>
        <v>0.71419960035075702</v>
      </c>
      <c r="AY31" s="8">
        <v>0.8</v>
      </c>
      <c r="AZ31" s="42">
        <f t="shared" ca="1" si="30"/>
        <v>216</v>
      </c>
      <c r="BB31" s="43">
        <f t="shared" ca="1" si="13"/>
        <v>0.63706060820667409</v>
      </c>
      <c r="BC31" s="8">
        <v>0.8</v>
      </c>
      <c r="BD31" s="42">
        <f t="shared" ca="1" si="31"/>
        <v>176</v>
      </c>
      <c r="BF31" s="43">
        <f t="shared" ca="1" si="14"/>
        <v>0.62133834696068668</v>
      </c>
      <c r="BG31" s="8">
        <v>0.8</v>
      </c>
      <c r="BH31" s="42">
        <f t="shared" ca="1" si="32"/>
        <v>146</v>
      </c>
      <c r="BJ31" s="43">
        <f t="shared" ca="1" si="15"/>
        <v>0.45676646643077901</v>
      </c>
      <c r="BK31" s="8">
        <v>0.8</v>
      </c>
      <c r="BL31" s="42">
        <f t="shared" ca="1" si="33"/>
        <v>168</v>
      </c>
      <c r="BN31" s="43">
        <f t="shared" ca="1" si="16"/>
        <v>0.14839743388440851</v>
      </c>
      <c r="BO31" s="8">
        <v>0.8</v>
      </c>
      <c r="BP31" s="42">
        <f t="shared" ca="1" si="34"/>
        <v>93</v>
      </c>
      <c r="BR31" s="43">
        <f t="shared" ca="1" si="17"/>
        <v>0.18061818018077735</v>
      </c>
      <c r="BS31" s="8">
        <v>0.8</v>
      </c>
      <c r="BT31" s="42">
        <f t="shared" ca="1" si="35"/>
        <v>133</v>
      </c>
    </row>
    <row r="32" spans="1:72" x14ac:dyDescent="0.2">
      <c r="A32" s="22">
        <v>44579</v>
      </c>
      <c r="B32" s="43">
        <f t="shared" ca="1" si="0"/>
        <v>0.73221522647058401</v>
      </c>
      <c r="C32" s="8">
        <v>0.8</v>
      </c>
      <c r="D32" s="42">
        <f t="shared" ca="1" si="18"/>
        <v>90</v>
      </c>
      <c r="F32" s="43">
        <f t="shared" ca="1" si="1"/>
        <v>0.75369422981463208</v>
      </c>
      <c r="G32" s="8">
        <v>0.8</v>
      </c>
      <c r="H32" s="42">
        <f t="shared" ca="1" si="19"/>
        <v>204</v>
      </c>
      <c r="J32" s="43">
        <f t="shared" ca="1" si="2"/>
        <v>0.79542245211034512</v>
      </c>
      <c r="K32" s="8">
        <v>0.8</v>
      </c>
      <c r="L32" s="42">
        <f t="shared" ca="1" si="20"/>
        <v>147</v>
      </c>
      <c r="N32" s="43">
        <f t="shared" ca="1" si="3"/>
        <v>1.5623408466646005E-2</v>
      </c>
      <c r="O32" s="8">
        <v>0.8</v>
      </c>
      <c r="P32" s="42">
        <f t="shared" ca="1" si="21"/>
        <v>79</v>
      </c>
      <c r="R32" s="43">
        <f t="shared" ca="1" si="4"/>
        <v>0.33672043029357235</v>
      </c>
      <c r="S32" s="8">
        <v>0.8</v>
      </c>
      <c r="T32" s="42">
        <f t="shared" ca="1" si="22"/>
        <v>99</v>
      </c>
      <c r="V32" s="43">
        <f t="shared" ca="1" si="5"/>
        <v>0.65187310625207817</v>
      </c>
      <c r="W32" s="8">
        <v>0.8</v>
      </c>
      <c r="X32" s="42">
        <f t="shared" ca="1" si="23"/>
        <v>199</v>
      </c>
      <c r="Z32" s="43">
        <f t="shared" ca="1" si="6"/>
        <v>6.1433022917068536E-2</v>
      </c>
      <c r="AA32" s="8">
        <v>0.8</v>
      </c>
      <c r="AB32" s="42">
        <f t="shared" ca="1" si="24"/>
        <v>128</v>
      </c>
      <c r="AD32" s="43">
        <f t="shared" ca="1" si="7"/>
        <v>0.10013993517303821</v>
      </c>
      <c r="AE32" s="8">
        <v>0.8</v>
      </c>
      <c r="AF32" s="42">
        <f t="shared" ca="1" si="25"/>
        <v>173</v>
      </c>
      <c r="AH32" s="43">
        <f t="shared" ca="1" si="8"/>
        <v>0.31023088683408317</v>
      </c>
      <c r="AI32" s="8">
        <v>0.8</v>
      </c>
      <c r="AJ32" s="42">
        <f t="shared" ca="1" si="26"/>
        <v>119</v>
      </c>
      <c r="AL32" s="43">
        <f t="shared" ca="1" si="9"/>
        <v>0.76546486337597408</v>
      </c>
      <c r="AM32" s="8">
        <v>0.8</v>
      </c>
      <c r="AN32" s="42">
        <f t="shared" ca="1" si="27"/>
        <v>222</v>
      </c>
      <c r="AP32" s="43">
        <f t="shared" ca="1" si="10"/>
        <v>8.5127998150608897E-2</v>
      </c>
      <c r="AQ32" s="8">
        <v>0.8</v>
      </c>
      <c r="AR32" s="42">
        <f t="shared" ca="1" si="28"/>
        <v>101</v>
      </c>
      <c r="AT32" s="43">
        <f t="shared" ca="1" si="11"/>
        <v>0.1869866187472663</v>
      </c>
      <c r="AU32" s="8">
        <v>0.8</v>
      </c>
      <c r="AV32" s="42">
        <f t="shared" ca="1" si="29"/>
        <v>126</v>
      </c>
      <c r="AX32" s="43">
        <f t="shared" ca="1" si="12"/>
        <v>0.45966096199894113</v>
      </c>
      <c r="AY32" s="8">
        <v>0.8</v>
      </c>
      <c r="AZ32" s="42">
        <f t="shared" ca="1" si="30"/>
        <v>182</v>
      </c>
      <c r="BB32" s="43">
        <f t="shared" ca="1" si="13"/>
        <v>0.63944684552097875</v>
      </c>
      <c r="BC32" s="8">
        <v>0.8</v>
      </c>
      <c r="BD32" s="42">
        <f t="shared" ca="1" si="31"/>
        <v>176</v>
      </c>
      <c r="BF32" s="43">
        <f t="shared" ca="1" si="14"/>
        <v>4.1886251049043532E-2</v>
      </c>
      <c r="BG32" s="8">
        <v>0.8</v>
      </c>
      <c r="BH32" s="42">
        <f t="shared" ca="1" si="32"/>
        <v>73</v>
      </c>
      <c r="BJ32" s="43">
        <f t="shared" ca="1" si="15"/>
        <v>0.54121366052810205</v>
      </c>
      <c r="BK32" s="8">
        <v>0.8</v>
      </c>
      <c r="BL32" s="42">
        <f t="shared" ca="1" si="33"/>
        <v>178</v>
      </c>
      <c r="BN32" s="43">
        <f t="shared" ca="1" si="16"/>
        <v>0.71282890757531203</v>
      </c>
      <c r="BO32" s="8">
        <v>0.8</v>
      </c>
      <c r="BP32" s="42">
        <f t="shared" ca="1" si="34"/>
        <v>148</v>
      </c>
      <c r="BR32" s="43">
        <f t="shared" ca="1" si="17"/>
        <v>0.75441664966840039</v>
      </c>
      <c r="BS32" s="8">
        <v>0.8</v>
      </c>
      <c r="BT32" s="42">
        <f t="shared" ca="1" si="35"/>
        <v>208</v>
      </c>
    </row>
    <row r="33" spans="1:72" x14ac:dyDescent="0.2">
      <c r="A33" s="22">
        <v>44580</v>
      </c>
      <c r="B33" s="43">
        <f t="shared" ca="1" si="0"/>
        <v>0.36552966220393701</v>
      </c>
      <c r="C33" s="8">
        <v>0.8</v>
      </c>
      <c r="D33" s="42">
        <f t="shared" ca="1" si="18"/>
        <v>75</v>
      </c>
      <c r="F33" s="43">
        <f t="shared" ca="1" si="1"/>
        <v>0.90288371999998818</v>
      </c>
      <c r="G33" s="8">
        <v>0.8</v>
      </c>
      <c r="H33" s="42">
        <f t="shared" ca="1" si="19"/>
        <v>232</v>
      </c>
      <c r="J33" s="43">
        <f t="shared" ca="1" si="2"/>
        <v>0.82718709173065708</v>
      </c>
      <c r="K33" s="8">
        <v>0.8</v>
      </c>
      <c r="L33" s="42">
        <f t="shared" ca="1" si="20"/>
        <v>151</v>
      </c>
      <c r="N33" s="43">
        <f t="shared" ca="1" si="3"/>
        <v>0.93913508484812158</v>
      </c>
      <c r="O33" s="8">
        <v>0.8</v>
      </c>
      <c r="P33" s="42">
        <f t="shared" ca="1" si="21"/>
        <v>260</v>
      </c>
      <c r="R33" s="43">
        <f t="shared" ca="1" si="4"/>
        <v>0.11495054935787052</v>
      </c>
      <c r="S33" s="8">
        <v>0.8</v>
      </c>
      <c r="T33" s="42">
        <f t="shared" ca="1" si="22"/>
        <v>76</v>
      </c>
      <c r="V33" s="43">
        <f t="shared" ca="1" si="5"/>
        <v>2.0283811136177499E-2</v>
      </c>
      <c r="W33" s="8">
        <v>0.8</v>
      </c>
      <c r="X33" s="42">
        <f t="shared" ca="1" si="23"/>
        <v>82</v>
      </c>
      <c r="Z33" s="43">
        <f t="shared" ca="1" si="6"/>
        <v>6.6342993618960788E-3</v>
      </c>
      <c r="AA33" s="8">
        <v>0.8</v>
      </c>
      <c r="AB33" s="42">
        <f t="shared" ca="1" si="24"/>
        <v>74</v>
      </c>
      <c r="AD33" s="43">
        <f t="shared" ca="1" si="7"/>
        <v>0.53929300148703507</v>
      </c>
      <c r="AE33" s="8">
        <v>0.8</v>
      </c>
      <c r="AF33" s="42">
        <f t="shared" ca="1" si="25"/>
        <v>269</v>
      </c>
      <c r="AH33" s="43">
        <f t="shared" ca="1" si="8"/>
        <v>0.99540550753635093</v>
      </c>
      <c r="AI33" s="8">
        <v>0.8</v>
      </c>
      <c r="AJ33" s="42">
        <f t="shared" ca="1" si="26"/>
        <v>232</v>
      </c>
      <c r="AL33" s="43">
        <f t="shared" ca="1" si="9"/>
        <v>0.90875732992065272</v>
      </c>
      <c r="AM33" s="8">
        <v>0.8</v>
      </c>
      <c r="AN33" s="42">
        <f t="shared" ca="1" si="27"/>
        <v>252</v>
      </c>
      <c r="AP33" s="43">
        <f t="shared" ca="1" si="10"/>
        <v>0.59285451297741121</v>
      </c>
      <c r="AQ33" s="8">
        <v>0.8</v>
      </c>
      <c r="AR33" s="42">
        <f t="shared" ca="1" si="28"/>
        <v>169</v>
      </c>
      <c r="AT33" s="43">
        <f t="shared" ca="1" si="11"/>
        <v>0.32629586091248286</v>
      </c>
      <c r="AU33" s="8">
        <v>0.8</v>
      </c>
      <c r="AV33" s="42">
        <f t="shared" ca="1" si="29"/>
        <v>145</v>
      </c>
      <c r="AX33" s="43">
        <f t="shared" ca="1" si="12"/>
        <v>5.1443683829207054E-2</v>
      </c>
      <c r="AY33" s="8">
        <v>0.8</v>
      </c>
      <c r="AZ33" s="42">
        <f t="shared" ca="1" si="30"/>
        <v>106</v>
      </c>
      <c r="BB33" s="43">
        <f t="shared" ca="1" si="13"/>
        <v>0.54113007911471933</v>
      </c>
      <c r="BC33" s="8">
        <v>0.8</v>
      </c>
      <c r="BD33" s="42">
        <f t="shared" ca="1" si="31"/>
        <v>165</v>
      </c>
      <c r="BF33" s="43">
        <f t="shared" ca="1" si="14"/>
        <v>0.4491641092874098</v>
      </c>
      <c r="BG33" s="8">
        <v>0.8</v>
      </c>
      <c r="BH33" s="42">
        <f t="shared" ca="1" si="32"/>
        <v>131</v>
      </c>
      <c r="BJ33" s="43">
        <f t="shared" ca="1" si="15"/>
        <v>0.7700580610800104</v>
      </c>
      <c r="BK33" s="8">
        <v>0.8</v>
      </c>
      <c r="BL33" s="42">
        <f t="shared" ca="1" si="33"/>
        <v>207</v>
      </c>
      <c r="BN33" s="43">
        <f t="shared" ca="1" si="16"/>
        <v>0.44793424479883992</v>
      </c>
      <c r="BO33" s="8">
        <v>0.8</v>
      </c>
      <c r="BP33" s="42">
        <f t="shared" ca="1" si="34"/>
        <v>125</v>
      </c>
      <c r="BR33" s="43">
        <f t="shared" ca="1" si="17"/>
        <v>0.81544269166535599</v>
      </c>
      <c r="BS33" s="8">
        <v>0.8</v>
      </c>
      <c r="BT33" s="42">
        <f t="shared" ca="1" si="35"/>
        <v>218</v>
      </c>
    </row>
    <row r="34" spans="1:72" x14ac:dyDescent="0.2">
      <c r="A34" s="22">
        <v>44581</v>
      </c>
      <c r="B34" s="43">
        <f t="shared" ca="1" si="0"/>
        <v>0.13307404925810862</v>
      </c>
      <c r="C34" s="8">
        <v>0.8</v>
      </c>
      <c r="D34" s="42">
        <f t="shared" ca="1" si="18"/>
        <v>63</v>
      </c>
      <c r="F34" s="43">
        <f t="shared" ca="1" si="1"/>
        <v>0.44611985606313731</v>
      </c>
      <c r="G34" s="8">
        <v>0.8</v>
      </c>
      <c r="H34" s="42">
        <f t="shared" ca="1" si="19"/>
        <v>167</v>
      </c>
      <c r="J34" s="43">
        <f t="shared" ca="1" si="2"/>
        <v>0.68194627720335199</v>
      </c>
      <c r="K34" s="8">
        <v>0.8</v>
      </c>
      <c r="L34" s="42">
        <f t="shared" ca="1" si="20"/>
        <v>136</v>
      </c>
      <c r="N34" s="43">
        <f t="shared" ca="1" si="3"/>
        <v>0.15875177360889436</v>
      </c>
      <c r="O34" s="8">
        <v>0.8</v>
      </c>
      <c r="P34" s="42">
        <f t="shared" ca="1" si="21"/>
        <v>135</v>
      </c>
      <c r="R34" s="43">
        <f t="shared" ca="1" si="4"/>
        <v>0.74012857430767165</v>
      </c>
      <c r="S34" s="8">
        <v>0.8</v>
      </c>
      <c r="T34" s="42">
        <f t="shared" ca="1" si="22"/>
        <v>131</v>
      </c>
      <c r="V34" s="43">
        <f t="shared" ca="1" si="5"/>
        <v>0.9009981961459318</v>
      </c>
      <c r="W34" s="8">
        <v>0.8</v>
      </c>
      <c r="X34" s="42">
        <f t="shared" ca="1" si="23"/>
        <v>242</v>
      </c>
      <c r="Z34" s="43">
        <f t="shared" ca="1" si="6"/>
        <v>0.49611763170536483</v>
      </c>
      <c r="AA34" s="8">
        <v>0.8</v>
      </c>
      <c r="AB34" s="42">
        <f t="shared" ca="1" si="24"/>
        <v>216</v>
      </c>
      <c r="AD34" s="43">
        <f t="shared" ca="1" si="7"/>
        <v>0.15283561516519728</v>
      </c>
      <c r="AE34" s="8">
        <v>0.8</v>
      </c>
      <c r="AF34" s="42">
        <f t="shared" ca="1" si="25"/>
        <v>191</v>
      </c>
      <c r="AH34" s="43">
        <f t="shared" ca="1" si="8"/>
        <v>0.39998605078423632</v>
      </c>
      <c r="AI34" s="8">
        <v>0.8</v>
      </c>
      <c r="AJ34" s="42">
        <f t="shared" ca="1" si="26"/>
        <v>128</v>
      </c>
      <c r="AL34" s="43">
        <f t="shared" ca="1" si="9"/>
        <v>0.47496266398734277</v>
      </c>
      <c r="AM34" s="8">
        <v>0.8</v>
      </c>
      <c r="AN34" s="42">
        <f t="shared" ca="1" si="27"/>
        <v>183</v>
      </c>
      <c r="AP34" s="43">
        <f t="shared" ca="1" si="10"/>
        <v>0.99639855623338103</v>
      </c>
      <c r="AQ34" s="8">
        <v>0.8</v>
      </c>
      <c r="AR34" s="42">
        <f t="shared" ca="1" si="28"/>
        <v>272</v>
      </c>
      <c r="AT34" s="43">
        <f t="shared" ca="1" si="11"/>
        <v>0.43312019780732558</v>
      </c>
      <c r="AU34" s="8">
        <v>0.8</v>
      </c>
      <c r="AV34" s="42">
        <f t="shared" ca="1" si="29"/>
        <v>158</v>
      </c>
      <c r="AX34" s="43">
        <f t="shared" ca="1" si="12"/>
        <v>0.41431370481923668</v>
      </c>
      <c r="AY34" s="8">
        <v>0.8</v>
      </c>
      <c r="AZ34" s="42">
        <f t="shared" ca="1" si="30"/>
        <v>177</v>
      </c>
      <c r="BB34" s="43">
        <f t="shared" ca="1" si="13"/>
        <v>0.68117088709464735</v>
      </c>
      <c r="BC34" s="8">
        <v>0.8</v>
      </c>
      <c r="BD34" s="42">
        <f t="shared" ca="1" si="31"/>
        <v>181</v>
      </c>
      <c r="BF34" s="43">
        <f t="shared" ca="1" si="14"/>
        <v>0.17325751825054025</v>
      </c>
      <c r="BG34" s="8">
        <v>0.8</v>
      </c>
      <c r="BH34" s="42">
        <f t="shared" ca="1" si="32"/>
        <v>102</v>
      </c>
      <c r="BJ34" s="43">
        <f t="shared" ca="1" si="15"/>
        <v>0.24003113652957986</v>
      </c>
      <c r="BK34" s="8">
        <v>0.8</v>
      </c>
      <c r="BL34" s="42">
        <f t="shared" ca="1" si="33"/>
        <v>141</v>
      </c>
      <c r="BN34" s="43">
        <f t="shared" ca="1" si="16"/>
        <v>0.51732937725444306</v>
      </c>
      <c r="BO34" s="8">
        <v>0.8</v>
      </c>
      <c r="BP34" s="42">
        <f t="shared" ca="1" si="34"/>
        <v>131</v>
      </c>
      <c r="BR34" s="43">
        <f t="shared" ca="1" si="17"/>
        <v>0.10392498985033172</v>
      </c>
      <c r="BS34" s="8">
        <v>0.8</v>
      </c>
      <c r="BT34" s="42">
        <f t="shared" ca="1" si="35"/>
        <v>117</v>
      </c>
    </row>
    <row r="35" spans="1:72" x14ac:dyDescent="0.2">
      <c r="A35" s="22">
        <v>44582</v>
      </c>
      <c r="B35" s="43">
        <f t="shared" ca="1" si="0"/>
        <v>0.19370946271481249</v>
      </c>
      <c r="C35" s="8">
        <v>0.8</v>
      </c>
      <c r="D35" s="42">
        <f t="shared" ca="1" si="18"/>
        <v>67</v>
      </c>
      <c r="F35" s="43">
        <f t="shared" ca="1" si="1"/>
        <v>0.91293980521071394</v>
      </c>
      <c r="G35" s="8">
        <v>0.8</v>
      </c>
      <c r="H35" s="42">
        <f t="shared" ca="1" si="19"/>
        <v>235</v>
      </c>
      <c r="J35" s="43">
        <f t="shared" ca="1" si="2"/>
        <v>0.37794282613281582</v>
      </c>
      <c r="K35" s="8">
        <v>0.8</v>
      </c>
      <c r="L35" s="42">
        <f t="shared" ca="1" si="20"/>
        <v>111</v>
      </c>
      <c r="N35" s="43">
        <f t="shared" ca="1" si="3"/>
        <v>0.64432511878933318</v>
      </c>
      <c r="O35" s="8">
        <v>0.8</v>
      </c>
      <c r="P35" s="42">
        <f t="shared" ca="1" si="21"/>
        <v>202</v>
      </c>
      <c r="R35" s="43">
        <f t="shared" ca="1" si="4"/>
        <v>0.92705021674590193</v>
      </c>
      <c r="S35" s="8">
        <v>0.8</v>
      </c>
      <c r="T35" s="42">
        <f t="shared" ca="1" si="22"/>
        <v>155</v>
      </c>
      <c r="V35" s="43">
        <f t="shared" ca="1" si="5"/>
        <v>0.126104888599472</v>
      </c>
      <c r="W35" s="8">
        <v>0.8</v>
      </c>
      <c r="X35" s="42">
        <f t="shared" ca="1" si="23"/>
        <v>126</v>
      </c>
      <c r="Z35" s="43">
        <f t="shared" ca="1" si="6"/>
        <v>0.32937281688215414</v>
      </c>
      <c r="AA35" s="8">
        <v>0.8</v>
      </c>
      <c r="AB35" s="42">
        <f t="shared" ca="1" si="24"/>
        <v>191</v>
      </c>
      <c r="AD35" s="43">
        <f t="shared" ca="1" si="7"/>
        <v>0.6016838668094594</v>
      </c>
      <c r="AE35" s="8">
        <v>0.8</v>
      </c>
      <c r="AF35" s="42">
        <f t="shared" ca="1" si="25"/>
        <v>280</v>
      </c>
      <c r="AH35" s="43">
        <f t="shared" ca="1" si="8"/>
        <v>0.52633321682300382</v>
      </c>
      <c r="AI35" s="8">
        <v>0.8</v>
      </c>
      <c r="AJ35" s="42">
        <f t="shared" ca="1" si="26"/>
        <v>139</v>
      </c>
      <c r="AL35" s="43">
        <f t="shared" ca="1" si="9"/>
        <v>0.92130924671240166</v>
      </c>
      <c r="AM35" s="8">
        <v>0.8</v>
      </c>
      <c r="AN35" s="42">
        <f t="shared" ca="1" si="27"/>
        <v>256</v>
      </c>
      <c r="AP35" s="43">
        <f t="shared" ca="1" si="10"/>
        <v>0.82145273863807866</v>
      </c>
      <c r="AQ35" s="8">
        <v>0.8</v>
      </c>
      <c r="AR35" s="42">
        <f t="shared" ca="1" si="28"/>
        <v>198</v>
      </c>
      <c r="AT35" s="43">
        <f t="shared" ca="1" si="11"/>
        <v>0.6216637621783202</v>
      </c>
      <c r="AU35" s="8">
        <v>0.8</v>
      </c>
      <c r="AV35" s="42">
        <f t="shared" ca="1" si="29"/>
        <v>178</v>
      </c>
      <c r="AX35" s="43">
        <f t="shared" ca="1" si="12"/>
        <v>0.9868800233556636</v>
      </c>
      <c r="AY35" s="8">
        <v>0.8</v>
      </c>
      <c r="AZ35" s="42">
        <f t="shared" ca="1" si="30"/>
        <v>298</v>
      </c>
      <c r="BB35" s="43">
        <f t="shared" ca="1" si="13"/>
        <v>0.52162510567464948</v>
      </c>
      <c r="BC35" s="8">
        <v>0.8</v>
      </c>
      <c r="BD35" s="42">
        <f t="shared" ca="1" si="31"/>
        <v>163</v>
      </c>
      <c r="BF35" s="43">
        <f t="shared" ca="1" si="14"/>
        <v>0.35733390721342118</v>
      </c>
      <c r="BG35" s="8">
        <v>0.8</v>
      </c>
      <c r="BH35" s="42">
        <f t="shared" ca="1" si="32"/>
        <v>122</v>
      </c>
      <c r="BJ35" s="43">
        <f t="shared" ca="1" si="15"/>
        <v>0.17818498609741751</v>
      </c>
      <c r="BK35" s="8">
        <v>0.8</v>
      </c>
      <c r="BL35" s="42">
        <f t="shared" ca="1" si="33"/>
        <v>131</v>
      </c>
      <c r="BN35" s="43">
        <f t="shared" ca="1" si="16"/>
        <v>0.39536568606818945</v>
      </c>
      <c r="BO35" s="8">
        <v>0.8</v>
      </c>
      <c r="BP35" s="42">
        <f t="shared" ca="1" si="34"/>
        <v>120</v>
      </c>
      <c r="BR35" s="43">
        <f t="shared" ca="1" si="17"/>
        <v>0.23363046688799616</v>
      </c>
      <c r="BS35" s="8">
        <v>0.8</v>
      </c>
      <c r="BT35" s="42">
        <f t="shared" ca="1" si="35"/>
        <v>142</v>
      </c>
    </row>
    <row r="36" spans="1:72" x14ac:dyDescent="0.2">
      <c r="A36" s="22">
        <v>44583</v>
      </c>
      <c r="B36" s="43">
        <f t="shared" ca="1" si="0"/>
        <v>0.65633025996916661</v>
      </c>
      <c r="C36" s="8">
        <v>0.8</v>
      </c>
      <c r="D36" s="42">
        <f t="shared" ca="1" si="18"/>
        <v>87</v>
      </c>
      <c r="F36" s="43">
        <f t="shared" ca="1" si="1"/>
        <v>0.33262932311802251</v>
      </c>
      <c r="G36" s="8">
        <v>0.8</v>
      </c>
      <c r="H36" s="42">
        <f t="shared" ca="1" si="19"/>
        <v>153</v>
      </c>
      <c r="J36" s="43">
        <f t="shared" ca="1" si="2"/>
        <v>0.50133415501291989</v>
      </c>
      <c r="K36" s="8">
        <v>0.8</v>
      </c>
      <c r="L36" s="42">
        <f t="shared" ca="1" si="20"/>
        <v>121</v>
      </c>
      <c r="N36" s="43">
        <f t="shared" ca="1" si="3"/>
        <v>0.6181232610174523</v>
      </c>
      <c r="O36" s="8">
        <v>0.8</v>
      </c>
      <c r="P36" s="42">
        <f t="shared" ca="1" si="21"/>
        <v>199</v>
      </c>
      <c r="R36" s="43">
        <f t="shared" ca="1" si="4"/>
        <v>0.48996573238073438</v>
      </c>
      <c r="S36" s="8">
        <v>0.8</v>
      </c>
      <c r="T36" s="42">
        <f t="shared" ca="1" si="22"/>
        <v>111</v>
      </c>
      <c r="V36" s="43">
        <f t="shared" ca="1" si="5"/>
        <v>0.31750917249315702</v>
      </c>
      <c r="W36" s="8">
        <v>0.8</v>
      </c>
      <c r="X36" s="42">
        <f t="shared" ca="1" si="23"/>
        <v>158</v>
      </c>
      <c r="Z36" s="43">
        <f t="shared" ca="1" si="6"/>
        <v>2.6807261231548973E-2</v>
      </c>
      <c r="AA36" s="8">
        <v>0.8</v>
      </c>
      <c r="AB36" s="42">
        <f t="shared" ca="1" si="24"/>
        <v>105</v>
      </c>
      <c r="AD36" s="43">
        <f t="shared" ca="1" si="7"/>
        <v>0.94418672968407169</v>
      </c>
      <c r="AE36" s="8">
        <v>0.8</v>
      </c>
      <c r="AF36" s="42">
        <f t="shared" ca="1" si="25"/>
        <v>373</v>
      </c>
      <c r="AH36" s="43">
        <f t="shared" ca="1" si="8"/>
        <v>0.34900131695901171</v>
      </c>
      <c r="AI36" s="8">
        <v>0.8</v>
      </c>
      <c r="AJ36" s="42">
        <f t="shared" ca="1" si="26"/>
        <v>123</v>
      </c>
      <c r="AL36" s="43">
        <f t="shared" ca="1" si="9"/>
        <v>0.37963461927224795</v>
      </c>
      <c r="AM36" s="8">
        <v>0.8</v>
      </c>
      <c r="AN36" s="42">
        <f t="shared" ca="1" si="27"/>
        <v>171</v>
      </c>
      <c r="AP36" s="43">
        <f t="shared" ca="1" si="10"/>
        <v>8.1549517132380789E-2</v>
      </c>
      <c r="AQ36" s="8">
        <v>0.8</v>
      </c>
      <c r="AR36" s="42">
        <f t="shared" ca="1" si="28"/>
        <v>100</v>
      </c>
      <c r="AT36" s="43">
        <f t="shared" ca="1" si="11"/>
        <v>0.86195234039511293</v>
      </c>
      <c r="AU36" s="8">
        <v>0.8</v>
      </c>
      <c r="AV36" s="42">
        <f t="shared" ca="1" si="29"/>
        <v>213</v>
      </c>
      <c r="AX36" s="43">
        <f t="shared" ca="1" si="12"/>
        <v>0.68205093141916517</v>
      </c>
      <c r="AY36" s="8">
        <v>0.8</v>
      </c>
      <c r="AZ36" s="42">
        <f t="shared" ca="1" si="30"/>
        <v>211</v>
      </c>
      <c r="BB36" s="43">
        <f t="shared" ca="1" si="13"/>
        <v>0.64617458070310185</v>
      </c>
      <c r="BC36" s="8">
        <v>0.8</v>
      </c>
      <c r="BD36" s="42">
        <f t="shared" ca="1" si="31"/>
        <v>177</v>
      </c>
      <c r="BF36" s="43">
        <f t="shared" ca="1" si="14"/>
        <v>0.9261988524506195</v>
      </c>
      <c r="BG36" s="8">
        <v>0.8</v>
      </c>
      <c r="BH36" s="42">
        <f t="shared" ca="1" si="32"/>
        <v>187</v>
      </c>
      <c r="BJ36" s="43">
        <f t="shared" ca="1" si="15"/>
        <v>0.10696386610430153</v>
      </c>
      <c r="BK36" s="8">
        <v>0.8</v>
      </c>
      <c r="BL36" s="42">
        <f t="shared" ca="1" si="33"/>
        <v>116</v>
      </c>
      <c r="BN36" s="43">
        <f t="shared" ca="1" si="16"/>
        <v>0.89323665607439928</v>
      </c>
      <c r="BO36" s="8">
        <v>0.8</v>
      </c>
      <c r="BP36" s="42">
        <f t="shared" ca="1" si="34"/>
        <v>172</v>
      </c>
      <c r="BR36" s="43">
        <f t="shared" ca="1" si="17"/>
        <v>4.7402529256664105E-2</v>
      </c>
      <c r="BS36" s="8">
        <v>0.8</v>
      </c>
      <c r="BT36" s="42">
        <f t="shared" ca="1" si="35"/>
        <v>98</v>
      </c>
    </row>
    <row r="37" spans="1:72" x14ac:dyDescent="0.2">
      <c r="A37" s="22">
        <v>44584</v>
      </c>
      <c r="B37" s="43">
        <f t="shared" ca="1" si="0"/>
        <v>0.99854322602856249</v>
      </c>
      <c r="C37" s="8">
        <v>0.8</v>
      </c>
      <c r="D37" s="42">
        <f t="shared" ca="1" si="18"/>
        <v>128</v>
      </c>
      <c r="F37" s="43">
        <f t="shared" ca="1" si="1"/>
        <v>0.47606108497640265</v>
      </c>
      <c r="G37" s="8">
        <v>0.8</v>
      </c>
      <c r="H37" s="42">
        <f t="shared" ca="1" si="19"/>
        <v>170</v>
      </c>
      <c r="J37" s="43">
        <f t="shared" ca="1" si="2"/>
        <v>0.19888956961725157</v>
      </c>
      <c r="K37" s="8">
        <v>0.8</v>
      </c>
      <c r="L37" s="42">
        <f t="shared" ca="1" si="20"/>
        <v>93</v>
      </c>
      <c r="N37" s="43">
        <f t="shared" ca="1" si="3"/>
        <v>8.7959447605712171E-2</v>
      </c>
      <c r="O37" s="8">
        <v>0.8</v>
      </c>
      <c r="P37" s="42">
        <f t="shared" ca="1" si="21"/>
        <v>118</v>
      </c>
      <c r="R37" s="43">
        <f t="shared" ca="1" si="4"/>
        <v>0.11973835289186663</v>
      </c>
      <c r="S37" s="8">
        <v>0.8</v>
      </c>
      <c r="T37" s="42">
        <f t="shared" ca="1" si="22"/>
        <v>77</v>
      </c>
      <c r="V37" s="43">
        <f t="shared" ca="1" si="5"/>
        <v>0.93963892036794738</v>
      </c>
      <c r="W37" s="8">
        <v>0.8</v>
      </c>
      <c r="X37" s="42">
        <f t="shared" ca="1" si="23"/>
        <v>255</v>
      </c>
      <c r="Z37" s="43">
        <f t="shared" ca="1" si="6"/>
        <v>0.2912764726399889</v>
      </c>
      <c r="AA37" s="8">
        <v>0.8</v>
      </c>
      <c r="AB37" s="42">
        <f t="shared" ca="1" si="24"/>
        <v>185</v>
      </c>
      <c r="AD37" s="43">
        <f t="shared" ca="1" si="7"/>
        <v>0.141924623656562</v>
      </c>
      <c r="AE37" s="8">
        <v>0.8</v>
      </c>
      <c r="AF37" s="42">
        <f t="shared" ca="1" si="25"/>
        <v>187</v>
      </c>
      <c r="AH37" s="43">
        <f t="shared" ca="1" si="8"/>
        <v>9.0047369541370492E-2</v>
      </c>
      <c r="AI37" s="8">
        <v>0.8</v>
      </c>
      <c r="AJ37" s="42">
        <f t="shared" ca="1" si="26"/>
        <v>88</v>
      </c>
      <c r="AL37" s="43">
        <f t="shared" ca="1" si="9"/>
        <v>0.37153320586478966</v>
      </c>
      <c r="AM37" s="8">
        <v>0.8</v>
      </c>
      <c r="AN37" s="42">
        <f t="shared" ca="1" si="27"/>
        <v>170</v>
      </c>
      <c r="AP37" s="43">
        <f t="shared" ca="1" si="10"/>
        <v>0.79566755965138347</v>
      </c>
      <c r="AQ37" s="8">
        <v>0.8</v>
      </c>
      <c r="AR37" s="42">
        <f t="shared" ca="1" si="28"/>
        <v>194</v>
      </c>
      <c r="AT37" s="43">
        <f t="shared" ca="1" si="11"/>
        <v>0.76596683005451294</v>
      </c>
      <c r="AU37" s="8">
        <v>0.8</v>
      </c>
      <c r="AV37" s="42">
        <f t="shared" ca="1" si="29"/>
        <v>197</v>
      </c>
      <c r="AX37" s="43">
        <f t="shared" ca="1" si="12"/>
        <v>0.63856436806670891</v>
      </c>
      <c r="AY37" s="8">
        <v>0.8</v>
      </c>
      <c r="AZ37" s="42">
        <f t="shared" ca="1" si="30"/>
        <v>205</v>
      </c>
      <c r="BB37" s="43">
        <f t="shared" ca="1" si="13"/>
        <v>0.47388215400978451</v>
      </c>
      <c r="BC37" s="8">
        <v>0.8</v>
      </c>
      <c r="BD37" s="42">
        <f t="shared" ca="1" si="31"/>
        <v>158</v>
      </c>
      <c r="BF37" s="43">
        <f t="shared" ca="1" si="14"/>
        <v>0.76315682709377586</v>
      </c>
      <c r="BG37" s="8">
        <v>0.8</v>
      </c>
      <c r="BH37" s="42">
        <f t="shared" ca="1" si="32"/>
        <v>161</v>
      </c>
      <c r="BJ37" s="43">
        <f t="shared" ca="1" si="15"/>
        <v>0.21374454930193398</v>
      </c>
      <c r="BK37" s="8">
        <v>0.8</v>
      </c>
      <c r="BL37" s="42">
        <f t="shared" ca="1" si="33"/>
        <v>137</v>
      </c>
      <c r="BN37" s="43">
        <f t="shared" ca="1" si="16"/>
        <v>0.73636268978117914</v>
      </c>
      <c r="BO37" s="8">
        <v>0.8</v>
      </c>
      <c r="BP37" s="42">
        <f t="shared" ca="1" si="34"/>
        <v>151</v>
      </c>
      <c r="BR37" s="43">
        <f t="shared" ca="1" si="17"/>
        <v>0.97895454257242787</v>
      </c>
      <c r="BS37" s="8">
        <v>0.8</v>
      </c>
      <c r="BT37" s="42">
        <f t="shared" ca="1" si="35"/>
        <v>271</v>
      </c>
    </row>
    <row r="38" spans="1:72" x14ac:dyDescent="0.2">
      <c r="A38" s="22">
        <v>44585</v>
      </c>
      <c r="B38" s="43">
        <f t="shared" ca="1" si="0"/>
        <v>0.43741035348635615</v>
      </c>
      <c r="C38" s="8">
        <v>0.8</v>
      </c>
      <c r="D38" s="42">
        <f t="shared" ca="1" si="18"/>
        <v>78</v>
      </c>
      <c r="F38" s="43">
        <f t="shared" ca="1" si="1"/>
        <v>0.37476140515076384</v>
      </c>
      <c r="G38" s="8">
        <v>0.8</v>
      </c>
      <c r="H38" s="42">
        <f t="shared" ca="1" si="19"/>
        <v>158</v>
      </c>
      <c r="J38" s="43">
        <f t="shared" ca="1" si="2"/>
        <v>0.36291474587211781</v>
      </c>
      <c r="K38" s="8">
        <v>0.8</v>
      </c>
      <c r="L38" s="42">
        <f t="shared" ca="1" si="20"/>
        <v>109</v>
      </c>
      <c r="N38" s="43">
        <f t="shared" ca="1" si="3"/>
        <v>0.27257145861151455</v>
      </c>
      <c r="O38" s="8">
        <v>0.8</v>
      </c>
      <c r="P38" s="42">
        <f t="shared" ca="1" si="21"/>
        <v>154</v>
      </c>
      <c r="R38" s="43">
        <f t="shared" ca="1" si="4"/>
        <v>4.6245438154302043E-4</v>
      </c>
      <c r="S38" s="8">
        <v>0.8</v>
      </c>
      <c r="T38" s="42">
        <f t="shared" ca="1" si="22"/>
        <v>13</v>
      </c>
      <c r="V38" s="43">
        <f t="shared" ca="1" si="5"/>
        <v>0.16737343587485043</v>
      </c>
      <c r="W38" s="8">
        <v>0.8</v>
      </c>
      <c r="X38" s="42">
        <f t="shared" ca="1" si="23"/>
        <v>134</v>
      </c>
      <c r="Z38" s="43">
        <f t="shared" ca="1" si="6"/>
        <v>0.20575512960509623</v>
      </c>
      <c r="AA38" s="8">
        <v>0.8</v>
      </c>
      <c r="AB38" s="42">
        <f t="shared" ca="1" si="24"/>
        <v>169</v>
      </c>
      <c r="AD38" s="43">
        <f t="shared" ca="1" si="7"/>
        <v>0.68226326197073395</v>
      </c>
      <c r="AE38" s="8">
        <v>0.8</v>
      </c>
      <c r="AF38" s="42">
        <f t="shared" ca="1" si="25"/>
        <v>295</v>
      </c>
      <c r="AH38" s="43">
        <f t="shared" ca="1" si="8"/>
        <v>0.17872097893412431</v>
      </c>
      <c r="AI38" s="8">
        <v>0.8</v>
      </c>
      <c r="AJ38" s="42">
        <f t="shared" ca="1" si="26"/>
        <v>103</v>
      </c>
      <c r="AL38" s="43">
        <f t="shared" ca="1" si="9"/>
        <v>0.95213697933327512</v>
      </c>
      <c r="AM38" s="8">
        <v>0.8</v>
      </c>
      <c r="AN38" s="42">
        <f t="shared" ca="1" si="27"/>
        <v>269</v>
      </c>
      <c r="AP38" s="43">
        <f t="shared" ca="1" si="10"/>
        <v>0.83545054430021526</v>
      </c>
      <c r="AQ38" s="8">
        <v>0.8</v>
      </c>
      <c r="AR38" s="42">
        <f t="shared" ca="1" si="28"/>
        <v>200</v>
      </c>
      <c r="AT38" s="43">
        <f t="shared" ca="1" si="11"/>
        <v>0.20368075666951335</v>
      </c>
      <c r="AU38" s="8">
        <v>0.8</v>
      </c>
      <c r="AV38" s="42">
        <f t="shared" ca="1" si="29"/>
        <v>129</v>
      </c>
      <c r="AX38" s="43">
        <f t="shared" ca="1" si="12"/>
        <v>0.13416380326795152</v>
      </c>
      <c r="AY38" s="8">
        <v>0.8</v>
      </c>
      <c r="AZ38" s="42">
        <f t="shared" ca="1" si="30"/>
        <v>132</v>
      </c>
      <c r="BB38" s="43">
        <f t="shared" ca="1" si="13"/>
        <v>0.90942353410620436</v>
      </c>
      <c r="BC38" s="8">
        <v>0.8</v>
      </c>
      <c r="BD38" s="42">
        <f t="shared" ca="1" si="31"/>
        <v>218</v>
      </c>
      <c r="BF38" s="43">
        <f t="shared" ca="1" si="14"/>
        <v>0.2234852229415577</v>
      </c>
      <c r="BG38" s="8">
        <v>0.8</v>
      </c>
      <c r="BH38" s="42">
        <f t="shared" ca="1" si="32"/>
        <v>108</v>
      </c>
      <c r="BJ38" s="43">
        <f t="shared" ca="1" si="15"/>
        <v>0.74219730747874024</v>
      </c>
      <c r="BK38" s="8">
        <v>0.8</v>
      </c>
      <c r="BL38" s="42">
        <f t="shared" ca="1" si="33"/>
        <v>203</v>
      </c>
      <c r="BN38" s="43">
        <f t="shared" ca="1" si="16"/>
        <v>3.5779453043075726E-2</v>
      </c>
      <c r="BO38" s="8">
        <v>0.8</v>
      </c>
      <c r="BP38" s="42">
        <f t="shared" ca="1" si="34"/>
        <v>67</v>
      </c>
      <c r="BR38" s="43">
        <f t="shared" ca="1" si="17"/>
        <v>0.14521700060683851</v>
      </c>
      <c r="BS38" s="8">
        <v>0.8</v>
      </c>
      <c r="BT38" s="42">
        <f t="shared" ca="1" si="35"/>
        <v>126</v>
      </c>
    </row>
    <row r="39" spans="1:72" x14ac:dyDescent="0.2">
      <c r="A39" s="22">
        <v>44586</v>
      </c>
      <c r="B39" s="43">
        <f t="shared" ca="1" si="0"/>
        <v>0.46233557074036313</v>
      </c>
      <c r="C39" s="8">
        <v>0.8</v>
      </c>
      <c r="D39" s="42">
        <f t="shared" ca="1" si="18"/>
        <v>79</v>
      </c>
      <c r="F39" s="43">
        <f t="shared" ca="1" si="1"/>
        <v>4.8219309014848166E-2</v>
      </c>
      <c r="G39" s="8">
        <v>0.8</v>
      </c>
      <c r="H39" s="42">
        <f t="shared" ca="1" si="19"/>
        <v>96</v>
      </c>
      <c r="J39" s="43">
        <f t="shared" ca="1" si="2"/>
        <v>0.871484058038417</v>
      </c>
      <c r="K39" s="8">
        <v>0.8</v>
      </c>
      <c r="L39" s="42">
        <f t="shared" ca="1" si="20"/>
        <v>157</v>
      </c>
      <c r="N39" s="43">
        <f t="shared" ca="1" si="3"/>
        <v>0.72045001865419289</v>
      </c>
      <c r="O39" s="8">
        <v>0.8</v>
      </c>
      <c r="P39" s="42">
        <f t="shared" ca="1" si="21"/>
        <v>213</v>
      </c>
      <c r="R39" s="43">
        <f t="shared" ca="1" si="4"/>
        <v>0.44401384632261176</v>
      </c>
      <c r="S39" s="8">
        <v>0.8</v>
      </c>
      <c r="T39" s="42">
        <f t="shared" ca="1" si="22"/>
        <v>107</v>
      </c>
      <c r="V39" s="43">
        <f t="shared" ca="1" si="5"/>
        <v>5.0633868621665079E-2</v>
      </c>
      <c r="W39" s="8">
        <v>0.8</v>
      </c>
      <c r="X39" s="42">
        <f t="shared" ca="1" si="23"/>
        <v>102</v>
      </c>
      <c r="Z39" s="43">
        <f t="shared" ca="1" si="6"/>
        <v>0.75690690243167258</v>
      </c>
      <c r="AA39" s="8">
        <v>0.8</v>
      </c>
      <c r="AB39" s="42">
        <f t="shared" ca="1" si="24"/>
        <v>257</v>
      </c>
      <c r="AD39" s="43">
        <f t="shared" ca="1" si="7"/>
        <v>0.15491086183970415</v>
      </c>
      <c r="AE39" s="8">
        <v>0.8</v>
      </c>
      <c r="AF39" s="42">
        <f t="shared" ca="1" si="25"/>
        <v>191</v>
      </c>
      <c r="AH39" s="43">
        <f t="shared" ca="1" si="8"/>
        <v>0.62428615181524083</v>
      </c>
      <c r="AI39" s="8">
        <v>0.8</v>
      </c>
      <c r="AJ39" s="42">
        <f t="shared" ca="1" si="26"/>
        <v>148</v>
      </c>
      <c r="AL39" s="43">
        <f t="shared" ca="1" si="9"/>
        <v>0.33682447930278547</v>
      </c>
      <c r="AM39" s="8">
        <v>0.8</v>
      </c>
      <c r="AN39" s="42">
        <f t="shared" ca="1" si="27"/>
        <v>165</v>
      </c>
      <c r="AP39" s="43">
        <f t="shared" ca="1" si="10"/>
        <v>7.2040590529761972E-2</v>
      </c>
      <c r="AQ39" s="8">
        <v>0.8</v>
      </c>
      <c r="AR39" s="42">
        <f t="shared" ca="1" si="28"/>
        <v>97</v>
      </c>
      <c r="AT39" s="43">
        <f t="shared" ca="1" si="11"/>
        <v>0.97705954485025315</v>
      </c>
      <c r="AU39" s="8">
        <v>0.8</v>
      </c>
      <c r="AV39" s="42">
        <f t="shared" ca="1" si="29"/>
        <v>252</v>
      </c>
      <c r="AX39" s="43">
        <f t="shared" ca="1" si="12"/>
        <v>0.29749127935449682</v>
      </c>
      <c r="AY39" s="8">
        <v>0.8</v>
      </c>
      <c r="AZ39" s="42">
        <f t="shared" ca="1" si="30"/>
        <v>161</v>
      </c>
      <c r="BB39" s="43">
        <f t="shared" ca="1" si="13"/>
        <v>0.72709786910715524</v>
      </c>
      <c r="BC39" s="8">
        <v>0.8</v>
      </c>
      <c r="BD39" s="42">
        <f t="shared" ca="1" si="31"/>
        <v>187</v>
      </c>
      <c r="BF39" s="43">
        <f t="shared" ca="1" si="14"/>
        <v>8.6566615452773776E-2</v>
      </c>
      <c r="BG39" s="8">
        <v>0.8</v>
      </c>
      <c r="BH39" s="42">
        <f t="shared" ca="1" si="32"/>
        <v>86</v>
      </c>
      <c r="BJ39" s="43">
        <f t="shared" ca="1" si="15"/>
        <v>0.54089390058431142</v>
      </c>
      <c r="BK39" s="8">
        <v>0.8</v>
      </c>
      <c r="BL39" s="42">
        <f t="shared" ca="1" si="33"/>
        <v>178</v>
      </c>
      <c r="BN39" s="43">
        <f t="shared" ca="1" si="16"/>
        <v>2.8773823079208949E-3</v>
      </c>
      <c r="BO39" s="8">
        <v>0.8</v>
      </c>
      <c r="BP39" s="42">
        <f t="shared" ca="1" si="34"/>
        <v>34</v>
      </c>
      <c r="BR39" s="43">
        <f t="shared" ca="1" si="17"/>
        <v>0.26309453298629781</v>
      </c>
      <c r="BS39" s="8">
        <v>0.8</v>
      </c>
      <c r="BT39" s="42">
        <f t="shared" ca="1" si="35"/>
        <v>146</v>
      </c>
    </row>
    <row r="40" spans="1:72" x14ac:dyDescent="0.2">
      <c r="A40" s="22">
        <v>44587</v>
      </c>
      <c r="B40" s="43">
        <f t="shared" ca="1" si="0"/>
        <v>0.58212214415029584</v>
      </c>
      <c r="C40" s="8">
        <v>0.8</v>
      </c>
      <c r="D40" s="42">
        <f t="shared" ca="1" si="18"/>
        <v>84</v>
      </c>
      <c r="F40" s="43">
        <f t="shared" ca="1" si="1"/>
        <v>0.97644849653301358</v>
      </c>
      <c r="G40" s="8">
        <v>0.8</v>
      </c>
      <c r="H40" s="42">
        <f t="shared" ca="1" si="19"/>
        <v>264</v>
      </c>
      <c r="J40" s="43">
        <f t="shared" ca="1" si="2"/>
        <v>0.68438388697367947</v>
      </c>
      <c r="K40" s="8">
        <v>0.8</v>
      </c>
      <c r="L40" s="42">
        <f t="shared" ca="1" si="20"/>
        <v>136</v>
      </c>
      <c r="N40" s="43">
        <f t="shared" ca="1" si="3"/>
        <v>0.48594855971274109</v>
      </c>
      <c r="O40" s="8">
        <v>0.8</v>
      </c>
      <c r="P40" s="42">
        <f t="shared" ca="1" si="21"/>
        <v>182</v>
      </c>
      <c r="R40" s="43">
        <f t="shared" ca="1" si="4"/>
        <v>0.18186111881876255</v>
      </c>
      <c r="S40" s="8">
        <v>0.8</v>
      </c>
      <c r="T40" s="42">
        <f t="shared" ca="1" si="22"/>
        <v>85</v>
      </c>
      <c r="V40" s="43">
        <f t="shared" ca="1" si="5"/>
        <v>0.79436150308992948</v>
      </c>
      <c r="W40" s="8">
        <v>0.8</v>
      </c>
      <c r="X40" s="42">
        <f t="shared" ca="1" si="23"/>
        <v>220</v>
      </c>
      <c r="Z40" s="43">
        <f t="shared" ca="1" si="6"/>
        <v>0.34386738169638265</v>
      </c>
      <c r="AA40" s="8">
        <v>0.8</v>
      </c>
      <c r="AB40" s="42">
        <f t="shared" ca="1" si="24"/>
        <v>193</v>
      </c>
      <c r="AD40" s="43">
        <f t="shared" ca="1" si="7"/>
        <v>0.9116435054139973</v>
      </c>
      <c r="AE40" s="8">
        <v>0.8</v>
      </c>
      <c r="AF40" s="42">
        <f t="shared" ca="1" si="25"/>
        <v>356</v>
      </c>
      <c r="AH40" s="43">
        <f t="shared" ca="1" si="8"/>
        <v>0.49755627270964098</v>
      </c>
      <c r="AI40" s="8">
        <v>0.8</v>
      </c>
      <c r="AJ40" s="42">
        <f t="shared" ca="1" si="26"/>
        <v>137</v>
      </c>
      <c r="AL40" s="43">
        <f t="shared" ca="1" si="9"/>
        <v>0.26828690193397031</v>
      </c>
      <c r="AM40" s="8">
        <v>0.8</v>
      </c>
      <c r="AN40" s="42">
        <f t="shared" ca="1" si="27"/>
        <v>156</v>
      </c>
      <c r="AP40" s="43">
        <f t="shared" ca="1" si="10"/>
        <v>0.84846465651888692</v>
      </c>
      <c r="AQ40" s="8">
        <v>0.8</v>
      </c>
      <c r="AR40" s="42">
        <f t="shared" ca="1" si="28"/>
        <v>202</v>
      </c>
      <c r="AT40" s="43">
        <f t="shared" ca="1" si="11"/>
        <v>0.46141272036272107</v>
      </c>
      <c r="AU40" s="8">
        <v>0.8</v>
      </c>
      <c r="AV40" s="42">
        <f t="shared" ca="1" si="29"/>
        <v>161</v>
      </c>
      <c r="AX40" s="43">
        <f t="shared" ca="1" si="12"/>
        <v>9.3776031241630697E-2</v>
      </c>
      <c r="AY40" s="8">
        <v>0.8</v>
      </c>
      <c r="AZ40" s="42">
        <f t="shared" ca="1" si="30"/>
        <v>122</v>
      </c>
      <c r="BB40" s="43">
        <f t="shared" ca="1" si="13"/>
        <v>0.27993057271185551</v>
      </c>
      <c r="BC40" s="8">
        <v>0.8</v>
      </c>
      <c r="BD40" s="42">
        <f t="shared" ca="1" si="31"/>
        <v>136</v>
      </c>
      <c r="BF40" s="43">
        <f t="shared" ca="1" si="14"/>
        <v>0.60151022558939338</v>
      </c>
      <c r="BG40" s="8">
        <v>0.8</v>
      </c>
      <c r="BH40" s="42">
        <f t="shared" ca="1" si="32"/>
        <v>145</v>
      </c>
      <c r="BJ40" s="43">
        <f t="shared" ca="1" si="15"/>
        <v>0.9574099904138641</v>
      </c>
      <c r="BK40" s="8">
        <v>0.8</v>
      </c>
      <c r="BL40" s="42">
        <f t="shared" ca="1" si="33"/>
        <v>252</v>
      </c>
      <c r="BN40" s="43">
        <f t="shared" ca="1" si="16"/>
        <v>0.63586252288866707</v>
      </c>
      <c r="BO40" s="8">
        <v>0.8</v>
      </c>
      <c r="BP40" s="42">
        <f t="shared" ca="1" si="34"/>
        <v>141</v>
      </c>
      <c r="BR40" s="43">
        <f t="shared" ca="1" si="17"/>
        <v>4.617515773559222E-2</v>
      </c>
      <c r="BS40" s="8">
        <v>0.8</v>
      </c>
      <c r="BT40" s="42">
        <f t="shared" ca="1" si="35"/>
        <v>97</v>
      </c>
    </row>
    <row r="41" spans="1:72" x14ac:dyDescent="0.2">
      <c r="A41" s="22">
        <v>44588</v>
      </c>
      <c r="B41" s="43">
        <f t="shared" ca="1" si="0"/>
        <v>0.21196081240219278</v>
      </c>
      <c r="C41" s="8">
        <v>0.8</v>
      </c>
      <c r="D41" s="42">
        <f t="shared" ca="1" si="18"/>
        <v>68</v>
      </c>
      <c r="F41" s="43">
        <f t="shared" ca="1" si="1"/>
        <v>0.35566818778484754</v>
      </c>
      <c r="G41" s="8">
        <v>0.8</v>
      </c>
      <c r="H41" s="42">
        <f t="shared" ca="1" si="19"/>
        <v>156</v>
      </c>
      <c r="J41" s="43">
        <f t="shared" ca="1" si="2"/>
        <v>0.94178861773978839</v>
      </c>
      <c r="K41" s="8">
        <v>0.8</v>
      </c>
      <c r="L41" s="42">
        <f t="shared" ca="1" si="20"/>
        <v>171</v>
      </c>
      <c r="N41" s="43">
        <f t="shared" ca="1" si="3"/>
        <v>0.90530872302419518</v>
      </c>
      <c r="O41" s="8">
        <v>0.8</v>
      </c>
      <c r="P41" s="42">
        <f t="shared" ca="1" si="21"/>
        <v>248</v>
      </c>
      <c r="R41" s="43">
        <f t="shared" ca="1" si="4"/>
        <v>0.56766307415090989</v>
      </c>
      <c r="S41" s="8">
        <v>0.8</v>
      </c>
      <c r="T41" s="42">
        <f t="shared" ca="1" si="22"/>
        <v>117</v>
      </c>
      <c r="V41" s="43">
        <f t="shared" ca="1" si="5"/>
        <v>0.36288232883728277</v>
      </c>
      <c r="W41" s="8">
        <v>0.8</v>
      </c>
      <c r="X41" s="42">
        <f t="shared" ca="1" si="23"/>
        <v>164</v>
      </c>
      <c r="Z41" s="43">
        <f t="shared" ca="1" si="6"/>
        <v>0.25125647399895779</v>
      </c>
      <c r="AA41" s="8">
        <v>0.8</v>
      </c>
      <c r="AB41" s="42">
        <f t="shared" ca="1" si="24"/>
        <v>178</v>
      </c>
      <c r="AD41" s="43">
        <f t="shared" ca="1" si="7"/>
        <v>0.62903238580509013</v>
      </c>
      <c r="AE41" s="8">
        <v>0.8</v>
      </c>
      <c r="AF41" s="42">
        <f t="shared" ca="1" si="25"/>
        <v>285</v>
      </c>
      <c r="AH41" s="43">
        <f t="shared" ca="1" si="8"/>
        <v>0.91726856496024212</v>
      </c>
      <c r="AI41" s="8">
        <v>0.8</v>
      </c>
      <c r="AJ41" s="42">
        <f t="shared" ca="1" si="26"/>
        <v>187</v>
      </c>
      <c r="AL41" s="43">
        <f t="shared" ca="1" si="9"/>
        <v>0.13778753670137334</v>
      </c>
      <c r="AM41" s="8">
        <v>0.8</v>
      </c>
      <c r="AN41" s="42">
        <f t="shared" ca="1" si="27"/>
        <v>132</v>
      </c>
      <c r="AP41" s="43">
        <f t="shared" ca="1" si="10"/>
        <v>7.8780034212864836E-2</v>
      </c>
      <c r="AQ41" s="8">
        <v>0.8</v>
      </c>
      <c r="AR41" s="42">
        <f t="shared" ca="1" si="28"/>
        <v>99</v>
      </c>
      <c r="AT41" s="43">
        <f t="shared" ca="1" si="11"/>
        <v>0.23651927217472724</v>
      </c>
      <c r="AU41" s="8">
        <v>0.8</v>
      </c>
      <c r="AV41" s="42">
        <f t="shared" ca="1" si="29"/>
        <v>133</v>
      </c>
      <c r="AX41" s="43">
        <f t="shared" ca="1" si="12"/>
        <v>7.9017951027152034E-2</v>
      </c>
      <c r="AY41" s="8">
        <v>0.8</v>
      </c>
      <c r="AZ41" s="42">
        <f t="shared" ca="1" si="30"/>
        <v>117</v>
      </c>
      <c r="BB41" s="43">
        <f t="shared" ca="1" si="13"/>
        <v>0.36588118271495507</v>
      </c>
      <c r="BC41" s="8">
        <v>0.8</v>
      </c>
      <c r="BD41" s="42">
        <f t="shared" ca="1" si="31"/>
        <v>146</v>
      </c>
      <c r="BF41" s="43">
        <f t="shared" ca="1" si="14"/>
        <v>0.11925603660604522</v>
      </c>
      <c r="BG41" s="8">
        <v>0.8</v>
      </c>
      <c r="BH41" s="42">
        <f t="shared" ca="1" si="32"/>
        <v>93</v>
      </c>
      <c r="BJ41" s="43">
        <f t="shared" ca="1" si="15"/>
        <v>4.2182564586711324E-2</v>
      </c>
      <c r="BK41" s="8">
        <v>0.8</v>
      </c>
      <c r="BL41" s="42">
        <f t="shared" ca="1" si="33"/>
        <v>94</v>
      </c>
      <c r="BN41" s="43">
        <f t="shared" ca="1" si="16"/>
        <v>0.11385477938913935</v>
      </c>
      <c r="BO41" s="8">
        <v>0.8</v>
      </c>
      <c r="BP41" s="42">
        <f t="shared" ca="1" si="34"/>
        <v>88</v>
      </c>
      <c r="BR41" s="43">
        <f t="shared" ca="1" si="17"/>
        <v>3.9440042256878138E-2</v>
      </c>
      <c r="BS41" s="8">
        <v>0.8</v>
      </c>
      <c r="BT41" s="42">
        <f t="shared" ca="1" si="35"/>
        <v>94</v>
      </c>
    </row>
    <row r="42" spans="1:72" x14ac:dyDescent="0.2">
      <c r="A42" s="22">
        <v>44589</v>
      </c>
      <c r="B42" s="43">
        <f t="shared" ca="1" si="0"/>
        <v>0.46297642683332518</v>
      </c>
      <c r="C42" s="8">
        <v>0.8</v>
      </c>
      <c r="D42" s="42">
        <f t="shared" ca="1" si="18"/>
        <v>79</v>
      </c>
      <c r="F42" s="43">
        <f t="shared" ca="1" si="1"/>
        <v>0.4765398975383075</v>
      </c>
      <c r="G42" s="8">
        <v>0.8</v>
      </c>
      <c r="H42" s="42">
        <f t="shared" ca="1" si="19"/>
        <v>170</v>
      </c>
      <c r="J42" s="43">
        <f t="shared" ca="1" si="2"/>
        <v>0.80406167363271908</v>
      </c>
      <c r="K42" s="8">
        <v>0.8</v>
      </c>
      <c r="L42" s="42">
        <f t="shared" ca="1" si="20"/>
        <v>148</v>
      </c>
      <c r="N42" s="43">
        <f t="shared" ca="1" si="3"/>
        <v>8.6373542072425979E-2</v>
      </c>
      <c r="O42" s="8">
        <v>0.8</v>
      </c>
      <c r="P42" s="42">
        <f t="shared" ca="1" si="21"/>
        <v>117</v>
      </c>
      <c r="R42" s="43">
        <f t="shared" ca="1" si="4"/>
        <v>0.29898792195032409</v>
      </c>
      <c r="S42" s="8">
        <v>0.8</v>
      </c>
      <c r="T42" s="42">
        <f t="shared" ca="1" si="22"/>
        <v>96</v>
      </c>
      <c r="V42" s="43">
        <f t="shared" ca="1" si="5"/>
        <v>4.1599009990956115E-2</v>
      </c>
      <c r="W42" s="8">
        <v>0.8</v>
      </c>
      <c r="X42" s="42">
        <f t="shared" ca="1" si="23"/>
        <v>97</v>
      </c>
      <c r="Z42" s="43">
        <f t="shared" ca="1" si="6"/>
        <v>0.68296946601103303</v>
      </c>
      <c r="AA42" s="8">
        <v>0.8</v>
      </c>
      <c r="AB42" s="42">
        <f t="shared" ca="1" si="24"/>
        <v>244</v>
      </c>
      <c r="AD42" s="43">
        <f t="shared" ca="1" si="7"/>
        <v>0.72864752243191699</v>
      </c>
      <c r="AE42" s="8">
        <v>0.8</v>
      </c>
      <c r="AF42" s="42">
        <f t="shared" ca="1" si="25"/>
        <v>305</v>
      </c>
      <c r="AH42" s="43">
        <f t="shared" ca="1" si="8"/>
        <v>0.46573824485919069</v>
      </c>
      <c r="AI42" s="8">
        <v>0.8</v>
      </c>
      <c r="AJ42" s="42">
        <f t="shared" ca="1" si="26"/>
        <v>134</v>
      </c>
      <c r="AL42" s="43">
        <f t="shared" ca="1" si="9"/>
        <v>2.2072632473730813E-2</v>
      </c>
      <c r="AM42" s="8">
        <v>0.8</v>
      </c>
      <c r="AN42" s="42">
        <f t="shared" ca="1" si="27"/>
        <v>87</v>
      </c>
      <c r="AP42" s="43">
        <f t="shared" ca="1" si="10"/>
        <v>0.82559287720991092</v>
      </c>
      <c r="AQ42" s="8">
        <v>0.8</v>
      </c>
      <c r="AR42" s="42">
        <f t="shared" ca="1" si="28"/>
        <v>198</v>
      </c>
      <c r="AT42" s="43">
        <f t="shared" ca="1" si="11"/>
        <v>0.73097511266446247</v>
      </c>
      <c r="AU42" s="8">
        <v>0.8</v>
      </c>
      <c r="AV42" s="42">
        <f t="shared" ca="1" si="29"/>
        <v>192</v>
      </c>
      <c r="AX42" s="43">
        <f t="shared" ca="1" si="12"/>
        <v>0.42785310824733225</v>
      </c>
      <c r="AY42" s="8">
        <v>0.8</v>
      </c>
      <c r="AZ42" s="42">
        <f t="shared" ca="1" si="30"/>
        <v>178</v>
      </c>
      <c r="BB42" s="43">
        <f t="shared" ca="1" si="13"/>
        <v>0.45818613276004716</v>
      </c>
      <c r="BC42" s="8">
        <v>0.8</v>
      </c>
      <c r="BD42" s="42">
        <f t="shared" ca="1" si="31"/>
        <v>156</v>
      </c>
      <c r="BF42" s="43">
        <f t="shared" ca="1" si="14"/>
        <v>0.49234290331227992</v>
      </c>
      <c r="BG42" s="8">
        <v>0.8</v>
      </c>
      <c r="BH42" s="42">
        <f t="shared" ca="1" si="32"/>
        <v>135</v>
      </c>
      <c r="BJ42" s="43">
        <f t="shared" ca="1" si="15"/>
        <v>0.72032344215867483</v>
      </c>
      <c r="BK42" s="8">
        <v>0.8</v>
      </c>
      <c r="BL42" s="42">
        <f t="shared" ca="1" si="33"/>
        <v>200</v>
      </c>
      <c r="BN42" s="43">
        <f t="shared" ca="1" si="16"/>
        <v>0.70423028957279721</v>
      </c>
      <c r="BO42" s="8">
        <v>0.8</v>
      </c>
      <c r="BP42" s="42">
        <f t="shared" ca="1" si="34"/>
        <v>147</v>
      </c>
      <c r="BR42" s="43">
        <f t="shared" ca="1" si="17"/>
        <v>0.27768343566734066</v>
      </c>
      <c r="BS42" s="8">
        <v>0.8</v>
      </c>
      <c r="BT42" s="42">
        <f t="shared" ca="1" si="35"/>
        <v>148</v>
      </c>
    </row>
    <row r="43" spans="1:72" x14ac:dyDescent="0.2">
      <c r="A43" s="22">
        <v>44590</v>
      </c>
      <c r="B43" s="43">
        <f t="shared" ca="1" si="0"/>
        <v>6.8447611800863339E-2</v>
      </c>
      <c r="C43" s="8">
        <v>0.8</v>
      </c>
      <c r="D43" s="42">
        <f t="shared" ca="1" si="18"/>
        <v>57</v>
      </c>
      <c r="F43" s="43">
        <f t="shared" ca="1" si="1"/>
        <v>0.56268789673929465</v>
      </c>
      <c r="G43" s="8">
        <v>0.8</v>
      </c>
      <c r="H43" s="42">
        <f t="shared" ca="1" si="19"/>
        <v>180</v>
      </c>
      <c r="J43" s="43">
        <f t="shared" ca="1" si="2"/>
        <v>0.75339165841122557</v>
      </c>
      <c r="K43" s="8">
        <v>0.8</v>
      </c>
      <c r="L43" s="42">
        <f t="shared" ca="1" si="20"/>
        <v>142</v>
      </c>
      <c r="N43" s="43">
        <f t="shared" ca="1" si="3"/>
        <v>0.89040973861662687</v>
      </c>
      <c r="O43" s="8">
        <v>0.8</v>
      </c>
      <c r="P43" s="42">
        <f t="shared" ca="1" si="21"/>
        <v>244</v>
      </c>
      <c r="R43" s="43">
        <f t="shared" ca="1" si="4"/>
        <v>0.69115836013889598</v>
      </c>
      <c r="S43" s="8">
        <v>0.8</v>
      </c>
      <c r="T43" s="42">
        <f t="shared" ca="1" si="22"/>
        <v>126</v>
      </c>
      <c r="V43" s="43">
        <f t="shared" ca="1" si="5"/>
        <v>0.14889455609884616</v>
      </c>
      <c r="W43" s="8">
        <v>0.8</v>
      </c>
      <c r="X43" s="42">
        <f t="shared" ca="1" si="23"/>
        <v>131</v>
      </c>
      <c r="Z43" s="43">
        <f t="shared" ca="1" si="6"/>
        <v>0.61278781760259249</v>
      </c>
      <c r="AA43" s="8">
        <v>0.8</v>
      </c>
      <c r="AB43" s="42">
        <f t="shared" ca="1" si="24"/>
        <v>233</v>
      </c>
      <c r="AD43" s="43">
        <f t="shared" ca="1" si="7"/>
        <v>0.77234309394467193</v>
      </c>
      <c r="AE43" s="8">
        <v>0.8</v>
      </c>
      <c r="AF43" s="42">
        <f t="shared" ca="1" si="25"/>
        <v>314</v>
      </c>
      <c r="AH43" s="43">
        <f t="shared" ca="1" si="8"/>
        <v>0.13219540993498768</v>
      </c>
      <c r="AI43" s="8">
        <v>0.8</v>
      </c>
      <c r="AJ43" s="42">
        <f t="shared" ca="1" si="26"/>
        <v>96</v>
      </c>
      <c r="AL43" s="43">
        <f t="shared" ca="1" si="9"/>
        <v>0.63637528563199119</v>
      </c>
      <c r="AM43" s="8">
        <v>0.8</v>
      </c>
      <c r="AN43" s="42">
        <f t="shared" ca="1" si="27"/>
        <v>203</v>
      </c>
      <c r="AP43" s="43">
        <f t="shared" ca="1" si="10"/>
        <v>0.675319765404093</v>
      </c>
      <c r="AQ43" s="8">
        <v>0.8</v>
      </c>
      <c r="AR43" s="42">
        <f t="shared" ca="1" si="28"/>
        <v>178</v>
      </c>
      <c r="AT43" s="43">
        <f t="shared" ca="1" si="11"/>
        <v>0.36830304150742788</v>
      </c>
      <c r="AU43" s="8">
        <v>0.8</v>
      </c>
      <c r="AV43" s="42">
        <f t="shared" ca="1" si="29"/>
        <v>150</v>
      </c>
      <c r="AX43" s="43">
        <f t="shared" ca="1" si="12"/>
        <v>0.78349019635005446</v>
      </c>
      <c r="AY43" s="8">
        <v>0.8</v>
      </c>
      <c r="AZ43" s="42">
        <f t="shared" ca="1" si="30"/>
        <v>226</v>
      </c>
      <c r="BB43" s="43">
        <f t="shared" ca="1" si="13"/>
        <v>0.1112983759229379</v>
      </c>
      <c r="BC43" s="8">
        <v>0.8</v>
      </c>
      <c r="BD43" s="42">
        <f t="shared" ca="1" si="31"/>
        <v>109</v>
      </c>
      <c r="BF43" s="43">
        <f t="shared" ca="1" si="14"/>
        <v>1.99295834715153E-2</v>
      </c>
      <c r="BG43" s="8">
        <v>0.8</v>
      </c>
      <c r="BH43" s="42">
        <f t="shared" ca="1" si="32"/>
        <v>61</v>
      </c>
      <c r="BJ43" s="43">
        <f t="shared" ca="1" si="15"/>
        <v>0.97904670879425826</v>
      </c>
      <c r="BK43" s="8">
        <v>0.8</v>
      </c>
      <c r="BL43" s="42">
        <f t="shared" ca="1" si="33"/>
        <v>267</v>
      </c>
      <c r="BN43" s="43">
        <f t="shared" ca="1" si="16"/>
        <v>0.53385523569912041</v>
      </c>
      <c r="BO43" s="8">
        <v>0.8</v>
      </c>
      <c r="BP43" s="42">
        <f t="shared" ca="1" si="34"/>
        <v>132</v>
      </c>
      <c r="BR43" s="43">
        <f t="shared" ca="1" si="17"/>
        <v>1.7011105233662671E-2</v>
      </c>
      <c r="BS43" s="8">
        <v>0.8</v>
      </c>
      <c r="BT43" s="42">
        <f t="shared" ca="1" si="35"/>
        <v>77</v>
      </c>
    </row>
    <row r="44" spans="1:72" x14ac:dyDescent="0.2">
      <c r="A44" s="22">
        <v>44591</v>
      </c>
      <c r="B44" s="43">
        <f t="shared" ca="1" si="0"/>
        <v>0.89912801207013826</v>
      </c>
      <c r="C44" s="8">
        <v>0.8</v>
      </c>
      <c r="D44" s="42">
        <f t="shared" ca="1" si="18"/>
        <v>101</v>
      </c>
      <c r="F44" s="43">
        <f t="shared" ca="1" si="1"/>
        <v>0.27036757671809508</v>
      </c>
      <c r="G44" s="8">
        <v>0.8</v>
      </c>
      <c r="H44" s="42">
        <f t="shared" ca="1" si="19"/>
        <v>145</v>
      </c>
      <c r="J44" s="43">
        <f t="shared" ca="1" si="2"/>
        <v>0.47098294789332218</v>
      </c>
      <c r="K44" s="8">
        <v>0.8</v>
      </c>
      <c r="L44" s="42">
        <f t="shared" ca="1" si="20"/>
        <v>118</v>
      </c>
      <c r="N44" s="43">
        <f t="shared" ca="1" si="3"/>
        <v>0.43700031136336892</v>
      </c>
      <c r="O44" s="8">
        <v>0.8</v>
      </c>
      <c r="P44" s="42">
        <f t="shared" ca="1" si="21"/>
        <v>176</v>
      </c>
      <c r="R44" s="43">
        <f t="shared" ca="1" si="4"/>
        <v>0.70169669179216987</v>
      </c>
      <c r="S44" s="8">
        <v>0.8</v>
      </c>
      <c r="T44" s="42">
        <f t="shared" ca="1" si="22"/>
        <v>127</v>
      </c>
      <c r="V44" s="43">
        <f t="shared" ca="1" si="5"/>
        <v>7.235251886534122E-2</v>
      </c>
      <c r="W44" s="8">
        <v>0.8</v>
      </c>
      <c r="X44" s="42">
        <f t="shared" ca="1" si="23"/>
        <v>110</v>
      </c>
      <c r="Z44" s="43">
        <f t="shared" ca="1" si="6"/>
        <v>0.41506056031849048</v>
      </c>
      <c r="AA44" s="8">
        <v>0.8</v>
      </c>
      <c r="AB44" s="42">
        <f t="shared" ca="1" si="24"/>
        <v>204</v>
      </c>
      <c r="AD44" s="43">
        <f t="shared" ca="1" si="7"/>
        <v>0.1770821738305115</v>
      </c>
      <c r="AE44" s="8">
        <v>0.8</v>
      </c>
      <c r="AF44" s="42">
        <f t="shared" ca="1" si="25"/>
        <v>197</v>
      </c>
      <c r="AH44" s="43">
        <f t="shared" ca="1" si="8"/>
        <v>0.82520119031460837</v>
      </c>
      <c r="AI44" s="8">
        <v>0.8</v>
      </c>
      <c r="AJ44" s="42">
        <f t="shared" ca="1" si="26"/>
        <v>171</v>
      </c>
      <c r="AL44" s="43">
        <f t="shared" ca="1" si="9"/>
        <v>0.20404027877987607</v>
      </c>
      <c r="AM44" s="8">
        <v>0.8</v>
      </c>
      <c r="AN44" s="42">
        <f t="shared" ca="1" si="27"/>
        <v>145</v>
      </c>
      <c r="AP44" s="43">
        <f t="shared" ca="1" si="10"/>
        <v>0.92636456449034388</v>
      </c>
      <c r="AQ44" s="8">
        <v>0.8</v>
      </c>
      <c r="AR44" s="42">
        <f t="shared" ca="1" si="28"/>
        <v>220</v>
      </c>
      <c r="AT44" s="43">
        <f t="shared" ca="1" si="11"/>
        <v>0.86748863400156084</v>
      </c>
      <c r="AU44" s="8">
        <v>0.8</v>
      </c>
      <c r="AV44" s="42">
        <f t="shared" ca="1" si="29"/>
        <v>214</v>
      </c>
      <c r="AX44" s="43">
        <f t="shared" ca="1" si="12"/>
        <v>0.58430087879150117</v>
      </c>
      <c r="AY44" s="8">
        <v>0.8</v>
      </c>
      <c r="AZ44" s="42">
        <f t="shared" ca="1" si="30"/>
        <v>198</v>
      </c>
      <c r="BB44" s="43">
        <f t="shared" ca="1" si="13"/>
        <v>0.41206080243961596</v>
      </c>
      <c r="BC44" s="8">
        <v>0.8</v>
      </c>
      <c r="BD44" s="42">
        <f t="shared" ca="1" si="31"/>
        <v>151</v>
      </c>
      <c r="BF44" s="43">
        <f t="shared" ca="1" si="14"/>
        <v>0.2723783397027254</v>
      </c>
      <c r="BG44" s="8">
        <v>0.8</v>
      </c>
      <c r="BH44" s="42">
        <f t="shared" ca="1" si="32"/>
        <v>114</v>
      </c>
      <c r="BJ44" s="43">
        <f t="shared" ca="1" si="15"/>
        <v>0.70494420686133852</v>
      </c>
      <c r="BK44" s="8">
        <v>0.8</v>
      </c>
      <c r="BL44" s="42">
        <f t="shared" ca="1" si="33"/>
        <v>198</v>
      </c>
      <c r="BN44" s="43">
        <f t="shared" ca="1" si="16"/>
        <v>0.50428282314453932</v>
      </c>
      <c r="BO44" s="8">
        <v>0.8</v>
      </c>
      <c r="BP44" s="42">
        <f t="shared" ca="1" si="34"/>
        <v>129</v>
      </c>
      <c r="BR44" s="43">
        <f t="shared" ca="1" si="17"/>
        <v>0.53890524088934644</v>
      </c>
      <c r="BS44" s="8">
        <v>0.8</v>
      </c>
      <c r="BT44" s="42">
        <f t="shared" ca="1" si="35"/>
        <v>181</v>
      </c>
    </row>
    <row r="45" spans="1:72" x14ac:dyDescent="0.2">
      <c r="A45" s="22">
        <v>44592</v>
      </c>
      <c r="B45" s="43">
        <f t="shared" ca="1" si="0"/>
        <v>0.27745048326554078</v>
      </c>
      <c r="C45" s="8">
        <v>0.8</v>
      </c>
      <c r="D45" s="42">
        <f t="shared" ca="1" si="18"/>
        <v>71</v>
      </c>
      <c r="F45" s="43">
        <f t="shared" ca="1" si="1"/>
        <v>0.6050896473267815</v>
      </c>
      <c r="G45" s="8">
        <v>0.8</v>
      </c>
      <c r="H45" s="42">
        <f t="shared" ca="1" si="19"/>
        <v>185</v>
      </c>
      <c r="J45" s="43">
        <f t="shared" ca="1" si="2"/>
        <v>0.37252889745966533</v>
      </c>
      <c r="K45" s="8">
        <v>0.8</v>
      </c>
      <c r="L45" s="42">
        <f t="shared" ca="1" si="20"/>
        <v>110</v>
      </c>
      <c r="N45" s="43">
        <f t="shared" ca="1" si="3"/>
        <v>0.34925432296071079</v>
      </c>
      <c r="O45" s="8">
        <v>0.8</v>
      </c>
      <c r="P45" s="42">
        <f t="shared" ca="1" si="21"/>
        <v>165</v>
      </c>
      <c r="R45" s="43">
        <f t="shared" ca="1" si="4"/>
        <v>0.87186289610021406</v>
      </c>
      <c r="S45" s="8">
        <v>0.8</v>
      </c>
      <c r="T45" s="42">
        <f t="shared" ca="1" si="22"/>
        <v>145</v>
      </c>
      <c r="V45" s="43">
        <f t="shared" ca="1" si="5"/>
        <v>6.7767612690575518E-2</v>
      </c>
      <c r="W45" s="8">
        <v>0.8</v>
      </c>
      <c r="X45" s="42">
        <f t="shared" ca="1" si="23"/>
        <v>109</v>
      </c>
      <c r="Z45" s="43">
        <f t="shared" ca="1" si="6"/>
        <v>0.25221838974910893</v>
      </c>
      <c r="AA45" s="8">
        <v>0.8</v>
      </c>
      <c r="AB45" s="42">
        <f t="shared" ca="1" si="24"/>
        <v>178</v>
      </c>
      <c r="AD45" s="43">
        <f t="shared" ca="1" si="7"/>
        <v>0.53450469090356323</v>
      </c>
      <c r="AE45" s="8">
        <v>0.8</v>
      </c>
      <c r="AF45" s="42">
        <f t="shared" ca="1" si="25"/>
        <v>268</v>
      </c>
      <c r="AH45" s="43">
        <f t="shared" ca="1" si="8"/>
        <v>0.10550955774898596</v>
      </c>
      <c r="AI45" s="8">
        <v>0.8</v>
      </c>
      <c r="AJ45" s="42">
        <f t="shared" ca="1" si="26"/>
        <v>91</v>
      </c>
      <c r="AL45" s="43">
        <f t="shared" ca="1" si="9"/>
        <v>0.526896687128245</v>
      </c>
      <c r="AM45" s="8">
        <v>0.8</v>
      </c>
      <c r="AN45" s="42">
        <f t="shared" ca="1" si="27"/>
        <v>189</v>
      </c>
      <c r="AP45" s="43">
        <f t="shared" ca="1" si="10"/>
        <v>0.85523422571942143</v>
      </c>
      <c r="AQ45" s="8">
        <v>0.8</v>
      </c>
      <c r="AR45" s="42">
        <f t="shared" ca="1" si="28"/>
        <v>204</v>
      </c>
      <c r="AT45" s="43">
        <f t="shared" ca="1" si="11"/>
        <v>0.30592933523335197</v>
      </c>
      <c r="AU45" s="8">
        <v>0.8</v>
      </c>
      <c r="AV45" s="42">
        <f t="shared" ca="1" si="29"/>
        <v>143</v>
      </c>
      <c r="AX45" s="43">
        <f t="shared" ca="1" si="12"/>
        <v>0.71880849397043545</v>
      </c>
      <c r="AY45" s="8">
        <v>0.8</v>
      </c>
      <c r="AZ45" s="42">
        <f t="shared" ca="1" si="30"/>
        <v>216</v>
      </c>
      <c r="BB45" s="43">
        <f t="shared" ca="1" si="13"/>
        <v>0.13472002491760227</v>
      </c>
      <c r="BC45" s="8">
        <v>0.8</v>
      </c>
      <c r="BD45" s="42">
        <f t="shared" ca="1" si="31"/>
        <v>114</v>
      </c>
      <c r="BF45" s="43">
        <f t="shared" ca="1" si="14"/>
        <v>0.9605994458280297</v>
      </c>
      <c r="BG45" s="8">
        <v>0.8</v>
      </c>
      <c r="BH45" s="42">
        <f t="shared" ca="1" si="32"/>
        <v>199</v>
      </c>
      <c r="BJ45" s="43">
        <f t="shared" ca="1" si="15"/>
        <v>5.0145945544359471E-2</v>
      </c>
      <c r="BK45" s="8">
        <v>0.8</v>
      </c>
      <c r="BL45" s="42">
        <f t="shared" ca="1" si="33"/>
        <v>97</v>
      </c>
      <c r="BN45" s="43">
        <f t="shared" ca="1" si="16"/>
        <v>0.97716463979860957</v>
      </c>
      <c r="BO45" s="8">
        <v>0.8</v>
      </c>
      <c r="BP45" s="42">
        <f t="shared" ca="1" si="34"/>
        <v>198</v>
      </c>
      <c r="BR45" s="43">
        <f t="shared" ca="1" si="17"/>
        <v>0.59227276225829484</v>
      </c>
      <c r="BS45" s="8">
        <v>0.8</v>
      </c>
      <c r="BT45" s="42">
        <f t="shared" ca="1" si="35"/>
        <v>187</v>
      </c>
    </row>
    <row r="46" spans="1:72" x14ac:dyDescent="0.2">
      <c r="A46" s="22">
        <v>44593</v>
      </c>
      <c r="B46" s="43">
        <f t="shared" ca="1" si="0"/>
        <v>0.38649815662303044</v>
      </c>
      <c r="C46" s="8">
        <v>1</v>
      </c>
      <c r="D46" s="42">
        <f t="shared" ca="1" si="18"/>
        <v>95</v>
      </c>
      <c r="F46" s="43">
        <f t="shared" ca="1" si="1"/>
        <v>0.98621147814332932</v>
      </c>
      <c r="G46" s="8">
        <v>1</v>
      </c>
      <c r="H46" s="42">
        <f t="shared" ca="1" si="19"/>
        <v>342</v>
      </c>
      <c r="J46" s="43">
        <f t="shared" ca="1" si="2"/>
        <v>0.75158229222371342</v>
      </c>
      <c r="K46" s="8">
        <v>1</v>
      </c>
      <c r="L46" s="42">
        <f t="shared" ca="1" si="20"/>
        <v>178</v>
      </c>
      <c r="N46" s="43">
        <f t="shared" ca="1" si="3"/>
        <v>0.53593636402166633</v>
      </c>
      <c r="O46" s="8">
        <v>1</v>
      </c>
      <c r="P46" s="42">
        <f t="shared" ca="1" si="21"/>
        <v>235</v>
      </c>
      <c r="R46" s="43">
        <f t="shared" ca="1" si="4"/>
        <v>0.32279920136987972</v>
      </c>
      <c r="S46" s="8">
        <v>1</v>
      </c>
      <c r="T46" s="42">
        <f t="shared" ca="1" si="22"/>
        <v>122</v>
      </c>
      <c r="V46" s="43">
        <f t="shared" ca="1" si="5"/>
        <v>0.27968673644620767</v>
      </c>
      <c r="W46" s="8">
        <v>1</v>
      </c>
      <c r="X46" s="42">
        <f t="shared" ca="1" si="23"/>
        <v>190</v>
      </c>
      <c r="Z46" s="43">
        <f t="shared" ca="1" si="6"/>
        <v>0.31626643903337759</v>
      </c>
      <c r="AA46" s="8">
        <v>1</v>
      </c>
      <c r="AB46" s="42">
        <f t="shared" ca="1" si="24"/>
        <v>236</v>
      </c>
      <c r="AD46" s="43">
        <f t="shared" ca="1" si="7"/>
        <v>0.55762304818187436</v>
      </c>
      <c r="AE46" s="8">
        <v>1</v>
      </c>
      <c r="AF46" s="42">
        <f t="shared" ca="1" si="25"/>
        <v>340</v>
      </c>
      <c r="AH46" s="43">
        <f t="shared" ca="1" si="8"/>
        <v>4.6553309606741977E-2</v>
      </c>
      <c r="AI46" s="8">
        <v>1</v>
      </c>
      <c r="AJ46" s="42">
        <f t="shared" ca="1" si="26"/>
        <v>95</v>
      </c>
      <c r="AL46" s="43">
        <f t="shared" ca="1" si="9"/>
        <v>0.97799349129908697</v>
      </c>
      <c r="AM46" s="8">
        <v>1</v>
      </c>
      <c r="AN46" s="42">
        <f t="shared" ca="1" si="27"/>
        <v>357</v>
      </c>
      <c r="AP46" s="43">
        <f t="shared" ca="1" si="10"/>
        <v>0.29303835241583431</v>
      </c>
      <c r="AQ46" s="8">
        <v>1</v>
      </c>
      <c r="AR46" s="42">
        <f t="shared" ca="1" si="28"/>
        <v>170</v>
      </c>
      <c r="AT46" s="43">
        <f t="shared" ca="1" si="11"/>
        <v>0.2246508116119923</v>
      </c>
      <c r="AU46" s="8">
        <v>1</v>
      </c>
      <c r="AV46" s="42">
        <f t="shared" ca="1" si="29"/>
        <v>165</v>
      </c>
      <c r="AX46" s="43">
        <f t="shared" ca="1" si="12"/>
        <v>0.49752996703306385</v>
      </c>
      <c r="AY46" s="8">
        <v>1</v>
      </c>
      <c r="AZ46" s="42">
        <f t="shared" ca="1" si="30"/>
        <v>234</v>
      </c>
      <c r="BB46" s="43">
        <f t="shared" ca="1" si="13"/>
        <v>4.3355502115967504E-2</v>
      </c>
      <c r="BC46" s="8">
        <v>1</v>
      </c>
      <c r="BD46" s="42">
        <f t="shared" ca="1" si="31"/>
        <v>109</v>
      </c>
      <c r="BF46" s="43">
        <f t="shared" ca="1" si="14"/>
        <v>5.8613549232235718E-2</v>
      </c>
      <c r="BG46" s="8">
        <v>1</v>
      </c>
      <c r="BH46" s="42">
        <f t="shared" ca="1" si="32"/>
        <v>99</v>
      </c>
      <c r="BJ46" s="43">
        <f t="shared" ca="1" si="15"/>
        <v>0.10194116167033684</v>
      </c>
      <c r="BK46" s="8">
        <v>1</v>
      </c>
      <c r="BL46" s="42">
        <f t="shared" ca="1" si="33"/>
        <v>143</v>
      </c>
      <c r="BN46" s="43">
        <f t="shared" ca="1" si="16"/>
        <v>0.86121470609172468</v>
      </c>
      <c r="BO46" s="8">
        <v>1</v>
      </c>
      <c r="BP46" s="42">
        <f t="shared" ca="1" si="34"/>
        <v>208</v>
      </c>
      <c r="BR46" s="43">
        <f t="shared" ca="1" si="17"/>
        <v>0.8857481702387725</v>
      </c>
      <c r="BS46" s="8">
        <v>1</v>
      </c>
      <c r="BT46" s="42">
        <f t="shared" ca="1" si="35"/>
        <v>290</v>
      </c>
    </row>
    <row r="47" spans="1:72" x14ac:dyDescent="0.2">
      <c r="A47" s="22">
        <v>44594</v>
      </c>
      <c r="B47" s="43">
        <f t="shared" ca="1" si="0"/>
        <v>0.47332110999934129</v>
      </c>
      <c r="C47" s="8">
        <v>1</v>
      </c>
      <c r="D47" s="42">
        <f ca="1">ROUNDUP(_xlfn.NORM.INV(B47,C$4*C47,C$6*C47),0)</f>
        <v>99</v>
      </c>
      <c r="F47" s="43">
        <f t="shared" ca="1" si="1"/>
        <v>0.46963125476159862</v>
      </c>
      <c r="G47" s="8">
        <v>1</v>
      </c>
      <c r="H47" s="42">
        <f ca="1">ROUNDUP(_xlfn.NORM.INV(F47,G$4*G47,G$6*G47),0)</f>
        <v>212</v>
      </c>
      <c r="J47" s="43">
        <f t="shared" ca="1" si="2"/>
        <v>0.78682080206205918</v>
      </c>
      <c r="K47" s="8">
        <v>1</v>
      </c>
      <c r="L47" s="42">
        <f ca="1">ROUNDUP(_xlfn.NORM.INV(J47,K$4*K47,K$6*K47),0)</f>
        <v>182</v>
      </c>
      <c r="N47" s="43">
        <f t="shared" ca="1" si="3"/>
        <v>9.9404878206440506E-3</v>
      </c>
      <c r="O47" s="8">
        <v>1</v>
      </c>
      <c r="P47" s="42">
        <f ca="1">ROUNDUP(_xlfn.NORM.INV(N47,O$4*O47,O$6*O47),0)</f>
        <v>87</v>
      </c>
      <c r="R47" s="43">
        <f t="shared" ca="1" si="4"/>
        <v>5.5471036762313353E-2</v>
      </c>
      <c r="S47" s="8">
        <v>1</v>
      </c>
      <c r="T47" s="42">
        <f ca="1">ROUNDUP(_xlfn.NORM.INV(R47,S$4*S47,S$6*S47),0)</f>
        <v>80</v>
      </c>
      <c r="V47" s="43">
        <f t="shared" ca="1" si="5"/>
        <v>0.22107367219582152</v>
      </c>
      <c r="W47" s="8">
        <v>1</v>
      </c>
      <c r="X47" s="42">
        <f ca="1">ROUNDUP(_xlfn.NORM.INV(V47,W$4*W47,W$6*W47),0)</f>
        <v>179</v>
      </c>
      <c r="Z47" s="43">
        <f t="shared" ca="1" si="6"/>
        <v>0.55850442616112494</v>
      </c>
      <c r="AA47" s="8">
        <v>1</v>
      </c>
      <c r="AB47" s="42">
        <f ca="1">ROUNDUP(_xlfn.NORM.INV(Z47,AA$4*AA47,AA$6*AA47),0)</f>
        <v>281</v>
      </c>
      <c r="AD47" s="43">
        <f t="shared" ca="1" si="7"/>
        <v>0.34538662236058693</v>
      </c>
      <c r="AE47" s="8">
        <v>1</v>
      </c>
      <c r="AF47" s="42">
        <f ca="1">ROUNDUP(_xlfn.NORM.INV(AD47,AE$4*AE47,AE$6*AE47),0)</f>
        <v>293</v>
      </c>
      <c r="AH47" s="43">
        <f t="shared" ca="1" si="8"/>
        <v>0.79773091423719988</v>
      </c>
      <c r="AI47" s="8">
        <v>1</v>
      </c>
      <c r="AJ47" s="42">
        <f ca="1">ROUNDUP(_xlfn.NORM.INV(AH47,AI$4*AI47,AI$6*AI47),0)</f>
        <v>209</v>
      </c>
      <c r="AL47" s="43">
        <f t="shared" ca="1" si="9"/>
        <v>0.63654703960354408</v>
      </c>
      <c r="AM47" s="8">
        <v>1</v>
      </c>
      <c r="AN47" s="42">
        <f ca="1">ROUNDUP(_xlfn.NORM.INV(AL47,AM$4*AM47,AM$6*AM47),0)</f>
        <v>254</v>
      </c>
      <c r="AP47" s="43">
        <f t="shared" ca="1" si="10"/>
        <v>0.31853400792887365</v>
      </c>
      <c r="AQ47" s="8">
        <v>1</v>
      </c>
      <c r="AR47" s="42">
        <f ca="1">ROUNDUP(_xlfn.NORM.INV(AP47,AQ$4*AQ47,AQ$6*AQ47),0)</f>
        <v>174</v>
      </c>
      <c r="AT47" s="43">
        <f t="shared" ca="1" si="11"/>
        <v>0.79923380313343528</v>
      </c>
      <c r="AU47" s="8">
        <v>1</v>
      </c>
      <c r="AV47" s="42">
        <f ca="1">ROUNDUP(_xlfn.NORM.INV(AT47,AU$4*AU47,AU$6*AU47),0)</f>
        <v>252</v>
      </c>
      <c r="AX47" s="43">
        <f t="shared" ca="1" si="12"/>
        <v>0.90729509130040265</v>
      </c>
      <c r="AY47" s="8">
        <v>1</v>
      </c>
      <c r="AZ47" s="42">
        <f ca="1">ROUNDUP(_xlfn.NORM.INV(AX47,AY$4*AY47,AY$6*AY47),0)</f>
        <v>317</v>
      </c>
      <c r="BB47" s="43">
        <f t="shared" ca="1" si="13"/>
        <v>0.67882601476949278</v>
      </c>
      <c r="BC47" s="8">
        <v>1</v>
      </c>
      <c r="BD47" s="42">
        <f ca="1">ROUNDUP(_xlfn.NORM.INV(BB47,BC$4*BC47,BC$6*BC47),0)</f>
        <v>226</v>
      </c>
      <c r="BF47" s="43">
        <f t="shared" ca="1" si="14"/>
        <v>0.87119111925033177</v>
      </c>
      <c r="BG47" s="8">
        <v>1</v>
      </c>
      <c r="BH47" s="42">
        <f ca="1">ROUNDUP(_xlfn.NORM.INV(BF47,BG$4*BG47,BG$6*BG47),0)</f>
        <v>220</v>
      </c>
      <c r="BJ47" s="43">
        <f t="shared" ca="1" si="15"/>
        <v>0.25844754119963032</v>
      </c>
      <c r="BK47" s="8">
        <v>1</v>
      </c>
      <c r="BL47" s="42">
        <f ca="1">ROUNDUP(_xlfn.NORM.INV(BJ47,BK$4*BK47,BK$6*BK47),0)</f>
        <v>179</v>
      </c>
      <c r="BN47" s="43">
        <f t="shared" ca="1" si="16"/>
        <v>0.18679040857182627</v>
      </c>
      <c r="BO47" s="8">
        <v>1</v>
      </c>
      <c r="BP47" s="42">
        <f ca="1">ROUNDUP(_xlfn.NORM.INV(BN47,BO$4*BO47,BO$6*BO47),0)</f>
        <v>123</v>
      </c>
      <c r="BR47" s="43">
        <f t="shared" ca="1" si="17"/>
        <v>0.10389836374811612</v>
      </c>
      <c r="BS47" s="8">
        <v>1</v>
      </c>
      <c r="BT47" s="42">
        <f ca="1">ROUNDUP(_xlfn.NORM.INV(BR47,BS$4*BS47,BS$6*BS47),0)</f>
        <v>146</v>
      </c>
    </row>
    <row r="48" spans="1:72" x14ac:dyDescent="0.2">
      <c r="A48" s="22">
        <v>44595</v>
      </c>
      <c r="B48" s="43">
        <f t="shared" ca="1" si="0"/>
        <v>9.5030864718472219E-2</v>
      </c>
      <c r="C48" s="8">
        <v>1</v>
      </c>
      <c r="D48" s="42">
        <f t="shared" ca="1" si="18"/>
        <v>74</v>
      </c>
      <c r="F48" s="43">
        <f t="shared" ca="1" si="1"/>
        <v>0.35854285493609084</v>
      </c>
      <c r="G48" s="8">
        <v>1</v>
      </c>
      <c r="H48" s="42">
        <f t="shared" ref="H48:H50" ca="1" si="36">ROUNDUP(_xlfn.NORM.INV(F48,G$4*G48,G$6*G48),0)</f>
        <v>195</v>
      </c>
      <c r="J48" s="43">
        <f t="shared" ca="1" si="2"/>
        <v>0.60471677061604823</v>
      </c>
      <c r="K48" s="8">
        <v>1</v>
      </c>
      <c r="L48" s="42">
        <f t="shared" ref="L48:L50" ca="1" si="37">ROUNDUP(_xlfn.NORM.INV(J48,K$4*K48,K$6*K48),0)</f>
        <v>161</v>
      </c>
      <c r="N48" s="43">
        <f t="shared" ca="1" si="3"/>
        <v>0.5885717770202602</v>
      </c>
      <c r="O48" s="8">
        <v>1</v>
      </c>
      <c r="P48" s="42">
        <f t="shared" ref="P48:P50" ca="1" si="38">ROUNDUP(_xlfn.NORM.INV(N48,O$4*O48,O$6*O48),0)</f>
        <v>244</v>
      </c>
      <c r="R48" s="43">
        <f t="shared" ca="1" si="4"/>
        <v>0.45278622103557109</v>
      </c>
      <c r="S48" s="8">
        <v>1</v>
      </c>
      <c r="T48" s="42">
        <f t="shared" ref="T48:T50" ca="1" si="39">ROUNDUP(_xlfn.NORM.INV(R48,S$4*S48,S$6*S48),0)</f>
        <v>135</v>
      </c>
      <c r="V48" s="43">
        <f t="shared" ca="1" si="5"/>
        <v>1.9817511528215981E-2</v>
      </c>
      <c r="W48" s="8">
        <v>1</v>
      </c>
      <c r="X48" s="42">
        <f t="shared" ref="X48:X50" ca="1" si="40">ROUNDUP(_xlfn.NORM.INV(V48,W$4*W48,W$6*W48),0)</f>
        <v>102</v>
      </c>
      <c r="Z48" s="43">
        <f t="shared" ca="1" si="6"/>
        <v>0.74097113805431414</v>
      </c>
      <c r="AA48" s="8">
        <v>1</v>
      </c>
      <c r="AB48" s="42">
        <f t="shared" ref="AB48:AB50" ca="1" si="41">ROUNDUP(_xlfn.NORM.INV(Z48,AA$4*AA48,AA$6*AA48),0)</f>
        <v>317</v>
      </c>
      <c r="AD48" s="43">
        <f t="shared" ca="1" si="7"/>
        <v>0.6769108120785382</v>
      </c>
      <c r="AE48" s="8">
        <v>1</v>
      </c>
      <c r="AF48" s="42">
        <f t="shared" ref="AF48:AF50" ca="1" si="42">ROUNDUP(_xlfn.NORM.INV(AD48,AE$4*AE48,AE$6*AE48),0)</f>
        <v>368</v>
      </c>
      <c r="AH48" s="43">
        <f t="shared" ca="1" si="8"/>
        <v>0.20206548243930944</v>
      </c>
      <c r="AI48" s="8">
        <v>1</v>
      </c>
      <c r="AJ48" s="42">
        <f t="shared" ref="AJ48:AJ50" ca="1" si="43">ROUNDUP(_xlfn.NORM.INV(AH48,AI$4*AI48,AI$6*AI48),0)</f>
        <v>133</v>
      </c>
      <c r="AL48" s="43">
        <f t="shared" ca="1" si="9"/>
        <v>0.51570728563617962</v>
      </c>
      <c r="AM48" s="8">
        <v>1</v>
      </c>
      <c r="AN48" s="42">
        <f t="shared" ref="AN48:AN50" ca="1" si="44">ROUNDUP(_xlfn.NORM.INV(AL48,AM$4*AM48,AM$6*AM48),0)</f>
        <v>235</v>
      </c>
      <c r="AP48" s="43">
        <f t="shared" ca="1" si="10"/>
        <v>0.93319563090052815</v>
      </c>
      <c r="AQ48" s="8">
        <v>1</v>
      </c>
      <c r="AR48" s="42">
        <f t="shared" ref="AR48:AR50" ca="1" si="45">ROUNDUP(_xlfn.NORM.INV(AP48,AQ$4*AQ48,AQ$6*AQ48),0)</f>
        <v>278</v>
      </c>
      <c r="AT48" s="43">
        <f t="shared" ca="1" si="11"/>
        <v>6.9927195174813273E-2</v>
      </c>
      <c r="AU48" s="8">
        <v>1</v>
      </c>
      <c r="AV48" s="42">
        <f t="shared" ref="AV48:AV50" ca="1" si="46">ROUNDUP(_xlfn.NORM.INV(AT48,AU$4*AU48,AU$6*AU48),0)</f>
        <v>125</v>
      </c>
      <c r="AX48" s="43">
        <f t="shared" ca="1" si="12"/>
        <v>0.22562668462096336</v>
      </c>
      <c r="AY48" s="8">
        <v>1</v>
      </c>
      <c r="AZ48" s="42">
        <f t="shared" ref="AZ48:AZ50" ca="1" si="47">ROUNDUP(_xlfn.NORM.INV(AX48,AY$4*AY48,AY$6*AY48),0)</f>
        <v>187</v>
      </c>
      <c r="BB48" s="43">
        <f t="shared" ca="1" si="13"/>
        <v>0.23289923157515913</v>
      </c>
      <c r="BC48" s="8">
        <v>1</v>
      </c>
      <c r="BD48" s="42">
        <f t="shared" ref="BD48:BD50" ca="1" si="48">ROUNDUP(_xlfn.NORM.INV(BB48,BC$4*BC48,BC$6*BC48),0)</f>
        <v>162</v>
      </c>
      <c r="BF48" s="43">
        <f t="shared" ca="1" si="14"/>
        <v>0.11988603414183363</v>
      </c>
      <c r="BG48" s="8">
        <v>1</v>
      </c>
      <c r="BH48" s="42">
        <f t="shared" ref="BH48:BH50" ca="1" si="49">ROUNDUP(_xlfn.NORM.INV(BF48,BG$4*BG48,BG$6*BG48),0)</f>
        <v>116</v>
      </c>
      <c r="BJ48" s="43">
        <f t="shared" ca="1" si="15"/>
        <v>0.64074095699938238</v>
      </c>
      <c r="BK48" s="8">
        <v>1</v>
      </c>
      <c r="BL48" s="42">
        <f t="shared" ref="BL48:BL50" ca="1" si="50">ROUNDUP(_xlfn.NORM.INV(BJ48,BK$4*BK48,BK$6*BK48),0)</f>
        <v>237</v>
      </c>
      <c r="BN48" s="43">
        <f t="shared" ca="1" si="16"/>
        <v>8.8348120392940821E-2</v>
      </c>
      <c r="BO48" s="8">
        <v>1</v>
      </c>
      <c r="BP48" s="42">
        <f t="shared" ref="BP48:BP50" ca="1" si="51">ROUNDUP(_xlfn.NORM.INV(BN48,BO$4*BO48,BO$6*BO48),0)</f>
        <v>103</v>
      </c>
      <c r="BR48" s="43">
        <f t="shared" ca="1" si="17"/>
        <v>0.43428990994276317</v>
      </c>
      <c r="BS48" s="8">
        <v>1</v>
      </c>
      <c r="BT48" s="42">
        <f t="shared" ref="BT48:BT50" ca="1" si="52">ROUNDUP(_xlfn.NORM.INV(BR48,BS$4*BS48,BS$6*BS48),0)</f>
        <v>210</v>
      </c>
    </row>
    <row r="49" spans="1:72" x14ac:dyDescent="0.2">
      <c r="A49" s="22">
        <v>44596</v>
      </c>
      <c r="B49" s="43">
        <f t="shared" ca="1" si="0"/>
        <v>0.99298997881796625</v>
      </c>
      <c r="C49" s="8">
        <v>1</v>
      </c>
      <c r="D49" s="42">
        <f t="shared" ca="1" si="18"/>
        <v>150</v>
      </c>
      <c r="F49" s="43">
        <f t="shared" ca="1" si="1"/>
        <v>0.4825766549553695</v>
      </c>
      <c r="G49" s="8">
        <v>1</v>
      </c>
      <c r="H49" s="42">
        <f t="shared" ca="1" si="36"/>
        <v>213</v>
      </c>
      <c r="J49" s="43">
        <f t="shared" ca="1" si="2"/>
        <v>0.47006583358043519</v>
      </c>
      <c r="K49" s="8">
        <v>1</v>
      </c>
      <c r="L49" s="42">
        <f t="shared" ca="1" si="37"/>
        <v>147</v>
      </c>
      <c r="N49" s="43">
        <f t="shared" ca="1" si="3"/>
        <v>0.66707161725743369</v>
      </c>
      <c r="O49" s="8">
        <v>1</v>
      </c>
      <c r="P49" s="42">
        <f t="shared" ca="1" si="38"/>
        <v>256</v>
      </c>
      <c r="R49" s="43">
        <f t="shared" ca="1" si="4"/>
        <v>0.97897879435484758</v>
      </c>
      <c r="S49" s="8">
        <v>1</v>
      </c>
      <c r="T49" s="42">
        <f t="shared" ca="1" si="39"/>
        <v>214</v>
      </c>
      <c r="V49" s="43">
        <f t="shared" ca="1" si="5"/>
        <v>0.79992145639794809</v>
      </c>
      <c r="W49" s="8">
        <v>1</v>
      </c>
      <c r="X49" s="42">
        <f t="shared" ca="1" si="40"/>
        <v>276</v>
      </c>
      <c r="Z49" s="43">
        <f t="shared" ca="1" si="6"/>
        <v>4.9947406371655956E-2</v>
      </c>
      <c r="AA49" s="8">
        <v>1</v>
      </c>
      <c r="AB49" s="42">
        <f t="shared" ca="1" si="41"/>
        <v>152</v>
      </c>
      <c r="AD49" s="43">
        <f t="shared" ca="1" si="7"/>
        <v>5.7460518860641852E-2</v>
      </c>
      <c r="AE49" s="8">
        <v>1</v>
      </c>
      <c r="AF49" s="42">
        <f t="shared" ca="1" si="42"/>
        <v>190</v>
      </c>
      <c r="AH49" s="43">
        <f t="shared" ca="1" si="8"/>
        <v>6.1964311540056882E-2</v>
      </c>
      <c r="AI49" s="8">
        <v>1</v>
      </c>
      <c r="AJ49" s="42">
        <f t="shared" ca="1" si="43"/>
        <v>101</v>
      </c>
      <c r="AL49" s="43">
        <f t="shared" ca="1" si="9"/>
        <v>0.8536862427818932</v>
      </c>
      <c r="AM49" s="8">
        <v>1</v>
      </c>
      <c r="AN49" s="42">
        <f t="shared" ca="1" si="44"/>
        <v>298</v>
      </c>
      <c r="AP49" s="43">
        <f t="shared" ca="1" si="10"/>
        <v>1.269252259868503E-2</v>
      </c>
      <c r="AQ49" s="8">
        <v>1</v>
      </c>
      <c r="AR49" s="42">
        <f t="shared" ca="1" si="45"/>
        <v>80</v>
      </c>
      <c r="AT49" s="43">
        <f t="shared" ca="1" si="11"/>
        <v>0.26643426075519139</v>
      </c>
      <c r="AU49" s="8">
        <v>1</v>
      </c>
      <c r="AV49" s="42">
        <f t="shared" ca="1" si="46"/>
        <v>172</v>
      </c>
      <c r="AX49" s="43">
        <f t="shared" ca="1" si="12"/>
        <v>0.57202175990534632</v>
      </c>
      <c r="AY49" s="8">
        <v>1</v>
      </c>
      <c r="AZ49" s="42">
        <f t="shared" ca="1" si="47"/>
        <v>245</v>
      </c>
      <c r="BB49" s="43">
        <f t="shared" ca="1" si="13"/>
        <v>0.15918569742459532</v>
      </c>
      <c r="BC49" s="8">
        <v>1</v>
      </c>
      <c r="BD49" s="42">
        <f t="shared" ca="1" si="48"/>
        <v>148</v>
      </c>
      <c r="BF49" s="43">
        <f t="shared" ca="1" si="14"/>
        <v>0.29944901389867462</v>
      </c>
      <c r="BG49" s="8">
        <v>1</v>
      </c>
      <c r="BH49" s="42">
        <f t="shared" ca="1" si="49"/>
        <v>145</v>
      </c>
      <c r="BJ49" s="43">
        <f t="shared" ca="1" si="15"/>
        <v>0.40891312596292817</v>
      </c>
      <c r="BK49" s="8">
        <v>1</v>
      </c>
      <c r="BL49" s="42">
        <f t="shared" ca="1" si="50"/>
        <v>203</v>
      </c>
      <c r="BN49" s="43">
        <f t="shared" ca="1" si="16"/>
        <v>0.55954493181439013</v>
      </c>
      <c r="BO49" s="8">
        <v>1</v>
      </c>
      <c r="BP49" s="42">
        <f t="shared" ca="1" si="51"/>
        <v>168</v>
      </c>
      <c r="BR49" s="43">
        <f t="shared" ca="1" si="17"/>
        <v>0.36543825091384696</v>
      </c>
      <c r="BS49" s="8">
        <v>1</v>
      </c>
      <c r="BT49" s="42">
        <f t="shared" ca="1" si="52"/>
        <v>200</v>
      </c>
    </row>
    <row r="50" spans="1:72" x14ac:dyDescent="0.2">
      <c r="A50" s="22">
        <v>44597</v>
      </c>
      <c r="B50" s="43">
        <f t="shared" ca="1" si="0"/>
        <v>0.74360566615104551</v>
      </c>
      <c r="C50" s="8">
        <v>1</v>
      </c>
      <c r="D50" s="42">
        <f t="shared" ca="1" si="18"/>
        <v>114</v>
      </c>
      <c r="F50" s="43">
        <f t="shared" ca="1" si="1"/>
        <v>0.56618870876995153</v>
      </c>
      <c r="G50" s="8">
        <v>1</v>
      </c>
      <c r="H50" s="42">
        <f t="shared" ca="1" si="36"/>
        <v>225</v>
      </c>
      <c r="J50" s="43">
        <f t="shared" ca="1" si="2"/>
        <v>9.1899881073385647E-2</v>
      </c>
      <c r="K50" s="8">
        <v>1</v>
      </c>
      <c r="L50" s="42">
        <f t="shared" ca="1" si="37"/>
        <v>97</v>
      </c>
      <c r="N50" s="43">
        <f t="shared" ca="1" si="3"/>
        <v>0.40038254409844265</v>
      </c>
      <c r="O50" s="8">
        <v>1</v>
      </c>
      <c r="P50" s="42">
        <f t="shared" ca="1" si="38"/>
        <v>214</v>
      </c>
      <c r="R50" s="43">
        <f t="shared" ca="1" si="4"/>
        <v>0.61313802286172048</v>
      </c>
      <c r="S50" s="8">
        <v>1</v>
      </c>
      <c r="T50" s="42">
        <f t="shared" ca="1" si="39"/>
        <v>150</v>
      </c>
      <c r="V50" s="43">
        <f t="shared" ca="1" si="5"/>
        <v>0.44176132806851331</v>
      </c>
      <c r="W50" s="8">
        <v>1</v>
      </c>
      <c r="X50" s="42">
        <f t="shared" ca="1" si="40"/>
        <v>217</v>
      </c>
      <c r="Z50" s="43">
        <f t="shared" ca="1" si="6"/>
        <v>0.39943601436986098</v>
      </c>
      <c r="AA50" s="8">
        <v>1</v>
      </c>
      <c r="AB50" s="42">
        <f t="shared" ca="1" si="41"/>
        <v>252</v>
      </c>
      <c r="AD50" s="43">
        <f t="shared" ca="1" si="7"/>
        <v>0.82478861861941366</v>
      </c>
      <c r="AE50" s="8">
        <v>1</v>
      </c>
      <c r="AF50" s="42">
        <f t="shared" ca="1" si="42"/>
        <v>409</v>
      </c>
      <c r="AH50" s="43">
        <f t="shared" ca="1" si="8"/>
        <v>0.41483114857809111</v>
      </c>
      <c r="AI50" s="8">
        <v>1</v>
      </c>
      <c r="AJ50" s="42">
        <f t="shared" ca="1" si="43"/>
        <v>161</v>
      </c>
      <c r="AL50" s="43">
        <f t="shared" ca="1" si="9"/>
        <v>0.1623654896491783</v>
      </c>
      <c r="AM50" s="8">
        <v>1</v>
      </c>
      <c r="AN50" s="42">
        <f t="shared" ca="1" si="44"/>
        <v>172</v>
      </c>
      <c r="AP50" s="43">
        <f t="shared" ca="1" si="10"/>
        <v>0.46758006689242326</v>
      </c>
      <c r="AQ50" s="8">
        <v>1</v>
      </c>
      <c r="AR50" s="42">
        <f t="shared" ca="1" si="45"/>
        <v>194</v>
      </c>
      <c r="AT50" s="43">
        <f t="shared" ca="1" si="11"/>
        <v>0.24805634469993709</v>
      </c>
      <c r="AU50" s="8">
        <v>1</v>
      </c>
      <c r="AV50" s="42">
        <f t="shared" ca="1" si="46"/>
        <v>169</v>
      </c>
      <c r="AX50" s="43">
        <f t="shared" ca="1" si="12"/>
        <v>0.73394514439324554</v>
      </c>
      <c r="AY50" s="8">
        <v>1</v>
      </c>
      <c r="AZ50" s="42">
        <f t="shared" ca="1" si="47"/>
        <v>273</v>
      </c>
      <c r="BB50" s="43">
        <f t="shared" ca="1" si="13"/>
        <v>0.62456712529200431</v>
      </c>
      <c r="BC50" s="8">
        <v>1</v>
      </c>
      <c r="BD50" s="42">
        <f t="shared" ca="1" si="48"/>
        <v>218</v>
      </c>
      <c r="BF50" s="43">
        <f t="shared" ca="1" si="14"/>
        <v>6.8569506647653267E-2</v>
      </c>
      <c r="BG50" s="8">
        <v>1</v>
      </c>
      <c r="BH50" s="42">
        <f t="shared" ca="1" si="49"/>
        <v>102</v>
      </c>
      <c r="BJ50" s="43">
        <f t="shared" ca="1" si="15"/>
        <v>0.29606843619480216</v>
      </c>
      <c r="BK50" s="8">
        <v>1</v>
      </c>
      <c r="BL50" s="42">
        <f t="shared" ca="1" si="50"/>
        <v>185</v>
      </c>
      <c r="BN50" s="43">
        <f t="shared" ca="1" si="16"/>
        <v>0.19627185390428359</v>
      </c>
      <c r="BO50" s="8">
        <v>1</v>
      </c>
      <c r="BP50" s="42">
        <f t="shared" ca="1" si="51"/>
        <v>125</v>
      </c>
      <c r="BR50" s="43">
        <f t="shared" ca="1" si="17"/>
        <v>0.53792498813826606</v>
      </c>
      <c r="BS50" s="8">
        <v>1</v>
      </c>
      <c r="BT50" s="42">
        <f t="shared" ca="1" si="52"/>
        <v>225</v>
      </c>
    </row>
    <row r="51" spans="1:72" x14ac:dyDescent="0.2">
      <c r="A51" s="22">
        <v>44598</v>
      </c>
      <c r="B51" s="43">
        <f t="shared" ca="1" si="0"/>
        <v>0.774544486152557</v>
      </c>
      <c r="C51" s="8">
        <v>1</v>
      </c>
      <c r="D51" s="42">
        <v>0</v>
      </c>
      <c r="F51" s="43">
        <f t="shared" ca="1" si="1"/>
        <v>0.89094423512252419</v>
      </c>
      <c r="G51" s="8">
        <v>1</v>
      </c>
      <c r="H51" s="42">
        <v>0</v>
      </c>
      <c r="J51" s="43">
        <f t="shared" ca="1" si="2"/>
        <v>0.21348169641636472</v>
      </c>
      <c r="K51" s="8">
        <v>1</v>
      </c>
      <c r="L51" s="42">
        <v>0</v>
      </c>
      <c r="N51" s="43">
        <f t="shared" ca="1" si="3"/>
        <v>0.78133555846455405</v>
      </c>
      <c r="O51" s="8">
        <v>1</v>
      </c>
      <c r="P51" s="42">
        <v>0</v>
      </c>
      <c r="R51" s="43">
        <f t="shared" ca="1" si="4"/>
        <v>0.86536558853581591</v>
      </c>
      <c r="S51" s="8">
        <v>1</v>
      </c>
      <c r="T51" s="42">
        <v>0</v>
      </c>
      <c r="V51" s="43">
        <f t="shared" ca="1" si="5"/>
        <v>7.5966914420772191E-2</v>
      </c>
      <c r="W51" s="8">
        <v>1</v>
      </c>
      <c r="X51" s="42">
        <v>0</v>
      </c>
      <c r="Z51" s="43">
        <f t="shared" ca="1" si="6"/>
        <v>0.47165822574549698</v>
      </c>
      <c r="AA51" s="8">
        <v>1</v>
      </c>
      <c r="AB51" s="42">
        <v>0</v>
      </c>
      <c r="AD51" s="43">
        <f t="shared" ca="1" si="7"/>
        <v>0.5787984751343066</v>
      </c>
      <c r="AE51" s="8">
        <v>1</v>
      </c>
      <c r="AF51" s="42">
        <v>0</v>
      </c>
      <c r="AH51" s="43">
        <f t="shared" ca="1" si="8"/>
        <v>0.5733336145124589</v>
      </c>
      <c r="AI51" s="8">
        <v>1</v>
      </c>
      <c r="AJ51" s="42">
        <v>0</v>
      </c>
      <c r="AL51" s="43">
        <f t="shared" ca="1" si="9"/>
        <v>0.69936379019954265</v>
      </c>
      <c r="AM51" s="8">
        <v>1</v>
      </c>
      <c r="AN51" s="42">
        <v>0</v>
      </c>
      <c r="AP51" s="43">
        <f t="shared" ca="1" si="10"/>
        <v>0.89748669346491705</v>
      </c>
      <c r="AQ51" s="8">
        <v>1</v>
      </c>
      <c r="AR51" s="42">
        <v>0</v>
      </c>
      <c r="AT51" s="43">
        <f t="shared" ca="1" si="11"/>
        <v>0.66846127899386121</v>
      </c>
      <c r="AU51" s="8">
        <v>1</v>
      </c>
      <c r="AV51" s="42">
        <v>0</v>
      </c>
      <c r="AX51" s="43">
        <f t="shared" ca="1" si="12"/>
        <v>0.33877678885516183</v>
      </c>
      <c r="AY51" s="8">
        <v>1</v>
      </c>
      <c r="AZ51" s="42">
        <v>0</v>
      </c>
      <c r="BB51" s="43">
        <f t="shared" ca="1" si="13"/>
        <v>2.6832144977849137E-2</v>
      </c>
      <c r="BC51" s="8">
        <v>1</v>
      </c>
      <c r="BD51" s="42">
        <v>0</v>
      </c>
      <c r="BF51" s="43">
        <f t="shared" ca="1" si="14"/>
        <v>0.10273157645839692</v>
      </c>
      <c r="BG51" s="8">
        <v>1</v>
      </c>
      <c r="BH51" s="42">
        <v>0</v>
      </c>
      <c r="BJ51" s="43">
        <f t="shared" ca="1" si="15"/>
        <v>0.94237103866324756</v>
      </c>
      <c r="BK51" s="8">
        <v>1</v>
      </c>
      <c r="BL51" s="42">
        <v>0</v>
      </c>
      <c r="BN51" s="43">
        <f t="shared" ca="1" si="16"/>
        <v>0.11062325158695507</v>
      </c>
      <c r="BO51" s="8">
        <v>1</v>
      </c>
      <c r="BP51" s="42">
        <v>0</v>
      </c>
      <c r="BR51" s="43">
        <f t="shared" ca="1" si="17"/>
        <v>0.29952156206701763</v>
      </c>
      <c r="BS51" s="8">
        <v>1</v>
      </c>
      <c r="BT51" s="42">
        <v>0</v>
      </c>
    </row>
    <row r="52" spans="1:72" x14ac:dyDescent="0.2">
      <c r="A52" s="22">
        <v>44599</v>
      </c>
      <c r="B52" s="43">
        <f t="shared" ca="1" si="0"/>
        <v>0.2916745821528669</v>
      </c>
      <c r="C52" s="8">
        <v>1</v>
      </c>
      <c r="D52" s="42">
        <v>0</v>
      </c>
      <c r="F52" s="43">
        <f t="shared" ca="1" si="1"/>
        <v>0.23051235329548847</v>
      </c>
      <c r="G52" s="8">
        <v>1</v>
      </c>
      <c r="H52" s="42">
        <v>0</v>
      </c>
      <c r="J52" s="43">
        <f t="shared" ca="1" si="2"/>
        <v>0.70442530514214607</v>
      </c>
      <c r="K52" s="8">
        <v>1</v>
      </c>
      <c r="L52" s="42">
        <v>0</v>
      </c>
      <c r="N52" s="43">
        <f t="shared" ca="1" si="3"/>
        <v>9.7106037679947077E-2</v>
      </c>
      <c r="O52" s="8">
        <v>1</v>
      </c>
      <c r="P52" s="42">
        <v>0</v>
      </c>
      <c r="R52" s="43">
        <f t="shared" ca="1" si="4"/>
        <v>0.27143985122217862</v>
      </c>
      <c r="S52" s="8">
        <v>1</v>
      </c>
      <c r="T52" s="42">
        <v>0</v>
      </c>
      <c r="V52" s="43">
        <f t="shared" ca="1" si="5"/>
        <v>0.61627948169611335</v>
      </c>
      <c r="W52" s="8">
        <v>1</v>
      </c>
      <c r="X52" s="42">
        <v>0</v>
      </c>
      <c r="Z52" s="43">
        <f t="shared" ca="1" si="6"/>
        <v>0.82014167949713346</v>
      </c>
      <c r="AA52" s="8">
        <v>1</v>
      </c>
      <c r="AB52" s="42">
        <v>0</v>
      </c>
      <c r="AD52" s="43">
        <f t="shared" ca="1" si="7"/>
        <v>0.26513503010566541</v>
      </c>
      <c r="AE52" s="8">
        <v>1</v>
      </c>
      <c r="AF52" s="42">
        <v>0</v>
      </c>
      <c r="AH52" s="43">
        <f t="shared" ca="1" si="8"/>
        <v>0.20939668972240033</v>
      </c>
      <c r="AI52" s="8">
        <v>1</v>
      </c>
      <c r="AJ52" s="42">
        <v>0</v>
      </c>
      <c r="AL52" s="43">
        <f t="shared" ca="1" si="9"/>
        <v>0.16463305469375045</v>
      </c>
      <c r="AM52" s="8">
        <v>1</v>
      </c>
      <c r="AN52" s="42">
        <v>0</v>
      </c>
      <c r="AP52" s="43">
        <f t="shared" ca="1" si="10"/>
        <v>0.8293778926681814</v>
      </c>
      <c r="AQ52" s="8">
        <v>1</v>
      </c>
      <c r="AR52" s="42">
        <v>0</v>
      </c>
      <c r="AT52" s="43">
        <f t="shared" ca="1" si="11"/>
        <v>0.81450680880366899</v>
      </c>
      <c r="AU52" s="8">
        <v>1</v>
      </c>
      <c r="AV52" s="42">
        <v>0</v>
      </c>
      <c r="AX52" s="43">
        <f t="shared" ca="1" si="12"/>
        <v>0.22503370329109429</v>
      </c>
      <c r="AY52" s="8">
        <v>1</v>
      </c>
      <c r="AZ52" s="42">
        <v>0</v>
      </c>
      <c r="BB52" s="43">
        <f t="shared" ca="1" si="13"/>
        <v>0.94287033793446084</v>
      </c>
      <c r="BC52" s="8">
        <v>1</v>
      </c>
      <c r="BD52" s="42">
        <v>0</v>
      </c>
      <c r="BF52" s="43">
        <f t="shared" ca="1" si="14"/>
        <v>0.65955017786612169</v>
      </c>
      <c r="BG52" s="8">
        <v>1</v>
      </c>
      <c r="BH52" s="42">
        <v>0</v>
      </c>
      <c r="BJ52" s="43">
        <f t="shared" ca="1" si="15"/>
        <v>0.23510331843676835</v>
      </c>
      <c r="BK52" s="8">
        <v>1</v>
      </c>
      <c r="BL52" s="42">
        <v>0</v>
      </c>
      <c r="BN52" s="43">
        <f t="shared" ca="1" si="16"/>
        <v>0.65712185811055179</v>
      </c>
      <c r="BO52" s="8">
        <v>1</v>
      </c>
      <c r="BP52" s="42">
        <v>0</v>
      </c>
      <c r="BR52" s="43">
        <f t="shared" ca="1" si="17"/>
        <v>0.86541865102592419</v>
      </c>
      <c r="BS52" s="8">
        <v>1</v>
      </c>
      <c r="BT52" s="42">
        <v>0</v>
      </c>
    </row>
    <row r="53" spans="1:72" x14ac:dyDescent="0.2">
      <c r="A53" s="22">
        <v>44600</v>
      </c>
      <c r="B53" s="43">
        <f t="shared" ca="1" si="0"/>
        <v>0.61080850760357452</v>
      </c>
      <c r="C53" s="8">
        <v>1</v>
      </c>
      <c r="D53" s="42">
        <v>0</v>
      </c>
      <c r="F53" s="43">
        <f t="shared" ca="1" si="1"/>
        <v>0.72944009541530308</v>
      </c>
      <c r="G53" s="8">
        <v>1</v>
      </c>
      <c r="H53" s="42">
        <v>0</v>
      </c>
      <c r="J53" s="43">
        <f t="shared" ca="1" si="2"/>
        <v>0.47209277881233769</v>
      </c>
      <c r="K53" s="8">
        <v>1</v>
      </c>
      <c r="L53" s="42">
        <v>0</v>
      </c>
      <c r="N53" s="43">
        <f t="shared" ca="1" si="3"/>
        <v>0.69714452662313742</v>
      </c>
      <c r="O53" s="8">
        <v>1</v>
      </c>
      <c r="P53" s="42">
        <v>0</v>
      </c>
      <c r="R53" s="43">
        <f t="shared" ca="1" si="4"/>
        <v>0.50936990832272599</v>
      </c>
      <c r="S53" s="8">
        <v>1</v>
      </c>
      <c r="T53" s="42">
        <v>0</v>
      </c>
      <c r="V53" s="43">
        <f t="shared" ca="1" si="5"/>
        <v>0.64966903727113445</v>
      </c>
      <c r="W53" s="8">
        <v>1</v>
      </c>
      <c r="X53" s="42">
        <v>0</v>
      </c>
      <c r="Z53" s="43">
        <f t="shared" ca="1" si="6"/>
        <v>0.95251770827088333</v>
      </c>
      <c r="AA53" s="8">
        <v>1</v>
      </c>
      <c r="AB53" s="42">
        <v>0</v>
      </c>
      <c r="AD53" s="43">
        <f t="shared" ca="1" si="7"/>
        <v>0.63780095314283469</v>
      </c>
      <c r="AE53" s="8">
        <v>1</v>
      </c>
      <c r="AF53" s="42">
        <v>0</v>
      </c>
      <c r="AH53" s="43">
        <f t="shared" ca="1" si="8"/>
        <v>0.66044410036231094</v>
      </c>
      <c r="AI53" s="8">
        <v>1</v>
      </c>
      <c r="AJ53" s="42">
        <v>0</v>
      </c>
      <c r="AL53" s="43">
        <f t="shared" ca="1" si="9"/>
        <v>0.20729026264866945</v>
      </c>
      <c r="AM53" s="8">
        <v>1</v>
      </c>
      <c r="AN53" s="42">
        <v>0</v>
      </c>
      <c r="AP53" s="43">
        <f t="shared" ca="1" si="10"/>
        <v>0.99188150230847272</v>
      </c>
      <c r="AQ53" s="8">
        <v>1</v>
      </c>
      <c r="AR53" s="42">
        <v>0</v>
      </c>
      <c r="AT53" s="43">
        <f t="shared" ca="1" si="11"/>
        <v>0.69051157586566658</v>
      </c>
      <c r="AU53" s="8">
        <v>1</v>
      </c>
      <c r="AV53" s="42">
        <v>0</v>
      </c>
      <c r="AX53" s="43">
        <f t="shared" ca="1" si="12"/>
        <v>0.80618391102623166</v>
      </c>
      <c r="AY53" s="8">
        <v>1</v>
      </c>
      <c r="AZ53" s="42">
        <v>0</v>
      </c>
      <c r="BB53" s="43">
        <f t="shared" ca="1" si="13"/>
        <v>6.251242446655414E-2</v>
      </c>
      <c r="BC53" s="8">
        <v>1</v>
      </c>
      <c r="BD53" s="42">
        <v>0</v>
      </c>
      <c r="BF53" s="43">
        <f t="shared" ca="1" si="14"/>
        <v>0.58058736493929564</v>
      </c>
      <c r="BG53" s="8">
        <v>1</v>
      </c>
      <c r="BH53" s="42">
        <v>0</v>
      </c>
      <c r="BJ53" s="43">
        <f t="shared" ca="1" si="15"/>
        <v>0.17292083019988003</v>
      </c>
      <c r="BK53" s="8">
        <v>1</v>
      </c>
      <c r="BL53" s="42">
        <v>0</v>
      </c>
      <c r="BN53" s="43">
        <f t="shared" ca="1" si="16"/>
        <v>0.13692014261446206</v>
      </c>
      <c r="BO53" s="8">
        <v>1</v>
      </c>
      <c r="BP53" s="42">
        <v>0</v>
      </c>
      <c r="BR53" s="43">
        <f t="shared" ca="1" si="17"/>
        <v>0.75518736809604603</v>
      </c>
      <c r="BS53" s="8">
        <v>1</v>
      </c>
      <c r="BT53" s="42">
        <v>0</v>
      </c>
    </row>
    <row r="54" spans="1:72" x14ac:dyDescent="0.2">
      <c r="A54" s="22">
        <v>44601</v>
      </c>
      <c r="B54" s="43">
        <f t="shared" ca="1" si="0"/>
        <v>0.63012171903542236</v>
      </c>
      <c r="C54" s="8">
        <v>1</v>
      </c>
      <c r="D54" s="42">
        <v>0</v>
      </c>
      <c r="F54" s="43">
        <f t="shared" ca="1" si="1"/>
        <v>0.72858447717212127</v>
      </c>
      <c r="G54" s="8">
        <v>1</v>
      </c>
      <c r="H54" s="42">
        <v>0</v>
      </c>
      <c r="J54" s="43">
        <f t="shared" ca="1" si="2"/>
        <v>0.85698085718325923</v>
      </c>
      <c r="K54" s="8">
        <v>1</v>
      </c>
      <c r="L54" s="42">
        <v>0</v>
      </c>
      <c r="N54" s="43">
        <f t="shared" ca="1" si="3"/>
        <v>0.61746995657274972</v>
      </c>
      <c r="O54" s="8">
        <v>1</v>
      </c>
      <c r="P54" s="42">
        <v>0</v>
      </c>
      <c r="R54" s="43">
        <f t="shared" ca="1" si="4"/>
        <v>0.68977269568409294</v>
      </c>
      <c r="S54" s="8">
        <v>1</v>
      </c>
      <c r="T54" s="42">
        <v>0</v>
      </c>
      <c r="V54" s="43">
        <f t="shared" ca="1" si="5"/>
        <v>0.90422800680302484</v>
      </c>
      <c r="W54" s="8">
        <v>1</v>
      </c>
      <c r="X54" s="42">
        <v>0</v>
      </c>
      <c r="Z54" s="43">
        <f t="shared" ca="1" si="6"/>
        <v>0.20570386137138985</v>
      </c>
      <c r="AA54" s="8">
        <v>1</v>
      </c>
      <c r="AB54" s="42">
        <v>0</v>
      </c>
      <c r="AD54" s="43">
        <f t="shared" ca="1" si="7"/>
        <v>8.3838471420444538E-2</v>
      </c>
      <c r="AE54" s="8">
        <v>1</v>
      </c>
      <c r="AF54" s="42">
        <v>0</v>
      </c>
      <c r="AH54" s="43">
        <f t="shared" ca="1" si="8"/>
        <v>0.96220223158481455</v>
      </c>
      <c r="AI54" s="8">
        <v>1</v>
      </c>
      <c r="AJ54" s="42">
        <v>0</v>
      </c>
      <c r="AL54" s="43">
        <f t="shared" ca="1" si="9"/>
        <v>0.89402226340912949</v>
      </c>
      <c r="AM54" s="8">
        <v>1</v>
      </c>
      <c r="AN54" s="42">
        <v>0</v>
      </c>
      <c r="AP54" s="43">
        <f t="shared" ca="1" si="10"/>
        <v>0.82497864631461904</v>
      </c>
      <c r="AQ54" s="8">
        <v>1</v>
      </c>
      <c r="AR54" s="42">
        <v>0</v>
      </c>
      <c r="AT54" s="43">
        <f t="shared" ca="1" si="11"/>
        <v>0.8684208478494343</v>
      </c>
      <c r="AU54" s="8">
        <v>1</v>
      </c>
      <c r="AV54" s="42">
        <v>0</v>
      </c>
      <c r="AX54" s="43">
        <f t="shared" ca="1" si="12"/>
        <v>0.30274741526869953</v>
      </c>
      <c r="AY54" s="8">
        <v>1</v>
      </c>
      <c r="AZ54" s="42">
        <v>0</v>
      </c>
      <c r="BB54" s="43">
        <f t="shared" ca="1" si="13"/>
        <v>0.83299246220257372</v>
      </c>
      <c r="BC54" s="8">
        <v>1</v>
      </c>
      <c r="BD54" s="42">
        <v>0</v>
      </c>
      <c r="BF54" s="43">
        <f t="shared" ca="1" si="14"/>
        <v>3.0174052443550647E-2</v>
      </c>
      <c r="BG54" s="8">
        <v>1</v>
      </c>
      <c r="BH54" s="42">
        <v>0</v>
      </c>
      <c r="BJ54" s="43">
        <f t="shared" ca="1" si="15"/>
        <v>0.42287555782787967</v>
      </c>
      <c r="BK54" s="8">
        <v>1</v>
      </c>
      <c r="BL54" s="42">
        <v>0</v>
      </c>
      <c r="BN54" s="43">
        <f t="shared" ca="1" si="16"/>
        <v>0.64739451862390773</v>
      </c>
      <c r="BO54" s="8">
        <v>1</v>
      </c>
      <c r="BP54" s="42">
        <v>0</v>
      </c>
      <c r="BR54" s="43">
        <f t="shared" ca="1" si="17"/>
        <v>0.69398251126417965</v>
      </c>
      <c r="BS54" s="8">
        <v>1</v>
      </c>
      <c r="BT54" s="42">
        <v>0</v>
      </c>
    </row>
    <row r="55" spans="1:72" x14ac:dyDescent="0.2">
      <c r="A55" s="22">
        <v>44602</v>
      </c>
      <c r="B55" s="43">
        <f t="shared" ca="1" si="0"/>
        <v>0.99987875043332852</v>
      </c>
      <c r="C55" s="8">
        <v>1</v>
      </c>
      <c r="D55" s="42">
        <v>0</v>
      </c>
      <c r="F55" s="43">
        <f t="shared" ca="1" si="1"/>
        <v>9.5332045991995629E-2</v>
      </c>
      <c r="G55" s="8">
        <v>1</v>
      </c>
      <c r="H55" s="42">
        <v>0</v>
      </c>
      <c r="J55" s="43">
        <f t="shared" ca="1" si="2"/>
        <v>0.79030408423927545</v>
      </c>
      <c r="K55" s="8">
        <v>1</v>
      </c>
      <c r="L55" s="42">
        <v>0</v>
      </c>
      <c r="N55" s="43">
        <f t="shared" ca="1" si="3"/>
        <v>6.2638641303374598E-2</v>
      </c>
      <c r="O55" s="8">
        <v>1</v>
      </c>
      <c r="P55" s="42">
        <v>0</v>
      </c>
      <c r="R55" s="43">
        <f t="shared" ca="1" si="4"/>
        <v>0.83334758658420138</v>
      </c>
      <c r="S55" s="8">
        <v>1</v>
      </c>
      <c r="T55" s="42">
        <v>0</v>
      </c>
      <c r="V55" s="43">
        <f t="shared" ca="1" si="5"/>
        <v>0.97865496612110014</v>
      </c>
      <c r="W55" s="8">
        <v>1</v>
      </c>
      <c r="X55" s="42">
        <v>0</v>
      </c>
      <c r="Z55" s="43">
        <f t="shared" ca="1" si="6"/>
        <v>0.74852294390815732</v>
      </c>
      <c r="AA55" s="8">
        <v>1</v>
      </c>
      <c r="AB55" s="42">
        <v>0</v>
      </c>
      <c r="AD55" s="43">
        <f t="shared" ca="1" si="7"/>
        <v>0.20097225653416517</v>
      </c>
      <c r="AE55" s="8">
        <v>1</v>
      </c>
      <c r="AF55" s="42">
        <v>0</v>
      </c>
      <c r="AH55" s="43">
        <f t="shared" ca="1" si="8"/>
        <v>0.65519058219836723</v>
      </c>
      <c r="AI55" s="8">
        <v>1</v>
      </c>
      <c r="AJ55" s="42">
        <v>0</v>
      </c>
      <c r="AL55" s="43">
        <f t="shared" ca="1" si="9"/>
        <v>1.2033254475657063E-2</v>
      </c>
      <c r="AM55" s="8">
        <v>1</v>
      </c>
      <c r="AN55" s="42">
        <v>0</v>
      </c>
      <c r="AP55" s="43">
        <f t="shared" ca="1" si="10"/>
        <v>7.7062982974608452E-2</v>
      </c>
      <c r="AQ55" s="8">
        <v>1</v>
      </c>
      <c r="AR55" s="42">
        <v>0</v>
      </c>
      <c r="AT55" s="43">
        <f t="shared" ca="1" si="11"/>
        <v>0.59189551827145126</v>
      </c>
      <c r="AU55" s="8">
        <v>1</v>
      </c>
      <c r="AV55" s="42">
        <v>0</v>
      </c>
      <c r="AX55" s="43">
        <f t="shared" ca="1" si="12"/>
        <v>0.23853275346393876</v>
      </c>
      <c r="AY55" s="8">
        <v>1</v>
      </c>
      <c r="AZ55" s="42">
        <v>0</v>
      </c>
      <c r="BB55" s="43">
        <f t="shared" ca="1" si="13"/>
        <v>0.33754237610248106</v>
      </c>
      <c r="BC55" s="8">
        <v>1</v>
      </c>
      <c r="BD55" s="42">
        <v>0</v>
      </c>
      <c r="BF55" s="43">
        <f t="shared" ca="1" si="14"/>
        <v>0.70139595011428391</v>
      </c>
      <c r="BG55" s="8">
        <v>1</v>
      </c>
      <c r="BH55" s="42">
        <v>0</v>
      </c>
      <c r="BJ55" s="43">
        <f t="shared" ca="1" si="15"/>
        <v>0.35588550422508813</v>
      </c>
      <c r="BK55" s="8">
        <v>1</v>
      </c>
      <c r="BL55" s="42">
        <v>0</v>
      </c>
      <c r="BN55" s="43">
        <f t="shared" ca="1" si="16"/>
        <v>0.38686934374057957</v>
      </c>
      <c r="BO55" s="8">
        <v>1</v>
      </c>
      <c r="BP55" s="42">
        <v>0</v>
      </c>
      <c r="BR55" s="43">
        <f t="shared" ca="1" si="17"/>
        <v>0.5883832250508938</v>
      </c>
      <c r="BS55" s="8">
        <v>1</v>
      </c>
      <c r="BT55" s="42">
        <v>0</v>
      </c>
    </row>
    <row r="56" spans="1:72" x14ac:dyDescent="0.2">
      <c r="A56" s="22">
        <v>44603</v>
      </c>
      <c r="B56" s="43">
        <f t="shared" ca="1" si="0"/>
        <v>5.2004642471571327E-2</v>
      </c>
      <c r="C56" s="8">
        <v>1</v>
      </c>
      <c r="D56" s="42">
        <v>0</v>
      </c>
      <c r="F56" s="43">
        <f t="shared" ca="1" si="1"/>
        <v>2.4688114747338563E-2</v>
      </c>
      <c r="G56" s="8">
        <v>1</v>
      </c>
      <c r="H56" s="42">
        <v>0</v>
      </c>
      <c r="J56" s="43">
        <f t="shared" ca="1" si="2"/>
        <v>0.27120323267362445</v>
      </c>
      <c r="K56" s="8">
        <v>1</v>
      </c>
      <c r="L56" s="42">
        <v>0</v>
      </c>
      <c r="N56" s="43">
        <f t="shared" ca="1" si="3"/>
        <v>0.94116760651429099</v>
      </c>
      <c r="O56" s="8">
        <v>1</v>
      </c>
      <c r="P56" s="42">
        <v>0</v>
      </c>
      <c r="R56" s="43">
        <f t="shared" ca="1" si="4"/>
        <v>0.92143493530122644</v>
      </c>
      <c r="S56" s="8">
        <v>1</v>
      </c>
      <c r="T56" s="42">
        <v>0</v>
      </c>
      <c r="V56" s="43">
        <f t="shared" ca="1" si="5"/>
        <v>0.92971082360842761</v>
      </c>
      <c r="W56" s="8">
        <v>1</v>
      </c>
      <c r="X56" s="42">
        <v>0</v>
      </c>
      <c r="Z56" s="43">
        <f t="shared" ca="1" si="6"/>
        <v>0.72184437621823716</v>
      </c>
      <c r="AA56" s="8">
        <v>1</v>
      </c>
      <c r="AB56" s="42">
        <v>0</v>
      </c>
      <c r="AD56" s="43">
        <f t="shared" ca="1" si="7"/>
        <v>0.59266635829831193</v>
      </c>
      <c r="AE56" s="8">
        <v>1</v>
      </c>
      <c r="AF56" s="42">
        <v>0</v>
      </c>
      <c r="AH56" s="43">
        <f t="shared" ca="1" si="8"/>
        <v>0.86080827921775471</v>
      </c>
      <c r="AI56" s="8">
        <v>1</v>
      </c>
      <c r="AJ56" s="42">
        <v>0</v>
      </c>
      <c r="AL56" s="43">
        <f t="shared" ca="1" si="9"/>
        <v>8.9476446817558508E-2</v>
      </c>
      <c r="AM56" s="8">
        <v>1</v>
      </c>
      <c r="AN56" s="42">
        <v>0</v>
      </c>
      <c r="AP56" s="43">
        <f t="shared" ca="1" si="10"/>
        <v>0.39342296127350496</v>
      </c>
      <c r="AQ56" s="8">
        <v>1</v>
      </c>
      <c r="AR56" s="42">
        <v>0</v>
      </c>
      <c r="AT56" s="43">
        <f t="shared" ca="1" si="11"/>
        <v>0.42807166955919362</v>
      </c>
      <c r="AU56" s="8">
        <v>1</v>
      </c>
      <c r="AV56" s="42">
        <v>0</v>
      </c>
      <c r="AX56" s="43">
        <f t="shared" ca="1" si="12"/>
        <v>0.9003712525215638</v>
      </c>
      <c r="AY56" s="8">
        <v>1</v>
      </c>
      <c r="AZ56" s="42">
        <v>0</v>
      </c>
      <c r="BB56" s="43">
        <f t="shared" ca="1" si="13"/>
        <v>0.71513529232321027</v>
      </c>
      <c r="BC56" s="8">
        <v>1</v>
      </c>
      <c r="BD56" s="42">
        <v>0</v>
      </c>
      <c r="BF56" s="43">
        <f t="shared" ca="1" si="14"/>
        <v>0.33452152309780903</v>
      </c>
      <c r="BG56" s="8">
        <v>1</v>
      </c>
      <c r="BH56" s="42">
        <v>0</v>
      </c>
      <c r="BJ56" s="43">
        <f t="shared" ca="1" si="15"/>
        <v>0.54324461007576019</v>
      </c>
      <c r="BK56" s="8">
        <v>1</v>
      </c>
      <c r="BL56" s="42">
        <v>0</v>
      </c>
      <c r="BN56" s="43">
        <f t="shared" ca="1" si="16"/>
        <v>4.4278085002694367E-2</v>
      </c>
      <c r="BO56" s="8">
        <v>1</v>
      </c>
      <c r="BP56" s="42">
        <v>0</v>
      </c>
      <c r="BR56" s="43">
        <f t="shared" ca="1" si="17"/>
        <v>0.57257622368340222</v>
      </c>
      <c r="BS56" s="8">
        <v>1</v>
      </c>
      <c r="BT56" s="42">
        <v>0</v>
      </c>
    </row>
    <row r="57" spans="1:72" x14ac:dyDescent="0.2">
      <c r="A57" s="22">
        <v>44604</v>
      </c>
      <c r="B57" s="43">
        <f t="shared" ca="1" si="0"/>
        <v>0.76301783622797237</v>
      </c>
      <c r="C57" s="8">
        <v>1</v>
      </c>
      <c r="D57" s="42">
        <v>0</v>
      </c>
      <c r="F57" s="43">
        <f t="shared" ca="1" si="1"/>
        <v>0.3570271852640976</v>
      </c>
      <c r="G57" s="8">
        <v>1</v>
      </c>
      <c r="H57" s="42">
        <v>0</v>
      </c>
      <c r="J57" s="43">
        <f t="shared" ca="1" si="2"/>
        <v>0.89776210972858606</v>
      </c>
      <c r="K57" s="8">
        <v>1</v>
      </c>
      <c r="L57" s="42">
        <v>0</v>
      </c>
      <c r="N57" s="43">
        <f t="shared" ca="1" si="3"/>
        <v>0.17528953978132567</v>
      </c>
      <c r="O57" s="8">
        <v>1</v>
      </c>
      <c r="P57" s="42">
        <v>0</v>
      </c>
      <c r="R57" s="43">
        <f t="shared" ca="1" si="4"/>
        <v>0.44892744460356315</v>
      </c>
      <c r="S57" s="8">
        <v>1</v>
      </c>
      <c r="T57" s="42">
        <v>0</v>
      </c>
      <c r="V57" s="43">
        <f t="shared" ca="1" si="5"/>
        <v>0.19068413340022095</v>
      </c>
      <c r="W57" s="8">
        <v>1</v>
      </c>
      <c r="X57" s="42">
        <v>0</v>
      </c>
      <c r="Z57" s="43">
        <f t="shared" ca="1" si="6"/>
        <v>0.28322610755026922</v>
      </c>
      <c r="AA57" s="8">
        <v>1</v>
      </c>
      <c r="AB57" s="42">
        <v>0</v>
      </c>
      <c r="AD57" s="43">
        <f t="shared" ca="1" si="7"/>
        <v>0.56499389144609813</v>
      </c>
      <c r="AE57" s="8">
        <v>1</v>
      </c>
      <c r="AF57" s="42">
        <v>0</v>
      </c>
      <c r="AH57" s="43">
        <f t="shared" ca="1" si="8"/>
        <v>0.8671915399603517</v>
      </c>
      <c r="AI57" s="8">
        <v>1</v>
      </c>
      <c r="AJ57" s="42">
        <v>0</v>
      </c>
      <c r="AL57" s="43">
        <f t="shared" ca="1" si="9"/>
        <v>0.41979551731364928</v>
      </c>
      <c r="AM57" s="8">
        <v>1</v>
      </c>
      <c r="AN57" s="42">
        <v>0</v>
      </c>
      <c r="AP57" s="43">
        <f t="shared" ca="1" si="10"/>
        <v>0.2025480157094105</v>
      </c>
      <c r="AQ57" s="8">
        <v>1</v>
      </c>
      <c r="AR57" s="42">
        <v>0</v>
      </c>
      <c r="AT57" s="43">
        <f t="shared" ca="1" si="11"/>
        <v>0.76634291876728566</v>
      </c>
      <c r="AU57" s="8">
        <v>1</v>
      </c>
      <c r="AV57" s="42">
        <v>0</v>
      </c>
      <c r="AX57" s="43">
        <f t="shared" ca="1" si="12"/>
        <v>0.73547565716421326</v>
      </c>
      <c r="AY57" s="8">
        <v>1</v>
      </c>
      <c r="AZ57" s="42">
        <v>0</v>
      </c>
      <c r="BB57" s="43">
        <f t="shared" ca="1" si="13"/>
        <v>0.38488953130078618</v>
      </c>
      <c r="BC57" s="8">
        <v>1</v>
      </c>
      <c r="BD57" s="42">
        <v>0</v>
      </c>
      <c r="BF57" s="43">
        <f t="shared" ca="1" si="14"/>
        <v>0.5135351507514947</v>
      </c>
      <c r="BG57" s="8">
        <v>1</v>
      </c>
      <c r="BH57" s="42">
        <v>0</v>
      </c>
      <c r="BJ57" s="43">
        <f t="shared" ca="1" si="15"/>
        <v>0.10404585567763447</v>
      </c>
      <c r="BK57" s="8">
        <v>1</v>
      </c>
      <c r="BL57" s="42">
        <v>0</v>
      </c>
      <c r="BN57" s="43">
        <f t="shared" ca="1" si="16"/>
        <v>0.66633295712702145</v>
      </c>
      <c r="BO57" s="8">
        <v>1</v>
      </c>
      <c r="BP57" s="42">
        <v>0</v>
      </c>
      <c r="BR57" s="43">
        <f t="shared" ca="1" si="17"/>
        <v>0.654779914633839</v>
      </c>
      <c r="BS57" s="8">
        <v>1</v>
      </c>
      <c r="BT57" s="42">
        <v>0</v>
      </c>
    </row>
    <row r="58" spans="1:72" x14ac:dyDescent="0.2">
      <c r="A58" s="22">
        <v>44605</v>
      </c>
      <c r="B58" s="43">
        <f t="shared" ca="1" si="0"/>
        <v>0.28325347067588114</v>
      </c>
      <c r="C58" s="8">
        <v>1</v>
      </c>
      <c r="D58" s="42">
        <v>0</v>
      </c>
      <c r="F58" s="43">
        <f t="shared" ca="1" si="1"/>
        <v>0.53991653418972807</v>
      </c>
      <c r="G58" s="8">
        <v>1</v>
      </c>
      <c r="H58" s="42">
        <v>0</v>
      </c>
      <c r="J58" s="43">
        <f t="shared" ca="1" si="2"/>
        <v>0.54228304798591243</v>
      </c>
      <c r="K58" s="8">
        <v>1</v>
      </c>
      <c r="L58" s="42">
        <v>0</v>
      </c>
      <c r="N58" s="43">
        <f t="shared" ca="1" si="3"/>
        <v>0.22308127170155045</v>
      </c>
      <c r="O58" s="8">
        <v>1</v>
      </c>
      <c r="P58" s="42">
        <v>0</v>
      </c>
      <c r="R58" s="43">
        <f t="shared" ca="1" si="4"/>
        <v>0.74932955110422383</v>
      </c>
      <c r="S58" s="8">
        <v>1</v>
      </c>
      <c r="T58" s="42">
        <v>0</v>
      </c>
      <c r="V58" s="43">
        <f t="shared" ca="1" si="5"/>
        <v>0.14726043140754008</v>
      </c>
      <c r="W58" s="8">
        <v>1</v>
      </c>
      <c r="X58" s="42">
        <v>0</v>
      </c>
      <c r="Z58" s="43">
        <f t="shared" ca="1" si="6"/>
        <v>0.98720863656087343</v>
      </c>
      <c r="AA58" s="8">
        <v>1</v>
      </c>
      <c r="AB58" s="42">
        <v>0</v>
      </c>
      <c r="AD58" s="43">
        <f t="shared" ca="1" si="7"/>
        <v>0.71492781121210569</v>
      </c>
      <c r="AE58" s="8">
        <v>1</v>
      </c>
      <c r="AF58" s="42">
        <v>0</v>
      </c>
      <c r="AH58" s="43">
        <f t="shared" ca="1" si="8"/>
        <v>0.44284880899478107</v>
      </c>
      <c r="AI58" s="8">
        <v>1</v>
      </c>
      <c r="AJ58" s="42">
        <v>0</v>
      </c>
      <c r="AL58" s="43">
        <f t="shared" ca="1" si="9"/>
        <v>0.8992386616180017</v>
      </c>
      <c r="AM58" s="8">
        <v>1</v>
      </c>
      <c r="AN58" s="42">
        <v>0</v>
      </c>
      <c r="AP58" s="43">
        <f t="shared" ca="1" si="10"/>
        <v>0.4797622694099557</v>
      </c>
      <c r="AQ58" s="8">
        <v>1</v>
      </c>
      <c r="AR58" s="42">
        <v>0</v>
      </c>
      <c r="AT58" s="43">
        <f t="shared" ca="1" si="11"/>
        <v>0.3785174332339678</v>
      </c>
      <c r="AU58" s="8">
        <v>1</v>
      </c>
      <c r="AV58" s="42">
        <v>0</v>
      </c>
      <c r="AX58" s="43">
        <f t="shared" ca="1" si="12"/>
        <v>0.43993895928238469</v>
      </c>
      <c r="AY58" s="8">
        <v>1</v>
      </c>
      <c r="AZ58" s="42">
        <v>0</v>
      </c>
      <c r="BB58" s="43">
        <f t="shared" ca="1" si="13"/>
        <v>0.43361707672757288</v>
      </c>
      <c r="BC58" s="8">
        <v>1</v>
      </c>
      <c r="BD58" s="42">
        <v>0</v>
      </c>
      <c r="BF58" s="43">
        <f t="shared" ca="1" si="14"/>
        <v>0.47294636327501449</v>
      </c>
      <c r="BG58" s="8">
        <v>1</v>
      </c>
      <c r="BH58" s="42">
        <v>0</v>
      </c>
      <c r="BJ58" s="43">
        <f t="shared" ca="1" si="15"/>
        <v>0.42973865829843427</v>
      </c>
      <c r="BK58" s="8">
        <v>1</v>
      </c>
      <c r="BL58" s="42">
        <v>0</v>
      </c>
      <c r="BN58" s="43">
        <f t="shared" ca="1" si="16"/>
        <v>0.20214782692033006</v>
      </c>
      <c r="BO58" s="8">
        <v>1</v>
      </c>
      <c r="BP58" s="42">
        <v>0</v>
      </c>
      <c r="BR58" s="43">
        <f t="shared" ca="1" si="17"/>
        <v>0.74588572320079161</v>
      </c>
      <c r="BS58" s="8">
        <v>1</v>
      </c>
      <c r="BT58" s="42">
        <v>0</v>
      </c>
    </row>
    <row r="59" spans="1:72" x14ac:dyDescent="0.2">
      <c r="A59" s="22">
        <v>44606</v>
      </c>
      <c r="B59" s="43">
        <f t="shared" ca="1" si="0"/>
        <v>0.69706290838806262</v>
      </c>
      <c r="C59" s="8">
        <v>1</v>
      </c>
      <c r="D59" s="42">
        <v>0</v>
      </c>
      <c r="F59" s="43">
        <f t="shared" ca="1" si="1"/>
        <v>0.99279237996373715</v>
      </c>
      <c r="G59" s="8">
        <v>1</v>
      </c>
      <c r="H59" s="42">
        <v>0</v>
      </c>
      <c r="J59" s="43">
        <f t="shared" ca="1" si="2"/>
        <v>0.4123221673941766</v>
      </c>
      <c r="K59" s="8">
        <v>1</v>
      </c>
      <c r="L59" s="42">
        <v>0</v>
      </c>
      <c r="N59" s="43">
        <f t="shared" ca="1" si="3"/>
        <v>0.36044473898025919</v>
      </c>
      <c r="O59" s="8">
        <v>1</v>
      </c>
      <c r="P59" s="42">
        <v>0</v>
      </c>
      <c r="R59" s="43">
        <f t="shared" ca="1" si="4"/>
        <v>0.55995923222103283</v>
      </c>
      <c r="S59" s="8">
        <v>1</v>
      </c>
      <c r="T59" s="42">
        <v>0</v>
      </c>
      <c r="V59" s="43">
        <f t="shared" ca="1" si="5"/>
        <v>0.44059972808664372</v>
      </c>
      <c r="W59" s="8">
        <v>1</v>
      </c>
      <c r="X59" s="42">
        <v>0</v>
      </c>
      <c r="Z59" s="43">
        <f t="shared" ca="1" si="6"/>
        <v>0.80999649603226098</v>
      </c>
      <c r="AA59" s="8">
        <v>1</v>
      </c>
      <c r="AB59" s="42">
        <v>0</v>
      </c>
      <c r="AD59" s="43">
        <f t="shared" ca="1" si="7"/>
        <v>5.0742638906530746E-2</v>
      </c>
      <c r="AE59" s="8">
        <v>1</v>
      </c>
      <c r="AF59" s="42">
        <v>0</v>
      </c>
      <c r="AH59" s="43">
        <f t="shared" ca="1" si="8"/>
        <v>0.98163620902221749</v>
      </c>
      <c r="AI59" s="8">
        <v>1</v>
      </c>
      <c r="AJ59" s="42">
        <v>0</v>
      </c>
      <c r="AL59" s="43">
        <f t="shared" ca="1" si="9"/>
        <v>0.31288158019819612</v>
      </c>
      <c r="AM59" s="8">
        <v>1</v>
      </c>
      <c r="AN59" s="42">
        <v>0</v>
      </c>
      <c r="AP59" s="43">
        <f t="shared" ca="1" si="10"/>
        <v>0.16667116007931071</v>
      </c>
      <c r="AQ59" s="8">
        <v>1</v>
      </c>
      <c r="AR59" s="42">
        <v>0</v>
      </c>
      <c r="AT59" s="43">
        <f t="shared" ca="1" si="11"/>
        <v>0.77919607126724644</v>
      </c>
      <c r="AU59" s="8">
        <v>1</v>
      </c>
      <c r="AV59" s="42">
        <v>0</v>
      </c>
      <c r="AX59" s="43">
        <f t="shared" ca="1" si="12"/>
        <v>0.48270122565348295</v>
      </c>
      <c r="AY59" s="8">
        <v>1</v>
      </c>
      <c r="AZ59" s="42">
        <v>0</v>
      </c>
      <c r="BB59" s="43">
        <f t="shared" ca="1" si="13"/>
        <v>0.17409908987738332</v>
      </c>
      <c r="BC59" s="8">
        <v>1</v>
      </c>
      <c r="BD59" s="42">
        <v>0</v>
      </c>
      <c r="BF59" s="43">
        <f t="shared" ca="1" si="14"/>
        <v>0.65233584047506465</v>
      </c>
      <c r="BG59" s="8">
        <v>1</v>
      </c>
      <c r="BH59" s="42">
        <v>0</v>
      </c>
      <c r="BJ59" s="43">
        <f t="shared" ca="1" si="15"/>
        <v>0.40147088813013498</v>
      </c>
      <c r="BK59" s="8">
        <v>1</v>
      </c>
      <c r="BL59" s="42">
        <v>0</v>
      </c>
      <c r="BN59" s="43">
        <f t="shared" ca="1" si="16"/>
        <v>0.84862140161539079</v>
      </c>
      <c r="BO59" s="8">
        <v>1</v>
      </c>
      <c r="BP59" s="42">
        <v>0</v>
      </c>
      <c r="BR59" s="43">
        <f t="shared" ca="1" si="17"/>
        <v>0.22300764831178255</v>
      </c>
      <c r="BS59" s="8">
        <v>1</v>
      </c>
      <c r="BT59" s="42">
        <v>0</v>
      </c>
    </row>
    <row r="60" spans="1:72" x14ac:dyDescent="0.2">
      <c r="A60" s="22">
        <v>44607</v>
      </c>
      <c r="B60" s="43">
        <f t="shared" ca="1" si="0"/>
        <v>0.16272394248627742</v>
      </c>
      <c r="C60" s="8">
        <v>1</v>
      </c>
      <c r="D60" s="42">
        <f t="shared" ref="D60:D113" ca="1" si="53">ROUNDUP(_xlfn.NORM.INV(B60,C$4*C60,C$6*C60),0)</f>
        <v>81</v>
      </c>
      <c r="F60" s="43">
        <f t="shared" ca="1" si="1"/>
        <v>0.50492739174417545</v>
      </c>
      <c r="G60" s="8">
        <v>1</v>
      </c>
      <c r="H60" s="42">
        <f t="shared" ref="H60:H113" ca="1" si="54">ROUNDUP(_xlfn.NORM.INV(F60,G$4*G60,G$6*G60),0)</f>
        <v>217</v>
      </c>
      <c r="J60" s="43">
        <f t="shared" ca="1" si="2"/>
        <v>0.37236816664052941</v>
      </c>
      <c r="K60" s="8">
        <v>1</v>
      </c>
      <c r="L60" s="42">
        <f t="shared" ref="L60:L113" ca="1" si="55">ROUNDUP(_xlfn.NORM.INV(J60,K$4*K60,K$6*K60),0)</f>
        <v>137</v>
      </c>
      <c r="N60" s="43">
        <f t="shared" ca="1" si="3"/>
        <v>0.85796329180971298</v>
      </c>
      <c r="O60" s="8">
        <v>1</v>
      </c>
      <c r="P60" s="42">
        <f t="shared" ref="P60:P113" ca="1" si="56">ROUNDUP(_xlfn.NORM.INV(N60,O$4*O60,O$6*O60),0)</f>
        <v>295</v>
      </c>
      <c r="R60" s="43">
        <f t="shared" ca="1" si="4"/>
        <v>0.63470269745402319</v>
      </c>
      <c r="S60" s="8">
        <v>1</v>
      </c>
      <c r="T60" s="42">
        <f t="shared" ref="T60:T113" ca="1" si="57">ROUNDUP(_xlfn.NORM.INV(R60,S$4*S60,S$6*S60),0)</f>
        <v>152</v>
      </c>
      <c r="V60" s="43">
        <f t="shared" ca="1" si="5"/>
        <v>0.65436635319450343</v>
      </c>
      <c r="W60" s="8">
        <v>1</v>
      </c>
      <c r="X60" s="42">
        <f t="shared" ref="X60:X113" ca="1" si="58">ROUNDUP(_xlfn.NORM.INV(V60,W$4*W60,W$6*W60),0)</f>
        <v>249</v>
      </c>
      <c r="Z60" s="43">
        <f t="shared" ca="1" si="6"/>
        <v>0.80106946124762468</v>
      </c>
      <c r="AA60" s="8">
        <v>1</v>
      </c>
      <c r="AB60" s="42">
        <f t="shared" ref="AB60:AB113" ca="1" si="59">ROUNDUP(_xlfn.NORM.INV(Z60,AA$4*AA60,AA$6*AA60),0)</f>
        <v>331</v>
      </c>
      <c r="AD60" s="43">
        <f t="shared" ca="1" si="7"/>
        <v>0.68152301715920538</v>
      </c>
      <c r="AE60" s="8">
        <v>1</v>
      </c>
      <c r="AF60" s="42">
        <f t="shared" ref="AF60:AF113" ca="1" si="60">ROUNDUP(_xlfn.NORM.INV(AD60,AE$4*AE60,AE$6*AE60),0)</f>
        <v>369</v>
      </c>
      <c r="AH60" s="43">
        <f t="shared" ca="1" si="8"/>
        <v>0.98733653217130968</v>
      </c>
      <c r="AI60" s="8">
        <v>1</v>
      </c>
      <c r="AJ60" s="42">
        <f t="shared" ref="AJ60:AJ113" ca="1" si="61">ROUNDUP(_xlfn.NORM.INV(AH60,AI$4*AI60,AI$6*AI60),0)</f>
        <v>273</v>
      </c>
      <c r="AL60" s="43">
        <f t="shared" ca="1" si="9"/>
        <v>0.34216103410902854</v>
      </c>
      <c r="AM60" s="8">
        <v>1</v>
      </c>
      <c r="AN60" s="42">
        <f t="shared" ref="AN60:AN113" ca="1" si="62">ROUNDUP(_xlfn.NORM.INV(AL60,AM$4*AM60,AM$6*AM60),0)</f>
        <v>207</v>
      </c>
      <c r="AP60" s="43">
        <f t="shared" ca="1" si="10"/>
        <v>0.28737128957383551</v>
      </c>
      <c r="AQ60" s="8">
        <v>1</v>
      </c>
      <c r="AR60" s="42">
        <f t="shared" ref="AR60:AR113" ca="1" si="63">ROUNDUP(_xlfn.NORM.INV(AP60,AQ$4*AQ60,AQ$6*AQ60),0)</f>
        <v>169</v>
      </c>
      <c r="AT60" s="43">
        <f t="shared" ca="1" si="11"/>
        <v>0.10175963403051136</v>
      </c>
      <c r="AU60" s="8">
        <v>1</v>
      </c>
      <c r="AV60" s="42">
        <f t="shared" ref="AV60:AV113" ca="1" si="64">ROUNDUP(_xlfn.NORM.INV(AT60,AU$4*AU60,AU$6*AU60),0)</f>
        <v>136</v>
      </c>
      <c r="AX60" s="43">
        <f t="shared" ca="1" si="12"/>
        <v>0.26164534792761152</v>
      </c>
      <c r="AY60" s="8">
        <v>1</v>
      </c>
      <c r="AZ60" s="42">
        <f t="shared" ref="AZ60:AZ113" ca="1" si="65">ROUNDUP(_xlfn.NORM.INV(AX60,AY$4*AY60,AY$6*AY60),0)</f>
        <v>194</v>
      </c>
      <c r="BB60" s="43">
        <f t="shared" ca="1" si="13"/>
        <v>0.21421131611665023</v>
      </c>
      <c r="BC60" s="8">
        <v>1</v>
      </c>
      <c r="BD60" s="42">
        <f t="shared" ref="BD60:BD113" ca="1" si="66">ROUNDUP(_xlfn.NORM.INV(BB60,BC$4*BC60,BC$6*BC60),0)</f>
        <v>159</v>
      </c>
      <c r="BF60" s="43">
        <f t="shared" ca="1" si="14"/>
        <v>0.11020607024076368</v>
      </c>
      <c r="BG60" s="8">
        <v>1</v>
      </c>
      <c r="BH60" s="42">
        <f t="shared" ref="BH60:BH113" ca="1" si="67">ROUNDUP(_xlfn.NORM.INV(BF60,BG$4*BG60,BG$6*BG60),0)</f>
        <v>114</v>
      </c>
      <c r="BJ60" s="43">
        <f t="shared" ca="1" si="15"/>
        <v>0.38380738104576839</v>
      </c>
      <c r="BK60" s="8">
        <v>1</v>
      </c>
      <c r="BL60" s="42">
        <f t="shared" ref="BL60:BL113" ca="1" si="68">ROUNDUP(_xlfn.NORM.INV(BJ60,BK$4*BK60,BK$6*BK60),0)</f>
        <v>199</v>
      </c>
      <c r="BN60" s="43">
        <f t="shared" ca="1" si="16"/>
        <v>0.99889961933004223</v>
      </c>
      <c r="BO60" s="8">
        <v>1</v>
      </c>
      <c r="BP60" s="42">
        <f t="shared" ref="BP60:BP113" ca="1" si="69">ROUNDUP(_xlfn.NORM.INV(BN60,BO$4*BO60,BO$6*BO60),0)</f>
        <v>292</v>
      </c>
      <c r="BR60" s="43">
        <f t="shared" ca="1" si="17"/>
        <v>0.13515167506199011</v>
      </c>
      <c r="BS60" s="8">
        <v>1</v>
      </c>
      <c r="BT60" s="42">
        <f t="shared" ref="BT60:BT113" ca="1" si="70">ROUNDUP(_xlfn.NORM.INV(BR60,BS$4*BS60,BS$6*BS60),0)</f>
        <v>155</v>
      </c>
    </row>
    <row r="61" spans="1:72" x14ac:dyDescent="0.2">
      <c r="A61" s="22">
        <v>44608</v>
      </c>
      <c r="B61" s="43">
        <f t="shared" ca="1" si="0"/>
        <v>0.19576533600953605</v>
      </c>
      <c r="C61" s="8">
        <v>1</v>
      </c>
      <c r="D61" s="42">
        <f t="shared" ca="1" si="53"/>
        <v>83</v>
      </c>
      <c r="F61" s="43">
        <f t="shared" ca="1" si="1"/>
        <v>0.87699686780032826</v>
      </c>
      <c r="G61" s="8">
        <v>1</v>
      </c>
      <c r="H61" s="42">
        <f t="shared" ca="1" si="54"/>
        <v>283</v>
      </c>
      <c r="J61" s="43">
        <f t="shared" ca="1" si="2"/>
        <v>0.96402453933087928</v>
      </c>
      <c r="K61" s="8">
        <v>1</v>
      </c>
      <c r="L61" s="42">
        <f t="shared" ca="1" si="55"/>
        <v>222</v>
      </c>
      <c r="N61" s="43">
        <f t="shared" ca="1" si="3"/>
        <v>1.6002069909940575E-2</v>
      </c>
      <c r="O61" s="8">
        <v>1</v>
      </c>
      <c r="P61" s="42">
        <f t="shared" ca="1" si="56"/>
        <v>99</v>
      </c>
      <c r="R61" s="43">
        <f t="shared" ca="1" si="4"/>
        <v>0.20651488529824258</v>
      </c>
      <c r="S61" s="8">
        <v>1</v>
      </c>
      <c r="T61" s="42">
        <f t="shared" ca="1" si="57"/>
        <v>109</v>
      </c>
      <c r="V61" s="43">
        <f t="shared" ca="1" si="5"/>
        <v>0.7103502186036762</v>
      </c>
      <c r="W61" s="8">
        <v>1</v>
      </c>
      <c r="X61" s="42">
        <f t="shared" ca="1" si="58"/>
        <v>259</v>
      </c>
      <c r="Z61" s="43">
        <f t="shared" ca="1" si="6"/>
        <v>0.16054556458988323</v>
      </c>
      <c r="AA61" s="8">
        <v>1</v>
      </c>
      <c r="AB61" s="42">
        <f t="shared" ca="1" si="59"/>
        <v>199</v>
      </c>
      <c r="AD61" s="43">
        <f t="shared" ca="1" si="7"/>
        <v>4.2472509976374528E-2</v>
      </c>
      <c r="AE61" s="8">
        <v>1</v>
      </c>
      <c r="AF61" s="42">
        <f t="shared" ca="1" si="60"/>
        <v>177</v>
      </c>
      <c r="AH61" s="43">
        <f t="shared" ca="1" si="8"/>
        <v>0.20145028452222524</v>
      </c>
      <c r="AI61" s="8">
        <v>1</v>
      </c>
      <c r="AJ61" s="42">
        <f t="shared" ca="1" si="61"/>
        <v>133</v>
      </c>
      <c r="AL61" s="43">
        <f t="shared" ca="1" si="9"/>
        <v>0.11263345385336421</v>
      </c>
      <c r="AM61" s="8">
        <v>1</v>
      </c>
      <c r="AN61" s="42">
        <f t="shared" ca="1" si="62"/>
        <v>158</v>
      </c>
      <c r="AP61" s="43">
        <f t="shared" ca="1" si="10"/>
        <v>0.28128693791877224</v>
      </c>
      <c r="AQ61" s="8">
        <v>1</v>
      </c>
      <c r="AR61" s="42">
        <f t="shared" ca="1" si="63"/>
        <v>168</v>
      </c>
      <c r="AT61" s="43">
        <f t="shared" ca="1" si="11"/>
        <v>0.22458647232243778</v>
      </c>
      <c r="AU61" s="8">
        <v>1</v>
      </c>
      <c r="AV61" s="42">
        <f t="shared" ca="1" si="64"/>
        <v>165</v>
      </c>
      <c r="AX61" s="43">
        <f t="shared" ca="1" si="12"/>
        <v>0.96928790139559418</v>
      </c>
      <c r="AY61" s="8">
        <v>1</v>
      </c>
      <c r="AZ61" s="42">
        <f t="shared" ca="1" si="65"/>
        <v>351</v>
      </c>
      <c r="BB61" s="43">
        <f t="shared" ca="1" si="13"/>
        <v>0.39306008584016416</v>
      </c>
      <c r="BC61" s="8">
        <v>1</v>
      </c>
      <c r="BD61" s="42">
        <f t="shared" ca="1" si="66"/>
        <v>187</v>
      </c>
      <c r="BF61" s="43">
        <f t="shared" ca="1" si="14"/>
        <v>0.59433451463300424</v>
      </c>
      <c r="BG61" s="8">
        <v>1</v>
      </c>
      <c r="BH61" s="42">
        <f t="shared" ca="1" si="67"/>
        <v>180</v>
      </c>
      <c r="BJ61" s="43">
        <f t="shared" ca="1" si="15"/>
        <v>0.24153367202639076</v>
      </c>
      <c r="BK61" s="8">
        <v>1</v>
      </c>
      <c r="BL61" s="42">
        <f t="shared" ca="1" si="68"/>
        <v>176</v>
      </c>
      <c r="BN61" s="43">
        <f t="shared" ca="1" si="16"/>
        <v>0.49708036254372512</v>
      </c>
      <c r="BO61" s="8">
        <v>1</v>
      </c>
      <c r="BP61" s="42">
        <f t="shared" ca="1" si="69"/>
        <v>161</v>
      </c>
      <c r="BR61" s="43">
        <f t="shared" ca="1" si="17"/>
        <v>0.32799048986020052</v>
      </c>
      <c r="BS61" s="8">
        <v>1</v>
      </c>
      <c r="BT61" s="42">
        <f t="shared" ca="1" si="70"/>
        <v>194</v>
      </c>
    </row>
    <row r="62" spans="1:72" x14ac:dyDescent="0.2">
      <c r="A62" s="22">
        <v>44609</v>
      </c>
      <c r="B62" s="43">
        <f t="shared" ca="1" si="0"/>
        <v>8.9381162451359408E-2</v>
      </c>
      <c r="C62" s="8">
        <v>1</v>
      </c>
      <c r="D62" s="42">
        <f t="shared" ca="1" si="53"/>
        <v>74</v>
      </c>
      <c r="F62" s="43">
        <f t="shared" ca="1" si="1"/>
        <v>0.55416293092574931</v>
      </c>
      <c r="G62" s="8">
        <v>1</v>
      </c>
      <c r="H62" s="42">
        <f t="shared" ca="1" si="54"/>
        <v>224</v>
      </c>
      <c r="J62" s="43">
        <f t="shared" ca="1" si="2"/>
        <v>0.32468222776617417</v>
      </c>
      <c r="K62" s="8">
        <v>1</v>
      </c>
      <c r="L62" s="42">
        <f t="shared" ca="1" si="55"/>
        <v>132</v>
      </c>
      <c r="N62" s="43">
        <f t="shared" ca="1" si="3"/>
        <v>0.67927858464559709</v>
      </c>
      <c r="O62" s="8">
        <v>1</v>
      </c>
      <c r="P62" s="42">
        <f t="shared" ca="1" si="56"/>
        <v>258</v>
      </c>
      <c r="R62" s="43">
        <f t="shared" ca="1" si="4"/>
        <v>0.55279814748969924</v>
      </c>
      <c r="S62" s="8">
        <v>1</v>
      </c>
      <c r="T62" s="42">
        <f t="shared" ca="1" si="57"/>
        <v>144</v>
      </c>
      <c r="V62" s="43">
        <f t="shared" ca="1" si="5"/>
        <v>8.7614575623549351E-2</v>
      </c>
      <c r="W62" s="8">
        <v>1</v>
      </c>
      <c r="X62" s="42">
        <f t="shared" ca="1" si="58"/>
        <v>144</v>
      </c>
      <c r="Z62" s="43">
        <f t="shared" ca="1" si="6"/>
        <v>0.63221098708536316</v>
      </c>
      <c r="AA62" s="8">
        <v>1</v>
      </c>
      <c r="AB62" s="42">
        <f t="shared" ca="1" si="59"/>
        <v>295</v>
      </c>
      <c r="AD62" s="43">
        <f t="shared" ca="1" si="7"/>
        <v>0.70715016994054936</v>
      </c>
      <c r="AE62" s="8">
        <v>1</v>
      </c>
      <c r="AF62" s="42">
        <f t="shared" ca="1" si="60"/>
        <v>375</v>
      </c>
      <c r="AH62" s="43">
        <f t="shared" ca="1" si="8"/>
        <v>0.5629039666091763</v>
      </c>
      <c r="AI62" s="8">
        <v>1</v>
      </c>
      <c r="AJ62" s="42">
        <f t="shared" ca="1" si="61"/>
        <v>178</v>
      </c>
      <c r="AL62" s="43">
        <f t="shared" ca="1" si="9"/>
        <v>0.26682032638490205</v>
      </c>
      <c r="AM62" s="8">
        <v>1</v>
      </c>
      <c r="AN62" s="42">
        <f t="shared" ca="1" si="62"/>
        <v>194</v>
      </c>
      <c r="AP62" s="43">
        <f t="shared" ca="1" si="10"/>
        <v>0.95024252822792377</v>
      </c>
      <c r="AQ62" s="8">
        <v>1</v>
      </c>
      <c r="AR62" s="42">
        <f t="shared" ca="1" si="63"/>
        <v>285</v>
      </c>
      <c r="AT62" s="43">
        <f t="shared" ca="1" si="11"/>
        <v>0.69408358391348313</v>
      </c>
      <c r="AU62" s="8">
        <v>1</v>
      </c>
      <c r="AV62" s="42">
        <f t="shared" ca="1" si="64"/>
        <v>234</v>
      </c>
      <c r="AX62" s="43">
        <f t="shared" ca="1" si="12"/>
        <v>0.38041055409751767</v>
      </c>
      <c r="AY62" s="8">
        <v>1</v>
      </c>
      <c r="AZ62" s="42">
        <f t="shared" ca="1" si="65"/>
        <v>215</v>
      </c>
      <c r="BB62" s="43">
        <f t="shared" ca="1" si="13"/>
        <v>0.30707658546412053</v>
      </c>
      <c r="BC62" s="8">
        <v>1</v>
      </c>
      <c r="BD62" s="42">
        <f t="shared" ca="1" si="66"/>
        <v>174</v>
      </c>
      <c r="BF62" s="43">
        <f t="shared" ca="1" si="14"/>
        <v>0.46492066508643082</v>
      </c>
      <c r="BG62" s="8">
        <v>1</v>
      </c>
      <c r="BH62" s="42">
        <f t="shared" ca="1" si="67"/>
        <v>165</v>
      </c>
      <c r="BJ62" s="43">
        <f t="shared" ca="1" si="15"/>
        <v>0.25014526122988434</v>
      </c>
      <c r="BK62" s="8">
        <v>1</v>
      </c>
      <c r="BL62" s="42">
        <f t="shared" ca="1" si="68"/>
        <v>177</v>
      </c>
      <c r="BN62" s="43">
        <f t="shared" ca="1" si="16"/>
        <v>0.57609277136594417</v>
      </c>
      <c r="BO62" s="8">
        <v>1</v>
      </c>
      <c r="BP62" s="42">
        <f t="shared" ca="1" si="69"/>
        <v>169</v>
      </c>
      <c r="BR62" s="43">
        <f t="shared" ca="1" si="17"/>
        <v>0.95703210583490894</v>
      </c>
      <c r="BS62" s="8">
        <v>1</v>
      </c>
      <c r="BT62" s="42">
        <f t="shared" ca="1" si="70"/>
        <v>320</v>
      </c>
    </row>
    <row r="63" spans="1:72" x14ac:dyDescent="0.2">
      <c r="A63" s="22">
        <v>44610</v>
      </c>
      <c r="B63" s="43">
        <f t="shared" ca="1" si="0"/>
        <v>0.7379731402010441</v>
      </c>
      <c r="C63" s="8">
        <v>1</v>
      </c>
      <c r="D63" s="42">
        <f t="shared" ca="1" si="53"/>
        <v>113</v>
      </c>
      <c r="F63" s="43">
        <f t="shared" ca="1" si="1"/>
        <v>0.55161712245840022</v>
      </c>
      <c r="G63" s="8">
        <v>1</v>
      </c>
      <c r="H63" s="42">
        <f t="shared" ca="1" si="54"/>
        <v>223</v>
      </c>
      <c r="J63" s="43">
        <f t="shared" ca="1" si="2"/>
        <v>0.62359175723088056</v>
      </c>
      <c r="K63" s="8">
        <v>1</v>
      </c>
      <c r="L63" s="42">
        <f t="shared" ca="1" si="55"/>
        <v>163</v>
      </c>
      <c r="N63" s="43">
        <f t="shared" ca="1" si="3"/>
        <v>0.64322082770161737</v>
      </c>
      <c r="O63" s="8">
        <v>1</v>
      </c>
      <c r="P63" s="42">
        <f t="shared" ca="1" si="56"/>
        <v>252</v>
      </c>
      <c r="R63" s="43">
        <f t="shared" ca="1" si="4"/>
        <v>0.24261683370493226</v>
      </c>
      <c r="S63" s="8">
        <v>1</v>
      </c>
      <c r="T63" s="42">
        <f t="shared" ca="1" si="57"/>
        <v>113</v>
      </c>
      <c r="V63" s="43">
        <f t="shared" ca="1" si="5"/>
        <v>0.11248960636385197</v>
      </c>
      <c r="W63" s="8">
        <v>1</v>
      </c>
      <c r="X63" s="42">
        <f t="shared" ca="1" si="58"/>
        <v>153</v>
      </c>
      <c r="Z63" s="43">
        <f t="shared" ca="1" si="6"/>
        <v>0.39828436243143694</v>
      </c>
      <c r="AA63" s="8">
        <v>1</v>
      </c>
      <c r="AB63" s="42">
        <f t="shared" ca="1" si="59"/>
        <v>252</v>
      </c>
      <c r="AD63" s="43">
        <f t="shared" ca="1" si="7"/>
        <v>0.34811308407015273</v>
      </c>
      <c r="AE63" s="8">
        <v>1</v>
      </c>
      <c r="AF63" s="42">
        <f t="shared" ca="1" si="60"/>
        <v>293</v>
      </c>
      <c r="AH63" s="43">
        <f t="shared" ca="1" si="8"/>
        <v>0.90028370481692899</v>
      </c>
      <c r="AI63" s="8">
        <v>1</v>
      </c>
      <c r="AJ63" s="42">
        <f t="shared" ca="1" si="61"/>
        <v>229</v>
      </c>
      <c r="AL63" s="43">
        <f t="shared" ca="1" si="9"/>
        <v>0.81327355729032724</v>
      </c>
      <c r="AM63" s="8">
        <v>1</v>
      </c>
      <c r="AN63" s="42">
        <f t="shared" ca="1" si="62"/>
        <v>288</v>
      </c>
      <c r="AP63" s="43">
        <f t="shared" ca="1" si="10"/>
        <v>0.7927902588996758</v>
      </c>
      <c r="AQ63" s="8">
        <v>1</v>
      </c>
      <c r="AR63" s="42">
        <f t="shared" ca="1" si="63"/>
        <v>242</v>
      </c>
      <c r="AT63" s="43">
        <f t="shared" ca="1" si="11"/>
        <v>5.9310427399205334E-2</v>
      </c>
      <c r="AU63" s="8">
        <v>1</v>
      </c>
      <c r="AV63" s="42">
        <f t="shared" ca="1" si="64"/>
        <v>120</v>
      </c>
      <c r="AX63" s="43">
        <f t="shared" ca="1" si="12"/>
        <v>0.75111208582314259</v>
      </c>
      <c r="AY63" s="8">
        <v>1</v>
      </c>
      <c r="AZ63" s="42">
        <f t="shared" ca="1" si="65"/>
        <v>276</v>
      </c>
      <c r="BB63" s="43">
        <f t="shared" ca="1" si="13"/>
        <v>0.50865845112748231</v>
      </c>
      <c r="BC63" s="8">
        <v>1</v>
      </c>
      <c r="BD63" s="42">
        <f t="shared" ca="1" si="66"/>
        <v>202</v>
      </c>
      <c r="BF63" s="43">
        <f t="shared" ca="1" si="14"/>
        <v>0.43990857461824995</v>
      </c>
      <c r="BG63" s="8">
        <v>1</v>
      </c>
      <c r="BH63" s="42">
        <f t="shared" ca="1" si="67"/>
        <v>162</v>
      </c>
      <c r="BJ63" s="43">
        <f t="shared" ca="1" si="15"/>
        <v>1.5717723644894321E-2</v>
      </c>
      <c r="BK63" s="8">
        <v>1</v>
      </c>
      <c r="BL63" s="42">
        <f t="shared" ca="1" si="68"/>
        <v>92</v>
      </c>
      <c r="BN63" s="43">
        <f t="shared" ca="1" si="16"/>
        <v>6.779427354145684E-2</v>
      </c>
      <c r="BO63" s="8">
        <v>1</v>
      </c>
      <c r="BP63" s="42">
        <f t="shared" ca="1" si="69"/>
        <v>97</v>
      </c>
      <c r="BR63" s="43">
        <f t="shared" ca="1" si="17"/>
        <v>0.459531322196156</v>
      </c>
      <c r="BS63" s="8">
        <v>1</v>
      </c>
      <c r="BT63" s="42">
        <f t="shared" ca="1" si="70"/>
        <v>214</v>
      </c>
    </row>
    <row r="64" spans="1:72" x14ac:dyDescent="0.2">
      <c r="A64" s="22">
        <v>44611</v>
      </c>
      <c r="B64" s="43">
        <f t="shared" ca="1" si="0"/>
        <v>0.92849737155399659</v>
      </c>
      <c r="C64" s="8">
        <v>1</v>
      </c>
      <c r="D64" s="42">
        <f t="shared" ca="1" si="53"/>
        <v>130</v>
      </c>
      <c r="F64" s="43">
        <f t="shared" ca="1" si="1"/>
        <v>0.69168465892601838</v>
      </c>
      <c r="G64" s="8">
        <v>1</v>
      </c>
      <c r="H64" s="42">
        <f t="shared" ca="1" si="54"/>
        <v>245</v>
      </c>
      <c r="J64" s="43">
        <f t="shared" ca="1" si="2"/>
        <v>0.88691759663818859</v>
      </c>
      <c r="K64" s="8">
        <v>1</v>
      </c>
      <c r="L64" s="42">
        <f t="shared" ca="1" si="55"/>
        <v>199</v>
      </c>
      <c r="N64" s="43">
        <f t="shared" ca="1" si="3"/>
        <v>0.46410048850647001</v>
      </c>
      <c r="O64" s="8">
        <v>1</v>
      </c>
      <c r="P64" s="42">
        <f t="shared" ca="1" si="56"/>
        <v>224</v>
      </c>
      <c r="R64" s="43">
        <f t="shared" ca="1" si="4"/>
        <v>0.33913448414455671</v>
      </c>
      <c r="S64" s="8">
        <v>1</v>
      </c>
      <c r="T64" s="42">
        <f t="shared" ca="1" si="57"/>
        <v>124</v>
      </c>
      <c r="V64" s="43">
        <f t="shared" ca="1" si="5"/>
        <v>0.84699060015681127</v>
      </c>
      <c r="W64" s="8">
        <v>1</v>
      </c>
      <c r="X64" s="42">
        <f t="shared" ca="1" si="58"/>
        <v>287</v>
      </c>
      <c r="Z64" s="43">
        <f t="shared" ca="1" si="6"/>
        <v>5.4404105551582371E-2</v>
      </c>
      <c r="AA64" s="8">
        <v>1</v>
      </c>
      <c r="AB64" s="42">
        <f t="shared" ca="1" si="59"/>
        <v>155</v>
      </c>
      <c r="AD64" s="43">
        <f t="shared" ca="1" si="7"/>
        <v>0.88193947092336522</v>
      </c>
      <c r="AE64" s="8">
        <v>1</v>
      </c>
      <c r="AF64" s="42">
        <f t="shared" ca="1" si="60"/>
        <v>431</v>
      </c>
      <c r="AH64" s="43">
        <f t="shared" ca="1" si="8"/>
        <v>0.85116617446026976</v>
      </c>
      <c r="AI64" s="8">
        <v>1</v>
      </c>
      <c r="AJ64" s="42">
        <f t="shared" ca="1" si="61"/>
        <v>218</v>
      </c>
      <c r="AL64" s="43">
        <f t="shared" ca="1" si="9"/>
        <v>0.38974502547723811</v>
      </c>
      <c r="AM64" s="8">
        <v>1</v>
      </c>
      <c r="AN64" s="42">
        <f t="shared" ca="1" si="62"/>
        <v>215</v>
      </c>
      <c r="AP64" s="43">
        <f t="shared" ca="1" si="10"/>
        <v>7.2018563846828587E-2</v>
      </c>
      <c r="AQ64" s="8">
        <v>1</v>
      </c>
      <c r="AR64" s="42">
        <f t="shared" ca="1" si="63"/>
        <v>121</v>
      </c>
      <c r="AT64" s="43">
        <f t="shared" ca="1" si="11"/>
        <v>0.2256981701535089</v>
      </c>
      <c r="AU64" s="8">
        <v>1</v>
      </c>
      <c r="AV64" s="42">
        <f t="shared" ca="1" si="64"/>
        <v>165</v>
      </c>
      <c r="AX64" s="43">
        <f t="shared" ca="1" si="12"/>
        <v>3.656343559708497E-2</v>
      </c>
      <c r="AY64" s="8">
        <v>1</v>
      </c>
      <c r="AZ64" s="42">
        <f t="shared" ca="1" si="65"/>
        <v>122</v>
      </c>
      <c r="BB64" s="43">
        <f t="shared" ca="1" si="13"/>
        <v>0.84556841348469314</v>
      </c>
      <c r="BC64" s="8">
        <v>1</v>
      </c>
      <c r="BD64" s="42">
        <f t="shared" ca="1" si="66"/>
        <v>255</v>
      </c>
      <c r="BF64" s="43">
        <f t="shared" ca="1" si="14"/>
        <v>0.70623532301598868</v>
      </c>
      <c r="BG64" s="8">
        <v>1</v>
      </c>
      <c r="BH64" s="42">
        <f t="shared" ca="1" si="67"/>
        <v>193</v>
      </c>
      <c r="BJ64" s="43">
        <f t="shared" ca="1" si="15"/>
        <v>2.1415712123923125E-2</v>
      </c>
      <c r="BK64" s="8">
        <v>1</v>
      </c>
      <c r="BL64" s="42">
        <f t="shared" ca="1" si="68"/>
        <v>100</v>
      </c>
      <c r="BN64" s="43">
        <f t="shared" ca="1" si="16"/>
        <v>3.8919067572023902E-2</v>
      </c>
      <c r="BO64" s="8">
        <v>1</v>
      </c>
      <c r="BP64" s="42">
        <f t="shared" ca="1" si="69"/>
        <v>86</v>
      </c>
      <c r="BR64" s="43">
        <f t="shared" ca="1" si="17"/>
        <v>0.12614898031367427</v>
      </c>
      <c r="BS64" s="8">
        <v>1</v>
      </c>
      <c r="BT64" s="42">
        <f t="shared" ca="1" si="70"/>
        <v>153</v>
      </c>
    </row>
    <row r="65" spans="1:72" x14ac:dyDescent="0.2">
      <c r="A65" s="22">
        <v>44612</v>
      </c>
      <c r="B65" s="43">
        <f t="shared" ca="1" si="0"/>
        <v>0.83395567381286329</v>
      </c>
      <c r="C65" s="8">
        <v>1</v>
      </c>
      <c r="D65" s="42">
        <f t="shared" ca="1" si="53"/>
        <v>120</v>
      </c>
      <c r="F65" s="43">
        <f t="shared" ca="1" si="1"/>
        <v>0.98268523165357968</v>
      </c>
      <c r="G65" s="8">
        <v>1</v>
      </c>
      <c r="H65" s="42">
        <f t="shared" ca="1" si="54"/>
        <v>337</v>
      </c>
      <c r="J65" s="43">
        <f t="shared" ca="1" si="2"/>
        <v>0.53729913107915817</v>
      </c>
      <c r="K65" s="8">
        <v>1</v>
      </c>
      <c r="L65" s="42">
        <f t="shared" ca="1" si="55"/>
        <v>154</v>
      </c>
      <c r="N65" s="43">
        <f t="shared" ca="1" si="3"/>
        <v>5.1261373566654389E-2</v>
      </c>
      <c r="O65" s="8">
        <v>1</v>
      </c>
      <c r="P65" s="42">
        <f t="shared" ca="1" si="56"/>
        <v>130</v>
      </c>
      <c r="R65" s="43">
        <f t="shared" ca="1" si="4"/>
        <v>7.2172347632383893E-2</v>
      </c>
      <c r="S65" s="8">
        <v>1</v>
      </c>
      <c r="T65" s="42">
        <f t="shared" ca="1" si="57"/>
        <v>85</v>
      </c>
      <c r="V65" s="43">
        <f t="shared" ca="1" si="5"/>
        <v>0.16787795379356907</v>
      </c>
      <c r="W65" s="8">
        <v>1</v>
      </c>
      <c r="X65" s="42">
        <f t="shared" ca="1" si="58"/>
        <v>168</v>
      </c>
      <c r="Z65" s="43">
        <f t="shared" ca="1" si="6"/>
        <v>0.61932792724790953</v>
      </c>
      <c r="AA65" s="8">
        <v>1</v>
      </c>
      <c r="AB65" s="42">
        <f t="shared" ca="1" si="59"/>
        <v>292</v>
      </c>
      <c r="AD65" s="43">
        <f t="shared" ca="1" si="7"/>
        <v>0.32281198013038603</v>
      </c>
      <c r="AE65" s="8">
        <v>1</v>
      </c>
      <c r="AF65" s="42">
        <f t="shared" ca="1" si="60"/>
        <v>287</v>
      </c>
      <c r="AH65" s="43">
        <f t="shared" ca="1" si="8"/>
        <v>0.23707662870223156</v>
      </c>
      <c r="AI65" s="8">
        <v>1</v>
      </c>
      <c r="AJ65" s="42">
        <f t="shared" ca="1" si="61"/>
        <v>138</v>
      </c>
      <c r="AL65" s="43">
        <f t="shared" ca="1" si="9"/>
        <v>0.7326439662394818</v>
      </c>
      <c r="AM65" s="8">
        <v>1</v>
      </c>
      <c r="AN65" s="42">
        <f t="shared" ca="1" si="62"/>
        <v>271</v>
      </c>
      <c r="AP65" s="43">
        <f t="shared" ca="1" si="10"/>
        <v>0.75290436383328974</v>
      </c>
      <c r="AQ65" s="8">
        <v>1</v>
      </c>
      <c r="AR65" s="42">
        <f t="shared" ca="1" si="63"/>
        <v>235</v>
      </c>
      <c r="AT65" s="43">
        <f t="shared" ca="1" si="11"/>
        <v>0.43534305547346963</v>
      </c>
      <c r="AU65" s="8">
        <v>1</v>
      </c>
      <c r="AV65" s="42">
        <f t="shared" ca="1" si="64"/>
        <v>197</v>
      </c>
      <c r="AX65" s="43">
        <f t="shared" ca="1" si="12"/>
        <v>0.46037785960840172</v>
      </c>
      <c r="AY65" s="8">
        <v>1</v>
      </c>
      <c r="AZ65" s="42">
        <f t="shared" ca="1" si="65"/>
        <v>228</v>
      </c>
      <c r="BB65" s="43">
        <f t="shared" ca="1" si="13"/>
        <v>0.1497117468686967</v>
      </c>
      <c r="BC65" s="8">
        <v>1</v>
      </c>
      <c r="BD65" s="42">
        <f t="shared" ca="1" si="66"/>
        <v>146</v>
      </c>
      <c r="BF65" s="43">
        <f t="shared" ca="1" si="14"/>
        <v>0.31306905775896066</v>
      </c>
      <c r="BG65" s="8">
        <v>1</v>
      </c>
      <c r="BH65" s="42">
        <f t="shared" ca="1" si="67"/>
        <v>147</v>
      </c>
      <c r="BJ65" s="43">
        <f t="shared" ca="1" si="15"/>
        <v>0.71061730384854238</v>
      </c>
      <c r="BK65" s="8">
        <v>1</v>
      </c>
      <c r="BL65" s="42">
        <f t="shared" ca="1" si="68"/>
        <v>248</v>
      </c>
      <c r="BN65" s="43">
        <f t="shared" ca="1" si="16"/>
        <v>0.57701922944989514</v>
      </c>
      <c r="BO65" s="8">
        <v>1</v>
      </c>
      <c r="BP65" s="42">
        <f t="shared" ca="1" si="69"/>
        <v>169</v>
      </c>
      <c r="BR65" s="43">
        <f t="shared" ca="1" si="17"/>
        <v>0.74884278636427359</v>
      </c>
      <c r="BS65" s="8">
        <v>1</v>
      </c>
      <c r="BT65" s="42">
        <f t="shared" ca="1" si="70"/>
        <v>259</v>
      </c>
    </row>
    <row r="66" spans="1:72" x14ac:dyDescent="0.2">
      <c r="A66" s="22">
        <v>44613</v>
      </c>
      <c r="B66" s="43">
        <f t="shared" ca="1" si="0"/>
        <v>0.72750150886139664</v>
      </c>
      <c r="C66" s="8">
        <v>1</v>
      </c>
      <c r="D66" s="42">
        <f t="shared" ca="1" si="53"/>
        <v>113</v>
      </c>
      <c r="F66" s="43">
        <f t="shared" ca="1" si="1"/>
        <v>0.33136549455216657</v>
      </c>
      <c r="G66" s="8">
        <v>1</v>
      </c>
      <c r="H66" s="42">
        <f t="shared" ca="1" si="54"/>
        <v>191</v>
      </c>
      <c r="J66" s="43">
        <f t="shared" ca="1" si="2"/>
        <v>0.72596499440611428</v>
      </c>
      <c r="K66" s="8">
        <v>1</v>
      </c>
      <c r="L66" s="42">
        <f t="shared" ca="1" si="55"/>
        <v>175</v>
      </c>
      <c r="N66" s="43">
        <f t="shared" ca="1" si="3"/>
        <v>0.11104402553036663</v>
      </c>
      <c r="O66" s="8">
        <v>1</v>
      </c>
      <c r="P66" s="42">
        <f t="shared" ca="1" si="56"/>
        <v>155</v>
      </c>
      <c r="R66" s="43">
        <f t="shared" ca="1" si="4"/>
        <v>0.14048488879867205</v>
      </c>
      <c r="S66" s="8">
        <v>1</v>
      </c>
      <c r="T66" s="42">
        <f t="shared" ca="1" si="57"/>
        <v>99</v>
      </c>
      <c r="V66" s="43">
        <f t="shared" ca="1" si="5"/>
        <v>0.4952567400549065</v>
      </c>
      <c r="W66" s="8">
        <v>1</v>
      </c>
      <c r="X66" s="42">
        <f t="shared" ca="1" si="58"/>
        <v>225</v>
      </c>
      <c r="Z66" s="43">
        <f t="shared" ca="1" si="6"/>
        <v>8.9096502479048434E-2</v>
      </c>
      <c r="AA66" s="8">
        <v>1</v>
      </c>
      <c r="AB66" s="42">
        <f t="shared" ca="1" si="59"/>
        <v>174</v>
      </c>
      <c r="AD66" s="43">
        <f t="shared" ca="1" si="7"/>
        <v>0.45791903179520954</v>
      </c>
      <c r="AE66" s="8">
        <v>1</v>
      </c>
      <c r="AF66" s="42">
        <f t="shared" ca="1" si="60"/>
        <v>318</v>
      </c>
      <c r="AH66" s="43">
        <f t="shared" ca="1" si="8"/>
        <v>0.51434099865461724</v>
      </c>
      <c r="AI66" s="8">
        <v>1</v>
      </c>
      <c r="AJ66" s="42">
        <f t="shared" ca="1" si="61"/>
        <v>173</v>
      </c>
      <c r="AL66" s="43">
        <f t="shared" ca="1" si="9"/>
        <v>6.6204577856648794E-2</v>
      </c>
      <c r="AM66" s="8">
        <v>1</v>
      </c>
      <c r="AN66" s="42">
        <f t="shared" ca="1" si="62"/>
        <v>139</v>
      </c>
      <c r="AP66" s="43">
        <f t="shared" ca="1" si="10"/>
        <v>5.3297718884572798E-2</v>
      </c>
      <c r="AQ66" s="8">
        <v>1</v>
      </c>
      <c r="AR66" s="42">
        <f t="shared" ca="1" si="63"/>
        <v>113</v>
      </c>
      <c r="AT66" s="43">
        <f t="shared" ca="1" si="11"/>
        <v>0.97694706376900498</v>
      </c>
      <c r="AU66" s="8">
        <v>1</v>
      </c>
      <c r="AV66" s="42">
        <f t="shared" ca="1" si="64"/>
        <v>315</v>
      </c>
      <c r="AX66" s="43">
        <f t="shared" ca="1" si="12"/>
        <v>0.40373932109630406</v>
      </c>
      <c r="AY66" s="8">
        <v>1</v>
      </c>
      <c r="AZ66" s="42">
        <f t="shared" ca="1" si="65"/>
        <v>219</v>
      </c>
      <c r="BB66" s="43">
        <f t="shared" ca="1" si="13"/>
        <v>0.58018885332781711</v>
      </c>
      <c r="BC66" s="8">
        <v>1</v>
      </c>
      <c r="BD66" s="42">
        <f t="shared" ca="1" si="66"/>
        <v>212</v>
      </c>
      <c r="BF66" s="43">
        <f t="shared" ca="1" si="14"/>
        <v>0.18892923997213629</v>
      </c>
      <c r="BG66" s="8">
        <v>1</v>
      </c>
      <c r="BH66" s="42">
        <f t="shared" ca="1" si="67"/>
        <v>129</v>
      </c>
      <c r="BJ66" s="43">
        <f t="shared" ca="1" si="15"/>
        <v>0.35018176091365083</v>
      </c>
      <c r="BK66" s="8">
        <v>1</v>
      </c>
      <c r="BL66" s="42">
        <f t="shared" ca="1" si="68"/>
        <v>194</v>
      </c>
      <c r="BN66" s="43">
        <f t="shared" ca="1" si="16"/>
        <v>0.96144260739122522</v>
      </c>
      <c r="BO66" s="8">
        <v>1</v>
      </c>
      <c r="BP66" s="42">
        <f t="shared" ca="1" si="69"/>
        <v>237</v>
      </c>
      <c r="BR66" s="43">
        <f t="shared" ca="1" si="17"/>
        <v>6.8770872299488306E-2</v>
      </c>
      <c r="BS66" s="8">
        <v>1</v>
      </c>
      <c r="BT66" s="42">
        <f t="shared" ca="1" si="70"/>
        <v>133</v>
      </c>
    </row>
    <row r="67" spans="1:72" x14ac:dyDescent="0.2">
      <c r="A67" s="22">
        <v>44614</v>
      </c>
      <c r="B67" s="43">
        <f t="shared" ca="1" si="0"/>
        <v>0.24424175589441033</v>
      </c>
      <c r="C67" s="8">
        <v>1</v>
      </c>
      <c r="D67" s="42">
        <f t="shared" ca="1" si="53"/>
        <v>87</v>
      </c>
      <c r="F67" s="43">
        <f t="shared" ca="1" si="1"/>
        <v>0.91972731536497609</v>
      </c>
      <c r="G67" s="8">
        <v>1</v>
      </c>
      <c r="H67" s="42">
        <f t="shared" ca="1" si="54"/>
        <v>297</v>
      </c>
      <c r="J67" s="43">
        <f t="shared" ca="1" si="2"/>
        <v>0.33375699487357702</v>
      </c>
      <c r="K67" s="8">
        <v>1</v>
      </c>
      <c r="L67" s="42">
        <f t="shared" ca="1" si="55"/>
        <v>133</v>
      </c>
      <c r="N67" s="43">
        <f t="shared" ca="1" si="3"/>
        <v>0.15739520046102629</v>
      </c>
      <c r="O67" s="8">
        <v>1</v>
      </c>
      <c r="P67" s="42">
        <f t="shared" ca="1" si="56"/>
        <v>168</v>
      </c>
      <c r="R67" s="43">
        <f t="shared" ca="1" si="4"/>
        <v>0.40558809049118771</v>
      </c>
      <c r="S67" s="8">
        <v>1</v>
      </c>
      <c r="T67" s="42">
        <f t="shared" ca="1" si="57"/>
        <v>130</v>
      </c>
      <c r="V67" s="43">
        <f t="shared" ca="1" si="5"/>
        <v>0.71086877682863048</v>
      </c>
      <c r="W67" s="8">
        <v>1</v>
      </c>
      <c r="X67" s="42">
        <f t="shared" ca="1" si="58"/>
        <v>259</v>
      </c>
      <c r="Z67" s="43">
        <f t="shared" ca="1" si="6"/>
        <v>0.87265586586540222</v>
      </c>
      <c r="AA67" s="8">
        <v>1</v>
      </c>
      <c r="AB67" s="42">
        <f t="shared" ca="1" si="59"/>
        <v>353</v>
      </c>
      <c r="AD67" s="43">
        <f t="shared" ca="1" si="7"/>
        <v>0.84483966045244341</v>
      </c>
      <c r="AE67" s="8">
        <v>1</v>
      </c>
      <c r="AF67" s="42">
        <f t="shared" ca="1" si="60"/>
        <v>416</v>
      </c>
      <c r="AH67" s="43">
        <f t="shared" ca="1" si="8"/>
        <v>0.80146176864486607</v>
      </c>
      <c r="AI67" s="8">
        <v>1</v>
      </c>
      <c r="AJ67" s="42">
        <f t="shared" ca="1" si="61"/>
        <v>209</v>
      </c>
      <c r="AL67" s="43">
        <f t="shared" ca="1" si="9"/>
        <v>0.11390717482762802</v>
      </c>
      <c r="AM67" s="8">
        <v>1</v>
      </c>
      <c r="AN67" s="42">
        <f t="shared" ca="1" si="62"/>
        <v>158</v>
      </c>
      <c r="AP67" s="43">
        <f t="shared" ca="1" si="10"/>
        <v>0.95291128125385505</v>
      </c>
      <c r="AQ67" s="8">
        <v>1</v>
      </c>
      <c r="AR67" s="42">
        <f t="shared" ca="1" si="63"/>
        <v>287</v>
      </c>
      <c r="AT67" s="43">
        <f t="shared" ca="1" si="11"/>
        <v>0.58947231862983729</v>
      </c>
      <c r="AU67" s="8">
        <v>1</v>
      </c>
      <c r="AV67" s="42">
        <f t="shared" ca="1" si="64"/>
        <v>218</v>
      </c>
      <c r="AX67" s="43">
        <f t="shared" ca="1" si="12"/>
        <v>0.46597433096337393</v>
      </c>
      <c r="AY67" s="8">
        <v>1</v>
      </c>
      <c r="AZ67" s="42">
        <f t="shared" ca="1" si="65"/>
        <v>229</v>
      </c>
      <c r="BB67" s="43">
        <f t="shared" ca="1" si="13"/>
        <v>0.16630044087556439</v>
      </c>
      <c r="BC67" s="8">
        <v>1</v>
      </c>
      <c r="BD67" s="42">
        <f t="shared" ca="1" si="66"/>
        <v>149</v>
      </c>
      <c r="BF67" s="43">
        <f t="shared" ca="1" si="14"/>
        <v>0.25321881149992731</v>
      </c>
      <c r="BG67" s="8">
        <v>1</v>
      </c>
      <c r="BH67" s="42">
        <f t="shared" ca="1" si="67"/>
        <v>139</v>
      </c>
      <c r="BJ67" s="43">
        <f t="shared" ca="1" si="15"/>
        <v>0.72665140990015775</v>
      </c>
      <c r="BK67" s="8">
        <v>1</v>
      </c>
      <c r="BL67" s="42">
        <f t="shared" ca="1" si="68"/>
        <v>251</v>
      </c>
      <c r="BN67" s="43">
        <f t="shared" ca="1" si="16"/>
        <v>0.45455290125118764</v>
      </c>
      <c r="BO67" s="8">
        <v>1</v>
      </c>
      <c r="BP67" s="42">
        <f t="shared" ca="1" si="69"/>
        <v>156</v>
      </c>
      <c r="BR67" s="43">
        <f t="shared" ca="1" si="17"/>
        <v>0.52669121510126649</v>
      </c>
      <c r="BS67" s="8">
        <v>1</v>
      </c>
      <c r="BT67" s="42">
        <f t="shared" ca="1" si="70"/>
        <v>224</v>
      </c>
    </row>
    <row r="68" spans="1:72" x14ac:dyDescent="0.2">
      <c r="A68" s="22">
        <v>44615</v>
      </c>
      <c r="B68" s="43">
        <f t="shared" ca="1" si="0"/>
        <v>0.26308964475453334</v>
      </c>
      <c r="C68" s="8">
        <v>1</v>
      </c>
      <c r="D68" s="42">
        <f t="shared" ca="1" si="53"/>
        <v>88</v>
      </c>
      <c r="F68" s="43">
        <f t="shared" ca="1" si="1"/>
        <v>0.94506824094220643</v>
      </c>
      <c r="G68" s="8">
        <v>1</v>
      </c>
      <c r="H68" s="42">
        <f t="shared" ca="1" si="54"/>
        <v>308</v>
      </c>
      <c r="J68" s="43">
        <f t="shared" ca="1" si="2"/>
        <v>0.61092427356224432</v>
      </c>
      <c r="K68" s="8">
        <v>1</v>
      </c>
      <c r="L68" s="42">
        <f t="shared" ca="1" si="55"/>
        <v>162</v>
      </c>
      <c r="N68" s="43">
        <f t="shared" ca="1" si="3"/>
        <v>0.40114634602407306</v>
      </c>
      <c r="O68" s="8">
        <v>1</v>
      </c>
      <c r="P68" s="42">
        <f t="shared" ca="1" si="56"/>
        <v>215</v>
      </c>
      <c r="R68" s="43">
        <f t="shared" ca="1" si="4"/>
        <v>0.61854988828522395</v>
      </c>
      <c r="S68" s="8">
        <v>1</v>
      </c>
      <c r="T68" s="42">
        <f t="shared" ca="1" si="57"/>
        <v>150</v>
      </c>
      <c r="V68" s="43">
        <f t="shared" ca="1" si="5"/>
        <v>0.18205073324506638</v>
      </c>
      <c r="W68" s="8">
        <v>1</v>
      </c>
      <c r="X68" s="42">
        <f t="shared" ca="1" si="58"/>
        <v>171</v>
      </c>
      <c r="Z68" s="43">
        <f t="shared" ca="1" si="6"/>
        <v>0.41930641047141248</v>
      </c>
      <c r="AA68" s="8">
        <v>1</v>
      </c>
      <c r="AB68" s="42">
        <f t="shared" ca="1" si="59"/>
        <v>256</v>
      </c>
      <c r="AD68" s="43">
        <f t="shared" ca="1" si="7"/>
        <v>0.61565422302084638</v>
      </c>
      <c r="AE68" s="8">
        <v>1</v>
      </c>
      <c r="AF68" s="42">
        <f t="shared" ca="1" si="60"/>
        <v>353</v>
      </c>
      <c r="AH68" s="43">
        <f t="shared" ca="1" si="8"/>
        <v>0.71277230522421486</v>
      </c>
      <c r="AI68" s="8">
        <v>1</v>
      </c>
      <c r="AJ68" s="42">
        <f t="shared" ca="1" si="61"/>
        <v>196</v>
      </c>
      <c r="AL68" s="43">
        <f t="shared" ca="1" si="9"/>
        <v>0.5860248207027986</v>
      </c>
      <c r="AM68" s="8">
        <v>1</v>
      </c>
      <c r="AN68" s="42">
        <f t="shared" ca="1" si="62"/>
        <v>246</v>
      </c>
      <c r="AP68" s="43">
        <f t="shared" ca="1" si="10"/>
        <v>0.22903859475935928</v>
      </c>
      <c r="AQ68" s="8">
        <v>1</v>
      </c>
      <c r="AR68" s="42">
        <f t="shared" ca="1" si="63"/>
        <v>159</v>
      </c>
      <c r="AT68" s="43">
        <f t="shared" ca="1" si="11"/>
        <v>0.48923759781875031</v>
      </c>
      <c r="AU68" s="8">
        <v>1</v>
      </c>
      <c r="AV68" s="42">
        <f t="shared" ca="1" si="64"/>
        <v>205</v>
      </c>
      <c r="AX68" s="43">
        <f t="shared" ca="1" si="12"/>
        <v>0.68487695031806028</v>
      </c>
      <c r="AY68" s="8">
        <v>1</v>
      </c>
      <c r="AZ68" s="42">
        <f t="shared" ca="1" si="65"/>
        <v>264</v>
      </c>
      <c r="BB68" s="43">
        <f t="shared" ca="1" si="13"/>
        <v>0.44295639876883131</v>
      </c>
      <c r="BC68" s="8">
        <v>1</v>
      </c>
      <c r="BD68" s="42">
        <f t="shared" ca="1" si="66"/>
        <v>193</v>
      </c>
      <c r="BF68" s="43">
        <f t="shared" ca="1" si="14"/>
        <v>0.4924588861063034</v>
      </c>
      <c r="BG68" s="8">
        <v>1</v>
      </c>
      <c r="BH68" s="42">
        <f t="shared" ca="1" si="67"/>
        <v>168</v>
      </c>
      <c r="BJ68" s="43">
        <f t="shared" ca="1" si="15"/>
        <v>0.15088557013388892</v>
      </c>
      <c r="BK68" s="8">
        <v>1</v>
      </c>
      <c r="BL68" s="42">
        <f t="shared" ca="1" si="68"/>
        <v>157</v>
      </c>
      <c r="BN68" s="43">
        <f t="shared" ca="1" si="16"/>
        <v>0.19594555195700503</v>
      </c>
      <c r="BO68" s="8">
        <v>1</v>
      </c>
      <c r="BP68" s="42">
        <f t="shared" ca="1" si="69"/>
        <v>124</v>
      </c>
      <c r="BR68" s="43">
        <f t="shared" ca="1" si="17"/>
        <v>0.35315655995226758</v>
      </c>
      <c r="BS68" s="8">
        <v>1</v>
      </c>
      <c r="BT68" s="42">
        <f t="shared" ca="1" si="70"/>
        <v>198</v>
      </c>
    </row>
    <row r="69" spans="1:72" x14ac:dyDescent="0.2">
      <c r="A69" s="22">
        <v>44616</v>
      </c>
      <c r="B69" s="43">
        <f t="shared" ca="1" si="0"/>
        <v>0.14635511348680286</v>
      </c>
      <c r="C69" s="8">
        <v>1</v>
      </c>
      <c r="D69" s="42">
        <f t="shared" ca="1" si="53"/>
        <v>79</v>
      </c>
      <c r="F69" s="43">
        <f t="shared" ca="1" si="1"/>
        <v>0.42249236634296017</v>
      </c>
      <c r="G69" s="8">
        <v>1</v>
      </c>
      <c r="H69" s="42">
        <f t="shared" ca="1" si="54"/>
        <v>205</v>
      </c>
      <c r="J69" s="43">
        <f t="shared" ca="1" si="2"/>
        <v>0.3118004336928768</v>
      </c>
      <c r="K69" s="8">
        <v>1</v>
      </c>
      <c r="L69" s="42">
        <f t="shared" ca="1" si="55"/>
        <v>131</v>
      </c>
      <c r="N69" s="43">
        <f t="shared" ca="1" si="3"/>
        <v>0.91611089465169759</v>
      </c>
      <c r="O69" s="8">
        <v>1</v>
      </c>
      <c r="P69" s="42">
        <f t="shared" ca="1" si="56"/>
        <v>314</v>
      </c>
      <c r="R69" s="43">
        <f t="shared" ca="1" si="4"/>
        <v>0.1115644381742541</v>
      </c>
      <c r="S69" s="8">
        <v>1</v>
      </c>
      <c r="T69" s="42">
        <f t="shared" ca="1" si="57"/>
        <v>94</v>
      </c>
      <c r="V69" s="43">
        <f t="shared" ca="1" si="5"/>
        <v>0.91744274876774501</v>
      </c>
      <c r="W69" s="8">
        <v>1</v>
      </c>
      <c r="X69" s="42">
        <f t="shared" ca="1" si="58"/>
        <v>309</v>
      </c>
      <c r="Z69" s="43">
        <f t="shared" ca="1" si="6"/>
        <v>0.81597813609439018</v>
      </c>
      <c r="AA69" s="8">
        <v>1</v>
      </c>
      <c r="AB69" s="42">
        <f t="shared" ca="1" si="59"/>
        <v>335</v>
      </c>
      <c r="AD69" s="43">
        <f t="shared" ca="1" si="7"/>
        <v>0.11207636681877353</v>
      </c>
      <c r="AE69" s="8">
        <v>1</v>
      </c>
      <c r="AF69" s="42">
        <f t="shared" ca="1" si="60"/>
        <v>222</v>
      </c>
      <c r="AH69" s="43">
        <f t="shared" ca="1" si="8"/>
        <v>0.93295319994388715</v>
      </c>
      <c r="AI69" s="8">
        <v>1</v>
      </c>
      <c r="AJ69" s="42">
        <f t="shared" ca="1" si="61"/>
        <v>239</v>
      </c>
      <c r="AL69" s="43">
        <f t="shared" ca="1" si="9"/>
        <v>0.38310577445078231</v>
      </c>
      <c r="AM69" s="8">
        <v>1</v>
      </c>
      <c r="AN69" s="42">
        <f t="shared" ca="1" si="62"/>
        <v>214</v>
      </c>
      <c r="AP69" s="43">
        <f t="shared" ca="1" si="10"/>
        <v>0.77517828545308198</v>
      </c>
      <c r="AQ69" s="8">
        <v>1</v>
      </c>
      <c r="AR69" s="42">
        <f t="shared" ca="1" si="63"/>
        <v>238</v>
      </c>
      <c r="AT69" s="43">
        <f t="shared" ca="1" si="11"/>
        <v>0.38372419481808928</v>
      </c>
      <c r="AU69" s="8">
        <v>1</v>
      </c>
      <c r="AV69" s="42">
        <f t="shared" ca="1" si="64"/>
        <v>190</v>
      </c>
      <c r="AX69" s="43">
        <f t="shared" ca="1" si="12"/>
        <v>0.38228901258877879</v>
      </c>
      <c r="AY69" s="8">
        <v>1</v>
      </c>
      <c r="AZ69" s="42">
        <f t="shared" ca="1" si="65"/>
        <v>215</v>
      </c>
      <c r="BB69" s="43">
        <f t="shared" ca="1" si="13"/>
        <v>1.6984079006526764E-3</v>
      </c>
      <c r="BC69" s="8">
        <v>1</v>
      </c>
      <c r="BD69" s="42">
        <f t="shared" ca="1" si="66"/>
        <v>44</v>
      </c>
      <c r="BF69" s="43">
        <f t="shared" ca="1" si="14"/>
        <v>0.81116731847621282</v>
      </c>
      <c r="BG69" s="8">
        <v>1</v>
      </c>
      <c r="BH69" s="42">
        <f t="shared" ca="1" si="67"/>
        <v>209</v>
      </c>
      <c r="BJ69" s="43">
        <f t="shared" ca="1" si="15"/>
        <v>0.4474543217443705</v>
      </c>
      <c r="BK69" s="8">
        <v>1</v>
      </c>
      <c r="BL69" s="42">
        <f t="shared" ca="1" si="68"/>
        <v>209</v>
      </c>
      <c r="BN69" s="43">
        <f t="shared" ca="1" si="16"/>
        <v>0.85340746136906032</v>
      </c>
      <c r="BO69" s="8">
        <v>1</v>
      </c>
      <c r="BP69" s="42">
        <f t="shared" ca="1" si="69"/>
        <v>206</v>
      </c>
      <c r="BR69" s="43">
        <f t="shared" ca="1" si="17"/>
        <v>0.29220816329113342</v>
      </c>
      <c r="BS69" s="8">
        <v>1</v>
      </c>
      <c r="BT69" s="42">
        <f t="shared" ca="1" si="70"/>
        <v>188</v>
      </c>
    </row>
    <row r="70" spans="1:72" x14ac:dyDescent="0.2">
      <c r="A70" s="22">
        <v>44617</v>
      </c>
      <c r="B70" s="43">
        <f t="shared" ca="1" si="0"/>
        <v>0.34843653867034541</v>
      </c>
      <c r="C70" s="8">
        <v>1</v>
      </c>
      <c r="D70" s="42">
        <f t="shared" ca="1" si="53"/>
        <v>93</v>
      </c>
      <c r="F70" s="43">
        <f t="shared" ca="1" si="1"/>
        <v>7.2171995173738956E-2</v>
      </c>
      <c r="G70" s="8">
        <v>1</v>
      </c>
      <c r="H70" s="42">
        <f t="shared" ca="1" si="54"/>
        <v>132</v>
      </c>
      <c r="J70" s="43">
        <f t="shared" ca="1" si="2"/>
        <v>0.22573756634570885</v>
      </c>
      <c r="K70" s="8">
        <v>1</v>
      </c>
      <c r="L70" s="42">
        <f t="shared" ca="1" si="55"/>
        <v>120</v>
      </c>
      <c r="N70" s="43">
        <f t="shared" ca="1" si="3"/>
        <v>0.21670393911426244</v>
      </c>
      <c r="O70" s="8">
        <v>1</v>
      </c>
      <c r="P70" s="42">
        <f t="shared" ca="1" si="56"/>
        <v>182</v>
      </c>
      <c r="R70" s="43">
        <f t="shared" ca="1" si="4"/>
        <v>0.56221565272831331</v>
      </c>
      <c r="S70" s="8">
        <v>1</v>
      </c>
      <c r="T70" s="42">
        <f t="shared" ca="1" si="57"/>
        <v>145</v>
      </c>
      <c r="V70" s="43">
        <f t="shared" ca="1" si="5"/>
        <v>0.59619801968711839</v>
      </c>
      <c r="W70" s="8">
        <v>1</v>
      </c>
      <c r="X70" s="42">
        <f t="shared" ca="1" si="58"/>
        <v>240</v>
      </c>
      <c r="Z70" s="43">
        <f t="shared" ca="1" si="6"/>
        <v>9.1076001185789957E-2</v>
      </c>
      <c r="AA70" s="8">
        <v>1</v>
      </c>
      <c r="AB70" s="42">
        <f t="shared" ca="1" si="59"/>
        <v>174</v>
      </c>
      <c r="AD70" s="43">
        <f t="shared" ca="1" si="7"/>
        <v>0.60349560684853343</v>
      </c>
      <c r="AE70" s="8">
        <v>1</v>
      </c>
      <c r="AF70" s="42">
        <f t="shared" ca="1" si="60"/>
        <v>350</v>
      </c>
      <c r="AH70" s="43">
        <f t="shared" ca="1" si="8"/>
        <v>0.83737591338445505</v>
      </c>
      <c r="AI70" s="8">
        <v>1</v>
      </c>
      <c r="AJ70" s="42">
        <f t="shared" ca="1" si="61"/>
        <v>216</v>
      </c>
      <c r="AL70" s="43">
        <f t="shared" ca="1" si="9"/>
        <v>0.81117348131938205</v>
      </c>
      <c r="AM70" s="8">
        <v>1</v>
      </c>
      <c r="AN70" s="42">
        <f t="shared" ca="1" si="62"/>
        <v>287</v>
      </c>
      <c r="AP70" s="43">
        <f t="shared" ca="1" si="10"/>
        <v>0.65986404542463906</v>
      </c>
      <c r="AQ70" s="8">
        <v>1</v>
      </c>
      <c r="AR70" s="42">
        <f t="shared" ca="1" si="63"/>
        <v>220</v>
      </c>
      <c r="AT70" s="43">
        <f t="shared" ca="1" si="11"/>
        <v>0.11288170236375827</v>
      </c>
      <c r="AU70" s="8">
        <v>1</v>
      </c>
      <c r="AV70" s="42">
        <f t="shared" ca="1" si="64"/>
        <v>140</v>
      </c>
      <c r="AX70" s="43">
        <f t="shared" ca="1" si="12"/>
        <v>0.68807392915403554</v>
      </c>
      <c r="AY70" s="8">
        <v>1</v>
      </c>
      <c r="AZ70" s="42">
        <f t="shared" ca="1" si="65"/>
        <v>265</v>
      </c>
      <c r="BB70" s="43">
        <f t="shared" ca="1" si="13"/>
        <v>0.67088092002319766</v>
      </c>
      <c r="BC70" s="8">
        <v>1</v>
      </c>
      <c r="BD70" s="42">
        <f t="shared" ca="1" si="66"/>
        <v>225</v>
      </c>
      <c r="BF70" s="43">
        <f t="shared" ca="1" si="14"/>
        <v>0.19793495748863044</v>
      </c>
      <c r="BG70" s="8">
        <v>1</v>
      </c>
      <c r="BH70" s="42">
        <f t="shared" ca="1" si="67"/>
        <v>131</v>
      </c>
      <c r="BJ70" s="43">
        <f t="shared" ca="1" si="15"/>
        <v>9.2376294760797562E-2</v>
      </c>
      <c r="BK70" s="8">
        <v>1</v>
      </c>
      <c r="BL70" s="42">
        <f t="shared" ca="1" si="68"/>
        <v>140</v>
      </c>
      <c r="BN70" s="43">
        <f t="shared" ca="1" si="16"/>
        <v>0.80635258111977892</v>
      </c>
      <c r="BO70" s="8">
        <v>1</v>
      </c>
      <c r="BP70" s="42">
        <f t="shared" ca="1" si="69"/>
        <v>198</v>
      </c>
      <c r="BR70" s="43">
        <f t="shared" ca="1" si="17"/>
        <v>0.52680997307235999</v>
      </c>
      <c r="BS70" s="8">
        <v>1</v>
      </c>
      <c r="BT70" s="42">
        <f t="shared" ca="1" si="70"/>
        <v>224</v>
      </c>
    </row>
    <row r="71" spans="1:72" x14ac:dyDescent="0.2">
      <c r="A71" s="22">
        <v>44618</v>
      </c>
      <c r="B71" s="43">
        <f t="shared" ca="1" si="0"/>
        <v>0.25599383797144992</v>
      </c>
      <c r="C71" s="8">
        <v>1</v>
      </c>
      <c r="D71" s="42">
        <f t="shared" ca="1" si="53"/>
        <v>87</v>
      </c>
      <c r="F71" s="43">
        <f t="shared" ca="1" si="1"/>
        <v>0.96293002611086709</v>
      </c>
      <c r="G71" s="8">
        <v>1</v>
      </c>
      <c r="H71" s="42">
        <f t="shared" ca="1" si="54"/>
        <v>318</v>
      </c>
      <c r="J71" s="43">
        <f t="shared" ca="1" si="2"/>
        <v>0.84405413492254899</v>
      </c>
      <c r="K71" s="8">
        <v>1</v>
      </c>
      <c r="L71" s="42">
        <f t="shared" ca="1" si="55"/>
        <v>191</v>
      </c>
      <c r="N71" s="43">
        <f t="shared" ca="1" si="3"/>
        <v>0.39997275893061091</v>
      </c>
      <c r="O71" s="8">
        <v>1</v>
      </c>
      <c r="P71" s="42">
        <f t="shared" ca="1" si="56"/>
        <v>214</v>
      </c>
      <c r="R71" s="43">
        <f t="shared" ca="1" si="4"/>
        <v>0.68096875979389182</v>
      </c>
      <c r="S71" s="8">
        <v>1</v>
      </c>
      <c r="T71" s="42">
        <f t="shared" ca="1" si="57"/>
        <v>157</v>
      </c>
      <c r="V71" s="43">
        <f t="shared" ca="1" si="5"/>
        <v>0.25936619850467979</v>
      </c>
      <c r="W71" s="8">
        <v>1</v>
      </c>
      <c r="X71" s="42">
        <f t="shared" ca="1" si="58"/>
        <v>187</v>
      </c>
      <c r="Z71" s="43">
        <f t="shared" ca="1" si="6"/>
        <v>0.62834055740624795</v>
      </c>
      <c r="AA71" s="8">
        <v>1</v>
      </c>
      <c r="AB71" s="42">
        <f t="shared" ca="1" si="59"/>
        <v>294</v>
      </c>
      <c r="AD71" s="43">
        <f t="shared" ca="1" si="7"/>
        <v>0.53916953189952732</v>
      </c>
      <c r="AE71" s="8">
        <v>1</v>
      </c>
      <c r="AF71" s="42">
        <f t="shared" ca="1" si="60"/>
        <v>336</v>
      </c>
      <c r="AH71" s="43">
        <f t="shared" ca="1" si="8"/>
        <v>0.33269659287019193</v>
      </c>
      <c r="AI71" s="8">
        <v>1</v>
      </c>
      <c r="AJ71" s="42">
        <f t="shared" ca="1" si="61"/>
        <v>151</v>
      </c>
      <c r="AL71" s="43">
        <f t="shared" ca="1" si="9"/>
        <v>0.59896046313295337</v>
      </c>
      <c r="AM71" s="8">
        <v>1</v>
      </c>
      <c r="AN71" s="42">
        <f t="shared" ca="1" si="62"/>
        <v>248</v>
      </c>
      <c r="AP71" s="43">
        <f t="shared" ca="1" si="10"/>
        <v>0.84085167579982467</v>
      </c>
      <c r="AQ71" s="8">
        <v>1</v>
      </c>
      <c r="AR71" s="42">
        <f t="shared" ca="1" si="63"/>
        <v>251</v>
      </c>
      <c r="AT71" s="43">
        <f t="shared" ca="1" si="11"/>
        <v>0.50699566125007789</v>
      </c>
      <c r="AU71" s="8">
        <v>1</v>
      </c>
      <c r="AV71" s="42">
        <f t="shared" ca="1" si="64"/>
        <v>207</v>
      </c>
      <c r="AX71" s="43">
        <f t="shared" ca="1" si="12"/>
        <v>0.73965182479459801</v>
      </c>
      <c r="AY71" s="8">
        <v>1</v>
      </c>
      <c r="AZ71" s="42">
        <f t="shared" ca="1" si="65"/>
        <v>274</v>
      </c>
      <c r="BB71" s="43">
        <f t="shared" ca="1" si="13"/>
        <v>0.93794741213807475</v>
      </c>
      <c r="BC71" s="8">
        <v>1</v>
      </c>
      <c r="BD71" s="42">
        <f t="shared" ca="1" si="66"/>
        <v>283</v>
      </c>
      <c r="BF71" s="43">
        <f t="shared" ca="1" si="14"/>
        <v>0.76922779935950858</v>
      </c>
      <c r="BG71" s="8">
        <v>1</v>
      </c>
      <c r="BH71" s="42">
        <f t="shared" ca="1" si="67"/>
        <v>202</v>
      </c>
      <c r="BJ71" s="43">
        <f t="shared" ca="1" si="15"/>
        <v>0.78888747593906505</v>
      </c>
      <c r="BK71" s="8">
        <v>1</v>
      </c>
      <c r="BL71" s="42">
        <f t="shared" ca="1" si="68"/>
        <v>262</v>
      </c>
      <c r="BN71" s="43">
        <f t="shared" ca="1" si="16"/>
        <v>0.51682487394851784</v>
      </c>
      <c r="BO71" s="8">
        <v>1</v>
      </c>
      <c r="BP71" s="42">
        <f t="shared" ca="1" si="69"/>
        <v>163</v>
      </c>
      <c r="BR71" s="43">
        <f t="shared" ca="1" si="17"/>
        <v>0.18208372765600633</v>
      </c>
      <c r="BS71" s="8">
        <v>1</v>
      </c>
      <c r="BT71" s="42">
        <f t="shared" ca="1" si="70"/>
        <v>167</v>
      </c>
    </row>
    <row r="72" spans="1:72" x14ac:dyDescent="0.2">
      <c r="A72" s="22">
        <v>44619</v>
      </c>
      <c r="B72" s="43">
        <f t="shared" ca="1" si="0"/>
        <v>0.70439833306674615</v>
      </c>
      <c r="C72" s="8">
        <v>1</v>
      </c>
      <c r="D72" s="42">
        <f t="shared" ca="1" si="53"/>
        <v>111</v>
      </c>
      <c r="F72" s="43">
        <f t="shared" ca="1" si="1"/>
        <v>0.4594886987863116</v>
      </c>
      <c r="G72" s="8">
        <v>1</v>
      </c>
      <c r="H72" s="42">
        <f t="shared" ca="1" si="54"/>
        <v>210</v>
      </c>
      <c r="J72" s="43">
        <f t="shared" ca="1" si="2"/>
        <v>0.36843557917008429</v>
      </c>
      <c r="K72" s="8">
        <v>1</v>
      </c>
      <c r="L72" s="42">
        <f t="shared" ca="1" si="55"/>
        <v>137</v>
      </c>
      <c r="N72" s="43">
        <f t="shared" ca="1" si="3"/>
        <v>0.45911296021394199</v>
      </c>
      <c r="O72" s="8">
        <v>1</v>
      </c>
      <c r="P72" s="42">
        <f t="shared" ca="1" si="56"/>
        <v>224</v>
      </c>
      <c r="R72" s="43">
        <f t="shared" ca="1" si="4"/>
        <v>0.63622393159060864</v>
      </c>
      <c r="S72" s="8">
        <v>1</v>
      </c>
      <c r="T72" s="42">
        <f t="shared" ca="1" si="57"/>
        <v>152</v>
      </c>
      <c r="V72" s="43">
        <f t="shared" ca="1" si="5"/>
        <v>0.66158115900757986</v>
      </c>
      <c r="W72" s="8">
        <v>1</v>
      </c>
      <c r="X72" s="42">
        <f t="shared" ca="1" si="58"/>
        <v>251</v>
      </c>
      <c r="Z72" s="43">
        <f t="shared" ca="1" si="6"/>
        <v>0.63540273388684809</v>
      </c>
      <c r="AA72" s="8">
        <v>1</v>
      </c>
      <c r="AB72" s="42">
        <f t="shared" ca="1" si="59"/>
        <v>295</v>
      </c>
      <c r="AD72" s="43">
        <f t="shared" ca="1" si="7"/>
        <v>0.19768351723549804</v>
      </c>
      <c r="AE72" s="8">
        <v>1</v>
      </c>
      <c r="AF72" s="42">
        <f t="shared" ca="1" si="60"/>
        <v>253</v>
      </c>
      <c r="AH72" s="43">
        <f t="shared" ca="1" si="8"/>
        <v>0.45241974013656217</v>
      </c>
      <c r="AI72" s="8">
        <v>1</v>
      </c>
      <c r="AJ72" s="42">
        <f t="shared" ca="1" si="61"/>
        <v>165</v>
      </c>
      <c r="AL72" s="43">
        <f t="shared" ca="1" si="9"/>
        <v>5.0195833016946856E-2</v>
      </c>
      <c r="AM72" s="8">
        <v>1</v>
      </c>
      <c r="AN72" s="42">
        <f t="shared" ca="1" si="62"/>
        <v>131</v>
      </c>
      <c r="AP72" s="43">
        <f t="shared" ca="1" si="10"/>
        <v>0.43952810487851901</v>
      </c>
      <c r="AQ72" s="8">
        <v>1</v>
      </c>
      <c r="AR72" s="42">
        <f t="shared" ca="1" si="63"/>
        <v>190</v>
      </c>
      <c r="AT72" s="43">
        <f t="shared" ca="1" si="11"/>
        <v>0.15632866053226691</v>
      </c>
      <c r="AU72" s="8">
        <v>1</v>
      </c>
      <c r="AV72" s="42">
        <f t="shared" ca="1" si="64"/>
        <v>151</v>
      </c>
      <c r="AX72" s="43">
        <f t="shared" ca="1" si="12"/>
        <v>0.40942533700402117</v>
      </c>
      <c r="AY72" s="8">
        <v>1</v>
      </c>
      <c r="AZ72" s="42">
        <f t="shared" ca="1" si="65"/>
        <v>220</v>
      </c>
      <c r="BB72" s="43">
        <f t="shared" ca="1" si="13"/>
        <v>0.56925279719323585</v>
      </c>
      <c r="BC72" s="8">
        <v>1</v>
      </c>
      <c r="BD72" s="42">
        <f t="shared" ca="1" si="66"/>
        <v>210</v>
      </c>
      <c r="BF72" s="43">
        <f t="shared" ca="1" si="14"/>
        <v>0.45759349495857471</v>
      </c>
      <c r="BG72" s="8">
        <v>1</v>
      </c>
      <c r="BH72" s="42">
        <f t="shared" ca="1" si="67"/>
        <v>164</v>
      </c>
      <c r="BJ72" s="43">
        <f t="shared" ca="1" si="15"/>
        <v>0.82525071041125209</v>
      </c>
      <c r="BK72" s="8">
        <v>1</v>
      </c>
      <c r="BL72" s="42">
        <f t="shared" ca="1" si="68"/>
        <v>270</v>
      </c>
      <c r="BN72" s="43">
        <f t="shared" ca="1" si="16"/>
        <v>0.6999760501398643</v>
      </c>
      <c r="BO72" s="8">
        <v>1</v>
      </c>
      <c r="BP72" s="42">
        <f t="shared" ca="1" si="69"/>
        <v>184</v>
      </c>
      <c r="BR72" s="43">
        <f t="shared" ca="1" si="17"/>
        <v>0.7159649921048199</v>
      </c>
      <c r="BS72" s="8">
        <v>1</v>
      </c>
      <c r="BT72" s="42">
        <f t="shared" ca="1" si="70"/>
        <v>253</v>
      </c>
    </row>
    <row r="73" spans="1:72" x14ac:dyDescent="0.2">
      <c r="A73" s="22">
        <v>44620</v>
      </c>
      <c r="B73" s="43">
        <f t="shared" ca="1" si="0"/>
        <v>0.17293244670031183</v>
      </c>
      <c r="C73" s="8">
        <v>1</v>
      </c>
      <c r="D73" s="42">
        <f t="shared" ca="1" si="53"/>
        <v>82</v>
      </c>
      <c r="F73" s="43">
        <f t="shared" ca="1" si="1"/>
        <v>0.31904565464777235</v>
      </c>
      <c r="G73" s="8">
        <v>1</v>
      </c>
      <c r="H73" s="42">
        <f t="shared" ca="1" si="54"/>
        <v>189</v>
      </c>
      <c r="J73" s="43">
        <f t="shared" ca="1" si="2"/>
        <v>0.50110360650356711</v>
      </c>
      <c r="K73" s="8">
        <v>1</v>
      </c>
      <c r="L73" s="42">
        <f t="shared" ca="1" si="55"/>
        <v>151</v>
      </c>
      <c r="N73" s="43">
        <f t="shared" ca="1" si="3"/>
        <v>0.57668653207847687</v>
      </c>
      <c r="O73" s="8">
        <v>1</v>
      </c>
      <c r="P73" s="42">
        <f t="shared" ca="1" si="56"/>
        <v>242</v>
      </c>
      <c r="R73" s="43">
        <f t="shared" ca="1" si="4"/>
        <v>0.89276368736308798</v>
      </c>
      <c r="S73" s="8">
        <v>1</v>
      </c>
      <c r="T73" s="42">
        <f t="shared" ca="1" si="57"/>
        <v>185</v>
      </c>
      <c r="V73" s="43">
        <f t="shared" ca="1" si="5"/>
        <v>0.12544676215696993</v>
      </c>
      <c r="W73" s="8">
        <v>1</v>
      </c>
      <c r="X73" s="42">
        <f t="shared" ca="1" si="58"/>
        <v>157</v>
      </c>
      <c r="Z73" s="43">
        <f t="shared" ca="1" si="6"/>
        <v>0.78061180013373133</v>
      </c>
      <c r="AA73" s="8">
        <v>1</v>
      </c>
      <c r="AB73" s="42">
        <f t="shared" ca="1" si="59"/>
        <v>326</v>
      </c>
      <c r="AD73" s="43">
        <f t="shared" ca="1" si="7"/>
        <v>0.35649866779488026</v>
      </c>
      <c r="AE73" s="8">
        <v>1</v>
      </c>
      <c r="AF73" s="42">
        <f t="shared" ca="1" si="60"/>
        <v>295</v>
      </c>
      <c r="AH73" s="43">
        <f t="shared" ca="1" si="8"/>
        <v>0.8301668155034615</v>
      </c>
      <c r="AI73" s="8">
        <v>1</v>
      </c>
      <c r="AJ73" s="42">
        <f t="shared" ca="1" si="61"/>
        <v>214</v>
      </c>
      <c r="AL73" s="43">
        <f t="shared" ca="1" si="9"/>
        <v>0.85698144988349756</v>
      </c>
      <c r="AM73" s="8">
        <v>1</v>
      </c>
      <c r="AN73" s="42">
        <f t="shared" ca="1" si="62"/>
        <v>299</v>
      </c>
      <c r="AP73" s="43">
        <f t="shared" ca="1" si="10"/>
        <v>0.71714685521323585</v>
      </c>
      <c r="AQ73" s="8">
        <v>1</v>
      </c>
      <c r="AR73" s="42">
        <f t="shared" ca="1" si="63"/>
        <v>229</v>
      </c>
      <c r="AT73" s="43">
        <f t="shared" ca="1" si="11"/>
        <v>0.29927589480965655</v>
      </c>
      <c r="AU73" s="8">
        <v>1</v>
      </c>
      <c r="AV73" s="42">
        <f t="shared" ca="1" si="64"/>
        <v>177</v>
      </c>
      <c r="AX73" s="43">
        <f t="shared" ca="1" si="12"/>
        <v>0.39615155126186941</v>
      </c>
      <c r="AY73" s="8">
        <v>1</v>
      </c>
      <c r="AZ73" s="42">
        <f t="shared" ca="1" si="65"/>
        <v>218</v>
      </c>
      <c r="BB73" s="43">
        <f t="shared" ca="1" si="13"/>
        <v>0.75418757174267237</v>
      </c>
      <c r="BC73" s="8">
        <v>1</v>
      </c>
      <c r="BD73" s="42">
        <f t="shared" ca="1" si="66"/>
        <v>238</v>
      </c>
      <c r="BF73" s="43">
        <f t="shared" ca="1" si="14"/>
        <v>0.60502399007954888</v>
      </c>
      <c r="BG73" s="8">
        <v>1</v>
      </c>
      <c r="BH73" s="42">
        <f t="shared" ca="1" si="67"/>
        <v>181</v>
      </c>
      <c r="BJ73" s="43">
        <f t="shared" ca="1" si="15"/>
        <v>0.7149951571450277</v>
      </c>
      <c r="BK73" s="8">
        <v>1</v>
      </c>
      <c r="BL73" s="42">
        <f t="shared" ca="1" si="68"/>
        <v>249</v>
      </c>
      <c r="BN73" s="43">
        <f t="shared" ca="1" si="16"/>
        <v>0.91894239523438159</v>
      </c>
      <c r="BO73" s="8">
        <v>1</v>
      </c>
      <c r="BP73" s="42">
        <f t="shared" ca="1" si="69"/>
        <v>221</v>
      </c>
      <c r="BR73" s="43">
        <f t="shared" ca="1" si="17"/>
        <v>0.81085257982626679</v>
      </c>
      <c r="BS73" s="8">
        <v>1</v>
      </c>
      <c r="BT73" s="42">
        <f t="shared" ca="1" si="70"/>
        <v>271</v>
      </c>
    </row>
    <row r="74" spans="1:72" x14ac:dyDescent="0.2">
      <c r="A74" s="22">
        <v>44621</v>
      </c>
      <c r="B74" s="43">
        <f t="shared" ca="1" si="0"/>
        <v>0.3870840083478817</v>
      </c>
      <c r="C74" s="8">
        <f>1-0.06</f>
        <v>0.94</v>
      </c>
      <c r="D74" s="42">
        <f t="shared" ca="1" si="53"/>
        <v>89</v>
      </c>
      <c r="F74" s="43">
        <f t="shared" ca="1" si="1"/>
        <v>0.5920662811395635</v>
      </c>
      <c r="G74" s="8">
        <f>1-0.06</f>
        <v>0.94</v>
      </c>
      <c r="H74" s="42">
        <f t="shared" ca="1" si="54"/>
        <v>216</v>
      </c>
      <c r="J74" s="43">
        <f t="shared" ca="1" si="2"/>
        <v>0.97828562091091786</v>
      </c>
      <c r="K74" s="8">
        <f>1-0.06</f>
        <v>0.94</v>
      </c>
      <c r="L74" s="42">
        <f t="shared" ca="1" si="55"/>
        <v>217</v>
      </c>
      <c r="N74" s="43">
        <f t="shared" ca="1" si="3"/>
        <v>0.28692086309651943</v>
      </c>
      <c r="O74" s="8">
        <f>1-0.06</f>
        <v>0.94</v>
      </c>
      <c r="P74" s="42">
        <f t="shared" ca="1" si="56"/>
        <v>184</v>
      </c>
      <c r="R74" s="43">
        <f t="shared" ca="1" si="4"/>
        <v>0.767056439485167</v>
      </c>
      <c r="S74" s="8">
        <f>1-0.06</f>
        <v>0.94</v>
      </c>
      <c r="T74" s="42">
        <f t="shared" ca="1" si="57"/>
        <v>156</v>
      </c>
      <c r="V74" s="43">
        <f t="shared" ca="1" si="5"/>
        <v>0.61954213205945941</v>
      </c>
      <c r="W74" s="8">
        <f>1-0.06</f>
        <v>0.94</v>
      </c>
      <c r="X74" s="42">
        <f t="shared" ca="1" si="58"/>
        <v>229</v>
      </c>
      <c r="Z74" s="43">
        <f t="shared" ca="1" si="6"/>
        <v>0.72654756390056097</v>
      </c>
      <c r="AA74" s="8">
        <f>1-0.06</f>
        <v>0.94</v>
      </c>
      <c r="AB74" s="42">
        <f t="shared" ca="1" si="59"/>
        <v>295</v>
      </c>
      <c r="AD74" s="43">
        <f t="shared" ca="1" si="7"/>
        <v>0.42918488371815078</v>
      </c>
      <c r="AE74" s="8">
        <f>1-0.06</f>
        <v>0.94</v>
      </c>
      <c r="AF74" s="42">
        <f t="shared" ca="1" si="60"/>
        <v>293</v>
      </c>
      <c r="AH74" s="43">
        <f t="shared" ca="1" si="8"/>
        <v>0.90743746605800135</v>
      </c>
      <c r="AI74" s="8">
        <f>1-0.06</f>
        <v>0.94</v>
      </c>
      <c r="AJ74" s="42">
        <f t="shared" ca="1" si="61"/>
        <v>217</v>
      </c>
      <c r="AL74" s="43">
        <f t="shared" ca="1" si="9"/>
        <v>0.81374713930143572</v>
      </c>
      <c r="AM74" s="8">
        <f>1-0.06</f>
        <v>0.94</v>
      </c>
      <c r="AN74" s="42">
        <f t="shared" ca="1" si="62"/>
        <v>270</v>
      </c>
      <c r="AP74" s="43">
        <f t="shared" ca="1" si="10"/>
        <v>0.21901163196471174</v>
      </c>
      <c r="AQ74" s="8">
        <f>1-0.06</f>
        <v>0.94</v>
      </c>
      <c r="AR74" s="42">
        <f t="shared" ca="1" si="63"/>
        <v>148</v>
      </c>
      <c r="AT74" s="43">
        <f t="shared" ca="1" si="11"/>
        <v>0.61329569933959294</v>
      </c>
      <c r="AU74" s="8">
        <f>1-0.06</f>
        <v>0.94</v>
      </c>
      <c r="AV74" s="42">
        <f t="shared" ca="1" si="64"/>
        <v>209</v>
      </c>
      <c r="AX74" s="43">
        <f t="shared" ca="1" si="12"/>
        <v>0.52403077044124613</v>
      </c>
      <c r="AY74" s="8">
        <f>1-0.06</f>
        <v>0.94</v>
      </c>
      <c r="AZ74" s="42">
        <f t="shared" ca="1" si="65"/>
        <v>224</v>
      </c>
      <c r="BB74" s="43">
        <f t="shared" ca="1" si="13"/>
        <v>0.67329184602039949</v>
      </c>
      <c r="BC74" s="8">
        <f>1-0.06</f>
        <v>0.94</v>
      </c>
      <c r="BD74" s="42">
        <f t="shared" ca="1" si="66"/>
        <v>212</v>
      </c>
      <c r="BF74" s="43">
        <f t="shared" ca="1" si="14"/>
        <v>0.39199931746761285</v>
      </c>
      <c r="BG74" s="8">
        <f>1-0.06</f>
        <v>0.94</v>
      </c>
      <c r="BH74" s="42">
        <f t="shared" ca="1" si="67"/>
        <v>147</v>
      </c>
      <c r="BJ74" s="43">
        <f t="shared" ca="1" si="15"/>
        <v>0.90394284370836697</v>
      </c>
      <c r="BK74" s="8">
        <f>1-0.06</f>
        <v>0.94</v>
      </c>
      <c r="BL74" s="42">
        <f t="shared" ca="1" si="68"/>
        <v>274</v>
      </c>
      <c r="BN74" s="43">
        <f t="shared" ca="1" si="16"/>
        <v>0.7896549495412829</v>
      </c>
      <c r="BO74" s="8">
        <f>1-0.06</f>
        <v>0.94</v>
      </c>
      <c r="BP74" s="42">
        <f t="shared" ca="1" si="69"/>
        <v>184</v>
      </c>
      <c r="BR74" s="43">
        <f t="shared" ca="1" si="17"/>
        <v>0.73821410993123016</v>
      </c>
      <c r="BS74" s="8">
        <f>1-0.06</f>
        <v>0.94</v>
      </c>
      <c r="BT74" s="42">
        <f t="shared" ca="1" si="70"/>
        <v>242</v>
      </c>
    </row>
    <row r="75" spans="1:72" x14ac:dyDescent="0.2">
      <c r="A75" s="22">
        <v>44622</v>
      </c>
      <c r="B75" s="43">
        <f t="shared" ca="1" si="0"/>
        <v>0.86376731053176026</v>
      </c>
      <c r="C75" s="8">
        <f t="shared" ref="C75:C104" si="71">1-0.06</f>
        <v>0.94</v>
      </c>
      <c r="D75" s="42">
        <f t="shared" ca="1" si="53"/>
        <v>115</v>
      </c>
      <c r="F75" s="43">
        <f t="shared" ca="1" si="1"/>
        <v>0.22878916178542619</v>
      </c>
      <c r="G75" s="8">
        <f t="shared" ref="G75:G104" si="72">1-0.06</f>
        <v>0.94</v>
      </c>
      <c r="H75" s="42">
        <f t="shared" ca="1" si="54"/>
        <v>163</v>
      </c>
      <c r="J75" s="43">
        <f t="shared" ca="1" si="2"/>
        <v>0.8045824567599924</v>
      </c>
      <c r="K75" s="8">
        <f t="shared" ref="K75:K104" si="73">1-0.06</f>
        <v>0.94</v>
      </c>
      <c r="L75" s="42">
        <f t="shared" ca="1" si="55"/>
        <v>174</v>
      </c>
      <c r="N75" s="43">
        <f t="shared" ca="1" si="3"/>
        <v>0.18544968181850929</v>
      </c>
      <c r="O75" s="8">
        <f t="shared" ref="O75:O104" si="74">1-0.06</f>
        <v>0.94</v>
      </c>
      <c r="P75" s="42">
        <f t="shared" ca="1" si="56"/>
        <v>165</v>
      </c>
      <c r="R75" s="43">
        <f t="shared" ca="1" si="4"/>
        <v>0.65346865159864698</v>
      </c>
      <c r="S75" s="8">
        <f t="shared" ref="S75:S104" si="75">1-0.06</f>
        <v>0.94</v>
      </c>
      <c r="T75" s="42">
        <f t="shared" ca="1" si="57"/>
        <v>145</v>
      </c>
      <c r="V75" s="43">
        <f t="shared" ca="1" si="5"/>
        <v>0.44225511538037199</v>
      </c>
      <c r="W75" s="8">
        <f t="shared" ref="W75:W104" si="76">1-0.06</f>
        <v>0.94</v>
      </c>
      <c r="X75" s="42">
        <f t="shared" ca="1" si="58"/>
        <v>204</v>
      </c>
      <c r="Z75" s="43">
        <f t="shared" ca="1" si="6"/>
        <v>0.37237522885298269</v>
      </c>
      <c r="AA75" s="8">
        <f t="shared" ref="AA75:AA104" si="77">1-0.06</f>
        <v>0.94</v>
      </c>
      <c r="AB75" s="42">
        <f t="shared" ca="1" si="59"/>
        <v>232</v>
      </c>
      <c r="AD75" s="43">
        <f t="shared" ca="1" si="7"/>
        <v>0.69114860082116047</v>
      </c>
      <c r="AE75" s="8">
        <f t="shared" ref="AE75:AE104" si="78">1-0.06</f>
        <v>0.94</v>
      </c>
      <c r="AF75" s="42">
        <f t="shared" ca="1" si="60"/>
        <v>349</v>
      </c>
      <c r="AH75" s="43">
        <f t="shared" ca="1" si="8"/>
        <v>0.92701806789917673</v>
      </c>
      <c r="AI75" s="8">
        <f t="shared" ref="AI75:AI104" si="79">1-0.06</f>
        <v>0.94</v>
      </c>
      <c r="AJ75" s="42">
        <f t="shared" ca="1" si="61"/>
        <v>223</v>
      </c>
      <c r="AL75" s="43">
        <f t="shared" ca="1" si="9"/>
        <v>0.61334278547109666</v>
      </c>
      <c r="AM75" s="8">
        <f t="shared" ref="AM75:AM104" si="80">1-0.06</f>
        <v>0.94</v>
      </c>
      <c r="AN75" s="42">
        <f t="shared" ca="1" si="62"/>
        <v>235</v>
      </c>
      <c r="AP75" s="43">
        <f t="shared" ca="1" si="10"/>
        <v>0.88389523639172551</v>
      </c>
      <c r="AQ75" s="8">
        <f t="shared" ref="AQ75:AQ104" si="81">1-0.06</f>
        <v>0.94</v>
      </c>
      <c r="AR75" s="42">
        <f t="shared" ca="1" si="63"/>
        <v>246</v>
      </c>
      <c r="AT75" s="43">
        <f t="shared" ca="1" si="11"/>
        <v>0.63789165217885391</v>
      </c>
      <c r="AU75" s="8">
        <f t="shared" ref="AU75:AU104" si="82">1-0.06</f>
        <v>0.94</v>
      </c>
      <c r="AV75" s="42">
        <f t="shared" ca="1" si="64"/>
        <v>212</v>
      </c>
      <c r="AX75" s="43">
        <f t="shared" ca="1" si="12"/>
        <v>0.79001028546978558</v>
      </c>
      <c r="AY75" s="8">
        <f t="shared" ref="AY75:AY104" si="83">1-0.06</f>
        <v>0.94</v>
      </c>
      <c r="AZ75" s="42">
        <f t="shared" ca="1" si="65"/>
        <v>267</v>
      </c>
      <c r="BB75" s="43">
        <f t="shared" ca="1" si="13"/>
        <v>0.10622045513713663</v>
      </c>
      <c r="BC75" s="8">
        <f t="shared" ref="BC75:BC104" si="84">1-0.06</f>
        <v>0.94</v>
      </c>
      <c r="BD75" s="42">
        <f t="shared" ca="1" si="66"/>
        <v>126</v>
      </c>
      <c r="BF75" s="43">
        <f t="shared" ca="1" si="14"/>
        <v>0.4461646446989781</v>
      </c>
      <c r="BG75" s="8">
        <f t="shared" ref="BG75:BG104" si="85">1-0.06</f>
        <v>0.94</v>
      </c>
      <c r="BH75" s="42">
        <f t="shared" ca="1" si="67"/>
        <v>153</v>
      </c>
      <c r="BJ75" s="43">
        <f t="shared" ca="1" si="15"/>
        <v>0.3838898841439744</v>
      </c>
      <c r="BK75" s="8">
        <f t="shared" ref="BK75:BK104" si="86">1-0.06</f>
        <v>0.94</v>
      </c>
      <c r="BL75" s="42">
        <f t="shared" ca="1" si="68"/>
        <v>187</v>
      </c>
      <c r="BN75" s="43">
        <f t="shared" ca="1" si="16"/>
        <v>0.24816662990802707</v>
      </c>
      <c r="BO75" s="8">
        <f t="shared" ref="BO75:BO104" si="87">1-0.06</f>
        <v>0.94</v>
      </c>
      <c r="BP75" s="42">
        <f t="shared" ca="1" si="69"/>
        <v>124</v>
      </c>
      <c r="BR75" s="43">
        <f t="shared" ca="1" si="17"/>
        <v>0.92631287417359975</v>
      </c>
      <c r="BS75" s="8">
        <f t="shared" ref="BS75:BS104" si="88">1-0.06</f>
        <v>0.94</v>
      </c>
      <c r="BT75" s="42">
        <f t="shared" ca="1" si="70"/>
        <v>286</v>
      </c>
    </row>
    <row r="76" spans="1:72" x14ac:dyDescent="0.2">
      <c r="A76" s="22">
        <v>44623</v>
      </c>
      <c r="B76" s="43">
        <f t="shared" ca="1" si="0"/>
        <v>0.80639460070936375</v>
      </c>
      <c r="C76" s="8">
        <f t="shared" si="71"/>
        <v>0.94</v>
      </c>
      <c r="D76" s="42">
        <f t="shared" ca="1" si="53"/>
        <v>111</v>
      </c>
      <c r="F76" s="43">
        <f t="shared" ca="1" si="1"/>
        <v>0.41208740765200502</v>
      </c>
      <c r="G76" s="8">
        <f t="shared" si="72"/>
        <v>0.94</v>
      </c>
      <c r="H76" s="42">
        <f t="shared" ca="1" si="54"/>
        <v>191</v>
      </c>
      <c r="J76" s="43">
        <f t="shared" ca="1" si="2"/>
        <v>0.74512831609618468</v>
      </c>
      <c r="K76" s="8">
        <f t="shared" si="73"/>
        <v>0.94</v>
      </c>
      <c r="L76" s="42">
        <f t="shared" ca="1" si="55"/>
        <v>166</v>
      </c>
      <c r="N76" s="43">
        <f t="shared" ca="1" si="3"/>
        <v>0.9754756478872143</v>
      </c>
      <c r="O76" s="8">
        <f t="shared" si="74"/>
        <v>0.94</v>
      </c>
      <c r="P76" s="42">
        <f t="shared" ca="1" si="56"/>
        <v>329</v>
      </c>
      <c r="R76" s="43">
        <f t="shared" ca="1" si="4"/>
        <v>0.21403097097072943</v>
      </c>
      <c r="S76" s="8">
        <f t="shared" si="75"/>
        <v>0.94</v>
      </c>
      <c r="T76" s="42">
        <f t="shared" ca="1" si="57"/>
        <v>103</v>
      </c>
      <c r="V76" s="43">
        <f t="shared" ca="1" si="5"/>
        <v>0.7684587276964866</v>
      </c>
      <c r="W76" s="8">
        <f t="shared" si="76"/>
        <v>0.94</v>
      </c>
      <c r="X76" s="42">
        <f t="shared" ca="1" si="58"/>
        <v>253</v>
      </c>
      <c r="Z76" s="43">
        <f t="shared" ca="1" si="6"/>
        <v>0.58912794750788133</v>
      </c>
      <c r="AA76" s="8">
        <f t="shared" si="77"/>
        <v>0.94</v>
      </c>
      <c r="AB76" s="42">
        <f t="shared" ca="1" si="59"/>
        <v>270</v>
      </c>
      <c r="AD76" s="43">
        <f t="shared" ca="1" si="7"/>
        <v>0.64776729620598772</v>
      </c>
      <c r="AE76" s="8">
        <f t="shared" si="78"/>
        <v>0.94</v>
      </c>
      <c r="AF76" s="42">
        <f t="shared" ca="1" si="60"/>
        <v>339</v>
      </c>
      <c r="AH76" s="43">
        <f t="shared" ca="1" si="8"/>
        <v>0.22556098788661849</v>
      </c>
      <c r="AI76" s="8">
        <f t="shared" si="79"/>
        <v>0.94</v>
      </c>
      <c r="AJ76" s="42">
        <f t="shared" ca="1" si="61"/>
        <v>128</v>
      </c>
      <c r="AL76" s="43">
        <f t="shared" ca="1" si="9"/>
        <v>0.78868237449251222</v>
      </c>
      <c r="AM76" s="8">
        <f t="shared" si="80"/>
        <v>0.94</v>
      </c>
      <c r="AN76" s="42">
        <f t="shared" ca="1" si="62"/>
        <v>265</v>
      </c>
      <c r="AP76" s="43">
        <f t="shared" ca="1" si="10"/>
        <v>0.88255051253849515</v>
      </c>
      <c r="AQ76" s="8">
        <f t="shared" si="81"/>
        <v>0.94</v>
      </c>
      <c r="AR76" s="42">
        <f t="shared" ca="1" si="63"/>
        <v>246</v>
      </c>
      <c r="AT76" s="43">
        <f t="shared" ca="1" si="11"/>
        <v>0.52883852047027435</v>
      </c>
      <c r="AU76" s="8">
        <f t="shared" si="82"/>
        <v>0.94</v>
      </c>
      <c r="AV76" s="42">
        <f t="shared" ca="1" si="64"/>
        <v>197</v>
      </c>
      <c r="AX76" s="43">
        <f t="shared" ca="1" si="12"/>
        <v>4.3546706303230764E-2</v>
      </c>
      <c r="AY76" s="8">
        <f t="shared" si="83"/>
        <v>0.94</v>
      </c>
      <c r="AZ76" s="42">
        <f t="shared" ca="1" si="65"/>
        <v>120</v>
      </c>
      <c r="BB76" s="43">
        <f t="shared" ca="1" si="13"/>
        <v>0.38519338862760943</v>
      </c>
      <c r="BC76" s="8">
        <f t="shared" si="84"/>
        <v>0.94</v>
      </c>
      <c r="BD76" s="42">
        <f t="shared" ca="1" si="66"/>
        <v>174</v>
      </c>
      <c r="BF76" s="43">
        <f t="shared" ca="1" si="14"/>
        <v>1.6822330625327564E-2</v>
      </c>
      <c r="BG76" s="8">
        <f t="shared" si="85"/>
        <v>0.94</v>
      </c>
      <c r="BH76" s="42">
        <f t="shared" ca="1" si="67"/>
        <v>69</v>
      </c>
      <c r="BJ76" s="43">
        <f t="shared" ca="1" si="15"/>
        <v>0.47519659697963834</v>
      </c>
      <c r="BK76" s="8">
        <f t="shared" si="86"/>
        <v>0.94</v>
      </c>
      <c r="BL76" s="42">
        <f t="shared" ca="1" si="68"/>
        <v>200</v>
      </c>
      <c r="BN76" s="43">
        <f t="shared" ca="1" si="16"/>
        <v>0.66176908051555849</v>
      </c>
      <c r="BO76" s="8">
        <f t="shared" si="87"/>
        <v>0.94</v>
      </c>
      <c r="BP76" s="42">
        <f t="shared" ca="1" si="69"/>
        <v>168</v>
      </c>
      <c r="BR76" s="43">
        <f t="shared" ca="1" si="17"/>
        <v>0.9122083600002503</v>
      </c>
      <c r="BS76" s="8">
        <f t="shared" si="88"/>
        <v>0.94</v>
      </c>
      <c r="BT76" s="42">
        <f t="shared" ca="1" si="70"/>
        <v>281</v>
      </c>
    </row>
    <row r="77" spans="1:72" x14ac:dyDescent="0.2">
      <c r="A77" s="22">
        <v>44624</v>
      </c>
      <c r="B77" s="43">
        <f t="shared" ca="1" si="0"/>
        <v>0.43863090247838077</v>
      </c>
      <c r="C77" s="8">
        <f t="shared" si="71"/>
        <v>0.94</v>
      </c>
      <c r="D77" s="42">
        <f t="shared" ca="1" si="53"/>
        <v>92</v>
      </c>
      <c r="F77" s="43">
        <f t="shared" ca="1" si="1"/>
        <v>7.7058970663255399E-2</v>
      </c>
      <c r="G77" s="8">
        <f t="shared" si="72"/>
        <v>0.94</v>
      </c>
      <c r="H77" s="42">
        <f t="shared" ca="1" si="54"/>
        <v>126</v>
      </c>
      <c r="J77" s="43">
        <f t="shared" ca="1" si="2"/>
        <v>0.25124276621184327</v>
      </c>
      <c r="K77" s="8">
        <f t="shared" si="73"/>
        <v>0.94</v>
      </c>
      <c r="L77" s="42">
        <f t="shared" ca="1" si="55"/>
        <v>116</v>
      </c>
      <c r="N77" s="43">
        <f t="shared" ca="1" si="3"/>
        <v>0.83311201509377397</v>
      </c>
      <c r="O77" s="8">
        <f t="shared" si="74"/>
        <v>0.94</v>
      </c>
      <c r="P77" s="42">
        <f t="shared" ca="1" si="56"/>
        <v>272</v>
      </c>
      <c r="R77" s="43">
        <f t="shared" ca="1" si="4"/>
        <v>0.57338521968672795</v>
      </c>
      <c r="S77" s="8">
        <f t="shared" si="75"/>
        <v>0.94</v>
      </c>
      <c r="T77" s="42">
        <f t="shared" ca="1" si="57"/>
        <v>137</v>
      </c>
      <c r="V77" s="43">
        <f t="shared" ca="1" si="5"/>
        <v>0.36852895096371319</v>
      </c>
      <c r="W77" s="8">
        <f t="shared" si="76"/>
        <v>0.94</v>
      </c>
      <c r="X77" s="42">
        <f t="shared" ca="1" si="58"/>
        <v>193</v>
      </c>
      <c r="Z77" s="43">
        <f t="shared" ca="1" si="6"/>
        <v>0.58169926705203157</v>
      </c>
      <c r="AA77" s="8">
        <f t="shared" si="77"/>
        <v>0.94</v>
      </c>
      <c r="AB77" s="42">
        <f t="shared" ca="1" si="59"/>
        <v>268</v>
      </c>
      <c r="AD77" s="43">
        <f t="shared" ca="1" si="7"/>
        <v>0.86062281688604492</v>
      </c>
      <c r="AE77" s="8">
        <f t="shared" si="78"/>
        <v>0.94</v>
      </c>
      <c r="AF77" s="42">
        <f t="shared" ca="1" si="60"/>
        <v>397</v>
      </c>
      <c r="AH77" s="43">
        <f t="shared" ca="1" si="8"/>
        <v>0.11883532719594836</v>
      </c>
      <c r="AI77" s="8">
        <f t="shared" si="79"/>
        <v>0.94</v>
      </c>
      <c r="AJ77" s="42">
        <f t="shared" ca="1" si="61"/>
        <v>110</v>
      </c>
      <c r="AL77" s="43">
        <f t="shared" ca="1" si="9"/>
        <v>0.78871167377858165</v>
      </c>
      <c r="AM77" s="8">
        <f t="shared" si="80"/>
        <v>0.94</v>
      </c>
      <c r="AN77" s="42">
        <f t="shared" ca="1" si="62"/>
        <v>265</v>
      </c>
      <c r="AP77" s="43">
        <f t="shared" ca="1" si="10"/>
        <v>2.4101807067933523E-2</v>
      </c>
      <c r="AQ77" s="8">
        <f t="shared" si="81"/>
        <v>0.94</v>
      </c>
      <c r="AR77" s="42">
        <f t="shared" ca="1" si="63"/>
        <v>89</v>
      </c>
      <c r="AT77" s="43">
        <f t="shared" ca="1" si="11"/>
        <v>0.91271199693065452</v>
      </c>
      <c r="AU77" s="8">
        <f t="shared" si="82"/>
        <v>0.94</v>
      </c>
      <c r="AV77" s="42">
        <f t="shared" ca="1" si="64"/>
        <v>264</v>
      </c>
      <c r="AX77" s="43">
        <f t="shared" ca="1" si="12"/>
        <v>0.51436623527197767</v>
      </c>
      <c r="AY77" s="8">
        <f t="shared" si="83"/>
        <v>0.94</v>
      </c>
      <c r="AZ77" s="42">
        <f t="shared" ca="1" si="65"/>
        <v>222</v>
      </c>
      <c r="BB77" s="43">
        <f t="shared" ca="1" si="13"/>
        <v>0.65025869479164189</v>
      </c>
      <c r="BC77" s="8">
        <f t="shared" si="84"/>
        <v>0.94</v>
      </c>
      <c r="BD77" s="42">
        <f t="shared" ca="1" si="66"/>
        <v>208</v>
      </c>
      <c r="BF77" s="43">
        <f t="shared" ca="1" si="14"/>
        <v>0.50815091496246145</v>
      </c>
      <c r="BG77" s="8">
        <f t="shared" si="85"/>
        <v>0.94</v>
      </c>
      <c r="BH77" s="42">
        <f t="shared" ca="1" si="67"/>
        <v>160</v>
      </c>
      <c r="BJ77" s="43">
        <f t="shared" ca="1" si="15"/>
        <v>0.70974783009105868</v>
      </c>
      <c r="BK77" s="8">
        <f t="shared" si="86"/>
        <v>0.94</v>
      </c>
      <c r="BL77" s="42">
        <f t="shared" ca="1" si="68"/>
        <v>233</v>
      </c>
      <c r="BN77" s="43">
        <f t="shared" ca="1" si="16"/>
        <v>0.57615045847269597</v>
      </c>
      <c r="BO77" s="8">
        <f t="shared" si="87"/>
        <v>0.94</v>
      </c>
      <c r="BP77" s="42">
        <f t="shared" ca="1" si="69"/>
        <v>159</v>
      </c>
      <c r="BR77" s="43">
        <f t="shared" ca="1" si="17"/>
        <v>0.71625731069088294</v>
      </c>
      <c r="BS77" s="8">
        <f t="shared" si="88"/>
        <v>0.94</v>
      </c>
      <c r="BT77" s="42">
        <f t="shared" ca="1" si="70"/>
        <v>238</v>
      </c>
    </row>
    <row r="78" spans="1:72" x14ac:dyDescent="0.2">
      <c r="A78" s="22">
        <v>44625</v>
      </c>
      <c r="B78" s="43">
        <f t="shared" ca="1" si="0"/>
        <v>0.60515475005589581</v>
      </c>
      <c r="C78" s="8">
        <f t="shared" si="71"/>
        <v>0.94</v>
      </c>
      <c r="D78" s="42">
        <f t="shared" ca="1" si="53"/>
        <v>100</v>
      </c>
      <c r="F78" s="43">
        <f t="shared" ca="1" si="1"/>
        <v>0.88037190077885796</v>
      </c>
      <c r="G78" s="8">
        <f t="shared" si="72"/>
        <v>0.94</v>
      </c>
      <c r="H78" s="42">
        <f t="shared" ca="1" si="54"/>
        <v>267</v>
      </c>
      <c r="J78" s="43">
        <f t="shared" ca="1" si="2"/>
        <v>0.98605126004592003</v>
      </c>
      <c r="K78" s="8">
        <f t="shared" si="73"/>
        <v>0.94</v>
      </c>
      <c r="L78" s="42">
        <f t="shared" ca="1" si="55"/>
        <v>224</v>
      </c>
      <c r="N78" s="43">
        <f t="shared" ca="1" si="3"/>
        <v>0.12665376744140766</v>
      </c>
      <c r="O78" s="8">
        <f t="shared" si="74"/>
        <v>0.94</v>
      </c>
      <c r="P78" s="42">
        <f t="shared" ca="1" si="56"/>
        <v>150</v>
      </c>
      <c r="R78" s="43">
        <f t="shared" ca="1" si="4"/>
        <v>0.11333989255267429</v>
      </c>
      <c r="S78" s="8">
        <f t="shared" si="75"/>
        <v>0.94</v>
      </c>
      <c r="T78" s="42">
        <f t="shared" ca="1" si="57"/>
        <v>89</v>
      </c>
      <c r="V78" s="43">
        <f t="shared" ca="1" si="5"/>
        <v>0.19746228138322441</v>
      </c>
      <c r="W78" s="8">
        <f t="shared" si="76"/>
        <v>0.94</v>
      </c>
      <c r="X78" s="42">
        <f t="shared" ca="1" si="58"/>
        <v>164</v>
      </c>
      <c r="Z78" s="43">
        <f t="shared" ca="1" si="6"/>
        <v>0.79703095627620824</v>
      </c>
      <c r="AA78" s="8">
        <f t="shared" si="77"/>
        <v>0.94</v>
      </c>
      <c r="AB78" s="42">
        <f t="shared" ca="1" si="59"/>
        <v>311</v>
      </c>
      <c r="AD78" s="43">
        <f t="shared" ca="1" si="7"/>
        <v>0.78541049072222979</v>
      </c>
      <c r="AE78" s="8">
        <f t="shared" si="78"/>
        <v>0.94</v>
      </c>
      <c r="AF78" s="42">
        <f t="shared" ca="1" si="60"/>
        <v>373</v>
      </c>
      <c r="AH78" s="43">
        <f t="shared" ca="1" si="8"/>
        <v>0.86128609274769119</v>
      </c>
      <c r="AI78" s="8">
        <f t="shared" si="79"/>
        <v>0.94</v>
      </c>
      <c r="AJ78" s="42">
        <f t="shared" ca="1" si="61"/>
        <v>207</v>
      </c>
      <c r="AL78" s="43">
        <f t="shared" ca="1" si="9"/>
        <v>8.8956221136462954E-2</v>
      </c>
      <c r="AM78" s="8">
        <f t="shared" si="80"/>
        <v>0.94</v>
      </c>
      <c r="AN78" s="42">
        <f t="shared" ca="1" si="62"/>
        <v>140</v>
      </c>
      <c r="AP78" s="43">
        <f t="shared" ca="1" si="10"/>
        <v>0.65260863073871656</v>
      </c>
      <c r="AQ78" s="8">
        <f t="shared" si="81"/>
        <v>0.94</v>
      </c>
      <c r="AR78" s="42">
        <f t="shared" ca="1" si="63"/>
        <v>206</v>
      </c>
      <c r="AT78" s="43">
        <f t="shared" ca="1" si="11"/>
        <v>0.42253537321292456</v>
      </c>
      <c r="AU78" s="8">
        <f t="shared" si="82"/>
        <v>0.94</v>
      </c>
      <c r="AV78" s="42">
        <f t="shared" ca="1" si="64"/>
        <v>184</v>
      </c>
      <c r="AX78" s="43">
        <f t="shared" ca="1" si="12"/>
        <v>0.27753099283567984</v>
      </c>
      <c r="AY78" s="8">
        <f t="shared" si="83"/>
        <v>0.94</v>
      </c>
      <c r="AZ78" s="42">
        <f t="shared" ca="1" si="65"/>
        <v>185</v>
      </c>
      <c r="BB78" s="43">
        <f t="shared" ca="1" si="13"/>
        <v>0.67801443447098364</v>
      </c>
      <c r="BC78" s="8">
        <f t="shared" si="84"/>
        <v>0.94</v>
      </c>
      <c r="BD78" s="42">
        <f t="shared" ca="1" si="66"/>
        <v>212</v>
      </c>
      <c r="BF78" s="43">
        <f t="shared" ca="1" si="14"/>
        <v>0.30513675333264889</v>
      </c>
      <c r="BG78" s="8">
        <f t="shared" si="85"/>
        <v>0.94</v>
      </c>
      <c r="BH78" s="42">
        <f t="shared" ca="1" si="67"/>
        <v>137</v>
      </c>
      <c r="BJ78" s="43">
        <f t="shared" ca="1" si="15"/>
        <v>0.74186089276444633</v>
      </c>
      <c r="BK78" s="8">
        <f t="shared" si="86"/>
        <v>0.94</v>
      </c>
      <c r="BL78" s="42">
        <f t="shared" ca="1" si="68"/>
        <v>238</v>
      </c>
      <c r="BN78" s="43">
        <f t="shared" ca="1" si="16"/>
        <v>0.81333976809767727</v>
      </c>
      <c r="BO78" s="8">
        <f t="shared" si="87"/>
        <v>0.94</v>
      </c>
      <c r="BP78" s="42">
        <f t="shared" ca="1" si="69"/>
        <v>187</v>
      </c>
      <c r="BR78" s="43">
        <f t="shared" ca="1" si="17"/>
        <v>0.91833144277094536</v>
      </c>
      <c r="BS78" s="8">
        <f t="shared" si="88"/>
        <v>0.94</v>
      </c>
      <c r="BT78" s="42">
        <f t="shared" ca="1" si="70"/>
        <v>283</v>
      </c>
    </row>
    <row r="79" spans="1:72" x14ac:dyDescent="0.2">
      <c r="A79" s="22">
        <v>44626</v>
      </c>
      <c r="B79" s="43">
        <f t="shared" ca="1" si="0"/>
        <v>0.31740186707281015</v>
      </c>
      <c r="C79" s="8">
        <f t="shared" si="71"/>
        <v>0.94</v>
      </c>
      <c r="D79" s="42">
        <f t="shared" ca="1" si="53"/>
        <v>86</v>
      </c>
      <c r="F79" s="43">
        <f t="shared" ca="1" si="1"/>
        <v>0.37544414480426125</v>
      </c>
      <c r="G79" s="8">
        <f t="shared" si="72"/>
        <v>0.94</v>
      </c>
      <c r="H79" s="42">
        <f t="shared" ca="1" si="54"/>
        <v>186</v>
      </c>
      <c r="J79" s="43">
        <f t="shared" ca="1" si="2"/>
        <v>0.72916337826446698</v>
      </c>
      <c r="K79" s="8">
        <f t="shared" si="73"/>
        <v>0.94</v>
      </c>
      <c r="L79" s="42">
        <f t="shared" ca="1" si="55"/>
        <v>164</v>
      </c>
      <c r="N79" s="43">
        <f t="shared" ca="1" si="3"/>
        <v>3.7462134491321297E-2</v>
      </c>
      <c r="O79" s="8">
        <f t="shared" si="74"/>
        <v>0.94</v>
      </c>
      <c r="P79" s="42">
        <f t="shared" ca="1" si="56"/>
        <v>114</v>
      </c>
      <c r="R79" s="43">
        <f t="shared" ca="1" si="4"/>
        <v>3.8100332711871854E-2</v>
      </c>
      <c r="S79" s="8">
        <f t="shared" si="75"/>
        <v>0.94</v>
      </c>
      <c r="T79" s="42">
        <f t="shared" ca="1" si="57"/>
        <v>69</v>
      </c>
      <c r="V79" s="43">
        <f t="shared" ca="1" si="5"/>
        <v>0.67116333617753865</v>
      </c>
      <c r="W79" s="8">
        <f t="shared" si="76"/>
        <v>0.94</v>
      </c>
      <c r="X79" s="42">
        <f t="shared" ca="1" si="58"/>
        <v>237</v>
      </c>
      <c r="Z79" s="43">
        <f t="shared" ca="1" si="6"/>
        <v>4.3805303054693656E-2</v>
      </c>
      <c r="AA79" s="8">
        <f t="shared" si="77"/>
        <v>0.94</v>
      </c>
      <c r="AB79" s="42">
        <f t="shared" ca="1" si="59"/>
        <v>139</v>
      </c>
      <c r="AD79" s="43">
        <f t="shared" ca="1" si="7"/>
        <v>0.3385837989171171</v>
      </c>
      <c r="AE79" s="8">
        <f t="shared" si="78"/>
        <v>0.94</v>
      </c>
      <c r="AF79" s="42">
        <f t="shared" ca="1" si="60"/>
        <v>274</v>
      </c>
      <c r="AH79" s="43">
        <f t="shared" ca="1" si="8"/>
        <v>6.1845527515679288E-3</v>
      </c>
      <c r="AI79" s="8">
        <f t="shared" si="79"/>
        <v>0.94</v>
      </c>
      <c r="AJ79" s="42">
        <f t="shared" ca="1" si="61"/>
        <v>54</v>
      </c>
      <c r="AL79" s="43">
        <f t="shared" ca="1" si="9"/>
        <v>0.75875687694700344</v>
      </c>
      <c r="AM79" s="8">
        <f t="shared" si="80"/>
        <v>0.94</v>
      </c>
      <c r="AN79" s="42">
        <f t="shared" ca="1" si="62"/>
        <v>259</v>
      </c>
      <c r="AP79" s="43">
        <f t="shared" ca="1" si="10"/>
        <v>0.80793358364211265</v>
      </c>
      <c r="AQ79" s="8">
        <f t="shared" si="81"/>
        <v>0.94</v>
      </c>
      <c r="AR79" s="42">
        <f t="shared" ca="1" si="63"/>
        <v>230</v>
      </c>
      <c r="AT79" s="43">
        <f t="shared" ca="1" si="11"/>
        <v>0.90528144218065332</v>
      </c>
      <c r="AU79" s="8">
        <f t="shared" si="82"/>
        <v>0.94</v>
      </c>
      <c r="AV79" s="42">
        <f t="shared" ca="1" si="64"/>
        <v>261</v>
      </c>
      <c r="AX79" s="43">
        <f t="shared" ca="1" si="12"/>
        <v>0.64865612073690548</v>
      </c>
      <c r="AY79" s="8">
        <f t="shared" si="83"/>
        <v>0.94</v>
      </c>
      <c r="AZ79" s="42">
        <f t="shared" ca="1" si="65"/>
        <v>242</v>
      </c>
      <c r="BB79" s="43">
        <f t="shared" ca="1" si="13"/>
        <v>0.70854833201926104</v>
      </c>
      <c r="BC79" s="8">
        <f t="shared" si="84"/>
        <v>0.94</v>
      </c>
      <c r="BD79" s="42">
        <f t="shared" ca="1" si="66"/>
        <v>217</v>
      </c>
      <c r="BF79" s="43">
        <f t="shared" ca="1" si="14"/>
        <v>1.4621026905853207E-2</v>
      </c>
      <c r="BG79" s="8">
        <f t="shared" si="85"/>
        <v>0.94</v>
      </c>
      <c r="BH79" s="42">
        <f t="shared" ca="1" si="67"/>
        <v>67</v>
      </c>
      <c r="BJ79" s="43">
        <f t="shared" ca="1" si="15"/>
        <v>0.73540631665581413</v>
      </c>
      <c r="BK79" s="8">
        <f t="shared" si="86"/>
        <v>0.94</v>
      </c>
      <c r="BL79" s="42">
        <f t="shared" ca="1" si="68"/>
        <v>237</v>
      </c>
      <c r="BN79" s="43">
        <f t="shared" ca="1" si="16"/>
        <v>0.61788941476427028</v>
      </c>
      <c r="BO79" s="8">
        <f t="shared" si="87"/>
        <v>0.94</v>
      </c>
      <c r="BP79" s="42">
        <f t="shared" ca="1" si="69"/>
        <v>164</v>
      </c>
      <c r="BR79" s="43">
        <f t="shared" ca="1" si="17"/>
        <v>0.41621451712705504</v>
      </c>
      <c r="BS79" s="8">
        <f t="shared" si="88"/>
        <v>0.94</v>
      </c>
      <c r="BT79" s="42">
        <f t="shared" ca="1" si="70"/>
        <v>195</v>
      </c>
    </row>
    <row r="80" spans="1:72" x14ac:dyDescent="0.2">
      <c r="A80" s="22">
        <v>44627</v>
      </c>
      <c r="B80" s="43">
        <f t="shared" ca="1" si="0"/>
        <v>0.28706186347693197</v>
      </c>
      <c r="C80" s="8">
        <f t="shared" si="71"/>
        <v>0.94</v>
      </c>
      <c r="D80" s="42">
        <f t="shared" ca="1" si="53"/>
        <v>84</v>
      </c>
      <c r="F80" s="43">
        <f t="shared" ca="1" si="1"/>
        <v>0.99196746467564778</v>
      </c>
      <c r="G80" s="8">
        <f t="shared" si="72"/>
        <v>0.94</v>
      </c>
      <c r="H80" s="42">
        <f t="shared" ca="1" si="54"/>
        <v>333</v>
      </c>
      <c r="J80" s="43">
        <f t="shared" ca="1" si="2"/>
        <v>0.68728468398553522</v>
      </c>
      <c r="K80" s="8">
        <f t="shared" si="73"/>
        <v>0.94</v>
      </c>
      <c r="L80" s="42">
        <f t="shared" ca="1" si="55"/>
        <v>160</v>
      </c>
      <c r="N80" s="43">
        <f t="shared" ca="1" si="3"/>
        <v>0.17683723157955322</v>
      </c>
      <c r="O80" s="8">
        <f t="shared" si="74"/>
        <v>0.94</v>
      </c>
      <c r="P80" s="42">
        <f t="shared" ca="1" si="56"/>
        <v>163</v>
      </c>
      <c r="R80" s="43">
        <f t="shared" ca="1" si="4"/>
        <v>0.9024268242926281</v>
      </c>
      <c r="S80" s="8">
        <f t="shared" si="75"/>
        <v>0.94</v>
      </c>
      <c r="T80" s="42">
        <f t="shared" ca="1" si="57"/>
        <v>176</v>
      </c>
      <c r="V80" s="43">
        <f t="shared" ca="1" si="5"/>
        <v>0.11453195598304922</v>
      </c>
      <c r="W80" s="8">
        <f t="shared" si="76"/>
        <v>0.94</v>
      </c>
      <c r="X80" s="42">
        <f t="shared" ca="1" si="58"/>
        <v>144</v>
      </c>
      <c r="Z80" s="43">
        <f t="shared" ca="1" si="6"/>
        <v>1.347047590824757E-2</v>
      </c>
      <c r="AA80" s="8">
        <f t="shared" si="77"/>
        <v>0.94</v>
      </c>
      <c r="AB80" s="42">
        <f t="shared" ca="1" si="59"/>
        <v>105</v>
      </c>
      <c r="AD80" s="43">
        <f t="shared" ca="1" si="7"/>
        <v>0.64843984303383984</v>
      </c>
      <c r="AE80" s="8">
        <f t="shared" si="78"/>
        <v>0.94</v>
      </c>
      <c r="AF80" s="42">
        <f t="shared" ca="1" si="60"/>
        <v>339</v>
      </c>
      <c r="AH80" s="43">
        <f t="shared" ca="1" si="8"/>
        <v>0.98721029654183723</v>
      </c>
      <c r="AI80" s="8">
        <f t="shared" si="79"/>
        <v>0.94</v>
      </c>
      <c r="AJ80" s="42">
        <f t="shared" ca="1" si="61"/>
        <v>256</v>
      </c>
      <c r="AL80" s="43">
        <f t="shared" ca="1" si="9"/>
        <v>0.10068891887428377</v>
      </c>
      <c r="AM80" s="8">
        <f t="shared" si="80"/>
        <v>0.94</v>
      </c>
      <c r="AN80" s="42">
        <f t="shared" ca="1" si="62"/>
        <v>144</v>
      </c>
      <c r="AP80" s="43">
        <f t="shared" ca="1" si="10"/>
        <v>0.82908344808468748</v>
      </c>
      <c r="AQ80" s="8">
        <f t="shared" si="81"/>
        <v>0.94</v>
      </c>
      <c r="AR80" s="42">
        <f t="shared" ca="1" si="63"/>
        <v>234</v>
      </c>
      <c r="AT80" s="43">
        <f t="shared" ca="1" si="11"/>
        <v>8.989777872128335E-2</v>
      </c>
      <c r="AU80" s="8">
        <f t="shared" si="82"/>
        <v>0.94</v>
      </c>
      <c r="AV80" s="42">
        <f t="shared" ca="1" si="64"/>
        <v>125</v>
      </c>
      <c r="AX80" s="43">
        <f t="shared" ca="1" si="12"/>
        <v>0.20009867658983849</v>
      </c>
      <c r="AY80" s="8">
        <f t="shared" si="83"/>
        <v>0.94</v>
      </c>
      <c r="AZ80" s="42">
        <f t="shared" ca="1" si="65"/>
        <v>171</v>
      </c>
      <c r="BB80" s="43">
        <f t="shared" ca="1" si="13"/>
        <v>0.45508783893503324</v>
      </c>
      <c r="BC80" s="8">
        <f t="shared" si="84"/>
        <v>0.94</v>
      </c>
      <c r="BD80" s="42">
        <f t="shared" ca="1" si="66"/>
        <v>183</v>
      </c>
      <c r="BF80" s="43">
        <f t="shared" ca="1" si="14"/>
        <v>0.58480396996834827</v>
      </c>
      <c r="BG80" s="8">
        <f t="shared" si="85"/>
        <v>0.94</v>
      </c>
      <c r="BH80" s="42">
        <f t="shared" ca="1" si="67"/>
        <v>168</v>
      </c>
      <c r="BJ80" s="43">
        <f t="shared" ca="1" si="15"/>
        <v>0.39649263323751915</v>
      </c>
      <c r="BK80" s="8">
        <f t="shared" si="86"/>
        <v>0.94</v>
      </c>
      <c r="BL80" s="42">
        <f t="shared" ca="1" si="68"/>
        <v>189</v>
      </c>
      <c r="BN80" s="43">
        <f t="shared" ca="1" si="16"/>
        <v>0.17089302107237714</v>
      </c>
      <c r="BO80" s="8">
        <f t="shared" si="87"/>
        <v>0.94</v>
      </c>
      <c r="BP80" s="42">
        <f t="shared" ca="1" si="69"/>
        <v>113</v>
      </c>
      <c r="BR80" s="43">
        <f t="shared" ca="1" si="17"/>
        <v>0.53250793104218186</v>
      </c>
      <c r="BS80" s="8">
        <f t="shared" si="88"/>
        <v>0.94</v>
      </c>
      <c r="BT80" s="42">
        <f t="shared" ca="1" si="70"/>
        <v>211</v>
      </c>
    </row>
    <row r="81" spans="1:72" x14ac:dyDescent="0.2">
      <c r="A81" s="22">
        <v>44628</v>
      </c>
      <c r="B81" s="43">
        <f t="shared" ca="1" si="0"/>
        <v>0.26127415321420333</v>
      </c>
      <c r="C81" s="8">
        <f t="shared" si="71"/>
        <v>0.94</v>
      </c>
      <c r="D81" s="42">
        <f t="shared" ca="1" si="53"/>
        <v>82</v>
      </c>
      <c r="F81" s="43">
        <f t="shared" ca="1" si="1"/>
        <v>0.4649133991279617</v>
      </c>
      <c r="G81" s="8">
        <f t="shared" si="72"/>
        <v>0.94</v>
      </c>
      <c r="H81" s="42">
        <f t="shared" ca="1" si="54"/>
        <v>198</v>
      </c>
      <c r="J81" s="43">
        <f t="shared" ca="1" si="2"/>
        <v>0.13382689365240052</v>
      </c>
      <c r="K81" s="8">
        <f t="shared" si="73"/>
        <v>0.94</v>
      </c>
      <c r="L81" s="42">
        <f t="shared" ca="1" si="55"/>
        <v>100</v>
      </c>
      <c r="N81" s="43">
        <f t="shared" ca="1" si="3"/>
        <v>9.6872640917696762E-3</v>
      </c>
      <c r="O81" s="8">
        <f t="shared" si="74"/>
        <v>0.94</v>
      </c>
      <c r="P81" s="42">
        <f t="shared" ca="1" si="56"/>
        <v>82</v>
      </c>
      <c r="R81" s="43">
        <f t="shared" ca="1" si="4"/>
        <v>3.8428535117104756E-2</v>
      </c>
      <c r="S81" s="8">
        <f t="shared" si="75"/>
        <v>0.94</v>
      </c>
      <c r="T81" s="42">
        <f t="shared" ca="1" si="57"/>
        <v>69</v>
      </c>
      <c r="V81" s="43">
        <f t="shared" ca="1" si="5"/>
        <v>0.1716929716093194</v>
      </c>
      <c r="W81" s="8">
        <f t="shared" si="76"/>
        <v>0.94</v>
      </c>
      <c r="X81" s="42">
        <f t="shared" ca="1" si="58"/>
        <v>159</v>
      </c>
      <c r="Z81" s="43">
        <f t="shared" ca="1" si="6"/>
        <v>0.94643642720361332</v>
      </c>
      <c r="AA81" s="8">
        <f t="shared" si="77"/>
        <v>0.94</v>
      </c>
      <c r="AB81" s="42">
        <f t="shared" ca="1" si="59"/>
        <v>363</v>
      </c>
      <c r="AD81" s="43">
        <f t="shared" ca="1" si="7"/>
        <v>0.99475789853443841</v>
      </c>
      <c r="AE81" s="8">
        <f t="shared" si="78"/>
        <v>0.94</v>
      </c>
      <c r="AF81" s="42">
        <f t="shared" ca="1" si="60"/>
        <v>518</v>
      </c>
      <c r="AH81" s="43">
        <f t="shared" ca="1" si="8"/>
        <v>0.49721092942416345</v>
      </c>
      <c r="AI81" s="8">
        <f t="shared" si="79"/>
        <v>0.94</v>
      </c>
      <c r="AJ81" s="42">
        <f t="shared" ca="1" si="61"/>
        <v>160</v>
      </c>
      <c r="AL81" s="43">
        <f t="shared" ca="1" si="9"/>
        <v>0.13421867836485424</v>
      </c>
      <c r="AM81" s="8">
        <f t="shared" si="80"/>
        <v>0.94</v>
      </c>
      <c r="AN81" s="42">
        <f t="shared" ca="1" si="62"/>
        <v>154</v>
      </c>
      <c r="AP81" s="43">
        <f t="shared" ca="1" si="10"/>
        <v>0.27822517370860456</v>
      </c>
      <c r="AQ81" s="8">
        <f t="shared" si="81"/>
        <v>0.94</v>
      </c>
      <c r="AR81" s="42">
        <f t="shared" ca="1" si="63"/>
        <v>157</v>
      </c>
      <c r="AT81" s="43">
        <f t="shared" ca="1" si="11"/>
        <v>0.61462518049915293</v>
      </c>
      <c r="AU81" s="8">
        <f t="shared" si="82"/>
        <v>0.94</v>
      </c>
      <c r="AV81" s="42">
        <f t="shared" ca="1" si="64"/>
        <v>209</v>
      </c>
      <c r="AX81" s="43">
        <f t="shared" ca="1" si="12"/>
        <v>0.56946537044656897</v>
      </c>
      <c r="AY81" s="8">
        <f t="shared" si="83"/>
        <v>0.94</v>
      </c>
      <c r="AZ81" s="42">
        <f t="shared" ca="1" si="65"/>
        <v>230</v>
      </c>
      <c r="BB81" s="43">
        <f t="shared" ca="1" si="13"/>
        <v>0.25009614578007155</v>
      </c>
      <c r="BC81" s="8">
        <f t="shared" si="84"/>
        <v>0.94</v>
      </c>
      <c r="BD81" s="42">
        <f t="shared" ca="1" si="66"/>
        <v>155</v>
      </c>
      <c r="BF81" s="43">
        <f t="shared" ca="1" si="14"/>
        <v>0.71953170787063281</v>
      </c>
      <c r="BG81" s="8">
        <f t="shared" si="85"/>
        <v>0.94</v>
      </c>
      <c r="BH81" s="42">
        <f t="shared" ca="1" si="67"/>
        <v>184</v>
      </c>
      <c r="BJ81" s="43">
        <f t="shared" ca="1" si="15"/>
        <v>0.42412046742894194</v>
      </c>
      <c r="BK81" s="8">
        <f t="shared" si="86"/>
        <v>0.94</v>
      </c>
      <c r="BL81" s="42">
        <f t="shared" ca="1" si="68"/>
        <v>193</v>
      </c>
      <c r="BN81" s="43">
        <f t="shared" ca="1" si="16"/>
        <v>0.39553548957660212</v>
      </c>
      <c r="BO81" s="8">
        <f t="shared" si="87"/>
        <v>0.94</v>
      </c>
      <c r="BP81" s="42">
        <f t="shared" ca="1" si="69"/>
        <v>141</v>
      </c>
      <c r="BR81" s="43">
        <f t="shared" ca="1" si="17"/>
        <v>0.15553179617030322</v>
      </c>
      <c r="BS81" s="8">
        <f t="shared" si="88"/>
        <v>0.94</v>
      </c>
      <c r="BT81" s="42">
        <f t="shared" ca="1" si="70"/>
        <v>151</v>
      </c>
    </row>
    <row r="82" spans="1:72" x14ac:dyDescent="0.2">
      <c r="A82" s="22">
        <v>44629</v>
      </c>
      <c r="B82" s="43">
        <f t="shared" ca="1" si="0"/>
        <v>0.60087376550275795</v>
      </c>
      <c r="C82" s="8">
        <f t="shared" si="71"/>
        <v>0.94</v>
      </c>
      <c r="D82" s="42">
        <f t="shared" ca="1" si="53"/>
        <v>99</v>
      </c>
      <c r="F82" s="43">
        <f t="shared" ca="1" si="1"/>
        <v>0.32956177642687257</v>
      </c>
      <c r="G82" s="8">
        <f t="shared" si="72"/>
        <v>0.94</v>
      </c>
      <c r="H82" s="42">
        <f t="shared" ca="1" si="54"/>
        <v>179</v>
      </c>
      <c r="J82" s="43">
        <f t="shared" ca="1" si="2"/>
        <v>0.89222141362705876</v>
      </c>
      <c r="K82" s="8">
        <f t="shared" si="73"/>
        <v>0.94</v>
      </c>
      <c r="L82" s="42">
        <f t="shared" ca="1" si="55"/>
        <v>188</v>
      </c>
      <c r="N82" s="43">
        <f t="shared" ca="1" si="3"/>
        <v>0.359149010751181</v>
      </c>
      <c r="O82" s="8">
        <f t="shared" si="74"/>
        <v>0.94</v>
      </c>
      <c r="P82" s="42">
        <f t="shared" ca="1" si="56"/>
        <v>195</v>
      </c>
      <c r="R82" s="43">
        <f t="shared" ca="1" si="4"/>
        <v>0.21508196987507777</v>
      </c>
      <c r="S82" s="8">
        <f t="shared" si="75"/>
        <v>0.94</v>
      </c>
      <c r="T82" s="42">
        <f t="shared" ca="1" si="57"/>
        <v>103</v>
      </c>
      <c r="V82" s="43">
        <f t="shared" ca="1" si="5"/>
        <v>9.6638418424694117E-2</v>
      </c>
      <c r="W82" s="8">
        <f t="shared" si="76"/>
        <v>0.94</v>
      </c>
      <c r="X82" s="42">
        <f t="shared" ca="1" si="58"/>
        <v>139</v>
      </c>
      <c r="Z82" s="43">
        <f t="shared" ca="1" si="6"/>
        <v>0.23597179022958459</v>
      </c>
      <c r="AA82" s="8">
        <f t="shared" si="77"/>
        <v>0.94</v>
      </c>
      <c r="AB82" s="42">
        <f t="shared" ca="1" si="59"/>
        <v>206</v>
      </c>
      <c r="AD82" s="43">
        <f t="shared" ca="1" si="7"/>
        <v>9.9935537111911832E-2</v>
      </c>
      <c r="AE82" s="8">
        <f t="shared" si="78"/>
        <v>0.94</v>
      </c>
      <c r="AF82" s="42">
        <f t="shared" ca="1" si="60"/>
        <v>203</v>
      </c>
      <c r="AH82" s="43">
        <f t="shared" ca="1" si="8"/>
        <v>7.6973968966022932E-2</v>
      </c>
      <c r="AI82" s="8">
        <f t="shared" si="79"/>
        <v>0.94</v>
      </c>
      <c r="AJ82" s="42">
        <f t="shared" ca="1" si="61"/>
        <v>100</v>
      </c>
      <c r="AL82" s="43">
        <f t="shared" ca="1" si="9"/>
        <v>0.55496874531129736</v>
      </c>
      <c r="AM82" s="8">
        <f t="shared" si="80"/>
        <v>0.94</v>
      </c>
      <c r="AN82" s="42">
        <f t="shared" ca="1" si="62"/>
        <v>227</v>
      </c>
      <c r="AP82" s="43">
        <f t="shared" ca="1" si="10"/>
        <v>0.99518925863247265</v>
      </c>
      <c r="AQ82" s="8">
        <f t="shared" si="81"/>
        <v>0.94</v>
      </c>
      <c r="AR82" s="42">
        <f t="shared" ca="1" si="63"/>
        <v>315</v>
      </c>
      <c r="AT82" s="43">
        <f t="shared" ca="1" si="11"/>
        <v>0.66617558089282847</v>
      </c>
      <c r="AU82" s="8">
        <f t="shared" si="82"/>
        <v>0.94</v>
      </c>
      <c r="AV82" s="42">
        <f t="shared" ca="1" si="64"/>
        <v>216</v>
      </c>
      <c r="AX82" s="43">
        <f t="shared" ca="1" si="12"/>
        <v>0.30382401909419876</v>
      </c>
      <c r="AY82" s="8">
        <f t="shared" si="83"/>
        <v>0.94</v>
      </c>
      <c r="AZ82" s="42">
        <f t="shared" ca="1" si="65"/>
        <v>190</v>
      </c>
      <c r="BB82" s="43">
        <f t="shared" ca="1" si="13"/>
        <v>0.7742266059945242</v>
      </c>
      <c r="BC82" s="8">
        <f t="shared" si="84"/>
        <v>0.94</v>
      </c>
      <c r="BD82" s="42">
        <f t="shared" ca="1" si="66"/>
        <v>227</v>
      </c>
      <c r="BF82" s="43">
        <f t="shared" ca="1" si="14"/>
        <v>0.12299440798500316</v>
      </c>
      <c r="BG82" s="8">
        <f t="shared" si="85"/>
        <v>0.94</v>
      </c>
      <c r="BH82" s="42">
        <f t="shared" ca="1" si="67"/>
        <v>110</v>
      </c>
      <c r="BJ82" s="43">
        <f t="shared" ca="1" si="15"/>
        <v>0.1124740079411124</v>
      </c>
      <c r="BK82" s="8">
        <f t="shared" si="86"/>
        <v>0.94</v>
      </c>
      <c r="BL82" s="42">
        <f t="shared" ca="1" si="68"/>
        <v>138</v>
      </c>
      <c r="BN82" s="43">
        <f t="shared" ca="1" si="16"/>
        <v>0.88164542395887113</v>
      </c>
      <c r="BO82" s="8">
        <f t="shared" si="87"/>
        <v>0.94</v>
      </c>
      <c r="BP82" s="42">
        <f t="shared" ca="1" si="69"/>
        <v>199</v>
      </c>
      <c r="BR82" s="43">
        <f t="shared" ca="1" si="17"/>
        <v>0.59366211462800456</v>
      </c>
      <c r="BS82" s="8">
        <f t="shared" si="88"/>
        <v>0.94</v>
      </c>
      <c r="BT82" s="42">
        <f t="shared" ca="1" si="70"/>
        <v>220</v>
      </c>
    </row>
    <row r="83" spans="1:72" x14ac:dyDescent="0.2">
      <c r="A83" s="22">
        <v>44630</v>
      </c>
      <c r="B83" s="43">
        <f t="shared" ca="1" si="0"/>
        <v>0.94791307279157277</v>
      </c>
      <c r="C83" s="8">
        <f t="shared" si="71"/>
        <v>0.94</v>
      </c>
      <c r="D83" s="42">
        <f t="shared" ca="1" si="53"/>
        <v>125</v>
      </c>
      <c r="F83" s="43">
        <f t="shared" ca="1" si="1"/>
        <v>0.98937031952057197</v>
      </c>
      <c r="G83" s="8">
        <f t="shared" si="72"/>
        <v>0.94</v>
      </c>
      <c r="H83" s="42">
        <f t="shared" ca="1" si="54"/>
        <v>327</v>
      </c>
      <c r="J83" s="43">
        <f t="shared" ca="1" si="2"/>
        <v>0.9833609740035606</v>
      </c>
      <c r="K83" s="8">
        <f t="shared" si="73"/>
        <v>0.94</v>
      </c>
      <c r="L83" s="42">
        <f t="shared" ca="1" si="55"/>
        <v>222</v>
      </c>
      <c r="N83" s="43">
        <f t="shared" ca="1" si="3"/>
        <v>0.19839911795654597</v>
      </c>
      <c r="O83" s="8">
        <f t="shared" si="74"/>
        <v>0.94</v>
      </c>
      <c r="P83" s="42">
        <f t="shared" ca="1" si="56"/>
        <v>167</v>
      </c>
      <c r="R83" s="43">
        <f t="shared" ca="1" si="4"/>
        <v>0.76659035717636992</v>
      </c>
      <c r="S83" s="8">
        <f t="shared" si="75"/>
        <v>0.94</v>
      </c>
      <c r="T83" s="42">
        <f t="shared" ca="1" si="57"/>
        <v>156</v>
      </c>
      <c r="V83" s="43">
        <f t="shared" ca="1" si="5"/>
        <v>0.7523898435159837</v>
      </c>
      <c r="W83" s="8">
        <f t="shared" si="76"/>
        <v>0.94</v>
      </c>
      <c r="X83" s="42">
        <f t="shared" ca="1" si="58"/>
        <v>250</v>
      </c>
      <c r="Z83" s="43">
        <f t="shared" ca="1" si="6"/>
        <v>0.64782758888643988</v>
      </c>
      <c r="AA83" s="8">
        <f t="shared" si="77"/>
        <v>0.94</v>
      </c>
      <c r="AB83" s="42">
        <f t="shared" ca="1" si="59"/>
        <v>280</v>
      </c>
      <c r="AD83" s="43">
        <f t="shared" ca="1" si="7"/>
        <v>0.13474723019057522</v>
      </c>
      <c r="AE83" s="8">
        <f t="shared" si="78"/>
        <v>0.94</v>
      </c>
      <c r="AF83" s="42">
        <f t="shared" ca="1" si="60"/>
        <v>217</v>
      </c>
      <c r="AH83" s="43">
        <f t="shared" ca="1" si="8"/>
        <v>0.3760163651957702</v>
      </c>
      <c r="AI83" s="8">
        <f t="shared" si="79"/>
        <v>0.94</v>
      </c>
      <c r="AJ83" s="42">
        <f t="shared" ca="1" si="61"/>
        <v>147</v>
      </c>
      <c r="AL83" s="43">
        <f t="shared" ca="1" si="9"/>
        <v>0.77159078552800953</v>
      </c>
      <c r="AM83" s="8">
        <f t="shared" si="80"/>
        <v>0.94</v>
      </c>
      <c r="AN83" s="42">
        <f t="shared" ca="1" si="62"/>
        <v>262</v>
      </c>
      <c r="AP83" s="43">
        <f t="shared" ca="1" si="10"/>
        <v>0.58614911293280403</v>
      </c>
      <c r="AQ83" s="8">
        <f t="shared" si="81"/>
        <v>0.94</v>
      </c>
      <c r="AR83" s="42">
        <f t="shared" ca="1" si="63"/>
        <v>197</v>
      </c>
      <c r="AT83" s="43">
        <f t="shared" ca="1" si="11"/>
        <v>0.19771347201161238</v>
      </c>
      <c r="AU83" s="8">
        <f t="shared" si="82"/>
        <v>0.94</v>
      </c>
      <c r="AV83" s="42">
        <f t="shared" ca="1" si="64"/>
        <v>150</v>
      </c>
      <c r="AX83" s="43">
        <f t="shared" ca="1" si="12"/>
        <v>0.83679491679580886</v>
      </c>
      <c r="AY83" s="8">
        <f t="shared" si="83"/>
        <v>0.94</v>
      </c>
      <c r="AZ83" s="42">
        <f t="shared" ca="1" si="65"/>
        <v>277</v>
      </c>
      <c r="BB83" s="43">
        <f t="shared" ca="1" si="13"/>
        <v>0.16388703452149833</v>
      </c>
      <c r="BC83" s="8">
        <f t="shared" si="84"/>
        <v>0.94</v>
      </c>
      <c r="BD83" s="42">
        <f t="shared" ca="1" si="66"/>
        <v>140</v>
      </c>
      <c r="BF83" s="43">
        <f t="shared" ca="1" si="14"/>
        <v>4.2897984842200643E-3</v>
      </c>
      <c r="BG83" s="8">
        <f t="shared" si="85"/>
        <v>0.94</v>
      </c>
      <c r="BH83" s="42">
        <f t="shared" ca="1" si="67"/>
        <v>48</v>
      </c>
      <c r="BJ83" s="43">
        <f t="shared" ca="1" si="15"/>
        <v>5.4114488949640882E-2</v>
      </c>
      <c r="BK83" s="8">
        <f t="shared" si="86"/>
        <v>0.94</v>
      </c>
      <c r="BL83" s="42">
        <f t="shared" ca="1" si="68"/>
        <v>116</v>
      </c>
      <c r="BN83" s="43">
        <f t="shared" ca="1" si="16"/>
        <v>0.84523930182317286</v>
      </c>
      <c r="BO83" s="8">
        <f t="shared" si="87"/>
        <v>0.94</v>
      </c>
      <c r="BP83" s="42">
        <f t="shared" ca="1" si="69"/>
        <v>192</v>
      </c>
      <c r="BR83" s="43">
        <f t="shared" ca="1" si="17"/>
        <v>3.5848640847943036E-2</v>
      </c>
      <c r="BS83" s="8">
        <f t="shared" si="88"/>
        <v>0.94</v>
      </c>
      <c r="BT83" s="42">
        <f t="shared" ca="1" si="70"/>
        <v>108</v>
      </c>
    </row>
    <row r="84" spans="1:72" x14ac:dyDescent="0.2">
      <c r="A84" s="22">
        <v>44631</v>
      </c>
      <c r="B84" s="43">
        <f t="shared" ca="1" si="0"/>
        <v>0.65906405367550103</v>
      </c>
      <c r="C84" s="8">
        <f t="shared" si="71"/>
        <v>0.94</v>
      </c>
      <c r="D84" s="42">
        <f t="shared" ca="1" si="53"/>
        <v>102</v>
      </c>
      <c r="F84" s="43">
        <f t="shared" ca="1" si="1"/>
        <v>0.3993859165917294</v>
      </c>
      <c r="G84" s="8">
        <f t="shared" si="72"/>
        <v>0.94</v>
      </c>
      <c r="H84" s="42">
        <f t="shared" ca="1" si="54"/>
        <v>189</v>
      </c>
      <c r="J84" s="43">
        <f t="shared" ca="1" si="2"/>
        <v>0.88113152187313082</v>
      </c>
      <c r="K84" s="8">
        <f t="shared" si="73"/>
        <v>0.94</v>
      </c>
      <c r="L84" s="42">
        <f t="shared" ca="1" si="55"/>
        <v>186</v>
      </c>
      <c r="N84" s="43">
        <f t="shared" ca="1" si="3"/>
        <v>1.2471273643956282E-2</v>
      </c>
      <c r="O84" s="8">
        <f t="shared" si="74"/>
        <v>0.94</v>
      </c>
      <c r="P84" s="42">
        <f t="shared" ca="1" si="56"/>
        <v>87</v>
      </c>
      <c r="R84" s="43">
        <f t="shared" ca="1" si="4"/>
        <v>0.84225254384139547</v>
      </c>
      <c r="S84" s="8">
        <f t="shared" si="75"/>
        <v>0.94</v>
      </c>
      <c r="T84" s="42">
        <f t="shared" ca="1" si="57"/>
        <v>166</v>
      </c>
      <c r="V84" s="43">
        <f t="shared" ca="1" si="5"/>
        <v>0.95036232672668475</v>
      </c>
      <c r="W84" s="8">
        <f t="shared" si="76"/>
        <v>0.94</v>
      </c>
      <c r="X84" s="42">
        <f t="shared" ca="1" si="58"/>
        <v>305</v>
      </c>
      <c r="Z84" s="43">
        <f t="shared" ca="1" si="6"/>
        <v>4.7070153437531626E-2</v>
      </c>
      <c r="AA84" s="8">
        <f t="shared" si="77"/>
        <v>0.94</v>
      </c>
      <c r="AB84" s="42">
        <f t="shared" ca="1" si="59"/>
        <v>141</v>
      </c>
      <c r="AD84" s="43">
        <f t="shared" ca="1" si="7"/>
        <v>0.80126338230598537</v>
      </c>
      <c r="AE84" s="8">
        <f t="shared" si="78"/>
        <v>0.94</v>
      </c>
      <c r="AF84" s="42">
        <f t="shared" ca="1" si="60"/>
        <v>377</v>
      </c>
      <c r="AH84" s="43">
        <f t="shared" ca="1" si="8"/>
        <v>0.8734357787147794</v>
      </c>
      <c r="AI84" s="8">
        <f t="shared" si="79"/>
        <v>0.94</v>
      </c>
      <c r="AJ84" s="42">
        <f t="shared" ca="1" si="61"/>
        <v>209</v>
      </c>
      <c r="AL84" s="43">
        <f t="shared" ca="1" si="9"/>
        <v>3.2682560991913134E-2</v>
      </c>
      <c r="AM84" s="8">
        <f t="shared" si="80"/>
        <v>0.94</v>
      </c>
      <c r="AN84" s="42">
        <f t="shared" ca="1" si="62"/>
        <v>111</v>
      </c>
      <c r="AP84" s="43">
        <f t="shared" ca="1" si="10"/>
        <v>0.39940712471840123</v>
      </c>
      <c r="AQ84" s="8">
        <f t="shared" si="81"/>
        <v>0.94</v>
      </c>
      <c r="AR84" s="42">
        <f t="shared" ca="1" si="63"/>
        <v>174</v>
      </c>
      <c r="AT84" s="43">
        <f t="shared" ca="1" si="11"/>
        <v>0.44836833909431917</v>
      </c>
      <c r="AU84" s="8">
        <f t="shared" si="82"/>
        <v>0.94</v>
      </c>
      <c r="AV84" s="42">
        <f t="shared" ca="1" si="64"/>
        <v>187</v>
      </c>
      <c r="AX84" s="43">
        <f t="shared" ca="1" si="12"/>
        <v>6.1570480943947237E-2</v>
      </c>
      <c r="AY84" s="8">
        <f t="shared" si="83"/>
        <v>0.94</v>
      </c>
      <c r="AZ84" s="42">
        <f t="shared" ca="1" si="65"/>
        <v>130</v>
      </c>
      <c r="BB84" s="43">
        <f t="shared" ca="1" si="13"/>
        <v>0.31433199199604644</v>
      </c>
      <c r="BC84" s="8">
        <f t="shared" si="84"/>
        <v>0.94</v>
      </c>
      <c r="BD84" s="42">
        <f t="shared" ca="1" si="66"/>
        <v>165</v>
      </c>
      <c r="BF84" s="43">
        <f t="shared" ca="1" si="14"/>
        <v>0.99377936751428853</v>
      </c>
      <c r="BG84" s="8">
        <f t="shared" si="85"/>
        <v>0.94</v>
      </c>
      <c r="BH84" s="42">
        <f t="shared" ca="1" si="67"/>
        <v>265</v>
      </c>
      <c r="BJ84" s="43">
        <f t="shared" ca="1" si="15"/>
        <v>0.30088790704650914</v>
      </c>
      <c r="BK84" s="8">
        <f t="shared" si="86"/>
        <v>0.94</v>
      </c>
      <c r="BL84" s="42">
        <f t="shared" ca="1" si="68"/>
        <v>175</v>
      </c>
      <c r="BN84" s="43">
        <f t="shared" ca="1" si="16"/>
        <v>0.97266278446968191</v>
      </c>
      <c r="BO84" s="8">
        <f t="shared" si="87"/>
        <v>0.94</v>
      </c>
      <c r="BP84" s="42">
        <f t="shared" ca="1" si="69"/>
        <v>229</v>
      </c>
      <c r="BR84" s="43">
        <f t="shared" ca="1" si="17"/>
        <v>0.39735047176173888</v>
      </c>
      <c r="BS84" s="8">
        <f t="shared" si="88"/>
        <v>0.94</v>
      </c>
      <c r="BT84" s="42">
        <f t="shared" ca="1" si="70"/>
        <v>192</v>
      </c>
    </row>
    <row r="85" spans="1:72" x14ac:dyDescent="0.2">
      <c r="A85" s="22">
        <v>44632</v>
      </c>
      <c r="B85" s="43">
        <f t="shared" ca="1" si="0"/>
        <v>0.37393633643873214</v>
      </c>
      <c r="C85" s="8">
        <f t="shared" si="71"/>
        <v>0.94</v>
      </c>
      <c r="D85" s="42">
        <f t="shared" ca="1" si="53"/>
        <v>88</v>
      </c>
      <c r="F85" s="43">
        <f t="shared" ca="1" si="1"/>
        <v>0.69685070585863096</v>
      </c>
      <c r="G85" s="8">
        <f t="shared" si="72"/>
        <v>0.94</v>
      </c>
      <c r="H85" s="42">
        <f t="shared" ca="1" si="54"/>
        <v>231</v>
      </c>
      <c r="J85" s="43">
        <f t="shared" ca="1" si="2"/>
        <v>0.63509905892179996</v>
      </c>
      <c r="K85" s="8">
        <f t="shared" si="73"/>
        <v>0.94</v>
      </c>
      <c r="L85" s="42">
        <f t="shared" ca="1" si="55"/>
        <v>154</v>
      </c>
      <c r="N85" s="43">
        <f t="shared" ca="1" si="3"/>
        <v>5.5382953099775367E-2</v>
      </c>
      <c r="O85" s="8">
        <f t="shared" si="74"/>
        <v>0.94</v>
      </c>
      <c r="P85" s="42">
        <f t="shared" ca="1" si="56"/>
        <v>124</v>
      </c>
      <c r="R85" s="43">
        <f t="shared" ca="1" si="4"/>
        <v>0.3221689373308807</v>
      </c>
      <c r="S85" s="8">
        <f t="shared" si="75"/>
        <v>0.94</v>
      </c>
      <c r="T85" s="42">
        <f t="shared" ca="1" si="57"/>
        <v>115</v>
      </c>
      <c r="V85" s="43">
        <f t="shared" ca="1" si="5"/>
        <v>8.8357797200168009E-2</v>
      </c>
      <c r="W85" s="8">
        <f t="shared" si="76"/>
        <v>0.94</v>
      </c>
      <c r="X85" s="42">
        <f t="shared" ca="1" si="58"/>
        <v>136</v>
      </c>
      <c r="Z85" s="43">
        <f t="shared" ca="1" si="6"/>
        <v>0.60006327440386342</v>
      </c>
      <c r="AA85" s="8">
        <f t="shared" si="77"/>
        <v>0.94</v>
      </c>
      <c r="AB85" s="42">
        <f t="shared" ca="1" si="59"/>
        <v>271</v>
      </c>
      <c r="AD85" s="43">
        <f t="shared" ca="1" si="7"/>
        <v>0.34037409421341414</v>
      </c>
      <c r="AE85" s="8">
        <f t="shared" si="78"/>
        <v>0.94</v>
      </c>
      <c r="AF85" s="42">
        <f t="shared" ca="1" si="60"/>
        <v>274</v>
      </c>
      <c r="AH85" s="43">
        <f t="shared" ca="1" si="8"/>
        <v>0.12145565294798233</v>
      </c>
      <c r="AI85" s="8">
        <f t="shared" si="79"/>
        <v>0.94</v>
      </c>
      <c r="AJ85" s="42">
        <f t="shared" ca="1" si="61"/>
        <v>111</v>
      </c>
      <c r="AL85" s="43">
        <f t="shared" ca="1" si="9"/>
        <v>0.42056805667931274</v>
      </c>
      <c r="AM85" s="8">
        <f t="shared" si="80"/>
        <v>0.94</v>
      </c>
      <c r="AN85" s="42">
        <f t="shared" ca="1" si="62"/>
        <v>207</v>
      </c>
      <c r="AP85" s="43">
        <f t="shared" ca="1" si="10"/>
        <v>0.38460799490871844</v>
      </c>
      <c r="AQ85" s="8">
        <f t="shared" si="81"/>
        <v>0.94</v>
      </c>
      <c r="AR85" s="42">
        <f t="shared" ca="1" si="63"/>
        <v>172</v>
      </c>
      <c r="AT85" s="43">
        <f t="shared" ca="1" si="11"/>
        <v>0.71826479419017275</v>
      </c>
      <c r="AU85" s="8">
        <f t="shared" si="82"/>
        <v>0.94</v>
      </c>
      <c r="AV85" s="42">
        <f t="shared" ca="1" si="64"/>
        <v>223</v>
      </c>
      <c r="AX85" s="43">
        <f t="shared" ca="1" si="12"/>
        <v>0.86374234135853523</v>
      </c>
      <c r="AY85" s="8">
        <f t="shared" si="83"/>
        <v>0.94</v>
      </c>
      <c r="AZ85" s="42">
        <f t="shared" ca="1" si="65"/>
        <v>284</v>
      </c>
      <c r="BB85" s="43">
        <f t="shared" ca="1" si="13"/>
        <v>0.44008644183842172</v>
      </c>
      <c r="BC85" s="8">
        <f t="shared" si="84"/>
        <v>0.94</v>
      </c>
      <c r="BD85" s="42">
        <f t="shared" ca="1" si="66"/>
        <v>181</v>
      </c>
      <c r="BF85" s="43">
        <f t="shared" ca="1" si="14"/>
        <v>0.55637150849147599</v>
      </c>
      <c r="BG85" s="8">
        <f t="shared" si="85"/>
        <v>0.94</v>
      </c>
      <c r="BH85" s="42">
        <f t="shared" ca="1" si="67"/>
        <v>165</v>
      </c>
      <c r="BJ85" s="43">
        <f t="shared" ca="1" si="15"/>
        <v>0.31003801419029564</v>
      </c>
      <c r="BK85" s="8">
        <f t="shared" si="86"/>
        <v>0.94</v>
      </c>
      <c r="BL85" s="42">
        <f t="shared" ca="1" si="68"/>
        <v>176</v>
      </c>
      <c r="BN85" s="43">
        <f t="shared" ca="1" si="16"/>
        <v>0.67398622067081204</v>
      </c>
      <c r="BO85" s="8">
        <f t="shared" si="87"/>
        <v>0.94</v>
      </c>
      <c r="BP85" s="42">
        <f t="shared" ca="1" si="69"/>
        <v>170</v>
      </c>
      <c r="BR85" s="43">
        <f t="shared" ca="1" si="17"/>
        <v>0.53932712451102893</v>
      </c>
      <c r="BS85" s="8">
        <f t="shared" si="88"/>
        <v>0.94</v>
      </c>
      <c r="BT85" s="42">
        <f t="shared" ca="1" si="70"/>
        <v>212</v>
      </c>
    </row>
    <row r="86" spans="1:72" x14ac:dyDescent="0.2">
      <c r="A86" s="22">
        <v>44633</v>
      </c>
      <c r="B86" s="43">
        <f t="shared" ca="1" si="0"/>
        <v>1.3465470784393974E-2</v>
      </c>
      <c r="C86" s="8">
        <f t="shared" si="71"/>
        <v>0.94</v>
      </c>
      <c r="D86" s="42">
        <f t="shared" ca="1" si="53"/>
        <v>53</v>
      </c>
      <c r="F86" s="43">
        <f t="shared" ca="1" si="1"/>
        <v>0.46564813210638634</v>
      </c>
      <c r="G86" s="8">
        <f t="shared" si="72"/>
        <v>0.94</v>
      </c>
      <c r="H86" s="42">
        <f t="shared" ca="1" si="54"/>
        <v>198</v>
      </c>
      <c r="J86" s="43">
        <f t="shared" ca="1" si="2"/>
        <v>0.28645151019326276</v>
      </c>
      <c r="K86" s="8">
        <f t="shared" si="73"/>
        <v>0.94</v>
      </c>
      <c r="L86" s="42">
        <f t="shared" ca="1" si="55"/>
        <v>120</v>
      </c>
      <c r="N86" s="43">
        <f t="shared" ca="1" si="3"/>
        <v>0.56265445598105723</v>
      </c>
      <c r="O86" s="8">
        <f t="shared" si="74"/>
        <v>0.94</v>
      </c>
      <c r="P86" s="42">
        <f t="shared" ca="1" si="56"/>
        <v>225</v>
      </c>
      <c r="R86" s="43">
        <f t="shared" ca="1" si="4"/>
        <v>0.10897582360519742</v>
      </c>
      <c r="S86" s="8">
        <f t="shared" si="75"/>
        <v>0.94</v>
      </c>
      <c r="T86" s="42">
        <f t="shared" ca="1" si="57"/>
        <v>88</v>
      </c>
      <c r="V86" s="43">
        <f t="shared" ca="1" si="5"/>
        <v>0.81714743350238261</v>
      </c>
      <c r="W86" s="8">
        <f t="shared" si="76"/>
        <v>0.94</v>
      </c>
      <c r="X86" s="42">
        <f t="shared" ca="1" si="58"/>
        <v>263</v>
      </c>
      <c r="Z86" s="43">
        <f t="shared" ca="1" si="6"/>
        <v>0.34142763249738639</v>
      </c>
      <c r="AA86" s="8">
        <f t="shared" si="77"/>
        <v>0.94</v>
      </c>
      <c r="AB86" s="42">
        <f t="shared" ca="1" si="59"/>
        <v>227</v>
      </c>
      <c r="AD86" s="43">
        <f t="shared" ca="1" si="7"/>
        <v>0.17336037162838769</v>
      </c>
      <c r="AE86" s="8">
        <f t="shared" si="78"/>
        <v>0.94</v>
      </c>
      <c r="AF86" s="42">
        <f t="shared" ca="1" si="60"/>
        <v>231</v>
      </c>
      <c r="AH86" s="43">
        <f t="shared" ca="1" si="8"/>
        <v>0.6114179680980637</v>
      </c>
      <c r="AI86" s="8">
        <f t="shared" si="79"/>
        <v>0.94</v>
      </c>
      <c r="AJ86" s="42">
        <f t="shared" ca="1" si="61"/>
        <v>173</v>
      </c>
      <c r="AL86" s="43">
        <f t="shared" ca="1" si="9"/>
        <v>0.38354581555773093</v>
      </c>
      <c r="AM86" s="8">
        <f t="shared" si="80"/>
        <v>0.94</v>
      </c>
      <c r="AN86" s="42">
        <f t="shared" ca="1" si="62"/>
        <v>201</v>
      </c>
      <c r="AP86" s="43">
        <f t="shared" ca="1" si="10"/>
        <v>5.9822331852990018E-2</v>
      </c>
      <c r="AQ86" s="8">
        <f t="shared" si="81"/>
        <v>0.94</v>
      </c>
      <c r="AR86" s="42">
        <f t="shared" ca="1" si="63"/>
        <v>109</v>
      </c>
      <c r="AT86" s="43">
        <f t="shared" ca="1" si="11"/>
        <v>0.54026738939347829</v>
      </c>
      <c r="AU86" s="8">
        <f t="shared" si="82"/>
        <v>0.94</v>
      </c>
      <c r="AV86" s="42">
        <f t="shared" ca="1" si="64"/>
        <v>199</v>
      </c>
      <c r="AX86" s="43">
        <f t="shared" ca="1" si="12"/>
        <v>0.38841783600919377</v>
      </c>
      <c r="AY86" s="8">
        <f t="shared" si="83"/>
        <v>0.94</v>
      </c>
      <c r="AZ86" s="42">
        <f t="shared" ca="1" si="65"/>
        <v>203</v>
      </c>
      <c r="BB86" s="43">
        <f t="shared" ca="1" si="13"/>
        <v>9.1238852439132434E-2</v>
      </c>
      <c r="BC86" s="8">
        <f t="shared" si="84"/>
        <v>0.94</v>
      </c>
      <c r="BD86" s="42">
        <f t="shared" ca="1" si="66"/>
        <v>122</v>
      </c>
      <c r="BF86" s="43">
        <f t="shared" ca="1" si="14"/>
        <v>0.70792517230155094</v>
      </c>
      <c r="BG86" s="8">
        <f t="shared" si="85"/>
        <v>0.94</v>
      </c>
      <c r="BH86" s="42">
        <f t="shared" ca="1" si="67"/>
        <v>182</v>
      </c>
      <c r="BJ86" s="43">
        <f t="shared" ca="1" si="15"/>
        <v>0.6751467241088237</v>
      </c>
      <c r="BK86" s="8">
        <f t="shared" si="86"/>
        <v>0.94</v>
      </c>
      <c r="BL86" s="42">
        <f t="shared" ca="1" si="68"/>
        <v>228</v>
      </c>
      <c r="BN86" s="43">
        <f t="shared" ca="1" si="16"/>
        <v>0.31016698195800441</v>
      </c>
      <c r="BO86" s="8">
        <f t="shared" si="87"/>
        <v>0.94</v>
      </c>
      <c r="BP86" s="42">
        <f t="shared" ca="1" si="69"/>
        <v>132</v>
      </c>
      <c r="BR86" s="43">
        <f t="shared" ca="1" si="17"/>
        <v>0.99359608746480166</v>
      </c>
      <c r="BS86" s="8">
        <f t="shared" si="88"/>
        <v>0.94</v>
      </c>
      <c r="BT86" s="42">
        <f t="shared" ca="1" si="70"/>
        <v>343</v>
      </c>
    </row>
    <row r="87" spans="1:72" x14ac:dyDescent="0.2">
      <c r="A87" s="22">
        <v>44634</v>
      </c>
      <c r="B87" s="43">
        <f t="shared" ca="1" si="0"/>
        <v>0.94003459088525454</v>
      </c>
      <c r="C87" s="8">
        <f t="shared" si="71"/>
        <v>0.94</v>
      </c>
      <c r="D87" s="42">
        <f t="shared" ca="1" si="53"/>
        <v>124</v>
      </c>
      <c r="F87" s="43">
        <f t="shared" ca="1" si="1"/>
        <v>0.9336016616896432</v>
      </c>
      <c r="G87" s="8">
        <f t="shared" si="72"/>
        <v>0.94</v>
      </c>
      <c r="H87" s="42">
        <f t="shared" ca="1" si="54"/>
        <v>284</v>
      </c>
      <c r="J87" s="43">
        <f t="shared" ca="1" si="2"/>
        <v>8.9013060178293912E-2</v>
      </c>
      <c r="K87" s="8">
        <f t="shared" si="73"/>
        <v>0.94</v>
      </c>
      <c r="L87" s="42">
        <f t="shared" ca="1" si="55"/>
        <v>91</v>
      </c>
      <c r="N87" s="43">
        <f t="shared" ca="1" si="3"/>
        <v>0.5711902475994094</v>
      </c>
      <c r="O87" s="8">
        <f t="shared" si="74"/>
        <v>0.94</v>
      </c>
      <c r="P87" s="42">
        <f t="shared" ca="1" si="56"/>
        <v>226</v>
      </c>
      <c r="R87" s="43">
        <f t="shared" ca="1" si="4"/>
        <v>0.45802279137878887</v>
      </c>
      <c r="S87" s="8">
        <f t="shared" si="75"/>
        <v>0.94</v>
      </c>
      <c r="T87" s="42">
        <f t="shared" ca="1" si="57"/>
        <v>127</v>
      </c>
      <c r="V87" s="43">
        <f t="shared" ca="1" si="5"/>
        <v>0.51530432494000455</v>
      </c>
      <c r="W87" s="8">
        <f t="shared" si="76"/>
        <v>0.94</v>
      </c>
      <c r="X87" s="42">
        <f t="shared" ca="1" si="58"/>
        <v>214</v>
      </c>
      <c r="Z87" s="43">
        <f t="shared" ca="1" si="6"/>
        <v>4.8162715361366848E-2</v>
      </c>
      <c r="AA87" s="8">
        <f t="shared" si="77"/>
        <v>0.94</v>
      </c>
      <c r="AB87" s="42">
        <f t="shared" ca="1" si="59"/>
        <v>142</v>
      </c>
      <c r="AD87" s="43">
        <f t="shared" ca="1" si="7"/>
        <v>4.720571806258822E-2</v>
      </c>
      <c r="AE87" s="8">
        <f t="shared" si="78"/>
        <v>0.94</v>
      </c>
      <c r="AF87" s="42">
        <f t="shared" ca="1" si="60"/>
        <v>171</v>
      </c>
      <c r="AH87" s="43">
        <f t="shared" ca="1" si="8"/>
        <v>0.30641629278701132</v>
      </c>
      <c r="AI87" s="8">
        <f t="shared" si="79"/>
        <v>0.94</v>
      </c>
      <c r="AJ87" s="42">
        <f t="shared" ca="1" si="61"/>
        <v>139</v>
      </c>
      <c r="AL87" s="43">
        <f t="shared" ca="1" si="9"/>
        <v>0.32663014280938929</v>
      </c>
      <c r="AM87" s="8">
        <f t="shared" si="80"/>
        <v>0.94</v>
      </c>
      <c r="AN87" s="42">
        <f t="shared" ca="1" si="62"/>
        <v>192</v>
      </c>
      <c r="AP87" s="43">
        <f t="shared" ca="1" si="10"/>
        <v>0.89569001838749795</v>
      </c>
      <c r="AQ87" s="8">
        <f t="shared" si="81"/>
        <v>0.94</v>
      </c>
      <c r="AR87" s="42">
        <f t="shared" ca="1" si="63"/>
        <v>249</v>
      </c>
      <c r="AT87" s="43">
        <f t="shared" ca="1" si="11"/>
        <v>5.6927447731444869E-2</v>
      </c>
      <c r="AU87" s="8">
        <f t="shared" si="82"/>
        <v>0.94</v>
      </c>
      <c r="AV87" s="42">
        <f t="shared" ca="1" si="64"/>
        <v>112</v>
      </c>
      <c r="AX87" s="43">
        <f t="shared" ca="1" si="12"/>
        <v>0.4054573802907756</v>
      </c>
      <c r="AY87" s="8">
        <f t="shared" si="83"/>
        <v>0.94</v>
      </c>
      <c r="AZ87" s="42">
        <f t="shared" ca="1" si="65"/>
        <v>206</v>
      </c>
      <c r="BB87" s="43">
        <f t="shared" ca="1" si="13"/>
        <v>0.10295592718496549</v>
      </c>
      <c r="BC87" s="8">
        <f t="shared" si="84"/>
        <v>0.94</v>
      </c>
      <c r="BD87" s="42">
        <f t="shared" ca="1" si="66"/>
        <v>125</v>
      </c>
      <c r="BF87" s="43">
        <f t="shared" ca="1" si="14"/>
        <v>0.29328179360480644</v>
      </c>
      <c r="BG87" s="8">
        <f t="shared" si="85"/>
        <v>0.94</v>
      </c>
      <c r="BH87" s="42">
        <f t="shared" ca="1" si="67"/>
        <v>136</v>
      </c>
      <c r="BJ87" s="43">
        <f t="shared" ca="1" si="15"/>
        <v>0.2233010501883359</v>
      </c>
      <c r="BK87" s="8">
        <f t="shared" si="86"/>
        <v>0.94</v>
      </c>
      <c r="BL87" s="42">
        <f t="shared" ca="1" si="68"/>
        <v>162</v>
      </c>
      <c r="BN87" s="43">
        <f t="shared" ca="1" si="16"/>
        <v>0.81871353017866888</v>
      </c>
      <c r="BO87" s="8">
        <f t="shared" si="87"/>
        <v>0.94</v>
      </c>
      <c r="BP87" s="42">
        <f t="shared" ca="1" si="69"/>
        <v>188</v>
      </c>
      <c r="BR87" s="43">
        <f t="shared" ca="1" si="17"/>
        <v>0.44433513714852735</v>
      </c>
      <c r="BS87" s="8">
        <f t="shared" si="88"/>
        <v>0.94</v>
      </c>
      <c r="BT87" s="42">
        <f t="shared" ca="1" si="70"/>
        <v>199</v>
      </c>
    </row>
    <row r="88" spans="1:72" x14ac:dyDescent="0.2">
      <c r="A88" s="22">
        <v>44635</v>
      </c>
      <c r="B88" s="43">
        <f t="shared" ca="1" si="0"/>
        <v>0.22925539340884749</v>
      </c>
      <c r="C88" s="8">
        <f t="shared" si="71"/>
        <v>0.94</v>
      </c>
      <c r="D88" s="42">
        <f t="shared" ca="1" si="53"/>
        <v>81</v>
      </c>
      <c r="F88" s="43">
        <f t="shared" ca="1" si="1"/>
        <v>0.61622145264274597</v>
      </c>
      <c r="G88" s="8">
        <f t="shared" si="72"/>
        <v>0.94</v>
      </c>
      <c r="H88" s="42">
        <f t="shared" ca="1" si="54"/>
        <v>219</v>
      </c>
      <c r="J88" s="43">
        <f t="shared" ca="1" si="2"/>
        <v>0.30248465667616864</v>
      </c>
      <c r="K88" s="8">
        <f t="shared" si="73"/>
        <v>0.94</v>
      </c>
      <c r="L88" s="42">
        <f t="shared" ca="1" si="55"/>
        <v>122</v>
      </c>
      <c r="N88" s="43">
        <f t="shared" ca="1" si="3"/>
        <v>0.57755778222044929</v>
      </c>
      <c r="O88" s="8">
        <f t="shared" si="74"/>
        <v>0.94</v>
      </c>
      <c r="P88" s="42">
        <f t="shared" ca="1" si="56"/>
        <v>227</v>
      </c>
      <c r="R88" s="43">
        <f t="shared" ca="1" si="4"/>
        <v>0.65830057882672433</v>
      </c>
      <c r="S88" s="8">
        <f t="shared" si="75"/>
        <v>0.94</v>
      </c>
      <c r="T88" s="42">
        <f t="shared" ca="1" si="57"/>
        <v>145</v>
      </c>
      <c r="V88" s="43">
        <f t="shared" ca="1" si="5"/>
        <v>0.63378853978160599</v>
      </c>
      <c r="W88" s="8">
        <f t="shared" si="76"/>
        <v>0.94</v>
      </c>
      <c r="X88" s="42">
        <f t="shared" ca="1" si="58"/>
        <v>231</v>
      </c>
      <c r="Z88" s="43">
        <f t="shared" ca="1" si="6"/>
        <v>0.44301966330377884</v>
      </c>
      <c r="AA88" s="8">
        <f t="shared" si="77"/>
        <v>0.94</v>
      </c>
      <c r="AB88" s="42">
        <f t="shared" ca="1" si="59"/>
        <v>245</v>
      </c>
      <c r="AD88" s="43">
        <f t="shared" ca="1" si="7"/>
        <v>0.44947974621020603</v>
      </c>
      <c r="AE88" s="8">
        <f t="shared" si="78"/>
        <v>0.94</v>
      </c>
      <c r="AF88" s="42">
        <f t="shared" ca="1" si="60"/>
        <v>297</v>
      </c>
      <c r="AH88" s="43">
        <f t="shared" ca="1" si="8"/>
        <v>0.13803010044025987</v>
      </c>
      <c r="AI88" s="8">
        <f t="shared" si="79"/>
        <v>0.94</v>
      </c>
      <c r="AJ88" s="42">
        <f t="shared" ca="1" si="61"/>
        <v>114</v>
      </c>
      <c r="AL88" s="43">
        <f t="shared" ca="1" si="9"/>
        <v>0.41973464163578678</v>
      </c>
      <c r="AM88" s="8">
        <f t="shared" si="80"/>
        <v>0.94</v>
      </c>
      <c r="AN88" s="42">
        <f t="shared" ca="1" si="62"/>
        <v>207</v>
      </c>
      <c r="AP88" s="43">
        <f t="shared" ca="1" si="10"/>
        <v>0.38340095576054545</v>
      </c>
      <c r="AQ88" s="8">
        <f t="shared" si="81"/>
        <v>0.94</v>
      </c>
      <c r="AR88" s="42">
        <f t="shared" ca="1" si="63"/>
        <v>172</v>
      </c>
      <c r="AT88" s="43">
        <f t="shared" ca="1" si="11"/>
        <v>0.33303879292459893</v>
      </c>
      <c r="AU88" s="8">
        <f t="shared" si="82"/>
        <v>0.94</v>
      </c>
      <c r="AV88" s="42">
        <f t="shared" ca="1" si="64"/>
        <v>171</v>
      </c>
      <c r="AX88" s="43">
        <f t="shared" ca="1" si="12"/>
        <v>9.1615652475818599E-2</v>
      </c>
      <c r="AY88" s="8">
        <f t="shared" si="83"/>
        <v>0.94</v>
      </c>
      <c r="AZ88" s="42">
        <f t="shared" ca="1" si="65"/>
        <v>142</v>
      </c>
      <c r="BB88" s="43">
        <f t="shared" ca="1" si="13"/>
        <v>0.42066621485894162</v>
      </c>
      <c r="BC88" s="8">
        <f t="shared" si="84"/>
        <v>0.94</v>
      </c>
      <c r="BD88" s="42">
        <f t="shared" ca="1" si="66"/>
        <v>179</v>
      </c>
      <c r="BF88" s="43">
        <f t="shared" ca="1" si="14"/>
        <v>9.9731368435364121E-2</v>
      </c>
      <c r="BG88" s="8">
        <f t="shared" si="85"/>
        <v>0.94</v>
      </c>
      <c r="BH88" s="42">
        <f t="shared" ca="1" si="67"/>
        <v>105</v>
      </c>
      <c r="BJ88" s="43">
        <f t="shared" ca="1" si="15"/>
        <v>0.58329021220169064</v>
      </c>
      <c r="BK88" s="8">
        <f t="shared" si="86"/>
        <v>0.94</v>
      </c>
      <c r="BL88" s="42">
        <f t="shared" ca="1" si="68"/>
        <v>215</v>
      </c>
      <c r="BN88" s="43">
        <f t="shared" ca="1" si="16"/>
        <v>0.59947063381806309</v>
      </c>
      <c r="BO88" s="8">
        <f t="shared" si="87"/>
        <v>0.94</v>
      </c>
      <c r="BP88" s="42">
        <f t="shared" ca="1" si="69"/>
        <v>162</v>
      </c>
      <c r="BR88" s="43">
        <f t="shared" ca="1" si="17"/>
        <v>0.19355125618415359</v>
      </c>
      <c r="BS88" s="8">
        <f t="shared" si="88"/>
        <v>0.94</v>
      </c>
      <c r="BT88" s="42">
        <f t="shared" ca="1" si="70"/>
        <v>159</v>
      </c>
    </row>
    <row r="89" spans="1:72" x14ac:dyDescent="0.2">
      <c r="A89" s="22">
        <v>44636</v>
      </c>
      <c r="B89" s="43">
        <f t="shared" ca="1" si="0"/>
        <v>0.65619911243222795</v>
      </c>
      <c r="C89" s="8">
        <f t="shared" si="71"/>
        <v>0.94</v>
      </c>
      <c r="D89" s="42">
        <f t="shared" ca="1" si="53"/>
        <v>102</v>
      </c>
      <c r="F89" s="43">
        <f t="shared" ca="1" si="1"/>
        <v>1.7742325078969001E-2</v>
      </c>
      <c r="G89" s="8">
        <f t="shared" si="72"/>
        <v>0.94</v>
      </c>
      <c r="H89" s="42">
        <f t="shared" ca="1" si="54"/>
        <v>89</v>
      </c>
      <c r="J89" s="43">
        <f t="shared" ca="1" si="2"/>
        <v>0.1203417255660244</v>
      </c>
      <c r="K89" s="8">
        <f t="shared" si="73"/>
        <v>0.94</v>
      </c>
      <c r="L89" s="42">
        <f t="shared" ca="1" si="55"/>
        <v>97</v>
      </c>
      <c r="N89" s="43">
        <f t="shared" ca="1" si="3"/>
        <v>0.94848554145373165</v>
      </c>
      <c r="O89" s="8">
        <f t="shared" si="74"/>
        <v>0.94</v>
      </c>
      <c r="P89" s="42">
        <f t="shared" ca="1" si="56"/>
        <v>310</v>
      </c>
      <c r="R89" s="43">
        <f t="shared" ca="1" si="4"/>
        <v>0.82592284805383531</v>
      </c>
      <c r="S89" s="8">
        <f t="shared" si="75"/>
        <v>0.94</v>
      </c>
      <c r="T89" s="42">
        <f t="shared" ca="1" si="57"/>
        <v>164</v>
      </c>
      <c r="V89" s="43">
        <f t="shared" ca="1" si="5"/>
        <v>8.2407489351834839E-2</v>
      </c>
      <c r="W89" s="8">
        <f t="shared" si="76"/>
        <v>0.94</v>
      </c>
      <c r="X89" s="42">
        <f t="shared" ca="1" si="58"/>
        <v>134</v>
      </c>
      <c r="Z89" s="43">
        <f t="shared" ca="1" si="6"/>
        <v>5.6553595198903017E-2</v>
      </c>
      <c r="AA89" s="8">
        <f t="shared" si="77"/>
        <v>0.94</v>
      </c>
      <c r="AB89" s="42">
        <f t="shared" ca="1" si="59"/>
        <v>147</v>
      </c>
      <c r="AD89" s="43">
        <f t="shared" ca="1" si="7"/>
        <v>0.27962758233755491</v>
      </c>
      <c r="AE89" s="8">
        <f t="shared" si="78"/>
        <v>0.94</v>
      </c>
      <c r="AF89" s="42">
        <f t="shared" ca="1" si="60"/>
        <v>260</v>
      </c>
      <c r="AH89" s="43">
        <f t="shared" ca="1" si="8"/>
        <v>0.96659813730892907</v>
      </c>
      <c r="AI89" s="8">
        <f t="shared" si="79"/>
        <v>0.94</v>
      </c>
      <c r="AJ89" s="42">
        <f t="shared" ca="1" si="61"/>
        <v>239</v>
      </c>
      <c r="AL89" s="43">
        <f t="shared" ca="1" si="9"/>
        <v>0.32299862014866765</v>
      </c>
      <c r="AM89" s="8">
        <f t="shared" si="80"/>
        <v>0.94</v>
      </c>
      <c r="AN89" s="42">
        <f t="shared" ca="1" si="62"/>
        <v>192</v>
      </c>
      <c r="AP89" s="43">
        <f t="shared" ca="1" si="10"/>
        <v>0.59429365550239921</v>
      </c>
      <c r="AQ89" s="8">
        <f t="shared" si="81"/>
        <v>0.94</v>
      </c>
      <c r="AR89" s="42">
        <f t="shared" ca="1" si="63"/>
        <v>198</v>
      </c>
      <c r="AT89" s="43">
        <f t="shared" ca="1" si="11"/>
        <v>5.7146543130712435E-2</v>
      </c>
      <c r="AU89" s="8">
        <f t="shared" si="82"/>
        <v>0.94</v>
      </c>
      <c r="AV89" s="42">
        <f t="shared" ca="1" si="64"/>
        <v>112</v>
      </c>
      <c r="AX89" s="43">
        <f t="shared" ca="1" si="12"/>
        <v>0.49729413117638388</v>
      </c>
      <c r="AY89" s="8">
        <f t="shared" si="83"/>
        <v>0.94</v>
      </c>
      <c r="AZ89" s="42">
        <f t="shared" ca="1" si="65"/>
        <v>220</v>
      </c>
      <c r="BB89" s="43">
        <f t="shared" ca="1" si="13"/>
        <v>0.63187800311025888</v>
      </c>
      <c r="BC89" s="8">
        <f t="shared" si="84"/>
        <v>0.94</v>
      </c>
      <c r="BD89" s="42">
        <f t="shared" ca="1" si="66"/>
        <v>206</v>
      </c>
      <c r="BF89" s="43">
        <f t="shared" ca="1" si="14"/>
        <v>0.98548315852790791</v>
      </c>
      <c r="BG89" s="8">
        <f t="shared" si="85"/>
        <v>0.94</v>
      </c>
      <c r="BH89" s="42">
        <f t="shared" ca="1" si="67"/>
        <v>251</v>
      </c>
      <c r="BJ89" s="43">
        <f t="shared" ca="1" si="15"/>
        <v>0.56591819605342131</v>
      </c>
      <c r="BK89" s="8">
        <f t="shared" si="86"/>
        <v>0.94</v>
      </c>
      <c r="BL89" s="42">
        <f t="shared" ca="1" si="68"/>
        <v>212</v>
      </c>
      <c r="BN89" s="43">
        <f t="shared" ca="1" si="16"/>
        <v>0.34182344765392969</v>
      </c>
      <c r="BO89" s="8">
        <f t="shared" si="87"/>
        <v>0.94</v>
      </c>
      <c r="BP89" s="42">
        <f t="shared" ca="1" si="69"/>
        <v>135</v>
      </c>
      <c r="BR89" s="43">
        <f t="shared" ca="1" si="17"/>
        <v>0.98880388343626668</v>
      </c>
      <c r="BS89" s="8">
        <f t="shared" si="88"/>
        <v>0.94</v>
      </c>
      <c r="BT89" s="42">
        <f t="shared" ca="1" si="70"/>
        <v>332</v>
      </c>
    </row>
    <row r="90" spans="1:72" x14ac:dyDescent="0.2">
      <c r="A90" s="22">
        <v>44637</v>
      </c>
      <c r="B90" s="43">
        <f t="shared" ca="1" si="0"/>
        <v>0.82315892370766175</v>
      </c>
      <c r="C90" s="8">
        <f t="shared" si="71"/>
        <v>0.94</v>
      </c>
      <c r="D90" s="42">
        <f t="shared" ca="1" si="53"/>
        <v>112</v>
      </c>
      <c r="F90" s="43">
        <f t="shared" ca="1" si="1"/>
        <v>0.61982197873827216</v>
      </c>
      <c r="G90" s="8">
        <f t="shared" si="72"/>
        <v>0.94</v>
      </c>
      <c r="H90" s="42">
        <f t="shared" ca="1" si="54"/>
        <v>219</v>
      </c>
      <c r="J90" s="43">
        <f t="shared" ca="1" si="2"/>
        <v>0.59293421010293668</v>
      </c>
      <c r="K90" s="8">
        <f t="shared" si="73"/>
        <v>0.94</v>
      </c>
      <c r="L90" s="42">
        <f t="shared" ca="1" si="55"/>
        <v>150</v>
      </c>
      <c r="N90" s="43">
        <f t="shared" ca="1" si="3"/>
        <v>0.55592984218931896</v>
      </c>
      <c r="O90" s="8">
        <f t="shared" si="74"/>
        <v>0.94</v>
      </c>
      <c r="P90" s="42">
        <f t="shared" ca="1" si="56"/>
        <v>224</v>
      </c>
      <c r="R90" s="43">
        <f t="shared" ca="1" si="4"/>
        <v>0.89681565361627102</v>
      </c>
      <c r="S90" s="8">
        <f t="shared" si="75"/>
        <v>0.94</v>
      </c>
      <c r="T90" s="42">
        <f t="shared" ca="1" si="57"/>
        <v>175</v>
      </c>
      <c r="V90" s="43">
        <f t="shared" ca="1" si="5"/>
        <v>0.81706731185884096</v>
      </c>
      <c r="W90" s="8">
        <f t="shared" si="76"/>
        <v>0.94</v>
      </c>
      <c r="X90" s="42">
        <f t="shared" ca="1" si="58"/>
        <v>263</v>
      </c>
      <c r="Z90" s="43">
        <f t="shared" ca="1" si="6"/>
        <v>0.1680006193693977</v>
      </c>
      <c r="AA90" s="8">
        <f t="shared" si="77"/>
        <v>0.94</v>
      </c>
      <c r="AB90" s="42">
        <f t="shared" ca="1" si="59"/>
        <v>189</v>
      </c>
      <c r="AD90" s="43">
        <f t="shared" ca="1" si="7"/>
        <v>0.6002549982401475</v>
      </c>
      <c r="AE90" s="8">
        <f t="shared" si="78"/>
        <v>0.94</v>
      </c>
      <c r="AF90" s="42">
        <f t="shared" ca="1" si="60"/>
        <v>329</v>
      </c>
      <c r="AH90" s="43">
        <f t="shared" ca="1" si="8"/>
        <v>0.52674069586675687</v>
      </c>
      <c r="AI90" s="8">
        <f t="shared" si="79"/>
        <v>0.94</v>
      </c>
      <c r="AJ90" s="42">
        <f t="shared" ca="1" si="61"/>
        <v>164</v>
      </c>
      <c r="AL90" s="43">
        <f t="shared" ca="1" si="9"/>
        <v>0.61986471647354779</v>
      </c>
      <c r="AM90" s="8">
        <f t="shared" si="80"/>
        <v>0.94</v>
      </c>
      <c r="AN90" s="42">
        <f t="shared" ca="1" si="62"/>
        <v>236</v>
      </c>
      <c r="AP90" s="43">
        <f t="shared" ca="1" si="10"/>
        <v>0.37069527496982801</v>
      </c>
      <c r="AQ90" s="8">
        <f t="shared" si="81"/>
        <v>0.94</v>
      </c>
      <c r="AR90" s="42">
        <f t="shared" ca="1" si="63"/>
        <v>170</v>
      </c>
      <c r="AT90" s="43">
        <f t="shared" ca="1" si="11"/>
        <v>4.8156304181453891E-2</v>
      </c>
      <c r="AU90" s="8">
        <f t="shared" si="82"/>
        <v>0.94</v>
      </c>
      <c r="AV90" s="42">
        <f t="shared" ca="1" si="64"/>
        <v>108</v>
      </c>
      <c r="AX90" s="43">
        <f t="shared" ca="1" si="12"/>
        <v>0.543032296851509</v>
      </c>
      <c r="AY90" s="8">
        <f t="shared" si="83"/>
        <v>0.94</v>
      </c>
      <c r="AZ90" s="42">
        <f t="shared" ca="1" si="65"/>
        <v>226</v>
      </c>
      <c r="BB90" s="43">
        <f t="shared" ca="1" si="13"/>
        <v>0.26468800329618847</v>
      </c>
      <c r="BC90" s="8">
        <f t="shared" si="84"/>
        <v>0.94</v>
      </c>
      <c r="BD90" s="42">
        <f t="shared" ca="1" si="66"/>
        <v>157</v>
      </c>
      <c r="BF90" s="43">
        <f t="shared" ca="1" si="14"/>
        <v>0.17204086872580693</v>
      </c>
      <c r="BG90" s="8">
        <f t="shared" si="85"/>
        <v>0.94</v>
      </c>
      <c r="BH90" s="42">
        <f t="shared" ca="1" si="67"/>
        <v>119</v>
      </c>
      <c r="BJ90" s="43">
        <f t="shared" ca="1" si="15"/>
        <v>1.9712398102903705E-2</v>
      </c>
      <c r="BK90" s="8">
        <f t="shared" si="86"/>
        <v>0.94</v>
      </c>
      <c r="BL90" s="42">
        <f t="shared" ca="1" si="68"/>
        <v>92</v>
      </c>
      <c r="BN90" s="43">
        <f t="shared" ca="1" si="16"/>
        <v>0.86080725796434121</v>
      </c>
      <c r="BO90" s="8">
        <f t="shared" si="87"/>
        <v>0.94</v>
      </c>
      <c r="BP90" s="42">
        <f t="shared" ca="1" si="69"/>
        <v>195</v>
      </c>
      <c r="BR90" s="43">
        <f t="shared" ca="1" si="17"/>
        <v>3.6873402567112357E-2</v>
      </c>
      <c r="BS90" s="8">
        <f t="shared" si="88"/>
        <v>0.94</v>
      </c>
      <c r="BT90" s="42">
        <f t="shared" ca="1" si="70"/>
        <v>108</v>
      </c>
    </row>
    <row r="91" spans="1:72" x14ac:dyDescent="0.2">
      <c r="A91" s="22">
        <v>44638</v>
      </c>
      <c r="B91" s="43">
        <f t="shared" ca="1" si="0"/>
        <v>7.1744436850785021E-2</v>
      </c>
      <c r="C91" s="8">
        <f t="shared" si="71"/>
        <v>0.94</v>
      </c>
      <c r="D91" s="42">
        <f t="shared" ca="1" si="53"/>
        <v>67</v>
      </c>
      <c r="F91" s="43">
        <f t="shared" ca="1" si="1"/>
        <v>0.95102574500328085</v>
      </c>
      <c r="G91" s="8">
        <f t="shared" si="72"/>
        <v>0.94</v>
      </c>
      <c r="H91" s="42">
        <f t="shared" ca="1" si="54"/>
        <v>292</v>
      </c>
      <c r="J91" s="43">
        <f t="shared" ca="1" si="2"/>
        <v>0.70520517159342089</v>
      </c>
      <c r="K91" s="8">
        <f t="shared" si="73"/>
        <v>0.94</v>
      </c>
      <c r="L91" s="42">
        <f t="shared" ca="1" si="55"/>
        <v>162</v>
      </c>
      <c r="N91" s="43">
        <f t="shared" ca="1" si="3"/>
        <v>0.70078701027529045</v>
      </c>
      <c r="O91" s="8">
        <f t="shared" si="74"/>
        <v>0.94</v>
      </c>
      <c r="P91" s="42">
        <f t="shared" ca="1" si="56"/>
        <v>246</v>
      </c>
      <c r="R91" s="43">
        <f t="shared" ca="1" si="4"/>
        <v>0.95018967749584837</v>
      </c>
      <c r="S91" s="8">
        <f t="shared" si="75"/>
        <v>0.94</v>
      </c>
      <c r="T91" s="42">
        <f t="shared" ca="1" si="57"/>
        <v>188</v>
      </c>
      <c r="V91" s="43">
        <f t="shared" ca="1" si="5"/>
        <v>0.70482052335733336</v>
      </c>
      <c r="W91" s="8">
        <f t="shared" si="76"/>
        <v>0.94</v>
      </c>
      <c r="X91" s="42">
        <f t="shared" ca="1" si="58"/>
        <v>242</v>
      </c>
      <c r="Z91" s="43">
        <f t="shared" ca="1" si="6"/>
        <v>0.41018075827621914</v>
      </c>
      <c r="AA91" s="8">
        <f t="shared" si="77"/>
        <v>0.94</v>
      </c>
      <c r="AB91" s="42">
        <f t="shared" ca="1" si="59"/>
        <v>239</v>
      </c>
      <c r="AD91" s="43">
        <f t="shared" ca="1" si="7"/>
        <v>0.70726771677663614</v>
      </c>
      <c r="AE91" s="8">
        <f t="shared" si="78"/>
        <v>0.94</v>
      </c>
      <c r="AF91" s="42">
        <f t="shared" ca="1" si="60"/>
        <v>353</v>
      </c>
      <c r="AH91" s="43">
        <f t="shared" ca="1" si="8"/>
        <v>0.38330641069084137</v>
      </c>
      <c r="AI91" s="8">
        <f t="shared" si="79"/>
        <v>0.94</v>
      </c>
      <c r="AJ91" s="42">
        <f t="shared" ca="1" si="61"/>
        <v>148</v>
      </c>
      <c r="AL91" s="43">
        <f t="shared" ca="1" si="9"/>
        <v>0.44832219600405854</v>
      </c>
      <c r="AM91" s="8">
        <f t="shared" si="80"/>
        <v>0.94</v>
      </c>
      <c r="AN91" s="42">
        <f t="shared" ca="1" si="62"/>
        <v>211</v>
      </c>
      <c r="AP91" s="43">
        <f t="shared" ca="1" si="10"/>
        <v>0.77084945678854977</v>
      </c>
      <c r="AQ91" s="8">
        <f t="shared" si="81"/>
        <v>0.94</v>
      </c>
      <c r="AR91" s="42">
        <f t="shared" ca="1" si="63"/>
        <v>223</v>
      </c>
      <c r="AT91" s="43">
        <f t="shared" ca="1" si="11"/>
        <v>0.16092208262950669</v>
      </c>
      <c r="AU91" s="8">
        <f t="shared" si="82"/>
        <v>0.94</v>
      </c>
      <c r="AV91" s="42">
        <f t="shared" ca="1" si="64"/>
        <v>143</v>
      </c>
      <c r="AX91" s="43">
        <f t="shared" ca="1" si="12"/>
        <v>0.39546822905753654</v>
      </c>
      <c r="AY91" s="8">
        <f t="shared" si="83"/>
        <v>0.94</v>
      </c>
      <c r="AZ91" s="42">
        <f t="shared" ca="1" si="65"/>
        <v>205</v>
      </c>
      <c r="BB91" s="43">
        <f t="shared" ca="1" si="13"/>
        <v>7.6341129822269593E-2</v>
      </c>
      <c r="BC91" s="8">
        <f t="shared" si="84"/>
        <v>0.94</v>
      </c>
      <c r="BD91" s="42">
        <f t="shared" ca="1" si="66"/>
        <v>117</v>
      </c>
      <c r="BF91" s="43">
        <f t="shared" ca="1" si="14"/>
        <v>0.97855456191814716</v>
      </c>
      <c r="BG91" s="8">
        <f t="shared" si="85"/>
        <v>0.94</v>
      </c>
      <c r="BH91" s="42">
        <f t="shared" ca="1" si="67"/>
        <v>245</v>
      </c>
      <c r="BJ91" s="43">
        <f t="shared" ca="1" si="15"/>
        <v>0.16488190746215958</v>
      </c>
      <c r="BK91" s="8">
        <f t="shared" si="86"/>
        <v>0.94</v>
      </c>
      <c r="BL91" s="42">
        <f t="shared" ca="1" si="68"/>
        <v>151</v>
      </c>
      <c r="BN91" s="43">
        <f t="shared" ca="1" si="16"/>
        <v>2.744808912060448E-2</v>
      </c>
      <c r="BO91" s="8">
        <f t="shared" si="87"/>
        <v>0.94</v>
      </c>
      <c r="BP91" s="42">
        <f t="shared" ca="1" si="69"/>
        <v>74</v>
      </c>
      <c r="BR91" s="43">
        <f t="shared" ca="1" si="17"/>
        <v>0.37978319771688862</v>
      </c>
      <c r="BS91" s="8">
        <f t="shared" si="88"/>
        <v>0.94</v>
      </c>
      <c r="BT91" s="42">
        <f t="shared" ca="1" si="70"/>
        <v>190</v>
      </c>
    </row>
    <row r="92" spans="1:72" x14ac:dyDescent="0.2">
      <c r="A92" s="22">
        <v>44639</v>
      </c>
      <c r="B92" s="43">
        <f t="shared" ca="1" si="0"/>
        <v>0.44321043193388765</v>
      </c>
      <c r="C92" s="8">
        <f t="shared" si="71"/>
        <v>0.94</v>
      </c>
      <c r="D92" s="42">
        <f t="shared" ca="1" si="53"/>
        <v>92</v>
      </c>
      <c r="F92" s="43">
        <f t="shared" ca="1" si="1"/>
        <v>0.61297292469919384</v>
      </c>
      <c r="G92" s="8">
        <f t="shared" si="72"/>
        <v>0.94</v>
      </c>
      <c r="H92" s="42">
        <f t="shared" ca="1" si="54"/>
        <v>218</v>
      </c>
      <c r="J92" s="43">
        <f t="shared" ca="1" si="2"/>
        <v>0.60724448561345579</v>
      </c>
      <c r="K92" s="8">
        <f t="shared" si="73"/>
        <v>0.94</v>
      </c>
      <c r="L92" s="42">
        <f t="shared" ca="1" si="55"/>
        <v>152</v>
      </c>
      <c r="N92" s="43">
        <f t="shared" ca="1" si="3"/>
        <v>0.62693924074218577</v>
      </c>
      <c r="O92" s="8">
        <f t="shared" si="74"/>
        <v>0.94</v>
      </c>
      <c r="P92" s="42">
        <f t="shared" ca="1" si="56"/>
        <v>235</v>
      </c>
      <c r="R92" s="43">
        <f t="shared" ca="1" si="4"/>
        <v>0.59831147760938752</v>
      </c>
      <c r="S92" s="8">
        <f t="shared" si="75"/>
        <v>0.94</v>
      </c>
      <c r="T92" s="42">
        <f t="shared" ca="1" si="57"/>
        <v>140</v>
      </c>
      <c r="V92" s="43">
        <f t="shared" ca="1" si="5"/>
        <v>0.87271229192229249</v>
      </c>
      <c r="W92" s="8">
        <f t="shared" si="76"/>
        <v>0.94</v>
      </c>
      <c r="X92" s="42">
        <f t="shared" ca="1" si="58"/>
        <v>276</v>
      </c>
      <c r="Z92" s="43">
        <f t="shared" ca="1" si="6"/>
        <v>0.32349160857934867</v>
      </c>
      <c r="AA92" s="8">
        <f t="shared" si="77"/>
        <v>0.94</v>
      </c>
      <c r="AB92" s="42">
        <f t="shared" ca="1" si="59"/>
        <v>223</v>
      </c>
      <c r="AD92" s="43">
        <f t="shared" ca="1" si="7"/>
        <v>0.72440227387969769</v>
      </c>
      <c r="AE92" s="8">
        <f t="shared" si="78"/>
        <v>0.94</v>
      </c>
      <c r="AF92" s="42">
        <f t="shared" ca="1" si="60"/>
        <v>357</v>
      </c>
      <c r="AH92" s="43">
        <f t="shared" ca="1" si="8"/>
        <v>0.14076837662723218</v>
      </c>
      <c r="AI92" s="8">
        <f t="shared" si="79"/>
        <v>0.94</v>
      </c>
      <c r="AJ92" s="42">
        <f t="shared" ca="1" si="61"/>
        <v>115</v>
      </c>
      <c r="AL92" s="43">
        <f t="shared" ca="1" si="9"/>
        <v>2.1918920283101273E-2</v>
      </c>
      <c r="AM92" s="8">
        <f t="shared" si="80"/>
        <v>0.94</v>
      </c>
      <c r="AN92" s="42">
        <f t="shared" ca="1" si="62"/>
        <v>101</v>
      </c>
      <c r="AP92" s="43">
        <f t="shared" ca="1" si="10"/>
        <v>0.61405126023405388</v>
      </c>
      <c r="AQ92" s="8">
        <f t="shared" si="81"/>
        <v>0.94</v>
      </c>
      <c r="AR92" s="42">
        <f t="shared" ca="1" si="63"/>
        <v>201</v>
      </c>
      <c r="AT92" s="43">
        <f t="shared" ca="1" si="11"/>
        <v>0.40058190391722293</v>
      </c>
      <c r="AU92" s="8">
        <f t="shared" si="82"/>
        <v>0.94</v>
      </c>
      <c r="AV92" s="42">
        <f t="shared" ca="1" si="64"/>
        <v>181</v>
      </c>
      <c r="AX92" s="43">
        <f t="shared" ca="1" si="12"/>
        <v>0.73971886427916478</v>
      </c>
      <c r="AY92" s="8">
        <f t="shared" si="83"/>
        <v>0.94</v>
      </c>
      <c r="AZ92" s="42">
        <f t="shared" ca="1" si="65"/>
        <v>258</v>
      </c>
      <c r="BB92" s="43">
        <f t="shared" ca="1" si="13"/>
        <v>0.36499189971686907</v>
      </c>
      <c r="BC92" s="8">
        <f t="shared" si="84"/>
        <v>0.94</v>
      </c>
      <c r="BD92" s="42">
        <f t="shared" ca="1" si="66"/>
        <v>172</v>
      </c>
      <c r="BF92" s="43">
        <f t="shared" ca="1" si="14"/>
        <v>0.74400599564873027</v>
      </c>
      <c r="BG92" s="8">
        <f t="shared" si="85"/>
        <v>0.94</v>
      </c>
      <c r="BH92" s="42">
        <f t="shared" ca="1" si="67"/>
        <v>187</v>
      </c>
      <c r="BJ92" s="43">
        <f t="shared" ca="1" si="15"/>
        <v>0.13335426174681608</v>
      </c>
      <c r="BK92" s="8">
        <f t="shared" si="86"/>
        <v>0.94</v>
      </c>
      <c r="BL92" s="42">
        <f t="shared" ca="1" si="68"/>
        <v>143</v>
      </c>
      <c r="BN92" s="43">
        <f t="shared" ca="1" si="16"/>
        <v>0.9017246898515614</v>
      </c>
      <c r="BO92" s="8">
        <f t="shared" si="87"/>
        <v>0.94</v>
      </c>
      <c r="BP92" s="42">
        <f t="shared" ca="1" si="69"/>
        <v>204</v>
      </c>
      <c r="BR92" s="43">
        <f t="shared" ca="1" si="17"/>
        <v>0.69778345208000081</v>
      </c>
      <c r="BS92" s="8">
        <f t="shared" si="88"/>
        <v>0.94</v>
      </c>
      <c r="BT92" s="42">
        <f t="shared" ca="1" si="70"/>
        <v>235</v>
      </c>
    </row>
    <row r="93" spans="1:72" x14ac:dyDescent="0.2">
      <c r="A93" s="22">
        <v>44640</v>
      </c>
      <c r="B93" s="43">
        <f t="shared" ca="1" si="0"/>
        <v>0.45793460433150535</v>
      </c>
      <c r="C93" s="8">
        <f t="shared" si="71"/>
        <v>0.94</v>
      </c>
      <c r="D93" s="42">
        <f t="shared" ca="1" si="53"/>
        <v>93</v>
      </c>
      <c r="F93" s="43">
        <f t="shared" ca="1" si="1"/>
        <v>0.13293734221626341</v>
      </c>
      <c r="G93" s="8">
        <f t="shared" si="72"/>
        <v>0.94</v>
      </c>
      <c r="H93" s="42">
        <f t="shared" ca="1" si="54"/>
        <v>143</v>
      </c>
      <c r="J93" s="43">
        <f t="shared" ca="1" si="2"/>
        <v>0.68147113517742908</v>
      </c>
      <c r="K93" s="8">
        <f t="shared" si="73"/>
        <v>0.94</v>
      </c>
      <c r="L93" s="42">
        <f t="shared" ca="1" si="55"/>
        <v>159</v>
      </c>
      <c r="N93" s="43">
        <f t="shared" ca="1" si="3"/>
        <v>0.56871985682821968</v>
      </c>
      <c r="O93" s="8">
        <f t="shared" si="74"/>
        <v>0.94</v>
      </c>
      <c r="P93" s="42">
        <f t="shared" ca="1" si="56"/>
        <v>226</v>
      </c>
      <c r="R93" s="43">
        <f t="shared" ca="1" si="4"/>
        <v>0.81873767647727413</v>
      </c>
      <c r="S93" s="8">
        <f t="shared" si="75"/>
        <v>0.94</v>
      </c>
      <c r="T93" s="42">
        <f t="shared" ca="1" si="57"/>
        <v>163</v>
      </c>
      <c r="V93" s="43">
        <f t="shared" ca="1" si="5"/>
        <v>0.25853770604526805</v>
      </c>
      <c r="W93" s="8">
        <f t="shared" si="76"/>
        <v>0.94</v>
      </c>
      <c r="X93" s="42">
        <f t="shared" ca="1" si="58"/>
        <v>175</v>
      </c>
      <c r="Z93" s="43">
        <f t="shared" ca="1" si="6"/>
        <v>0.39607406993420835</v>
      </c>
      <c r="AA93" s="8">
        <f t="shared" si="77"/>
        <v>0.94</v>
      </c>
      <c r="AB93" s="42">
        <f t="shared" ca="1" si="59"/>
        <v>236</v>
      </c>
      <c r="AD93" s="43">
        <f t="shared" ca="1" si="7"/>
        <v>0.14994943616963907</v>
      </c>
      <c r="AE93" s="8">
        <f t="shared" si="78"/>
        <v>0.94</v>
      </c>
      <c r="AF93" s="42">
        <f t="shared" ca="1" si="60"/>
        <v>223</v>
      </c>
      <c r="AH93" s="43">
        <f t="shared" ca="1" si="8"/>
        <v>9.2631733409298533E-4</v>
      </c>
      <c r="AI93" s="8">
        <f t="shared" si="79"/>
        <v>0.94</v>
      </c>
      <c r="AJ93" s="42">
        <f t="shared" ca="1" si="61"/>
        <v>28</v>
      </c>
      <c r="AL93" s="43">
        <f t="shared" ca="1" si="9"/>
        <v>0.42421122236278963</v>
      </c>
      <c r="AM93" s="8">
        <f t="shared" si="80"/>
        <v>0.94</v>
      </c>
      <c r="AN93" s="42">
        <f t="shared" ca="1" si="62"/>
        <v>208</v>
      </c>
      <c r="AP93" s="43">
        <f t="shared" ca="1" si="10"/>
        <v>0.77436475043547093</v>
      </c>
      <c r="AQ93" s="8">
        <f t="shared" si="81"/>
        <v>0.94</v>
      </c>
      <c r="AR93" s="42">
        <f t="shared" ca="1" si="63"/>
        <v>224</v>
      </c>
      <c r="AT93" s="43">
        <f t="shared" ca="1" si="11"/>
        <v>1.2309560828168475E-2</v>
      </c>
      <c r="AU93" s="8">
        <f t="shared" si="82"/>
        <v>0.94</v>
      </c>
      <c r="AV93" s="42">
        <f t="shared" ca="1" si="64"/>
        <v>78</v>
      </c>
      <c r="AX93" s="43">
        <f t="shared" ca="1" si="12"/>
        <v>0.88507194653272003</v>
      </c>
      <c r="AY93" s="8">
        <f t="shared" si="83"/>
        <v>0.94</v>
      </c>
      <c r="AZ93" s="42">
        <f t="shared" ca="1" si="65"/>
        <v>290</v>
      </c>
      <c r="BB93" s="43">
        <f t="shared" ca="1" si="13"/>
        <v>0.67258589427652893</v>
      </c>
      <c r="BC93" s="8">
        <f t="shared" si="84"/>
        <v>0.94</v>
      </c>
      <c r="BD93" s="42">
        <f t="shared" ca="1" si="66"/>
        <v>211</v>
      </c>
      <c r="BF93" s="43">
        <f t="shared" ca="1" si="14"/>
        <v>0.49223180081592799</v>
      </c>
      <c r="BG93" s="8">
        <f t="shared" si="85"/>
        <v>0.94</v>
      </c>
      <c r="BH93" s="42">
        <f t="shared" ca="1" si="67"/>
        <v>158</v>
      </c>
      <c r="BJ93" s="43">
        <f t="shared" ca="1" si="15"/>
        <v>0.66473178483595019</v>
      </c>
      <c r="BK93" s="8">
        <f t="shared" si="86"/>
        <v>0.94</v>
      </c>
      <c r="BL93" s="42">
        <f t="shared" ca="1" si="68"/>
        <v>226</v>
      </c>
      <c r="BN93" s="43">
        <f t="shared" ca="1" si="16"/>
        <v>0.38186292235206476</v>
      </c>
      <c r="BO93" s="8">
        <f t="shared" si="87"/>
        <v>0.94</v>
      </c>
      <c r="BP93" s="42">
        <f t="shared" ca="1" si="69"/>
        <v>139</v>
      </c>
      <c r="BR93" s="43">
        <f t="shared" ca="1" si="17"/>
        <v>0.2156334156606925</v>
      </c>
      <c r="BS93" s="8">
        <f t="shared" si="88"/>
        <v>0.94</v>
      </c>
      <c r="BT93" s="42">
        <f t="shared" ca="1" si="70"/>
        <v>163</v>
      </c>
    </row>
    <row r="94" spans="1:72" x14ac:dyDescent="0.2">
      <c r="A94" s="22">
        <v>44641</v>
      </c>
      <c r="B94" s="43">
        <f t="shared" ca="1" si="0"/>
        <v>0.90205833728860352</v>
      </c>
      <c r="C94" s="8">
        <f t="shared" si="71"/>
        <v>0.94</v>
      </c>
      <c r="D94" s="42">
        <f t="shared" ca="1" si="53"/>
        <v>119</v>
      </c>
      <c r="F94" s="43">
        <f t="shared" ca="1" si="1"/>
        <v>0.35825444777653259</v>
      </c>
      <c r="G94" s="8">
        <f t="shared" si="72"/>
        <v>0.94</v>
      </c>
      <c r="H94" s="42">
        <f t="shared" ca="1" si="54"/>
        <v>183</v>
      </c>
      <c r="J94" s="43">
        <f t="shared" ca="1" si="2"/>
        <v>0.23859231736037734</v>
      </c>
      <c r="K94" s="8">
        <f t="shared" si="73"/>
        <v>0.94</v>
      </c>
      <c r="L94" s="42">
        <f t="shared" ca="1" si="55"/>
        <v>115</v>
      </c>
      <c r="N94" s="43">
        <f t="shared" ca="1" si="3"/>
        <v>0.19117917166214016</v>
      </c>
      <c r="O94" s="8">
        <f t="shared" si="74"/>
        <v>0.94</v>
      </c>
      <c r="P94" s="42">
        <f t="shared" ca="1" si="56"/>
        <v>166</v>
      </c>
      <c r="R94" s="43">
        <f t="shared" ca="1" si="4"/>
        <v>0.50086748606547205</v>
      </c>
      <c r="S94" s="8">
        <f t="shared" si="75"/>
        <v>0.94</v>
      </c>
      <c r="T94" s="42">
        <f t="shared" ca="1" si="57"/>
        <v>131</v>
      </c>
      <c r="V94" s="43">
        <f t="shared" ca="1" si="5"/>
        <v>0.68046115467725099</v>
      </c>
      <c r="W94" s="8">
        <f t="shared" si="76"/>
        <v>0.94</v>
      </c>
      <c r="X94" s="42">
        <f t="shared" ca="1" si="58"/>
        <v>238</v>
      </c>
      <c r="Z94" s="43">
        <f t="shared" ca="1" si="6"/>
        <v>1.6212111030553533E-3</v>
      </c>
      <c r="AA94" s="8">
        <f t="shared" si="77"/>
        <v>0.94</v>
      </c>
      <c r="AB94" s="42">
        <f t="shared" ca="1" si="59"/>
        <v>55</v>
      </c>
      <c r="AD94" s="43">
        <f t="shared" ca="1" si="7"/>
        <v>0.814382149716674</v>
      </c>
      <c r="AE94" s="8">
        <f t="shared" si="78"/>
        <v>0.94</v>
      </c>
      <c r="AF94" s="42">
        <f t="shared" ca="1" si="60"/>
        <v>381</v>
      </c>
      <c r="AH94" s="43">
        <f t="shared" ca="1" si="8"/>
        <v>0.11016042647762703</v>
      </c>
      <c r="AI94" s="8">
        <f t="shared" si="79"/>
        <v>0.94</v>
      </c>
      <c r="AJ94" s="42">
        <f t="shared" ca="1" si="61"/>
        <v>108</v>
      </c>
      <c r="AL94" s="43">
        <f t="shared" ca="1" si="9"/>
        <v>0.37149141161320787</v>
      </c>
      <c r="AM94" s="8">
        <f t="shared" si="80"/>
        <v>0.94</v>
      </c>
      <c r="AN94" s="42">
        <f t="shared" ca="1" si="62"/>
        <v>200</v>
      </c>
      <c r="AP94" s="43">
        <f t="shared" ca="1" si="10"/>
        <v>9.1364324865197521E-2</v>
      </c>
      <c r="AQ94" s="8">
        <f t="shared" si="81"/>
        <v>0.94</v>
      </c>
      <c r="AR94" s="42">
        <f t="shared" ca="1" si="63"/>
        <v>120</v>
      </c>
      <c r="AT94" s="43">
        <f t="shared" ca="1" si="11"/>
        <v>0.28537699884583834</v>
      </c>
      <c r="AU94" s="8">
        <f t="shared" si="82"/>
        <v>0.94</v>
      </c>
      <c r="AV94" s="42">
        <f t="shared" ca="1" si="64"/>
        <v>164</v>
      </c>
      <c r="AX94" s="43">
        <f t="shared" ca="1" si="12"/>
        <v>0.92735377920657291</v>
      </c>
      <c r="AY94" s="8">
        <f t="shared" si="83"/>
        <v>0.94</v>
      </c>
      <c r="AZ94" s="42">
        <f t="shared" ca="1" si="65"/>
        <v>305</v>
      </c>
      <c r="BB94" s="43">
        <f t="shared" ca="1" si="13"/>
        <v>0.45729347748420268</v>
      </c>
      <c r="BC94" s="8">
        <f t="shared" si="84"/>
        <v>0.94</v>
      </c>
      <c r="BD94" s="42">
        <f t="shared" ca="1" si="66"/>
        <v>184</v>
      </c>
      <c r="BF94" s="43">
        <f t="shared" ca="1" si="14"/>
        <v>0.20383585010280203</v>
      </c>
      <c r="BG94" s="8">
        <f t="shared" si="85"/>
        <v>0.94</v>
      </c>
      <c r="BH94" s="42">
        <f t="shared" ca="1" si="67"/>
        <v>124</v>
      </c>
      <c r="BJ94" s="43">
        <f t="shared" ca="1" si="15"/>
        <v>0.18729242672464519</v>
      </c>
      <c r="BK94" s="8">
        <f t="shared" si="86"/>
        <v>0.94</v>
      </c>
      <c r="BL94" s="42">
        <f t="shared" ca="1" si="68"/>
        <v>155</v>
      </c>
      <c r="BN94" s="43">
        <f t="shared" ca="1" si="16"/>
        <v>0.98502833050534788</v>
      </c>
      <c r="BO94" s="8">
        <f t="shared" si="87"/>
        <v>0.94</v>
      </c>
      <c r="BP94" s="42">
        <f t="shared" ca="1" si="69"/>
        <v>239</v>
      </c>
      <c r="BR94" s="43">
        <f t="shared" ca="1" si="17"/>
        <v>0.83795244825760851</v>
      </c>
      <c r="BS94" s="8">
        <f t="shared" si="88"/>
        <v>0.94</v>
      </c>
      <c r="BT94" s="42">
        <f t="shared" ca="1" si="70"/>
        <v>261</v>
      </c>
    </row>
    <row r="95" spans="1:72" x14ac:dyDescent="0.2">
      <c r="A95" s="22">
        <v>44642</v>
      </c>
      <c r="B95" s="43">
        <f t="shared" ca="1" si="0"/>
        <v>0.39304380961116758</v>
      </c>
      <c r="C95" s="8">
        <f t="shared" si="71"/>
        <v>0.94</v>
      </c>
      <c r="D95" s="42">
        <f t="shared" ca="1" si="53"/>
        <v>89</v>
      </c>
      <c r="F95" s="43">
        <f t="shared" ca="1" si="1"/>
        <v>0.86524806262747112</v>
      </c>
      <c r="G95" s="8">
        <f t="shared" si="72"/>
        <v>0.94</v>
      </c>
      <c r="H95" s="42">
        <f t="shared" ca="1" si="54"/>
        <v>263</v>
      </c>
      <c r="J95" s="43">
        <f t="shared" ca="1" si="2"/>
        <v>0.27928782329130375</v>
      </c>
      <c r="K95" s="8">
        <f t="shared" si="73"/>
        <v>0.94</v>
      </c>
      <c r="L95" s="42">
        <f t="shared" ca="1" si="55"/>
        <v>120</v>
      </c>
      <c r="N95" s="43">
        <f t="shared" ca="1" si="3"/>
        <v>0.40241972440215135</v>
      </c>
      <c r="O95" s="8">
        <f t="shared" si="74"/>
        <v>0.94</v>
      </c>
      <c r="P95" s="42">
        <f t="shared" ca="1" si="56"/>
        <v>202</v>
      </c>
      <c r="R95" s="43">
        <f t="shared" ca="1" si="4"/>
        <v>0.47363048575770073</v>
      </c>
      <c r="S95" s="8">
        <f t="shared" si="75"/>
        <v>0.94</v>
      </c>
      <c r="T95" s="42">
        <f t="shared" ca="1" si="57"/>
        <v>129</v>
      </c>
      <c r="V95" s="43">
        <f t="shared" ca="1" si="5"/>
        <v>0.82019794240645516</v>
      </c>
      <c r="W95" s="8">
        <f t="shared" si="76"/>
        <v>0.94</v>
      </c>
      <c r="X95" s="42">
        <f t="shared" ca="1" si="58"/>
        <v>264</v>
      </c>
      <c r="Z95" s="43">
        <f t="shared" ca="1" si="6"/>
        <v>0.57668252480023652</v>
      </c>
      <c r="AA95" s="8">
        <f t="shared" si="77"/>
        <v>0.94</v>
      </c>
      <c r="AB95" s="42">
        <f t="shared" ca="1" si="59"/>
        <v>267</v>
      </c>
      <c r="AD95" s="43">
        <f t="shared" ca="1" si="7"/>
        <v>0.93763203168829712</v>
      </c>
      <c r="AE95" s="8">
        <f t="shared" si="78"/>
        <v>0.94</v>
      </c>
      <c r="AF95" s="42">
        <f t="shared" ca="1" si="60"/>
        <v>434</v>
      </c>
      <c r="AH95" s="43">
        <f t="shared" ca="1" si="8"/>
        <v>0.20107332474743733</v>
      </c>
      <c r="AI95" s="8">
        <f t="shared" si="79"/>
        <v>0.94</v>
      </c>
      <c r="AJ95" s="42">
        <f t="shared" ca="1" si="61"/>
        <v>125</v>
      </c>
      <c r="AL95" s="43">
        <f t="shared" ca="1" si="9"/>
        <v>0.90662909391940361</v>
      </c>
      <c r="AM95" s="8">
        <f t="shared" si="80"/>
        <v>0.94</v>
      </c>
      <c r="AN95" s="42">
        <f t="shared" ca="1" si="62"/>
        <v>295</v>
      </c>
      <c r="AP95" s="43">
        <f t="shared" ca="1" si="10"/>
        <v>0.12501190151518415</v>
      </c>
      <c r="AQ95" s="8">
        <f t="shared" si="81"/>
        <v>0.94</v>
      </c>
      <c r="AR95" s="42">
        <f t="shared" ca="1" si="63"/>
        <v>130</v>
      </c>
      <c r="AT95" s="43">
        <f t="shared" ca="1" si="11"/>
        <v>0.34202603405088994</v>
      </c>
      <c r="AU95" s="8">
        <f t="shared" si="82"/>
        <v>0.94</v>
      </c>
      <c r="AV95" s="42">
        <f t="shared" ca="1" si="64"/>
        <v>173</v>
      </c>
      <c r="AX95" s="43">
        <f t="shared" ca="1" si="12"/>
        <v>0.36335726889805708</v>
      </c>
      <c r="AY95" s="8">
        <f t="shared" si="83"/>
        <v>0.94</v>
      </c>
      <c r="AZ95" s="42">
        <f t="shared" ca="1" si="65"/>
        <v>200</v>
      </c>
      <c r="BB95" s="43">
        <f t="shared" ca="1" si="13"/>
        <v>0.19637072800930278</v>
      </c>
      <c r="BC95" s="8">
        <f t="shared" si="84"/>
        <v>0.94</v>
      </c>
      <c r="BD95" s="42">
        <f t="shared" ca="1" si="66"/>
        <v>146</v>
      </c>
      <c r="BF95" s="43">
        <f t="shared" ca="1" si="14"/>
        <v>0.77340350711637551</v>
      </c>
      <c r="BG95" s="8">
        <f t="shared" si="85"/>
        <v>0.94</v>
      </c>
      <c r="BH95" s="42">
        <f t="shared" ca="1" si="67"/>
        <v>191</v>
      </c>
      <c r="BJ95" s="43">
        <f t="shared" ca="1" si="15"/>
        <v>0.56885350103168175</v>
      </c>
      <c r="BK95" s="8">
        <f t="shared" si="86"/>
        <v>0.94</v>
      </c>
      <c r="BL95" s="42">
        <f t="shared" ca="1" si="68"/>
        <v>213</v>
      </c>
      <c r="BN95" s="43">
        <f t="shared" ca="1" si="16"/>
        <v>0.6664670412818795</v>
      </c>
      <c r="BO95" s="8">
        <f t="shared" si="87"/>
        <v>0.94</v>
      </c>
      <c r="BP95" s="42">
        <f t="shared" ca="1" si="69"/>
        <v>169</v>
      </c>
      <c r="BR95" s="43">
        <f t="shared" ca="1" si="17"/>
        <v>0.33141411034336121</v>
      </c>
      <c r="BS95" s="8">
        <f t="shared" si="88"/>
        <v>0.94</v>
      </c>
      <c r="BT95" s="42">
        <f t="shared" ca="1" si="70"/>
        <v>183</v>
      </c>
    </row>
    <row r="96" spans="1:72" x14ac:dyDescent="0.2">
      <c r="A96" s="22">
        <v>44643</v>
      </c>
      <c r="B96" s="43">
        <f t="shared" ca="1" si="0"/>
        <v>2.3691411269267659E-3</v>
      </c>
      <c r="C96" s="8">
        <f t="shared" si="71"/>
        <v>0.94</v>
      </c>
      <c r="D96" s="42">
        <f t="shared" ca="1" si="53"/>
        <v>41</v>
      </c>
      <c r="F96" s="43">
        <f t="shared" ca="1" si="1"/>
        <v>0.1278603863532084</v>
      </c>
      <c r="G96" s="8">
        <f t="shared" si="72"/>
        <v>0.94</v>
      </c>
      <c r="H96" s="42">
        <f t="shared" ca="1" si="54"/>
        <v>142</v>
      </c>
      <c r="J96" s="43">
        <f t="shared" ca="1" si="2"/>
        <v>0.76321237877866011</v>
      </c>
      <c r="K96" s="8">
        <f t="shared" si="73"/>
        <v>0.94</v>
      </c>
      <c r="L96" s="42">
        <f t="shared" ca="1" si="55"/>
        <v>168</v>
      </c>
      <c r="N96" s="43">
        <f t="shared" ca="1" si="3"/>
        <v>0.50972603504085567</v>
      </c>
      <c r="O96" s="8">
        <f t="shared" si="74"/>
        <v>0.94</v>
      </c>
      <c r="P96" s="42">
        <f t="shared" ca="1" si="56"/>
        <v>217</v>
      </c>
      <c r="R96" s="43">
        <f t="shared" ca="1" si="4"/>
        <v>0.46646558548827421</v>
      </c>
      <c r="S96" s="8">
        <f t="shared" si="75"/>
        <v>0.94</v>
      </c>
      <c r="T96" s="42">
        <f t="shared" ca="1" si="57"/>
        <v>128</v>
      </c>
      <c r="V96" s="43">
        <f t="shared" ca="1" si="5"/>
        <v>0.87720081485674506</v>
      </c>
      <c r="W96" s="8">
        <f t="shared" si="76"/>
        <v>0.94</v>
      </c>
      <c r="X96" s="42">
        <f t="shared" ca="1" si="58"/>
        <v>277</v>
      </c>
      <c r="Z96" s="43">
        <f t="shared" ca="1" si="6"/>
        <v>0.98146833833968583</v>
      </c>
      <c r="AA96" s="8">
        <f t="shared" si="77"/>
        <v>0.94</v>
      </c>
      <c r="AB96" s="42">
        <f t="shared" ca="1" si="59"/>
        <v>395</v>
      </c>
      <c r="AD96" s="43">
        <f t="shared" ca="1" si="7"/>
        <v>0.73884815243821089</v>
      </c>
      <c r="AE96" s="8">
        <f t="shared" si="78"/>
        <v>0.94</v>
      </c>
      <c r="AF96" s="42">
        <f t="shared" ca="1" si="60"/>
        <v>360</v>
      </c>
      <c r="AH96" s="43">
        <f t="shared" ca="1" si="8"/>
        <v>0.64177794860151094</v>
      </c>
      <c r="AI96" s="8">
        <f t="shared" si="79"/>
        <v>0.94</v>
      </c>
      <c r="AJ96" s="42">
        <f t="shared" ca="1" si="61"/>
        <v>176</v>
      </c>
      <c r="AL96" s="43">
        <f t="shared" ca="1" si="9"/>
        <v>7.6404603183283792E-2</v>
      </c>
      <c r="AM96" s="8">
        <f t="shared" si="80"/>
        <v>0.94</v>
      </c>
      <c r="AN96" s="42">
        <f t="shared" ca="1" si="62"/>
        <v>135</v>
      </c>
      <c r="AP96" s="43">
        <f t="shared" ca="1" si="10"/>
        <v>0.60229179905695873</v>
      </c>
      <c r="AQ96" s="8">
        <f t="shared" si="81"/>
        <v>0.94</v>
      </c>
      <c r="AR96" s="42">
        <f t="shared" ca="1" si="63"/>
        <v>199</v>
      </c>
      <c r="AT96" s="43">
        <f t="shared" ca="1" si="11"/>
        <v>0.52884809931430699</v>
      </c>
      <c r="AU96" s="8">
        <f t="shared" si="82"/>
        <v>0.94</v>
      </c>
      <c r="AV96" s="42">
        <f t="shared" ca="1" si="64"/>
        <v>197</v>
      </c>
      <c r="AX96" s="43">
        <f t="shared" ca="1" si="12"/>
        <v>0.89608138149282102</v>
      </c>
      <c r="AY96" s="8">
        <f t="shared" si="83"/>
        <v>0.94</v>
      </c>
      <c r="AZ96" s="42">
        <f t="shared" ca="1" si="65"/>
        <v>294</v>
      </c>
      <c r="BB96" s="43">
        <f t="shared" ca="1" si="13"/>
        <v>0.10334521315893019</v>
      </c>
      <c r="BC96" s="8">
        <f t="shared" si="84"/>
        <v>0.94</v>
      </c>
      <c r="BD96" s="42">
        <f t="shared" ca="1" si="66"/>
        <v>126</v>
      </c>
      <c r="BF96" s="43">
        <f t="shared" ca="1" si="14"/>
        <v>0.27005758967443039</v>
      </c>
      <c r="BG96" s="8">
        <f t="shared" si="85"/>
        <v>0.94</v>
      </c>
      <c r="BH96" s="42">
        <f t="shared" ca="1" si="67"/>
        <v>133</v>
      </c>
      <c r="BJ96" s="43">
        <f t="shared" ca="1" si="15"/>
        <v>0.27823078167857851</v>
      </c>
      <c r="BK96" s="8">
        <f t="shared" si="86"/>
        <v>0.94</v>
      </c>
      <c r="BL96" s="42">
        <f t="shared" ca="1" si="68"/>
        <v>171</v>
      </c>
      <c r="BN96" s="43">
        <f t="shared" ca="1" si="16"/>
        <v>0.65186151085517119</v>
      </c>
      <c r="BO96" s="8">
        <f t="shared" si="87"/>
        <v>0.94</v>
      </c>
      <c r="BP96" s="42">
        <f t="shared" ca="1" si="69"/>
        <v>167</v>
      </c>
      <c r="BR96" s="43">
        <f t="shared" ca="1" si="17"/>
        <v>0.62890433691040792</v>
      </c>
      <c r="BS96" s="8">
        <f t="shared" si="88"/>
        <v>0.94</v>
      </c>
      <c r="BT96" s="42">
        <f t="shared" ca="1" si="70"/>
        <v>225</v>
      </c>
    </row>
    <row r="97" spans="1:72" x14ac:dyDescent="0.2">
      <c r="A97" s="22">
        <v>44644</v>
      </c>
      <c r="B97" s="43">
        <f t="shared" ca="1" si="0"/>
        <v>6.7247448036086399E-2</v>
      </c>
      <c r="C97" s="8">
        <f t="shared" si="71"/>
        <v>0.94</v>
      </c>
      <c r="D97" s="42">
        <f t="shared" ca="1" si="53"/>
        <v>66</v>
      </c>
      <c r="F97" s="43">
        <f t="shared" ca="1" si="1"/>
        <v>0.49804070992759519</v>
      </c>
      <c r="G97" s="8">
        <f t="shared" si="72"/>
        <v>0.94</v>
      </c>
      <c r="H97" s="42">
        <f t="shared" ca="1" si="54"/>
        <v>203</v>
      </c>
      <c r="J97" s="43">
        <f t="shared" ca="1" si="2"/>
        <v>0.83350549663327311</v>
      </c>
      <c r="K97" s="8">
        <f t="shared" si="73"/>
        <v>0.94</v>
      </c>
      <c r="L97" s="42">
        <f t="shared" ca="1" si="55"/>
        <v>178</v>
      </c>
      <c r="N97" s="43">
        <f t="shared" ca="1" si="3"/>
        <v>0.74972955874775937</v>
      </c>
      <c r="O97" s="8">
        <f t="shared" si="74"/>
        <v>0.94</v>
      </c>
      <c r="P97" s="42">
        <f t="shared" ca="1" si="56"/>
        <v>255</v>
      </c>
      <c r="R97" s="43">
        <f t="shared" ca="1" si="4"/>
        <v>1.9399477022884581E-2</v>
      </c>
      <c r="S97" s="8">
        <f t="shared" si="75"/>
        <v>0.94</v>
      </c>
      <c r="T97" s="42">
        <f t="shared" ca="1" si="57"/>
        <v>59</v>
      </c>
      <c r="V97" s="43">
        <f t="shared" ca="1" si="5"/>
        <v>0.69584197051099717</v>
      </c>
      <c r="W97" s="8">
        <f t="shared" si="76"/>
        <v>0.94</v>
      </c>
      <c r="X97" s="42">
        <f t="shared" ca="1" si="58"/>
        <v>241</v>
      </c>
      <c r="Z97" s="43">
        <f t="shared" ca="1" si="6"/>
        <v>0.15116168808922648</v>
      </c>
      <c r="AA97" s="8">
        <f t="shared" si="77"/>
        <v>0.94</v>
      </c>
      <c r="AB97" s="42">
        <f t="shared" ca="1" si="59"/>
        <v>184</v>
      </c>
      <c r="AD97" s="43">
        <f t="shared" ca="1" si="7"/>
        <v>0.60015836917660415</v>
      </c>
      <c r="AE97" s="8">
        <f t="shared" si="78"/>
        <v>0.94</v>
      </c>
      <c r="AF97" s="42">
        <f t="shared" ca="1" si="60"/>
        <v>329</v>
      </c>
      <c r="AH97" s="43">
        <f t="shared" ca="1" si="8"/>
        <v>0.99028418062018142</v>
      </c>
      <c r="AI97" s="8">
        <f t="shared" si="79"/>
        <v>0.94</v>
      </c>
      <c r="AJ97" s="42">
        <f t="shared" ca="1" si="61"/>
        <v>261</v>
      </c>
      <c r="AL97" s="43">
        <f t="shared" ca="1" si="9"/>
        <v>3.1132013034354977E-2</v>
      </c>
      <c r="AM97" s="8">
        <f t="shared" si="80"/>
        <v>0.94</v>
      </c>
      <c r="AN97" s="42">
        <f t="shared" ca="1" si="62"/>
        <v>110</v>
      </c>
      <c r="AP97" s="43">
        <f t="shared" ca="1" si="10"/>
        <v>0.81417790174444815</v>
      </c>
      <c r="AQ97" s="8">
        <f t="shared" si="81"/>
        <v>0.94</v>
      </c>
      <c r="AR97" s="42">
        <f t="shared" ca="1" si="63"/>
        <v>231</v>
      </c>
      <c r="AT97" s="43">
        <f t="shared" ca="1" si="11"/>
        <v>3.9574842789186548E-2</v>
      </c>
      <c r="AU97" s="8">
        <f t="shared" si="82"/>
        <v>0.94</v>
      </c>
      <c r="AV97" s="42">
        <f t="shared" ca="1" si="64"/>
        <v>103</v>
      </c>
      <c r="AX97" s="43">
        <f t="shared" ca="1" si="12"/>
        <v>0.58256646405678358</v>
      </c>
      <c r="AY97" s="8">
        <f t="shared" si="83"/>
        <v>0.94</v>
      </c>
      <c r="AZ97" s="42">
        <f t="shared" ca="1" si="65"/>
        <v>232</v>
      </c>
      <c r="BB97" s="43">
        <f t="shared" ca="1" si="13"/>
        <v>7.5844632568270787E-2</v>
      </c>
      <c r="BC97" s="8">
        <f t="shared" si="84"/>
        <v>0.94</v>
      </c>
      <c r="BD97" s="42">
        <f t="shared" ca="1" si="66"/>
        <v>117</v>
      </c>
      <c r="BF97" s="43">
        <f t="shared" ca="1" si="14"/>
        <v>0.62698858585298012</v>
      </c>
      <c r="BG97" s="8">
        <f t="shared" si="85"/>
        <v>0.94</v>
      </c>
      <c r="BH97" s="42">
        <f t="shared" ca="1" si="67"/>
        <v>173</v>
      </c>
      <c r="BJ97" s="43">
        <f t="shared" ca="1" si="15"/>
        <v>0.23379380797682403</v>
      </c>
      <c r="BK97" s="8">
        <f t="shared" si="86"/>
        <v>0.94</v>
      </c>
      <c r="BL97" s="42">
        <f t="shared" ca="1" si="68"/>
        <v>164</v>
      </c>
      <c r="BN97" s="43">
        <f t="shared" ca="1" si="16"/>
        <v>0.2788326593103867</v>
      </c>
      <c r="BO97" s="8">
        <f t="shared" si="87"/>
        <v>0.94</v>
      </c>
      <c r="BP97" s="42">
        <f t="shared" ca="1" si="69"/>
        <v>128</v>
      </c>
      <c r="BR97" s="43">
        <f t="shared" ca="1" si="17"/>
        <v>0.24371164827377589</v>
      </c>
      <c r="BS97" s="8">
        <f t="shared" si="88"/>
        <v>0.94</v>
      </c>
      <c r="BT97" s="42">
        <f t="shared" ca="1" si="70"/>
        <v>168</v>
      </c>
    </row>
    <row r="98" spans="1:72" x14ac:dyDescent="0.2">
      <c r="A98" s="22">
        <v>44645</v>
      </c>
      <c r="B98" s="43">
        <f t="shared" ca="1" si="0"/>
        <v>4.944301265326223E-2</v>
      </c>
      <c r="C98" s="8">
        <f t="shared" si="71"/>
        <v>0.94</v>
      </c>
      <c r="D98" s="42">
        <f t="shared" ca="1" si="53"/>
        <v>63</v>
      </c>
      <c r="F98" s="43">
        <f t="shared" ca="1" si="1"/>
        <v>0.74442869522373489</v>
      </c>
      <c r="G98" s="8">
        <f t="shared" si="72"/>
        <v>0.94</v>
      </c>
      <c r="H98" s="42">
        <f t="shared" ca="1" si="54"/>
        <v>238</v>
      </c>
      <c r="J98" s="43">
        <f t="shared" ca="1" si="2"/>
        <v>0.13585183895189434</v>
      </c>
      <c r="K98" s="8">
        <f t="shared" si="73"/>
        <v>0.94</v>
      </c>
      <c r="L98" s="42">
        <f t="shared" ca="1" si="55"/>
        <v>100</v>
      </c>
      <c r="N98" s="43">
        <f t="shared" ca="1" si="3"/>
        <v>0.69559268993846168</v>
      </c>
      <c r="O98" s="8">
        <f t="shared" si="74"/>
        <v>0.94</v>
      </c>
      <c r="P98" s="42">
        <f t="shared" ca="1" si="56"/>
        <v>246</v>
      </c>
      <c r="R98" s="43">
        <f t="shared" ca="1" si="4"/>
        <v>0.10794089142923224</v>
      </c>
      <c r="S98" s="8">
        <f t="shared" si="75"/>
        <v>0.94</v>
      </c>
      <c r="T98" s="42">
        <f t="shared" ca="1" si="57"/>
        <v>88</v>
      </c>
      <c r="V98" s="43">
        <f t="shared" ca="1" si="5"/>
        <v>0.34597181508752739</v>
      </c>
      <c r="W98" s="8">
        <f t="shared" si="76"/>
        <v>0.94</v>
      </c>
      <c r="X98" s="42">
        <f t="shared" ca="1" si="58"/>
        <v>190</v>
      </c>
      <c r="Z98" s="43">
        <f t="shared" ca="1" si="6"/>
        <v>0.26096818292573731</v>
      </c>
      <c r="AA98" s="8">
        <f t="shared" si="77"/>
        <v>0.94</v>
      </c>
      <c r="AB98" s="42">
        <f t="shared" ca="1" si="59"/>
        <v>211</v>
      </c>
      <c r="AD98" s="43">
        <f t="shared" ca="1" si="7"/>
        <v>0.90459924033448313</v>
      </c>
      <c r="AE98" s="8">
        <f t="shared" si="78"/>
        <v>0.94</v>
      </c>
      <c r="AF98" s="42">
        <f t="shared" ca="1" si="60"/>
        <v>415</v>
      </c>
      <c r="AH98" s="43">
        <f t="shared" ca="1" si="8"/>
        <v>0.53873720636412659</v>
      </c>
      <c r="AI98" s="8">
        <f t="shared" si="79"/>
        <v>0.94</v>
      </c>
      <c r="AJ98" s="42">
        <f t="shared" ca="1" si="61"/>
        <v>165</v>
      </c>
      <c r="AL98" s="43">
        <f t="shared" ca="1" si="9"/>
        <v>0.21549733990714592</v>
      </c>
      <c r="AM98" s="8">
        <f t="shared" si="80"/>
        <v>0.94</v>
      </c>
      <c r="AN98" s="42">
        <f t="shared" ca="1" si="62"/>
        <v>173</v>
      </c>
      <c r="AP98" s="43">
        <f t="shared" ca="1" si="10"/>
        <v>0.81760405744804132</v>
      </c>
      <c r="AQ98" s="8">
        <f t="shared" si="81"/>
        <v>0.94</v>
      </c>
      <c r="AR98" s="42">
        <f t="shared" ca="1" si="63"/>
        <v>232</v>
      </c>
      <c r="AT98" s="43">
        <f t="shared" ca="1" si="11"/>
        <v>0.20421589081680114</v>
      </c>
      <c r="AU98" s="8">
        <f t="shared" si="82"/>
        <v>0.94</v>
      </c>
      <c r="AV98" s="42">
        <f t="shared" ca="1" si="64"/>
        <v>151</v>
      </c>
      <c r="AX98" s="43">
        <f t="shared" ca="1" si="12"/>
        <v>0.14998693814858954</v>
      </c>
      <c r="AY98" s="8">
        <f t="shared" si="83"/>
        <v>0.94</v>
      </c>
      <c r="AZ98" s="42">
        <f t="shared" ca="1" si="65"/>
        <v>159</v>
      </c>
      <c r="BB98" s="43">
        <f t="shared" ca="1" si="13"/>
        <v>0.75409845047633983</v>
      </c>
      <c r="BC98" s="8">
        <f t="shared" si="84"/>
        <v>0.94</v>
      </c>
      <c r="BD98" s="42">
        <f t="shared" ca="1" si="66"/>
        <v>224</v>
      </c>
      <c r="BF98" s="43">
        <f t="shared" ca="1" si="14"/>
        <v>0.84942003413219591</v>
      </c>
      <c r="BG98" s="8">
        <f t="shared" si="85"/>
        <v>0.94</v>
      </c>
      <c r="BH98" s="42">
        <f t="shared" ca="1" si="67"/>
        <v>203</v>
      </c>
      <c r="BJ98" s="43">
        <f t="shared" ca="1" si="15"/>
        <v>5.2463921841420347E-2</v>
      </c>
      <c r="BK98" s="8">
        <f t="shared" si="86"/>
        <v>0.94</v>
      </c>
      <c r="BL98" s="42">
        <f t="shared" ca="1" si="68"/>
        <v>116</v>
      </c>
      <c r="BN98" s="43">
        <f t="shared" ca="1" si="16"/>
        <v>0.75401826474550326</v>
      </c>
      <c r="BO98" s="8">
        <f t="shared" si="87"/>
        <v>0.94</v>
      </c>
      <c r="BP98" s="42">
        <f t="shared" ca="1" si="69"/>
        <v>179</v>
      </c>
      <c r="BR98" s="43">
        <f t="shared" ca="1" si="17"/>
        <v>0.46672016805274363</v>
      </c>
      <c r="BS98" s="8">
        <f t="shared" si="88"/>
        <v>0.94</v>
      </c>
      <c r="BT98" s="42">
        <f t="shared" ca="1" si="70"/>
        <v>202</v>
      </c>
    </row>
    <row r="99" spans="1:72" x14ac:dyDescent="0.2">
      <c r="A99" s="22">
        <v>44646</v>
      </c>
      <c r="B99" s="43">
        <f t="shared" ca="1" si="0"/>
        <v>0.8866025713353759</v>
      </c>
      <c r="C99" s="8">
        <f t="shared" si="71"/>
        <v>0.94</v>
      </c>
      <c r="D99" s="42">
        <f t="shared" ca="1" si="53"/>
        <v>117</v>
      </c>
      <c r="F99" s="43">
        <f t="shared" ca="1" si="1"/>
        <v>0.98247710565379032</v>
      </c>
      <c r="G99" s="8">
        <f t="shared" si="72"/>
        <v>0.94</v>
      </c>
      <c r="H99" s="42">
        <f t="shared" ca="1" si="54"/>
        <v>317</v>
      </c>
      <c r="J99" s="43">
        <f t="shared" ca="1" si="2"/>
        <v>0.17106637905809863</v>
      </c>
      <c r="K99" s="8">
        <f t="shared" si="73"/>
        <v>0.94</v>
      </c>
      <c r="L99" s="42">
        <f t="shared" ca="1" si="55"/>
        <v>106</v>
      </c>
      <c r="N99" s="43">
        <f t="shared" ca="1" si="3"/>
        <v>0.84014271738169977</v>
      </c>
      <c r="O99" s="8">
        <f t="shared" si="74"/>
        <v>0.94</v>
      </c>
      <c r="P99" s="42">
        <f t="shared" ca="1" si="56"/>
        <v>273</v>
      </c>
      <c r="R99" s="43">
        <f t="shared" ca="1" si="4"/>
        <v>0.37024556513259088</v>
      </c>
      <c r="S99" s="8">
        <f t="shared" si="75"/>
        <v>0.94</v>
      </c>
      <c r="T99" s="42">
        <f t="shared" ca="1" si="57"/>
        <v>119</v>
      </c>
      <c r="V99" s="43">
        <f t="shared" ca="1" si="5"/>
        <v>0.17255752771296551</v>
      </c>
      <c r="W99" s="8">
        <f t="shared" si="76"/>
        <v>0.94</v>
      </c>
      <c r="X99" s="42">
        <f t="shared" ca="1" si="58"/>
        <v>159</v>
      </c>
      <c r="Z99" s="43">
        <f t="shared" ca="1" si="6"/>
        <v>0.10042726889600428</v>
      </c>
      <c r="AA99" s="8">
        <f t="shared" si="77"/>
        <v>0.94</v>
      </c>
      <c r="AB99" s="42">
        <f t="shared" ca="1" si="59"/>
        <v>168</v>
      </c>
      <c r="AD99" s="43">
        <f t="shared" ca="1" si="7"/>
        <v>0.3993987326492735</v>
      </c>
      <c r="AE99" s="8">
        <f t="shared" si="78"/>
        <v>0.94</v>
      </c>
      <c r="AF99" s="42">
        <f t="shared" ca="1" si="60"/>
        <v>287</v>
      </c>
      <c r="AH99" s="43">
        <f t="shared" ca="1" si="8"/>
        <v>0.77573434179520151</v>
      </c>
      <c r="AI99" s="8">
        <f t="shared" si="79"/>
        <v>0.94</v>
      </c>
      <c r="AJ99" s="42">
        <f t="shared" ca="1" si="61"/>
        <v>193</v>
      </c>
      <c r="AL99" s="43">
        <f t="shared" ca="1" si="9"/>
        <v>0.30829804325000298</v>
      </c>
      <c r="AM99" s="8">
        <f t="shared" si="80"/>
        <v>0.94</v>
      </c>
      <c r="AN99" s="42">
        <f t="shared" ca="1" si="62"/>
        <v>190</v>
      </c>
      <c r="AP99" s="43">
        <f t="shared" ca="1" si="10"/>
        <v>0.64102343807094475</v>
      </c>
      <c r="AQ99" s="8">
        <f t="shared" si="81"/>
        <v>0.94</v>
      </c>
      <c r="AR99" s="42">
        <f t="shared" ca="1" si="63"/>
        <v>205</v>
      </c>
      <c r="AT99" s="43">
        <f t="shared" ca="1" si="11"/>
        <v>0.70013114294836798</v>
      </c>
      <c r="AU99" s="8">
        <f t="shared" si="82"/>
        <v>0.94</v>
      </c>
      <c r="AV99" s="42">
        <f t="shared" ca="1" si="64"/>
        <v>221</v>
      </c>
      <c r="AX99" s="43">
        <f t="shared" ca="1" si="12"/>
        <v>0.87912061972180922</v>
      </c>
      <c r="AY99" s="8">
        <f t="shared" si="83"/>
        <v>0.94</v>
      </c>
      <c r="AZ99" s="42">
        <f t="shared" ca="1" si="65"/>
        <v>289</v>
      </c>
      <c r="BB99" s="43">
        <f t="shared" ca="1" si="13"/>
        <v>0.4600008396096521</v>
      </c>
      <c r="BC99" s="8">
        <f t="shared" si="84"/>
        <v>0.94</v>
      </c>
      <c r="BD99" s="42">
        <f t="shared" ca="1" si="66"/>
        <v>184</v>
      </c>
      <c r="BF99" s="43">
        <f t="shared" ca="1" si="14"/>
        <v>0.74533536233174225</v>
      </c>
      <c r="BG99" s="8">
        <f t="shared" si="85"/>
        <v>0.94</v>
      </c>
      <c r="BH99" s="42">
        <f t="shared" ca="1" si="67"/>
        <v>187</v>
      </c>
      <c r="BJ99" s="43">
        <f t="shared" ca="1" si="15"/>
        <v>0.4978535233273117</v>
      </c>
      <c r="BK99" s="8">
        <f t="shared" si="86"/>
        <v>0.94</v>
      </c>
      <c r="BL99" s="42">
        <f t="shared" ca="1" si="68"/>
        <v>203</v>
      </c>
      <c r="BN99" s="43">
        <f t="shared" ca="1" si="16"/>
        <v>0.44663153380299936</v>
      </c>
      <c r="BO99" s="8">
        <f t="shared" si="87"/>
        <v>0.94</v>
      </c>
      <c r="BP99" s="42">
        <f t="shared" ca="1" si="69"/>
        <v>146</v>
      </c>
      <c r="BR99" s="43">
        <f t="shared" ca="1" si="17"/>
        <v>0.11257409900669246</v>
      </c>
      <c r="BS99" s="8">
        <f t="shared" si="88"/>
        <v>0.94</v>
      </c>
      <c r="BT99" s="42">
        <f t="shared" ca="1" si="70"/>
        <v>140</v>
      </c>
    </row>
    <row r="100" spans="1:72" x14ac:dyDescent="0.2">
      <c r="A100" s="22">
        <v>44647</v>
      </c>
      <c r="B100" s="43">
        <f t="shared" ca="1" si="0"/>
        <v>6.2765251032557146E-2</v>
      </c>
      <c r="C100" s="8">
        <f t="shared" si="71"/>
        <v>0.94</v>
      </c>
      <c r="D100" s="42">
        <f t="shared" ca="1" si="53"/>
        <v>66</v>
      </c>
      <c r="F100" s="43">
        <f t="shared" ca="1" si="1"/>
        <v>0.63931177397400618</v>
      </c>
      <c r="G100" s="8">
        <f t="shared" si="72"/>
        <v>0.94</v>
      </c>
      <c r="H100" s="42">
        <f t="shared" ca="1" si="54"/>
        <v>222</v>
      </c>
      <c r="J100" s="43">
        <f t="shared" ca="1" si="2"/>
        <v>0.61265126403936199</v>
      </c>
      <c r="K100" s="8">
        <f t="shared" si="73"/>
        <v>0.94</v>
      </c>
      <c r="L100" s="42">
        <f t="shared" ca="1" si="55"/>
        <v>152</v>
      </c>
      <c r="N100" s="43">
        <f t="shared" ca="1" si="3"/>
        <v>0.11142481575483532</v>
      </c>
      <c r="O100" s="8">
        <f t="shared" si="74"/>
        <v>0.94</v>
      </c>
      <c r="P100" s="42">
        <f t="shared" ca="1" si="56"/>
        <v>146</v>
      </c>
      <c r="R100" s="43">
        <f t="shared" ca="1" si="4"/>
        <v>0.31845197581266227</v>
      </c>
      <c r="S100" s="8">
        <f t="shared" si="75"/>
        <v>0.94</v>
      </c>
      <c r="T100" s="42">
        <f t="shared" ca="1" si="57"/>
        <v>115</v>
      </c>
      <c r="V100" s="43">
        <f t="shared" ca="1" si="5"/>
        <v>0.60476308201537565</v>
      </c>
      <c r="W100" s="8">
        <f t="shared" si="76"/>
        <v>0.94</v>
      </c>
      <c r="X100" s="42">
        <f t="shared" ca="1" si="58"/>
        <v>227</v>
      </c>
      <c r="Z100" s="43">
        <f t="shared" ca="1" si="6"/>
        <v>0.97309030174521094</v>
      </c>
      <c r="AA100" s="8">
        <f t="shared" si="77"/>
        <v>0.94</v>
      </c>
      <c r="AB100" s="42">
        <f t="shared" ca="1" si="59"/>
        <v>385</v>
      </c>
      <c r="AD100" s="43">
        <f t="shared" ca="1" si="7"/>
        <v>0.36015715484087851</v>
      </c>
      <c r="AE100" s="8">
        <f t="shared" si="78"/>
        <v>0.94</v>
      </c>
      <c r="AF100" s="42">
        <f t="shared" ca="1" si="60"/>
        <v>279</v>
      </c>
      <c r="AH100" s="43">
        <f t="shared" ca="1" si="8"/>
        <v>0.47997577979816375</v>
      </c>
      <c r="AI100" s="8">
        <f t="shared" si="79"/>
        <v>0.94</v>
      </c>
      <c r="AJ100" s="42">
        <f t="shared" ca="1" si="61"/>
        <v>159</v>
      </c>
      <c r="AL100" s="43">
        <f t="shared" ca="1" si="9"/>
        <v>0.97928867397326147</v>
      </c>
      <c r="AM100" s="8">
        <f t="shared" si="80"/>
        <v>0.94</v>
      </c>
      <c r="AN100" s="42">
        <f t="shared" ca="1" si="62"/>
        <v>337</v>
      </c>
      <c r="AP100" s="43">
        <f t="shared" ca="1" si="10"/>
        <v>4.9701411171628074E-2</v>
      </c>
      <c r="AQ100" s="8">
        <f t="shared" si="81"/>
        <v>0.94</v>
      </c>
      <c r="AR100" s="42">
        <f t="shared" ca="1" si="63"/>
        <v>105</v>
      </c>
      <c r="AT100" s="43">
        <f t="shared" ca="1" si="11"/>
        <v>0.33247234978515083</v>
      </c>
      <c r="AU100" s="8">
        <f t="shared" si="82"/>
        <v>0.94</v>
      </c>
      <c r="AV100" s="42">
        <f t="shared" ca="1" si="64"/>
        <v>171</v>
      </c>
      <c r="AX100" s="43">
        <f t="shared" ca="1" si="12"/>
        <v>2.9838008816128192E-2</v>
      </c>
      <c r="AY100" s="8">
        <f t="shared" si="83"/>
        <v>0.94</v>
      </c>
      <c r="AZ100" s="42">
        <f t="shared" ca="1" si="65"/>
        <v>110</v>
      </c>
      <c r="BB100" s="43">
        <f t="shared" ca="1" si="13"/>
        <v>0.15254629852465829</v>
      </c>
      <c r="BC100" s="8">
        <f t="shared" si="84"/>
        <v>0.94</v>
      </c>
      <c r="BD100" s="42">
        <f t="shared" ca="1" si="66"/>
        <v>137</v>
      </c>
      <c r="BF100" s="43">
        <f t="shared" ca="1" si="14"/>
        <v>0.71005722748772659</v>
      </c>
      <c r="BG100" s="8">
        <f t="shared" si="85"/>
        <v>0.94</v>
      </c>
      <c r="BH100" s="42">
        <f t="shared" ca="1" si="67"/>
        <v>182</v>
      </c>
      <c r="BJ100" s="43">
        <f t="shared" ca="1" si="15"/>
        <v>0.50575738939511827</v>
      </c>
      <c r="BK100" s="8">
        <f t="shared" si="86"/>
        <v>0.94</v>
      </c>
      <c r="BL100" s="42">
        <f t="shared" ca="1" si="68"/>
        <v>204</v>
      </c>
      <c r="BN100" s="43">
        <f t="shared" ca="1" si="16"/>
        <v>0.84420598659956769</v>
      </c>
      <c r="BO100" s="8">
        <f t="shared" si="87"/>
        <v>0.94</v>
      </c>
      <c r="BP100" s="42">
        <f t="shared" ca="1" si="69"/>
        <v>192</v>
      </c>
      <c r="BR100" s="43">
        <f t="shared" ca="1" si="17"/>
        <v>0.51276672603204276</v>
      </c>
      <c r="BS100" s="8">
        <f t="shared" si="88"/>
        <v>0.94</v>
      </c>
      <c r="BT100" s="42">
        <f t="shared" ca="1" si="70"/>
        <v>208</v>
      </c>
    </row>
    <row r="101" spans="1:72" x14ac:dyDescent="0.2">
      <c r="A101" s="22">
        <v>44648</v>
      </c>
      <c r="B101" s="43">
        <f t="shared" ca="1" si="0"/>
        <v>0.9629937880308771</v>
      </c>
      <c r="C101" s="8">
        <f t="shared" si="71"/>
        <v>0.94</v>
      </c>
      <c r="D101" s="42">
        <f t="shared" ca="1" si="53"/>
        <v>128</v>
      </c>
      <c r="F101" s="43">
        <f t="shared" ca="1" si="1"/>
        <v>0.54626687552819608</v>
      </c>
      <c r="G101" s="8">
        <f t="shared" si="72"/>
        <v>0.94</v>
      </c>
      <c r="H101" s="42">
        <f t="shared" ca="1" si="54"/>
        <v>209</v>
      </c>
      <c r="J101" s="43">
        <f t="shared" ca="1" si="2"/>
        <v>3.2244087298250124E-2</v>
      </c>
      <c r="K101" s="8">
        <f t="shared" si="73"/>
        <v>0.94</v>
      </c>
      <c r="L101" s="42">
        <f t="shared" ca="1" si="55"/>
        <v>72</v>
      </c>
      <c r="N101" s="43">
        <f t="shared" ca="1" si="3"/>
        <v>0.43501120909747737</v>
      </c>
      <c r="O101" s="8">
        <f t="shared" si="74"/>
        <v>0.94</v>
      </c>
      <c r="P101" s="42">
        <f t="shared" ca="1" si="56"/>
        <v>207</v>
      </c>
      <c r="R101" s="43">
        <f t="shared" ca="1" si="4"/>
        <v>0.46255106069749863</v>
      </c>
      <c r="S101" s="8">
        <f t="shared" si="75"/>
        <v>0.94</v>
      </c>
      <c r="T101" s="42">
        <f t="shared" ca="1" si="57"/>
        <v>128</v>
      </c>
      <c r="V101" s="43">
        <f t="shared" ca="1" si="5"/>
        <v>0.4560413890323769</v>
      </c>
      <c r="W101" s="8">
        <f t="shared" si="76"/>
        <v>0.94</v>
      </c>
      <c r="X101" s="42">
        <f t="shared" ca="1" si="58"/>
        <v>206</v>
      </c>
      <c r="Z101" s="43">
        <f t="shared" ca="1" si="6"/>
        <v>0.61830599866572045</v>
      </c>
      <c r="AA101" s="8">
        <f t="shared" si="77"/>
        <v>0.94</v>
      </c>
      <c r="AB101" s="42">
        <f t="shared" ca="1" si="59"/>
        <v>275</v>
      </c>
      <c r="AD101" s="43">
        <f t="shared" ca="1" si="7"/>
        <v>0.90012301642201054</v>
      </c>
      <c r="AE101" s="8">
        <f t="shared" si="78"/>
        <v>0.94</v>
      </c>
      <c r="AF101" s="42">
        <f t="shared" ca="1" si="60"/>
        <v>413</v>
      </c>
      <c r="AH101" s="43">
        <f t="shared" ca="1" si="8"/>
        <v>0.58921724514221618</v>
      </c>
      <c r="AI101" s="8">
        <f t="shared" si="79"/>
        <v>0.94</v>
      </c>
      <c r="AJ101" s="42">
        <f t="shared" ca="1" si="61"/>
        <v>170</v>
      </c>
      <c r="AL101" s="43">
        <f t="shared" ca="1" si="9"/>
        <v>0.49279393921971848</v>
      </c>
      <c r="AM101" s="8">
        <f t="shared" si="80"/>
        <v>0.94</v>
      </c>
      <c r="AN101" s="42">
        <f t="shared" ca="1" si="62"/>
        <v>218</v>
      </c>
      <c r="AP101" s="43">
        <f t="shared" ca="1" si="10"/>
        <v>7.5692045184343471E-3</v>
      </c>
      <c r="AQ101" s="8">
        <f t="shared" si="81"/>
        <v>0.94</v>
      </c>
      <c r="AR101" s="42">
        <f t="shared" ca="1" si="63"/>
        <v>66</v>
      </c>
      <c r="AT101" s="43">
        <f t="shared" ca="1" si="11"/>
        <v>0.87004126165111639</v>
      </c>
      <c r="AU101" s="8">
        <f t="shared" si="82"/>
        <v>0.94</v>
      </c>
      <c r="AV101" s="42">
        <f t="shared" ca="1" si="64"/>
        <v>252</v>
      </c>
      <c r="AX101" s="43">
        <f t="shared" ca="1" si="12"/>
        <v>0.63717552214241457</v>
      </c>
      <c r="AY101" s="8">
        <f t="shared" si="83"/>
        <v>0.94</v>
      </c>
      <c r="AZ101" s="42">
        <f t="shared" ca="1" si="65"/>
        <v>241</v>
      </c>
      <c r="BB101" s="43">
        <f t="shared" ca="1" si="13"/>
        <v>0.48747295902937493</v>
      </c>
      <c r="BC101" s="8">
        <f t="shared" si="84"/>
        <v>0.94</v>
      </c>
      <c r="BD101" s="42">
        <f t="shared" ca="1" si="66"/>
        <v>187</v>
      </c>
      <c r="BF101" s="43">
        <f t="shared" ca="1" si="14"/>
        <v>0.2418945697605045</v>
      </c>
      <c r="BG101" s="8">
        <f t="shared" si="85"/>
        <v>0.94</v>
      </c>
      <c r="BH101" s="42">
        <f t="shared" ca="1" si="67"/>
        <v>129</v>
      </c>
      <c r="BJ101" s="43">
        <f t="shared" ca="1" si="15"/>
        <v>0.5005402424345573</v>
      </c>
      <c r="BK101" s="8">
        <f t="shared" si="86"/>
        <v>0.94</v>
      </c>
      <c r="BL101" s="42">
        <f t="shared" ca="1" si="68"/>
        <v>203</v>
      </c>
      <c r="BN101" s="43">
        <f t="shared" ca="1" si="16"/>
        <v>0.3269115107505467</v>
      </c>
      <c r="BO101" s="8">
        <f t="shared" si="87"/>
        <v>0.94</v>
      </c>
      <c r="BP101" s="42">
        <f t="shared" ca="1" si="69"/>
        <v>133</v>
      </c>
      <c r="BR101" s="43">
        <f t="shared" ca="1" si="17"/>
        <v>0.8500028315662056</v>
      </c>
      <c r="BS101" s="8">
        <f t="shared" si="88"/>
        <v>0.94</v>
      </c>
      <c r="BT101" s="42">
        <f t="shared" ca="1" si="70"/>
        <v>264</v>
      </c>
    </row>
    <row r="102" spans="1:72" x14ac:dyDescent="0.2">
      <c r="A102" s="22">
        <v>44649</v>
      </c>
      <c r="B102" s="43">
        <f t="shared" ca="1" si="0"/>
        <v>0.35535107968490443</v>
      </c>
      <c r="C102" s="8">
        <f t="shared" si="71"/>
        <v>0.94</v>
      </c>
      <c r="D102" s="42">
        <f t="shared" ca="1" si="53"/>
        <v>88</v>
      </c>
      <c r="F102" s="43">
        <f t="shared" ca="1" si="1"/>
        <v>0.50371971896874701</v>
      </c>
      <c r="G102" s="8">
        <f t="shared" si="72"/>
        <v>0.94</v>
      </c>
      <c r="H102" s="42">
        <f t="shared" ca="1" si="54"/>
        <v>203</v>
      </c>
      <c r="J102" s="43">
        <f t="shared" ca="1" si="2"/>
        <v>0.53928429287288893</v>
      </c>
      <c r="K102" s="8">
        <f t="shared" si="73"/>
        <v>0.94</v>
      </c>
      <c r="L102" s="42">
        <f t="shared" ca="1" si="55"/>
        <v>145</v>
      </c>
      <c r="N102" s="43">
        <f t="shared" ca="1" si="3"/>
        <v>0.87083432045439046</v>
      </c>
      <c r="O102" s="8">
        <f t="shared" si="74"/>
        <v>0.94</v>
      </c>
      <c r="P102" s="42">
        <f t="shared" ca="1" si="56"/>
        <v>281</v>
      </c>
      <c r="R102" s="43">
        <f t="shared" ca="1" si="4"/>
        <v>2.5704493033978815E-2</v>
      </c>
      <c r="S102" s="8">
        <f t="shared" si="75"/>
        <v>0.94</v>
      </c>
      <c r="T102" s="42">
        <f t="shared" ca="1" si="57"/>
        <v>63</v>
      </c>
      <c r="V102" s="43">
        <f t="shared" ca="1" si="5"/>
        <v>0.32329581952113429</v>
      </c>
      <c r="W102" s="8">
        <f t="shared" si="76"/>
        <v>0.94</v>
      </c>
      <c r="X102" s="42">
        <f t="shared" ca="1" si="58"/>
        <v>186</v>
      </c>
      <c r="Z102" s="43">
        <f t="shared" ca="1" si="6"/>
        <v>0.23303243920719752</v>
      </c>
      <c r="AA102" s="8">
        <f t="shared" si="77"/>
        <v>0.94</v>
      </c>
      <c r="AB102" s="42">
        <f t="shared" ca="1" si="59"/>
        <v>205</v>
      </c>
      <c r="AD102" s="43">
        <f t="shared" ca="1" si="7"/>
        <v>0.70105012838141734</v>
      </c>
      <c r="AE102" s="8">
        <f t="shared" si="78"/>
        <v>0.94</v>
      </c>
      <c r="AF102" s="42">
        <f t="shared" ca="1" si="60"/>
        <v>351</v>
      </c>
      <c r="AH102" s="43">
        <f t="shared" ca="1" si="8"/>
        <v>9.2849112537996992E-2</v>
      </c>
      <c r="AI102" s="8">
        <f t="shared" si="79"/>
        <v>0.94</v>
      </c>
      <c r="AJ102" s="42">
        <f t="shared" ca="1" si="61"/>
        <v>104</v>
      </c>
      <c r="AL102" s="43">
        <f t="shared" ca="1" si="9"/>
        <v>0.79123223247305541</v>
      </c>
      <c r="AM102" s="8">
        <f t="shared" si="80"/>
        <v>0.94</v>
      </c>
      <c r="AN102" s="42">
        <f t="shared" ca="1" si="62"/>
        <v>266</v>
      </c>
      <c r="AP102" s="43">
        <f t="shared" ca="1" si="10"/>
        <v>0.98999950077831123</v>
      </c>
      <c r="AQ102" s="8">
        <f t="shared" si="81"/>
        <v>0.94</v>
      </c>
      <c r="AR102" s="42">
        <f t="shared" ca="1" si="63"/>
        <v>302</v>
      </c>
      <c r="AT102" s="43">
        <f t="shared" ca="1" si="11"/>
        <v>0.29584993135395121</v>
      </c>
      <c r="AU102" s="8">
        <f t="shared" si="82"/>
        <v>0.94</v>
      </c>
      <c r="AV102" s="42">
        <f t="shared" ca="1" si="64"/>
        <v>166</v>
      </c>
      <c r="AX102" s="43">
        <f t="shared" ca="1" si="12"/>
        <v>0.76225347686385692</v>
      </c>
      <c r="AY102" s="8">
        <f t="shared" si="83"/>
        <v>0.94</v>
      </c>
      <c r="AZ102" s="42">
        <f t="shared" ca="1" si="65"/>
        <v>262</v>
      </c>
      <c r="BB102" s="43">
        <f t="shared" ca="1" si="13"/>
        <v>0.93902770832346338</v>
      </c>
      <c r="BC102" s="8">
        <f t="shared" si="84"/>
        <v>0.94</v>
      </c>
      <c r="BD102" s="42">
        <f t="shared" ca="1" si="66"/>
        <v>267</v>
      </c>
      <c r="BF102" s="43">
        <f t="shared" ca="1" si="14"/>
        <v>0.75199829460427114</v>
      </c>
      <c r="BG102" s="8">
        <f t="shared" si="85"/>
        <v>0.94</v>
      </c>
      <c r="BH102" s="42">
        <f t="shared" ca="1" si="67"/>
        <v>188</v>
      </c>
      <c r="BJ102" s="43">
        <f t="shared" ca="1" si="15"/>
        <v>0.71925890059432751</v>
      </c>
      <c r="BK102" s="8">
        <f t="shared" si="86"/>
        <v>0.94</v>
      </c>
      <c r="BL102" s="42">
        <f t="shared" ca="1" si="68"/>
        <v>235</v>
      </c>
      <c r="BN102" s="43">
        <f t="shared" ca="1" si="16"/>
        <v>0.38351904143333537</v>
      </c>
      <c r="BO102" s="8">
        <f t="shared" si="87"/>
        <v>0.94</v>
      </c>
      <c r="BP102" s="42">
        <f t="shared" ca="1" si="69"/>
        <v>140</v>
      </c>
      <c r="BR102" s="43">
        <f t="shared" ca="1" si="17"/>
        <v>0.67438516352123212</v>
      </c>
      <c r="BS102" s="8">
        <f t="shared" si="88"/>
        <v>0.94</v>
      </c>
      <c r="BT102" s="42">
        <f t="shared" ca="1" si="70"/>
        <v>231</v>
      </c>
    </row>
    <row r="103" spans="1:72" x14ac:dyDescent="0.2">
      <c r="A103" s="22">
        <v>44650</v>
      </c>
      <c r="B103" s="43">
        <f t="shared" ca="1" si="0"/>
        <v>0.27284386927595772</v>
      </c>
      <c r="C103" s="8">
        <f t="shared" si="71"/>
        <v>0.94</v>
      </c>
      <c r="D103" s="42">
        <f t="shared" ca="1" si="53"/>
        <v>83</v>
      </c>
      <c r="F103" s="43">
        <f t="shared" ca="1" si="1"/>
        <v>0.88744224986755305</v>
      </c>
      <c r="G103" s="8">
        <f t="shared" si="72"/>
        <v>0.94</v>
      </c>
      <c r="H103" s="42">
        <f t="shared" ca="1" si="54"/>
        <v>268</v>
      </c>
      <c r="J103" s="43">
        <f t="shared" ca="1" si="2"/>
        <v>0.98560751608603092</v>
      </c>
      <c r="K103" s="8">
        <f t="shared" si="73"/>
        <v>0.94</v>
      </c>
      <c r="L103" s="42">
        <f t="shared" ca="1" si="55"/>
        <v>224</v>
      </c>
      <c r="N103" s="43">
        <f t="shared" ca="1" si="3"/>
        <v>0.41349248307852926</v>
      </c>
      <c r="O103" s="8">
        <f t="shared" si="74"/>
        <v>0.94</v>
      </c>
      <c r="P103" s="42">
        <f t="shared" ca="1" si="56"/>
        <v>204</v>
      </c>
      <c r="R103" s="43">
        <f t="shared" ca="1" si="4"/>
        <v>0.43469310562310881</v>
      </c>
      <c r="S103" s="8">
        <f t="shared" si="75"/>
        <v>0.94</v>
      </c>
      <c r="T103" s="42">
        <f t="shared" ca="1" si="57"/>
        <v>125</v>
      </c>
      <c r="V103" s="43">
        <f t="shared" ca="1" si="5"/>
        <v>0.27273744781644738</v>
      </c>
      <c r="W103" s="8">
        <f t="shared" si="76"/>
        <v>0.94</v>
      </c>
      <c r="X103" s="42">
        <f t="shared" ca="1" si="58"/>
        <v>178</v>
      </c>
      <c r="Z103" s="43">
        <f t="shared" ca="1" si="6"/>
        <v>0.67338502404825606</v>
      </c>
      <c r="AA103" s="8">
        <f t="shared" si="77"/>
        <v>0.94</v>
      </c>
      <c r="AB103" s="42">
        <f t="shared" ca="1" si="59"/>
        <v>285</v>
      </c>
      <c r="AD103" s="43">
        <f t="shared" ca="1" si="7"/>
        <v>0.95860391121690214</v>
      </c>
      <c r="AE103" s="8">
        <f t="shared" si="78"/>
        <v>0.94</v>
      </c>
      <c r="AF103" s="42">
        <f t="shared" ca="1" si="60"/>
        <v>450</v>
      </c>
      <c r="AH103" s="43">
        <f t="shared" ca="1" si="8"/>
        <v>0.13379258586296039</v>
      </c>
      <c r="AI103" s="8">
        <f t="shared" si="79"/>
        <v>0.94</v>
      </c>
      <c r="AJ103" s="42">
        <f t="shared" ca="1" si="61"/>
        <v>113</v>
      </c>
      <c r="AL103" s="43">
        <f t="shared" ca="1" si="9"/>
        <v>0.53721356431509337</v>
      </c>
      <c r="AM103" s="8">
        <f t="shared" si="80"/>
        <v>0.94</v>
      </c>
      <c r="AN103" s="42">
        <f t="shared" ca="1" si="62"/>
        <v>224</v>
      </c>
      <c r="AP103" s="43">
        <f t="shared" ca="1" si="10"/>
        <v>0.48476071037375579</v>
      </c>
      <c r="AQ103" s="8">
        <f t="shared" si="81"/>
        <v>0.94</v>
      </c>
      <c r="AR103" s="42">
        <f t="shared" ca="1" si="63"/>
        <v>185</v>
      </c>
      <c r="AT103" s="43">
        <f t="shared" ca="1" si="11"/>
        <v>0.2577574017859402</v>
      </c>
      <c r="AU103" s="8">
        <f t="shared" si="82"/>
        <v>0.94</v>
      </c>
      <c r="AV103" s="42">
        <f t="shared" ca="1" si="64"/>
        <v>160</v>
      </c>
      <c r="AX103" s="43">
        <f t="shared" ca="1" si="12"/>
        <v>0.27184808866052468</v>
      </c>
      <c r="AY103" s="8">
        <f t="shared" si="83"/>
        <v>0.94</v>
      </c>
      <c r="AZ103" s="42">
        <f t="shared" ca="1" si="65"/>
        <v>184</v>
      </c>
      <c r="BB103" s="43">
        <f t="shared" ca="1" si="13"/>
        <v>0.78031569983679794</v>
      </c>
      <c r="BC103" s="8">
        <f t="shared" si="84"/>
        <v>0.94</v>
      </c>
      <c r="BD103" s="42">
        <f t="shared" ca="1" si="66"/>
        <v>228</v>
      </c>
      <c r="BF103" s="43">
        <f t="shared" ca="1" si="14"/>
        <v>0.8292745871351912</v>
      </c>
      <c r="BG103" s="8">
        <f t="shared" si="85"/>
        <v>0.94</v>
      </c>
      <c r="BH103" s="42">
        <f t="shared" ca="1" si="67"/>
        <v>199</v>
      </c>
      <c r="BJ103" s="43">
        <f t="shared" ca="1" si="15"/>
        <v>0.75056432188263544</v>
      </c>
      <c r="BK103" s="8">
        <f t="shared" si="86"/>
        <v>0.94</v>
      </c>
      <c r="BL103" s="42">
        <f t="shared" ca="1" si="68"/>
        <v>240</v>
      </c>
      <c r="BN103" s="43">
        <f t="shared" ca="1" si="16"/>
        <v>0.72328152289776981</v>
      </c>
      <c r="BO103" s="8">
        <f t="shared" si="87"/>
        <v>0.94</v>
      </c>
      <c r="BP103" s="42">
        <f t="shared" ca="1" si="69"/>
        <v>175</v>
      </c>
      <c r="BR103" s="43">
        <f t="shared" ca="1" si="17"/>
        <v>0.72474586099189309</v>
      </c>
      <c r="BS103" s="8">
        <f t="shared" si="88"/>
        <v>0.94</v>
      </c>
      <c r="BT103" s="42">
        <f t="shared" ca="1" si="70"/>
        <v>239</v>
      </c>
    </row>
    <row r="104" spans="1:72" x14ac:dyDescent="0.2">
      <c r="A104" s="22">
        <v>44651</v>
      </c>
      <c r="B104" s="43">
        <f t="shared" ca="1" si="0"/>
        <v>0.78728943222944703</v>
      </c>
      <c r="C104" s="8">
        <f t="shared" si="71"/>
        <v>0.94</v>
      </c>
      <c r="D104" s="42">
        <f t="shared" ca="1" si="53"/>
        <v>109</v>
      </c>
      <c r="F104" s="43">
        <f t="shared" ca="1" si="1"/>
        <v>0.22194755284701073</v>
      </c>
      <c r="G104" s="8">
        <f t="shared" si="72"/>
        <v>0.94</v>
      </c>
      <c r="H104" s="42">
        <f t="shared" ca="1" si="54"/>
        <v>162</v>
      </c>
      <c r="J104" s="43">
        <f t="shared" ca="1" si="2"/>
        <v>0.96948541441556857</v>
      </c>
      <c r="K104" s="8">
        <f t="shared" si="73"/>
        <v>0.94</v>
      </c>
      <c r="L104" s="42">
        <f t="shared" ca="1" si="55"/>
        <v>212</v>
      </c>
      <c r="N104" s="43">
        <f t="shared" ca="1" si="3"/>
        <v>0.15787312490377037</v>
      </c>
      <c r="O104" s="8">
        <f t="shared" si="74"/>
        <v>0.94</v>
      </c>
      <c r="P104" s="42">
        <f t="shared" ca="1" si="56"/>
        <v>158</v>
      </c>
      <c r="R104" s="43">
        <f t="shared" ca="1" si="4"/>
        <v>0.11637977494180274</v>
      </c>
      <c r="S104" s="8">
        <f t="shared" si="75"/>
        <v>0.94</v>
      </c>
      <c r="T104" s="42">
        <f t="shared" ca="1" si="57"/>
        <v>89</v>
      </c>
      <c r="V104" s="43">
        <f t="shared" ca="1" si="5"/>
        <v>8.2526287800313014E-3</v>
      </c>
      <c r="W104" s="8">
        <f t="shared" si="76"/>
        <v>0.94</v>
      </c>
      <c r="X104" s="42">
        <f t="shared" ca="1" si="58"/>
        <v>77</v>
      </c>
      <c r="Z104" s="43">
        <f t="shared" ca="1" si="6"/>
        <v>0.91381244837604647</v>
      </c>
      <c r="AA104" s="8">
        <f t="shared" si="77"/>
        <v>0.94</v>
      </c>
      <c r="AB104" s="42">
        <f t="shared" ca="1" si="59"/>
        <v>347</v>
      </c>
      <c r="AD104" s="43">
        <f t="shared" ca="1" si="7"/>
        <v>0.4726935450433859</v>
      </c>
      <c r="AE104" s="8">
        <f t="shared" si="78"/>
        <v>0.94</v>
      </c>
      <c r="AF104" s="42">
        <f t="shared" ca="1" si="60"/>
        <v>302</v>
      </c>
      <c r="AH104" s="43">
        <f t="shared" ca="1" si="8"/>
        <v>0.42030009339898999</v>
      </c>
      <c r="AI104" s="8">
        <f t="shared" si="79"/>
        <v>0.94</v>
      </c>
      <c r="AJ104" s="42">
        <f t="shared" ca="1" si="61"/>
        <v>152</v>
      </c>
      <c r="AL104" s="43">
        <f t="shared" ca="1" si="9"/>
        <v>0.49359080597093474</v>
      </c>
      <c r="AM104" s="8">
        <f t="shared" si="80"/>
        <v>0.94</v>
      </c>
      <c r="AN104" s="42">
        <f t="shared" ca="1" si="62"/>
        <v>218</v>
      </c>
      <c r="AP104" s="43">
        <f t="shared" ca="1" si="10"/>
        <v>0.76408812167390272</v>
      </c>
      <c r="AQ104" s="8">
        <f t="shared" si="81"/>
        <v>0.94</v>
      </c>
      <c r="AR104" s="42">
        <f t="shared" ca="1" si="63"/>
        <v>222</v>
      </c>
      <c r="AT104" s="43">
        <f t="shared" ca="1" si="11"/>
        <v>0.58186046313479078</v>
      </c>
      <c r="AU104" s="8">
        <f t="shared" si="82"/>
        <v>0.94</v>
      </c>
      <c r="AV104" s="42">
        <f t="shared" ca="1" si="64"/>
        <v>204</v>
      </c>
      <c r="AX104" s="43">
        <f t="shared" ca="1" si="12"/>
        <v>0.29216204217076391</v>
      </c>
      <c r="AY104" s="8">
        <f t="shared" si="83"/>
        <v>0.94</v>
      </c>
      <c r="AZ104" s="42">
        <f t="shared" ca="1" si="65"/>
        <v>188</v>
      </c>
      <c r="BB104" s="43">
        <f t="shared" ca="1" si="13"/>
        <v>0.45435483932633536</v>
      </c>
      <c r="BC104" s="8">
        <f t="shared" si="84"/>
        <v>0.94</v>
      </c>
      <c r="BD104" s="42">
        <f t="shared" ca="1" si="66"/>
        <v>183</v>
      </c>
      <c r="BF104" s="43">
        <f t="shared" ca="1" si="14"/>
        <v>0.69451550960799802</v>
      </c>
      <c r="BG104" s="8">
        <f t="shared" si="85"/>
        <v>0.94</v>
      </c>
      <c r="BH104" s="42">
        <f t="shared" ca="1" si="67"/>
        <v>180</v>
      </c>
      <c r="BJ104" s="43">
        <f t="shared" ca="1" si="15"/>
        <v>0.38382015409747694</v>
      </c>
      <c r="BK104" s="8">
        <f t="shared" si="86"/>
        <v>0.94</v>
      </c>
      <c r="BL104" s="42">
        <f t="shared" ca="1" si="68"/>
        <v>187</v>
      </c>
      <c r="BN104" s="43">
        <f t="shared" ca="1" si="16"/>
        <v>0.86928333333935537</v>
      </c>
      <c r="BO104" s="8">
        <f t="shared" si="87"/>
        <v>0.94</v>
      </c>
      <c r="BP104" s="42">
        <f t="shared" ca="1" si="69"/>
        <v>197</v>
      </c>
      <c r="BR104" s="43">
        <f t="shared" ca="1" si="17"/>
        <v>0.98113731189026054</v>
      </c>
      <c r="BS104" s="8">
        <f t="shared" si="88"/>
        <v>0.94</v>
      </c>
      <c r="BT104" s="42">
        <f t="shared" ca="1" si="70"/>
        <v>321</v>
      </c>
    </row>
    <row r="105" spans="1:72" x14ac:dyDescent="0.2">
      <c r="A105" s="22">
        <v>44652</v>
      </c>
      <c r="B105" s="43">
        <f t="shared" ca="1" si="0"/>
        <v>0.60923780752113066</v>
      </c>
      <c r="C105" s="8">
        <f>1-(0.06 + 0.2)</f>
        <v>0.74</v>
      </c>
      <c r="D105" s="42">
        <f t="shared" ca="1" si="53"/>
        <v>79</v>
      </c>
      <c r="F105" s="43">
        <f t="shared" ca="1" si="1"/>
        <v>0.42538421194952492</v>
      </c>
      <c r="G105" s="8">
        <f>1-(0.06 + 0.2)</f>
        <v>0.74</v>
      </c>
      <c r="H105" s="42">
        <f t="shared" ca="1" si="54"/>
        <v>152</v>
      </c>
      <c r="J105" s="43">
        <f t="shared" ca="1" si="2"/>
        <v>0.39197402497836453</v>
      </c>
      <c r="K105" s="8">
        <f>1-(0.06 + 0.2)</f>
        <v>0.74</v>
      </c>
      <c r="L105" s="42">
        <f t="shared" ca="1" si="55"/>
        <v>103</v>
      </c>
      <c r="N105" s="43">
        <f t="shared" ca="1" si="3"/>
        <v>4.5561606762428375E-2</v>
      </c>
      <c r="O105" s="8">
        <f>1-(0.06 + 0.2)</f>
        <v>0.74</v>
      </c>
      <c r="P105" s="42">
        <f t="shared" ca="1" si="56"/>
        <v>94</v>
      </c>
      <c r="R105" s="43">
        <f t="shared" ca="1" si="4"/>
        <v>0.72047310288402322</v>
      </c>
      <c r="S105" s="8">
        <f>1-(0.06 + 0.2)</f>
        <v>0.74</v>
      </c>
      <c r="T105" s="42">
        <f t="shared" ca="1" si="57"/>
        <v>119</v>
      </c>
      <c r="V105" s="43">
        <f t="shared" ca="1" si="5"/>
        <v>0.95934075631969795</v>
      </c>
      <c r="W105" s="8">
        <f>1-(0.06 + 0.2)</f>
        <v>0.74</v>
      </c>
      <c r="X105" s="42">
        <f t="shared" ca="1" si="58"/>
        <v>244</v>
      </c>
      <c r="Z105" s="43">
        <f t="shared" ca="1" si="6"/>
        <v>0.15417436117306527</v>
      </c>
      <c r="AA105" s="8">
        <f>1-(0.06 + 0.2)</f>
        <v>0.74</v>
      </c>
      <c r="AB105" s="42">
        <f t="shared" ca="1" si="59"/>
        <v>146</v>
      </c>
      <c r="AD105" s="43">
        <f t="shared" ca="1" si="7"/>
        <v>0.62381336313189673</v>
      </c>
      <c r="AE105" s="8">
        <f>1-(0.06 + 0.2)</f>
        <v>0.74</v>
      </c>
      <c r="AF105" s="42">
        <f t="shared" ca="1" si="60"/>
        <v>263</v>
      </c>
      <c r="AH105" s="43">
        <f t="shared" ca="1" si="8"/>
        <v>0.21046975845140636</v>
      </c>
      <c r="AI105" s="8">
        <f>1-(0.06 + 0.2)</f>
        <v>0.74</v>
      </c>
      <c r="AJ105" s="42">
        <f t="shared" ca="1" si="61"/>
        <v>100</v>
      </c>
      <c r="AL105" s="43">
        <f t="shared" ca="1" si="9"/>
        <v>0.22829101843538613</v>
      </c>
      <c r="AM105" s="8">
        <f>1-(0.06 + 0.2)</f>
        <v>0.74</v>
      </c>
      <c r="AN105" s="42">
        <f t="shared" ca="1" si="62"/>
        <v>138</v>
      </c>
      <c r="AP105" s="43">
        <f t="shared" ca="1" si="10"/>
        <v>0.93232051624243395</v>
      </c>
      <c r="AQ105" s="8">
        <f>1-(0.06 + 0.2)</f>
        <v>0.74</v>
      </c>
      <c r="AR105" s="42">
        <f t="shared" ca="1" si="63"/>
        <v>205</v>
      </c>
      <c r="AT105" s="43">
        <f t="shared" ca="1" si="11"/>
        <v>0.63126344394380474</v>
      </c>
      <c r="AU105" s="8">
        <f>1-(0.06 + 0.2)</f>
        <v>0.74</v>
      </c>
      <c r="AV105" s="42">
        <f t="shared" ca="1" si="64"/>
        <v>166</v>
      </c>
      <c r="AX105" s="43">
        <f t="shared" ca="1" si="12"/>
        <v>0.82758613682150028</v>
      </c>
      <c r="AY105" s="8">
        <f>1-(0.06 + 0.2)</f>
        <v>0.74</v>
      </c>
      <c r="AZ105" s="42">
        <f t="shared" ca="1" si="65"/>
        <v>217</v>
      </c>
      <c r="BB105" s="43">
        <f t="shared" ca="1" si="13"/>
        <v>0.12576132860715739</v>
      </c>
      <c r="BC105" s="8">
        <f>1-(0.06 + 0.2)</f>
        <v>0.74</v>
      </c>
      <c r="BD105" s="42">
        <f t="shared" ca="1" si="66"/>
        <v>104</v>
      </c>
      <c r="BF105" s="43">
        <f t="shared" ca="1" si="14"/>
        <v>0.17849252160045181</v>
      </c>
      <c r="BG105" s="8">
        <f>1-(0.06 + 0.2)</f>
        <v>0.74</v>
      </c>
      <c r="BH105" s="42">
        <f t="shared" ca="1" si="67"/>
        <v>95</v>
      </c>
      <c r="BJ105" s="43">
        <f t="shared" ca="1" si="15"/>
        <v>0.23188794501643695</v>
      </c>
      <c r="BK105" s="8">
        <f>1-(0.06 + 0.2)</f>
        <v>0.74</v>
      </c>
      <c r="BL105" s="42">
        <f t="shared" ca="1" si="68"/>
        <v>129</v>
      </c>
      <c r="BN105" s="43">
        <f t="shared" ca="1" si="16"/>
        <v>1.2285926081496923E-2</v>
      </c>
      <c r="BO105" s="8">
        <f>1-(0.06 + 0.2)</f>
        <v>0.74</v>
      </c>
      <c r="BP105" s="42">
        <f t="shared" ca="1" si="69"/>
        <v>48</v>
      </c>
      <c r="BR105" s="43">
        <f t="shared" ca="1" si="17"/>
        <v>0.30199615584945749</v>
      </c>
      <c r="BS105" s="8">
        <f>1-(0.06 + 0.2)</f>
        <v>0.74</v>
      </c>
      <c r="BT105" s="42">
        <f t="shared" ca="1" si="70"/>
        <v>140</v>
      </c>
    </row>
    <row r="106" spans="1:72" x14ac:dyDescent="0.2">
      <c r="A106" s="22">
        <v>44653</v>
      </c>
      <c r="B106" s="43">
        <f t="shared" ca="1" si="0"/>
        <v>1.814459806506552E-2</v>
      </c>
      <c r="C106" s="8">
        <f t="shared" ref="C106:C169" si="89">1-(0.06 + 0.2)</f>
        <v>0.74</v>
      </c>
      <c r="D106" s="42">
        <f t="shared" ca="1" si="53"/>
        <v>44</v>
      </c>
      <c r="F106" s="43">
        <f t="shared" ca="1" si="1"/>
        <v>0.3584507846318713</v>
      </c>
      <c r="G106" s="8">
        <f t="shared" ref="G106:G169" si="90">1-(0.06 + 0.2)</f>
        <v>0.74</v>
      </c>
      <c r="H106" s="42">
        <f t="shared" ca="1" si="54"/>
        <v>144</v>
      </c>
      <c r="J106" s="43">
        <f t="shared" ca="1" si="2"/>
        <v>0.95923490659683619</v>
      </c>
      <c r="K106" s="8">
        <f t="shared" ref="K106:K169" si="91">1-(0.06 + 0.2)</f>
        <v>0.74</v>
      </c>
      <c r="L106" s="42">
        <f t="shared" ca="1" si="55"/>
        <v>163</v>
      </c>
      <c r="N106" s="43">
        <f t="shared" ca="1" si="3"/>
        <v>0.11598919853502543</v>
      </c>
      <c r="O106" s="8">
        <f t="shared" ref="O106:O169" si="92">1-(0.06 + 0.2)</f>
        <v>0.74</v>
      </c>
      <c r="P106" s="42">
        <f t="shared" ca="1" si="56"/>
        <v>116</v>
      </c>
      <c r="R106" s="43">
        <f t="shared" ca="1" si="4"/>
        <v>0.14665547882168095</v>
      </c>
      <c r="S106" s="8">
        <f t="shared" ref="S106:S169" si="93">1-(0.06 + 0.2)</f>
        <v>0.74</v>
      </c>
      <c r="T106" s="42">
        <f t="shared" ca="1" si="57"/>
        <v>74</v>
      </c>
      <c r="V106" s="43">
        <f t="shared" ca="1" si="5"/>
        <v>0.83117664927506107</v>
      </c>
      <c r="W106" s="8">
        <f t="shared" ref="W106:W169" si="94">1-(0.06 + 0.2)</f>
        <v>0.74</v>
      </c>
      <c r="X106" s="42">
        <f t="shared" ca="1" si="58"/>
        <v>210</v>
      </c>
      <c r="Z106" s="43">
        <f t="shared" ca="1" si="6"/>
        <v>0.8444502886196994</v>
      </c>
      <c r="AA106" s="8">
        <f t="shared" ref="AA106:AA169" si="95">1-(0.06 + 0.2)</f>
        <v>0.74</v>
      </c>
      <c r="AB106" s="42">
        <f t="shared" ca="1" si="59"/>
        <v>254</v>
      </c>
      <c r="AD106" s="43">
        <f t="shared" ca="1" si="7"/>
        <v>0.41972422076427374</v>
      </c>
      <c r="AE106" s="8">
        <f t="shared" ref="AE106:AE169" si="96">1-(0.06 + 0.2)</f>
        <v>0.74</v>
      </c>
      <c r="AF106" s="42">
        <f t="shared" ca="1" si="60"/>
        <v>229</v>
      </c>
      <c r="AH106" s="43">
        <f t="shared" ca="1" si="8"/>
        <v>0.21766668535594558</v>
      </c>
      <c r="AI106" s="8">
        <f t="shared" ref="AI106:AI169" si="97">1-(0.06 + 0.2)</f>
        <v>0.74</v>
      </c>
      <c r="AJ106" s="42">
        <f t="shared" ca="1" si="61"/>
        <v>100</v>
      </c>
      <c r="AL106" s="43">
        <f t="shared" ca="1" si="9"/>
        <v>0.18002806481834754</v>
      </c>
      <c r="AM106" s="8">
        <f t="shared" ref="AM106:AM169" si="98">1-(0.06 + 0.2)</f>
        <v>0.74</v>
      </c>
      <c r="AN106" s="42">
        <f t="shared" ca="1" si="62"/>
        <v>130</v>
      </c>
      <c r="AP106" s="43">
        <f t="shared" ca="1" si="10"/>
        <v>0.88022491296509053</v>
      </c>
      <c r="AQ106" s="8">
        <f t="shared" ref="AQ106:AQ169" si="99">1-(0.06 + 0.2)</f>
        <v>0.74</v>
      </c>
      <c r="AR106" s="42">
        <f t="shared" ca="1" si="63"/>
        <v>193</v>
      </c>
      <c r="AT106" s="43">
        <f t="shared" ca="1" si="11"/>
        <v>0.59592579723927208</v>
      </c>
      <c r="AU106" s="8">
        <f t="shared" ref="AU106:AU169" si="100">1-(0.06 + 0.2)</f>
        <v>0.74</v>
      </c>
      <c r="AV106" s="42">
        <f t="shared" ca="1" si="64"/>
        <v>162</v>
      </c>
      <c r="AX106" s="43">
        <f t="shared" ca="1" si="12"/>
        <v>0.72107614943609011</v>
      </c>
      <c r="AY106" s="8">
        <f t="shared" ref="AY106:AY169" si="101">1-(0.06 + 0.2)</f>
        <v>0.74</v>
      </c>
      <c r="AZ106" s="42">
        <f t="shared" ca="1" si="65"/>
        <v>200</v>
      </c>
      <c r="BB106" s="43">
        <f t="shared" ca="1" si="13"/>
        <v>4.2909011899465055E-2</v>
      </c>
      <c r="BC106" s="8">
        <f t="shared" ref="BC106:BC169" si="102">1-(0.06 + 0.2)</f>
        <v>0.74</v>
      </c>
      <c r="BD106" s="42">
        <f t="shared" ca="1" si="66"/>
        <v>81</v>
      </c>
      <c r="BF106" s="43">
        <f t="shared" ca="1" si="14"/>
        <v>0.47061611668677505</v>
      </c>
      <c r="BG106" s="8">
        <f t="shared" ref="BG106:BG169" si="103">1-(0.06 + 0.2)</f>
        <v>0.74</v>
      </c>
      <c r="BH106" s="42">
        <f t="shared" ca="1" si="67"/>
        <v>123</v>
      </c>
      <c r="BJ106" s="43">
        <f t="shared" ca="1" si="15"/>
        <v>3.8026568484987866E-2</v>
      </c>
      <c r="BK106" s="8">
        <f t="shared" ref="BK106:BK169" si="104">1-(0.06 + 0.2)</f>
        <v>0.74</v>
      </c>
      <c r="BL106" s="42">
        <f t="shared" ca="1" si="68"/>
        <v>85</v>
      </c>
      <c r="BN106" s="43">
        <f t="shared" ca="1" si="16"/>
        <v>0.62906699244588382</v>
      </c>
      <c r="BO106" s="8">
        <f t="shared" ref="BO106:BO169" si="105">1-(0.06 + 0.2)</f>
        <v>0.74</v>
      </c>
      <c r="BP106" s="42">
        <f t="shared" ca="1" si="69"/>
        <v>130</v>
      </c>
      <c r="BR106" s="43">
        <f t="shared" ca="1" si="17"/>
        <v>0.58032897338455125</v>
      </c>
      <c r="BS106" s="8">
        <f t="shared" ref="BS106:BS169" si="106">1-(0.06 + 0.2)</f>
        <v>0.74</v>
      </c>
      <c r="BT106" s="42">
        <f t="shared" ca="1" si="70"/>
        <v>172</v>
      </c>
    </row>
    <row r="107" spans="1:72" x14ac:dyDescent="0.2">
      <c r="A107" s="22">
        <v>44654</v>
      </c>
      <c r="B107" s="43">
        <f t="shared" ca="1" si="0"/>
        <v>5.891991183665668E-2</v>
      </c>
      <c r="C107" s="8">
        <f t="shared" si="89"/>
        <v>0.74</v>
      </c>
      <c r="D107" s="42">
        <f t="shared" ca="1" si="53"/>
        <v>51</v>
      </c>
      <c r="F107" s="43">
        <f t="shared" ca="1" si="1"/>
        <v>0.66873811936860006</v>
      </c>
      <c r="G107" s="8">
        <f t="shared" si="90"/>
        <v>0.74</v>
      </c>
      <c r="H107" s="42">
        <f t="shared" ca="1" si="54"/>
        <v>178</v>
      </c>
      <c r="J107" s="43">
        <f t="shared" ca="1" si="2"/>
        <v>0.56844287636140223</v>
      </c>
      <c r="K107" s="8">
        <f t="shared" si="91"/>
        <v>0.74</v>
      </c>
      <c r="L107" s="42">
        <f t="shared" ca="1" si="55"/>
        <v>117</v>
      </c>
      <c r="N107" s="43">
        <f t="shared" ca="1" si="3"/>
        <v>0.74735214513976933</v>
      </c>
      <c r="O107" s="8">
        <f t="shared" si="92"/>
        <v>0.74</v>
      </c>
      <c r="P107" s="42">
        <f t="shared" ca="1" si="56"/>
        <v>200</v>
      </c>
      <c r="R107" s="43">
        <f t="shared" ca="1" si="4"/>
        <v>0.28312650305365672</v>
      </c>
      <c r="S107" s="8">
        <f t="shared" si="93"/>
        <v>0.74</v>
      </c>
      <c r="T107" s="42">
        <f t="shared" ca="1" si="57"/>
        <v>87</v>
      </c>
      <c r="V107" s="43">
        <f t="shared" ca="1" si="5"/>
        <v>0.90086742848772783</v>
      </c>
      <c r="W107" s="8">
        <f t="shared" si="94"/>
        <v>0.74</v>
      </c>
      <c r="X107" s="42">
        <f t="shared" ca="1" si="58"/>
        <v>224</v>
      </c>
      <c r="Z107" s="43">
        <f t="shared" ca="1" si="6"/>
        <v>0.76689147162060356</v>
      </c>
      <c r="AA107" s="8">
        <f t="shared" si="95"/>
        <v>0.74</v>
      </c>
      <c r="AB107" s="42">
        <f t="shared" ca="1" si="59"/>
        <v>239</v>
      </c>
      <c r="AD107" s="43">
        <f t="shared" ca="1" si="7"/>
        <v>0.88196034511690302</v>
      </c>
      <c r="AE107" s="8">
        <f t="shared" si="96"/>
        <v>0.74</v>
      </c>
      <c r="AF107" s="42">
        <f t="shared" ca="1" si="60"/>
        <v>319</v>
      </c>
      <c r="AH107" s="43">
        <f t="shared" ca="1" si="8"/>
        <v>0.80890146940969232</v>
      </c>
      <c r="AI107" s="8">
        <f t="shared" si="97"/>
        <v>0.74</v>
      </c>
      <c r="AJ107" s="42">
        <f t="shared" ca="1" si="61"/>
        <v>156</v>
      </c>
      <c r="AL107" s="43">
        <f t="shared" ca="1" si="9"/>
        <v>0.43862045320934795</v>
      </c>
      <c r="AM107" s="8">
        <f t="shared" si="98"/>
        <v>0.74</v>
      </c>
      <c r="AN107" s="42">
        <f t="shared" ca="1" si="62"/>
        <v>165</v>
      </c>
      <c r="AP107" s="43">
        <f t="shared" ca="1" si="10"/>
        <v>0.87096178298440752</v>
      </c>
      <c r="AQ107" s="8">
        <f t="shared" si="99"/>
        <v>0.74</v>
      </c>
      <c r="AR107" s="42">
        <f t="shared" ca="1" si="63"/>
        <v>191</v>
      </c>
      <c r="AT107" s="43">
        <f t="shared" ca="1" si="11"/>
        <v>0.73882632337101506</v>
      </c>
      <c r="AU107" s="8">
        <f t="shared" si="100"/>
        <v>0.74</v>
      </c>
      <c r="AV107" s="42">
        <f t="shared" ca="1" si="64"/>
        <v>179</v>
      </c>
      <c r="AX107" s="43">
        <f t="shared" ca="1" si="12"/>
        <v>0.62251853057543882</v>
      </c>
      <c r="AY107" s="8">
        <f t="shared" si="101"/>
        <v>0.74</v>
      </c>
      <c r="AZ107" s="42">
        <f t="shared" ca="1" si="65"/>
        <v>188</v>
      </c>
      <c r="BB107" s="43">
        <f t="shared" ca="1" si="13"/>
        <v>0.92255159779987705</v>
      </c>
      <c r="BC107" s="8">
        <f t="shared" si="102"/>
        <v>0.74</v>
      </c>
      <c r="BD107" s="42">
        <f t="shared" ca="1" si="66"/>
        <v>205</v>
      </c>
      <c r="BF107" s="43">
        <f t="shared" ca="1" si="14"/>
        <v>0.56818204979801634</v>
      </c>
      <c r="BG107" s="8">
        <f t="shared" si="103"/>
        <v>0.74</v>
      </c>
      <c r="BH107" s="42">
        <f t="shared" ca="1" si="67"/>
        <v>131</v>
      </c>
      <c r="BJ107" s="43">
        <f t="shared" ca="1" si="15"/>
        <v>0.58514735558417108</v>
      </c>
      <c r="BK107" s="8">
        <f t="shared" si="104"/>
        <v>0.74</v>
      </c>
      <c r="BL107" s="42">
        <f t="shared" ca="1" si="68"/>
        <v>169</v>
      </c>
      <c r="BN107" s="43">
        <f t="shared" ca="1" si="16"/>
        <v>0.42023432050862308</v>
      </c>
      <c r="BO107" s="8">
        <f t="shared" si="105"/>
        <v>0.74</v>
      </c>
      <c r="BP107" s="42">
        <f t="shared" ca="1" si="69"/>
        <v>113</v>
      </c>
      <c r="BR107" s="43">
        <f t="shared" ca="1" si="17"/>
        <v>0.81360896712904018</v>
      </c>
      <c r="BS107" s="8">
        <f t="shared" si="106"/>
        <v>0.74</v>
      </c>
      <c r="BT107" s="42">
        <f t="shared" ca="1" si="70"/>
        <v>201</v>
      </c>
    </row>
    <row r="108" spans="1:72" x14ac:dyDescent="0.2">
      <c r="A108" s="22">
        <v>44655</v>
      </c>
      <c r="B108" s="43">
        <f t="shared" ca="1" si="0"/>
        <v>0.96345860584236886</v>
      </c>
      <c r="C108" s="8">
        <f t="shared" si="89"/>
        <v>0.74</v>
      </c>
      <c r="D108" s="42">
        <f t="shared" ca="1" si="53"/>
        <v>101</v>
      </c>
      <c r="F108" s="43">
        <f t="shared" ca="1" si="1"/>
        <v>0.22234340111083917</v>
      </c>
      <c r="G108" s="8">
        <f t="shared" si="90"/>
        <v>0.74</v>
      </c>
      <c r="H108" s="42">
        <f t="shared" ca="1" si="54"/>
        <v>127</v>
      </c>
      <c r="J108" s="43">
        <f t="shared" ca="1" si="2"/>
        <v>0.74680096098383342</v>
      </c>
      <c r="K108" s="8">
        <f t="shared" si="91"/>
        <v>0.74</v>
      </c>
      <c r="L108" s="42">
        <f t="shared" ca="1" si="55"/>
        <v>131</v>
      </c>
      <c r="N108" s="43">
        <f t="shared" ca="1" si="3"/>
        <v>0.56722988937033791</v>
      </c>
      <c r="O108" s="8">
        <f t="shared" si="92"/>
        <v>0.74</v>
      </c>
      <c r="P108" s="42">
        <f t="shared" ca="1" si="56"/>
        <v>178</v>
      </c>
      <c r="R108" s="43">
        <f t="shared" ca="1" si="4"/>
        <v>0.97608251966875303</v>
      </c>
      <c r="S108" s="8">
        <f t="shared" si="93"/>
        <v>0.74</v>
      </c>
      <c r="T108" s="42">
        <f t="shared" ca="1" si="57"/>
        <v>157</v>
      </c>
      <c r="V108" s="43">
        <f t="shared" ca="1" si="5"/>
        <v>0.20585972187092016</v>
      </c>
      <c r="W108" s="8">
        <f t="shared" si="94"/>
        <v>0.74</v>
      </c>
      <c r="X108" s="42">
        <f t="shared" ca="1" si="58"/>
        <v>131</v>
      </c>
      <c r="Z108" s="43">
        <f t="shared" ca="1" si="6"/>
        <v>0.65317518802477148</v>
      </c>
      <c r="AA108" s="8">
        <f t="shared" si="95"/>
        <v>0.74</v>
      </c>
      <c r="AB108" s="42">
        <f t="shared" ca="1" si="59"/>
        <v>221</v>
      </c>
      <c r="AD108" s="43">
        <f t="shared" ca="1" si="7"/>
        <v>0.38306712462816883</v>
      </c>
      <c r="AE108" s="8">
        <f t="shared" si="96"/>
        <v>0.74</v>
      </c>
      <c r="AF108" s="42">
        <f t="shared" ca="1" si="60"/>
        <v>223</v>
      </c>
      <c r="AH108" s="43">
        <f t="shared" ca="1" si="8"/>
        <v>0.19177982065627308</v>
      </c>
      <c r="AI108" s="8">
        <f t="shared" si="97"/>
        <v>0.74</v>
      </c>
      <c r="AJ108" s="42">
        <f t="shared" ca="1" si="61"/>
        <v>97</v>
      </c>
      <c r="AL108" s="43">
        <f t="shared" ca="1" si="9"/>
        <v>0.6821915082055221</v>
      </c>
      <c r="AM108" s="8">
        <f t="shared" si="98"/>
        <v>0.74</v>
      </c>
      <c r="AN108" s="42">
        <f t="shared" ca="1" si="62"/>
        <v>194</v>
      </c>
      <c r="AP108" s="43">
        <f t="shared" ca="1" si="10"/>
        <v>6.1247512790786773E-2</v>
      </c>
      <c r="AQ108" s="8">
        <f t="shared" si="99"/>
        <v>0.74</v>
      </c>
      <c r="AR108" s="42">
        <f t="shared" ca="1" si="63"/>
        <v>87</v>
      </c>
      <c r="AT108" s="43">
        <f t="shared" ca="1" si="11"/>
        <v>0.17263071877818059</v>
      </c>
      <c r="AU108" s="8">
        <f t="shared" si="100"/>
        <v>0.74</v>
      </c>
      <c r="AV108" s="42">
        <f t="shared" ca="1" si="64"/>
        <v>114</v>
      </c>
      <c r="AX108" s="43">
        <f t="shared" ca="1" si="12"/>
        <v>0.6196953059060657</v>
      </c>
      <c r="AY108" s="8">
        <f t="shared" si="101"/>
        <v>0.74</v>
      </c>
      <c r="AZ108" s="42">
        <f t="shared" ca="1" si="65"/>
        <v>187</v>
      </c>
      <c r="BB108" s="43">
        <f t="shared" ca="1" si="13"/>
        <v>0.27285491331391176</v>
      </c>
      <c r="BC108" s="8">
        <f t="shared" si="102"/>
        <v>0.74</v>
      </c>
      <c r="BD108" s="42">
        <f t="shared" ca="1" si="66"/>
        <v>125</v>
      </c>
      <c r="BF108" s="43">
        <f t="shared" ca="1" si="14"/>
        <v>0.7434137884059453</v>
      </c>
      <c r="BG108" s="8">
        <f t="shared" si="103"/>
        <v>0.74</v>
      </c>
      <c r="BH108" s="42">
        <f t="shared" ca="1" si="67"/>
        <v>147</v>
      </c>
      <c r="BJ108" s="43">
        <f t="shared" ca="1" si="15"/>
        <v>0.63010516717441745</v>
      </c>
      <c r="BK108" s="8">
        <f t="shared" si="104"/>
        <v>0.74</v>
      </c>
      <c r="BL108" s="42">
        <f t="shared" ca="1" si="68"/>
        <v>174</v>
      </c>
      <c r="BN108" s="43">
        <f t="shared" ca="1" si="16"/>
        <v>0.27658450136427493</v>
      </c>
      <c r="BO108" s="8">
        <f t="shared" si="105"/>
        <v>0.74</v>
      </c>
      <c r="BP108" s="42">
        <f t="shared" ca="1" si="69"/>
        <v>101</v>
      </c>
      <c r="BR108" s="43">
        <f t="shared" ca="1" si="17"/>
        <v>0.5414478367496095</v>
      </c>
      <c r="BS108" s="8">
        <f t="shared" si="106"/>
        <v>0.74</v>
      </c>
      <c r="BT108" s="42">
        <f t="shared" ca="1" si="70"/>
        <v>167</v>
      </c>
    </row>
    <row r="109" spans="1:72" x14ac:dyDescent="0.2">
      <c r="A109" s="22">
        <v>44656</v>
      </c>
      <c r="B109" s="43">
        <f t="shared" ca="1" si="0"/>
        <v>0.89870961104265112</v>
      </c>
      <c r="C109" s="8">
        <f t="shared" si="89"/>
        <v>0.74</v>
      </c>
      <c r="D109" s="42">
        <f t="shared" ca="1" si="53"/>
        <v>93</v>
      </c>
      <c r="F109" s="43">
        <f t="shared" ca="1" si="1"/>
        <v>8.1958700874739776E-2</v>
      </c>
      <c r="G109" s="8">
        <f t="shared" si="90"/>
        <v>0.74</v>
      </c>
      <c r="H109" s="42">
        <f t="shared" ca="1" si="54"/>
        <v>101</v>
      </c>
      <c r="J109" s="43">
        <f t="shared" ca="1" si="2"/>
        <v>0.3558673213829644</v>
      </c>
      <c r="K109" s="8">
        <f t="shared" si="91"/>
        <v>0.74</v>
      </c>
      <c r="L109" s="42">
        <f t="shared" ca="1" si="55"/>
        <v>101</v>
      </c>
      <c r="N109" s="43">
        <f t="shared" ca="1" si="3"/>
        <v>0.14001083995246333</v>
      </c>
      <c r="O109" s="8">
        <f t="shared" si="92"/>
        <v>0.74</v>
      </c>
      <c r="P109" s="42">
        <f t="shared" ca="1" si="56"/>
        <v>121</v>
      </c>
      <c r="R109" s="43">
        <f t="shared" ca="1" si="4"/>
        <v>0.60661195292386982</v>
      </c>
      <c r="S109" s="8">
        <f t="shared" si="93"/>
        <v>0.74</v>
      </c>
      <c r="T109" s="42">
        <f t="shared" ca="1" si="57"/>
        <v>111</v>
      </c>
      <c r="V109" s="43">
        <f t="shared" ca="1" si="5"/>
        <v>0.8623939892778264</v>
      </c>
      <c r="W109" s="8">
        <f t="shared" si="94"/>
        <v>0.74</v>
      </c>
      <c r="X109" s="42">
        <f t="shared" ca="1" si="58"/>
        <v>215</v>
      </c>
      <c r="Z109" s="43">
        <f t="shared" ca="1" si="6"/>
        <v>0.19894311448873259</v>
      </c>
      <c r="AA109" s="8">
        <f t="shared" si="95"/>
        <v>0.74</v>
      </c>
      <c r="AB109" s="42">
        <f t="shared" ca="1" si="59"/>
        <v>155</v>
      </c>
      <c r="AD109" s="43">
        <f t="shared" ca="1" si="7"/>
        <v>0.51928589561868399</v>
      </c>
      <c r="AE109" s="8">
        <f t="shared" si="96"/>
        <v>0.74</v>
      </c>
      <c r="AF109" s="42">
        <f t="shared" ca="1" si="60"/>
        <v>246</v>
      </c>
      <c r="AH109" s="43">
        <f t="shared" ca="1" si="8"/>
        <v>0.11442688562344339</v>
      </c>
      <c r="AI109" s="8">
        <f t="shared" si="97"/>
        <v>0.74</v>
      </c>
      <c r="AJ109" s="42">
        <f t="shared" ca="1" si="61"/>
        <v>86</v>
      </c>
      <c r="AL109" s="43">
        <f t="shared" ca="1" si="9"/>
        <v>0.24917242054776634</v>
      </c>
      <c r="AM109" s="8">
        <f t="shared" si="98"/>
        <v>0.74</v>
      </c>
      <c r="AN109" s="42">
        <f t="shared" ca="1" si="62"/>
        <v>141</v>
      </c>
      <c r="AP109" s="43">
        <f t="shared" ca="1" si="10"/>
        <v>0.30075688528429345</v>
      </c>
      <c r="AQ109" s="8">
        <f t="shared" si="99"/>
        <v>0.74</v>
      </c>
      <c r="AR109" s="42">
        <f t="shared" ca="1" si="63"/>
        <v>127</v>
      </c>
      <c r="AT109" s="43">
        <f t="shared" ca="1" si="11"/>
        <v>6.4720449185589057E-3</v>
      </c>
      <c r="AU109" s="8">
        <f t="shared" si="100"/>
        <v>0.74</v>
      </c>
      <c r="AV109" s="42">
        <f t="shared" ca="1" si="64"/>
        <v>52</v>
      </c>
      <c r="AX109" s="43">
        <f t="shared" ca="1" si="12"/>
        <v>0.44070526581259184</v>
      </c>
      <c r="AY109" s="8">
        <f t="shared" si="101"/>
        <v>0.74</v>
      </c>
      <c r="AZ109" s="42">
        <f t="shared" ca="1" si="65"/>
        <v>166</v>
      </c>
      <c r="BB109" s="43">
        <f t="shared" ca="1" si="13"/>
        <v>4.041832382531918E-2</v>
      </c>
      <c r="BC109" s="8">
        <f t="shared" si="102"/>
        <v>0.74</v>
      </c>
      <c r="BD109" s="42">
        <f t="shared" ca="1" si="66"/>
        <v>80</v>
      </c>
      <c r="BF109" s="43">
        <f t="shared" ca="1" si="14"/>
        <v>0.53823429879107787</v>
      </c>
      <c r="BG109" s="8">
        <f t="shared" si="103"/>
        <v>0.74</v>
      </c>
      <c r="BH109" s="42">
        <f t="shared" ca="1" si="67"/>
        <v>128</v>
      </c>
      <c r="BJ109" s="43">
        <f t="shared" ca="1" si="15"/>
        <v>0.79070821754404608</v>
      </c>
      <c r="BK109" s="8">
        <f t="shared" si="104"/>
        <v>0.74</v>
      </c>
      <c r="BL109" s="42">
        <f t="shared" ca="1" si="68"/>
        <v>195</v>
      </c>
      <c r="BN109" s="43">
        <f t="shared" ca="1" si="16"/>
        <v>4.0048951402487876E-2</v>
      </c>
      <c r="BO109" s="8">
        <f t="shared" si="105"/>
        <v>0.74</v>
      </c>
      <c r="BP109" s="42">
        <f t="shared" ca="1" si="69"/>
        <v>64</v>
      </c>
      <c r="BR109" s="43">
        <f t="shared" ca="1" si="17"/>
        <v>0.97134781598395359</v>
      </c>
      <c r="BS109" s="8">
        <f t="shared" si="106"/>
        <v>0.74</v>
      </c>
      <c r="BT109" s="42">
        <f t="shared" ca="1" si="70"/>
        <v>245</v>
      </c>
    </row>
    <row r="110" spans="1:72" x14ac:dyDescent="0.2">
      <c r="A110" s="22">
        <v>44657</v>
      </c>
      <c r="B110" s="43">
        <f t="shared" ca="1" si="0"/>
        <v>2.8390553301994359E-2</v>
      </c>
      <c r="C110" s="8">
        <f t="shared" si="89"/>
        <v>0.74</v>
      </c>
      <c r="D110" s="42">
        <f t="shared" ca="1" si="53"/>
        <v>46</v>
      </c>
      <c r="F110" s="43">
        <f t="shared" ca="1" si="1"/>
        <v>5.9782279214572354E-2</v>
      </c>
      <c r="G110" s="8">
        <f t="shared" si="90"/>
        <v>0.74</v>
      </c>
      <c r="H110" s="42">
        <f t="shared" ca="1" si="54"/>
        <v>94</v>
      </c>
      <c r="J110" s="43">
        <f t="shared" ca="1" si="2"/>
        <v>7.1534017354761947E-2</v>
      </c>
      <c r="K110" s="8">
        <f t="shared" si="91"/>
        <v>0.74</v>
      </c>
      <c r="L110" s="42">
        <f t="shared" ca="1" si="55"/>
        <v>68</v>
      </c>
      <c r="N110" s="43">
        <f t="shared" ca="1" si="3"/>
        <v>0.97695688193712327</v>
      </c>
      <c r="O110" s="8">
        <f t="shared" si="92"/>
        <v>0.74</v>
      </c>
      <c r="P110" s="42">
        <f t="shared" ca="1" si="56"/>
        <v>260</v>
      </c>
      <c r="R110" s="43">
        <f t="shared" ca="1" si="4"/>
        <v>7.5817648730868603E-2</v>
      </c>
      <c r="S110" s="8">
        <f t="shared" si="93"/>
        <v>0.74</v>
      </c>
      <c r="T110" s="42">
        <f t="shared" ca="1" si="57"/>
        <v>64</v>
      </c>
      <c r="V110" s="43">
        <f t="shared" ca="1" si="5"/>
        <v>0.65061466610211782</v>
      </c>
      <c r="W110" s="8">
        <f t="shared" si="94"/>
        <v>0.74</v>
      </c>
      <c r="X110" s="42">
        <f t="shared" ca="1" si="58"/>
        <v>184</v>
      </c>
      <c r="Z110" s="43">
        <f t="shared" ca="1" si="6"/>
        <v>0.59206039662067744</v>
      </c>
      <c r="AA110" s="8">
        <f t="shared" si="95"/>
        <v>0.74</v>
      </c>
      <c r="AB110" s="42">
        <f t="shared" ca="1" si="59"/>
        <v>213</v>
      </c>
      <c r="AD110" s="43">
        <f t="shared" ca="1" si="7"/>
        <v>0.92549668665344498</v>
      </c>
      <c r="AE110" s="8">
        <f t="shared" si="96"/>
        <v>0.74</v>
      </c>
      <c r="AF110" s="42">
        <f t="shared" ca="1" si="60"/>
        <v>336</v>
      </c>
      <c r="AH110" s="43">
        <f t="shared" ca="1" si="8"/>
        <v>4.1872311568176279E-3</v>
      </c>
      <c r="AI110" s="8">
        <f t="shared" si="97"/>
        <v>0.74</v>
      </c>
      <c r="AJ110" s="42">
        <f t="shared" ca="1" si="61"/>
        <v>38</v>
      </c>
      <c r="AL110" s="43">
        <f t="shared" ca="1" si="9"/>
        <v>0.61289036228004212</v>
      </c>
      <c r="AM110" s="8">
        <f t="shared" si="98"/>
        <v>0.74</v>
      </c>
      <c r="AN110" s="42">
        <f t="shared" ca="1" si="62"/>
        <v>185</v>
      </c>
      <c r="AP110" s="43">
        <f t="shared" ca="1" si="10"/>
        <v>0.93209139991417433</v>
      </c>
      <c r="AQ110" s="8">
        <f t="shared" si="99"/>
        <v>0.74</v>
      </c>
      <c r="AR110" s="42">
        <f t="shared" ca="1" si="63"/>
        <v>205</v>
      </c>
      <c r="AT110" s="43">
        <f t="shared" ca="1" si="11"/>
        <v>4.1260261996012182E-2</v>
      </c>
      <c r="AU110" s="8">
        <f t="shared" si="100"/>
        <v>0.74</v>
      </c>
      <c r="AV110" s="42">
        <f t="shared" ca="1" si="64"/>
        <v>82</v>
      </c>
      <c r="AX110" s="43">
        <f t="shared" ca="1" si="12"/>
        <v>0.22918054695717704</v>
      </c>
      <c r="AY110" s="8">
        <f t="shared" si="101"/>
        <v>0.74</v>
      </c>
      <c r="AZ110" s="42">
        <f t="shared" ca="1" si="65"/>
        <v>139</v>
      </c>
      <c r="BB110" s="43">
        <f t="shared" ca="1" si="13"/>
        <v>0.81262518556093699</v>
      </c>
      <c r="BC110" s="8">
        <f t="shared" si="102"/>
        <v>0.74</v>
      </c>
      <c r="BD110" s="42">
        <f t="shared" ca="1" si="66"/>
        <v>184</v>
      </c>
      <c r="BF110" s="43">
        <f t="shared" ca="1" si="14"/>
        <v>0.66553177625079074</v>
      </c>
      <c r="BG110" s="8">
        <f t="shared" si="103"/>
        <v>0.74</v>
      </c>
      <c r="BH110" s="42">
        <f t="shared" ca="1" si="67"/>
        <v>139</v>
      </c>
      <c r="BJ110" s="43">
        <f t="shared" ca="1" si="15"/>
        <v>0.37240240632728183</v>
      </c>
      <c r="BK110" s="8">
        <f t="shared" si="104"/>
        <v>0.74</v>
      </c>
      <c r="BL110" s="42">
        <f t="shared" ca="1" si="68"/>
        <v>146</v>
      </c>
      <c r="BN110" s="43">
        <f t="shared" ca="1" si="16"/>
        <v>0.49467390759588226</v>
      </c>
      <c r="BO110" s="8">
        <f t="shared" si="105"/>
        <v>0.74</v>
      </c>
      <c r="BP110" s="42">
        <f t="shared" ca="1" si="69"/>
        <v>119</v>
      </c>
      <c r="BR110" s="43">
        <f t="shared" ca="1" si="17"/>
        <v>9.0714214940141757E-2</v>
      </c>
      <c r="BS110" s="8">
        <f t="shared" si="106"/>
        <v>0.74</v>
      </c>
      <c r="BT110" s="42">
        <f t="shared" ca="1" si="70"/>
        <v>105</v>
      </c>
    </row>
    <row r="111" spans="1:72" x14ac:dyDescent="0.2">
      <c r="A111" s="22">
        <v>44658</v>
      </c>
      <c r="B111" s="43">
        <f t="shared" ca="1" si="0"/>
        <v>0.44185989652593194</v>
      </c>
      <c r="C111" s="8">
        <f t="shared" si="89"/>
        <v>0.74</v>
      </c>
      <c r="D111" s="42">
        <f t="shared" ca="1" si="53"/>
        <v>72</v>
      </c>
      <c r="F111" s="43">
        <f t="shared" ca="1" si="1"/>
        <v>0.79699913589916616</v>
      </c>
      <c r="G111" s="8">
        <f t="shared" si="90"/>
        <v>0.74</v>
      </c>
      <c r="H111" s="42">
        <f t="shared" ca="1" si="54"/>
        <v>195</v>
      </c>
      <c r="J111" s="43">
        <f t="shared" ca="1" si="2"/>
        <v>0.2617855985456552</v>
      </c>
      <c r="K111" s="8">
        <f t="shared" si="91"/>
        <v>0.74</v>
      </c>
      <c r="L111" s="42">
        <f t="shared" ca="1" si="55"/>
        <v>93</v>
      </c>
      <c r="N111" s="43">
        <f t="shared" ca="1" si="3"/>
        <v>9.5647535405330664E-2</v>
      </c>
      <c r="O111" s="8">
        <f t="shared" si="92"/>
        <v>0.74</v>
      </c>
      <c r="P111" s="42">
        <f t="shared" ca="1" si="56"/>
        <v>111</v>
      </c>
      <c r="R111" s="43">
        <f t="shared" ca="1" si="4"/>
        <v>0.92473185943937797</v>
      </c>
      <c r="S111" s="8">
        <f t="shared" si="93"/>
        <v>0.74</v>
      </c>
      <c r="T111" s="42">
        <f t="shared" ca="1" si="57"/>
        <v>143</v>
      </c>
      <c r="V111" s="43">
        <f t="shared" ca="1" si="5"/>
        <v>0.19232394704731748</v>
      </c>
      <c r="W111" s="8">
        <f t="shared" si="94"/>
        <v>0.74</v>
      </c>
      <c r="X111" s="42">
        <f t="shared" ca="1" si="58"/>
        <v>128</v>
      </c>
      <c r="Z111" s="43">
        <f t="shared" ca="1" si="6"/>
        <v>0.29481809703447204</v>
      </c>
      <c r="AA111" s="8">
        <f t="shared" si="95"/>
        <v>0.74</v>
      </c>
      <c r="AB111" s="42">
        <f t="shared" ca="1" si="59"/>
        <v>172</v>
      </c>
      <c r="AD111" s="43">
        <f t="shared" ca="1" si="7"/>
        <v>0.40820710387455006</v>
      </c>
      <c r="AE111" s="8">
        <f t="shared" si="96"/>
        <v>0.74</v>
      </c>
      <c r="AF111" s="42">
        <f t="shared" ca="1" si="60"/>
        <v>227</v>
      </c>
      <c r="AH111" s="43">
        <f t="shared" ca="1" si="8"/>
        <v>0.16608190211281104</v>
      </c>
      <c r="AI111" s="8">
        <f t="shared" si="97"/>
        <v>0.74</v>
      </c>
      <c r="AJ111" s="42">
        <f t="shared" ca="1" si="61"/>
        <v>94</v>
      </c>
      <c r="AL111" s="43">
        <f t="shared" ca="1" si="9"/>
        <v>0.41781484420157666</v>
      </c>
      <c r="AM111" s="8">
        <f t="shared" si="98"/>
        <v>0.74</v>
      </c>
      <c r="AN111" s="42">
        <f t="shared" ca="1" si="62"/>
        <v>163</v>
      </c>
      <c r="AP111" s="43">
        <f t="shared" ca="1" si="10"/>
        <v>0.7107937161656892</v>
      </c>
      <c r="AQ111" s="8">
        <f t="shared" si="99"/>
        <v>0.74</v>
      </c>
      <c r="AR111" s="42">
        <f t="shared" ca="1" si="63"/>
        <v>169</v>
      </c>
      <c r="AT111" s="43">
        <f t="shared" ca="1" si="11"/>
        <v>0.45478966668593401</v>
      </c>
      <c r="AU111" s="8">
        <f t="shared" si="100"/>
        <v>0.74</v>
      </c>
      <c r="AV111" s="42">
        <f t="shared" ca="1" si="64"/>
        <v>148</v>
      </c>
      <c r="AX111" s="43">
        <f t="shared" ca="1" si="12"/>
        <v>0.9337749341035283</v>
      </c>
      <c r="AY111" s="8">
        <f t="shared" si="101"/>
        <v>0.74</v>
      </c>
      <c r="AZ111" s="42">
        <f t="shared" ca="1" si="65"/>
        <v>243</v>
      </c>
      <c r="BB111" s="43">
        <f t="shared" ca="1" si="13"/>
        <v>0.52903512503339678</v>
      </c>
      <c r="BC111" s="8">
        <f t="shared" si="102"/>
        <v>0.74</v>
      </c>
      <c r="BD111" s="42">
        <f t="shared" ca="1" si="66"/>
        <v>152</v>
      </c>
      <c r="BF111" s="43">
        <f t="shared" ca="1" si="14"/>
        <v>0.42781500545337681</v>
      </c>
      <c r="BG111" s="8">
        <f t="shared" si="103"/>
        <v>0.74</v>
      </c>
      <c r="BH111" s="42">
        <f t="shared" ca="1" si="67"/>
        <v>119</v>
      </c>
      <c r="BJ111" s="43">
        <f t="shared" ca="1" si="15"/>
        <v>0.30156056490829941</v>
      </c>
      <c r="BK111" s="8">
        <f t="shared" si="104"/>
        <v>0.74</v>
      </c>
      <c r="BL111" s="42">
        <f t="shared" ca="1" si="68"/>
        <v>138</v>
      </c>
      <c r="BN111" s="43">
        <f t="shared" ca="1" si="16"/>
        <v>0.52979370701063522</v>
      </c>
      <c r="BO111" s="8">
        <f t="shared" si="105"/>
        <v>0.74</v>
      </c>
      <c r="BP111" s="42">
        <f t="shared" ca="1" si="69"/>
        <v>122</v>
      </c>
      <c r="BR111" s="43">
        <f t="shared" ca="1" si="17"/>
        <v>0.70142914491022301</v>
      </c>
      <c r="BS111" s="8">
        <f t="shared" si="106"/>
        <v>0.74</v>
      </c>
      <c r="BT111" s="42">
        <f t="shared" ca="1" si="70"/>
        <v>186</v>
      </c>
    </row>
    <row r="112" spans="1:72" x14ac:dyDescent="0.2">
      <c r="A112" s="22">
        <v>44659</v>
      </c>
      <c r="B112" s="43">
        <f t="shared" ca="1" si="0"/>
        <v>0.50587319462326441</v>
      </c>
      <c r="C112" s="8">
        <f t="shared" si="89"/>
        <v>0.74</v>
      </c>
      <c r="D112" s="42">
        <f t="shared" ca="1" si="53"/>
        <v>75</v>
      </c>
      <c r="F112" s="43">
        <f t="shared" ca="1" si="1"/>
        <v>0.35172919106096423</v>
      </c>
      <c r="G112" s="8">
        <f t="shared" si="90"/>
        <v>0.74</v>
      </c>
      <c r="H112" s="42">
        <f t="shared" ca="1" si="54"/>
        <v>144</v>
      </c>
      <c r="J112" s="43">
        <f t="shared" ca="1" si="2"/>
        <v>0.74015491410320211</v>
      </c>
      <c r="K112" s="8">
        <f t="shared" si="91"/>
        <v>0.74</v>
      </c>
      <c r="L112" s="42">
        <f t="shared" ca="1" si="55"/>
        <v>131</v>
      </c>
      <c r="N112" s="43">
        <f t="shared" ca="1" si="3"/>
        <v>0.37070154661054455</v>
      </c>
      <c r="O112" s="8">
        <f t="shared" si="92"/>
        <v>0.74</v>
      </c>
      <c r="P112" s="42">
        <f t="shared" ca="1" si="56"/>
        <v>155</v>
      </c>
      <c r="R112" s="43">
        <f t="shared" ca="1" si="4"/>
        <v>0.54161415001099478</v>
      </c>
      <c r="S112" s="8">
        <f t="shared" si="93"/>
        <v>0.74</v>
      </c>
      <c r="T112" s="42">
        <f t="shared" ca="1" si="57"/>
        <v>106</v>
      </c>
      <c r="V112" s="43">
        <f t="shared" ca="1" si="5"/>
        <v>0.17006574083523951</v>
      </c>
      <c r="W112" s="8">
        <f t="shared" si="94"/>
        <v>0.74</v>
      </c>
      <c r="X112" s="42">
        <f t="shared" ca="1" si="58"/>
        <v>125</v>
      </c>
      <c r="Z112" s="43">
        <f t="shared" ca="1" si="6"/>
        <v>0.67115970573701733</v>
      </c>
      <c r="AA112" s="8">
        <f t="shared" si="95"/>
        <v>0.74</v>
      </c>
      <c r="AB112" s="42">
        <f t="shared" ca="1" si="59"/>
        <v>224</v>
      </c>
      <c r="AD112" s="43">
        <f t="shared" ca="1" si="7"/>
        <v>0.9340626700437894</v>
      </c>
      <c r="AE112" s="8">
        <f t="shared" si="96"/>
        <v>0.74</v>
      </c>
      <c r="AF112" s="42">
        <f t="shared" ca="1" si="60"/>
        <v>340</v>
      </c>
      <c r="AH112" s="43">
        <f t="shared" ca="1" si="8"/>
        <v>0.46878399526067205</v>
      </c>
      <c r="AI112" s="8">
        <f t="shared" si="97"/>
        <v>0.74</v>
      </c>
      <c r="AJ112" s="42">
        <f t="shared" ca="1" si="61"/>
        <v>124</v>
      </c>
      <c r="AL112" s="43">
        <f t="shared" ca="1" si="9"/>
        <v>0.35035138492251294</v>
      </c>
      <c r="AM112" s="8">
        <f t="shared" si="98"/>
        <v>0.74</v>
      </c>
      <c r="AN112" s="42">
        <f t="shared" ca="1" si="62"/>
        <v>155</v>
      </c>
      <c r="AP112" s="43">
        <f t="shared" ca="1" si="10"/>
        <v>0.40524576109180688</v>
      </c>
      <c r="AQ112" s="8">
        <f t="shared" si="99"/>
        <v>0.74</v>
      </c>
      <c r="AR112" s="42">
        <f t="shared" ca="1" si="63"/>
        <v>138</v>
      </c>
      <c r="AT112" s="43">
        <f t="shared" ca="1" si="11"/>
        <v>1.8321197160907077E-2</v>
      </c>
      <c r="AU112" s="8">
        <f t="shared" si="100"/>
        <v>0.74</v>
      </c>
      <c r="AV112" s="42">
        <f t="shared" ca="1" si="64"/>
        <v>68</v>
      </c>
      <c r="AX112" s="43">
        <f t="shared" ca="1" si="12"/>
        <v>0.72283428960628238</v>
      </c>
      <c r="AY112" s="8">
        <f t="shared" si="101"/>
        <v>0.74</v>
      </c>
      <c r="AZ112" s="42">
        <f t="shared" ca="1" si="65"/>
        <v>201</v>
      </c>
      <c r="BB112" s="43">
        <f t="shared" ca="1" si="13"/>
        <v>0.21873334309309045</v>
      </c>
      <c r="BC112" s="8">
        <f t="shared" si="102"/>
        <v>0.74</v>
      </c>
      <c r="BD112" s="42">
        <f t="shared" ca="1" si="66"/>
        <v>118</v>
      </c>
      <c r="BF112" s="43">
        <f t="shared" ca="1" si="14"/>
        <v>0.24498955283672708</v>
      </c>
      <c r="BG112" s="8">
        <f t="shared" si="103"/>
        <v>0.74</v>
      </c>
      <c r="BH112" s="42">
        <f t="shared" ca="1" si="67"/>
        <v>102</v>
      </c>
      <c r="BJ112" s="43">
        <f t="shared" ca="1" si="15"/>
        <v>0.43053743492323515</v>
      </c>
      <c r="BK112" s="8">
        <f t="shared" si="104"/>
        <v>0.74</v>
      </c>
      <c r="BL112" s="42">
        <f t="shared" ca="1" si="68"/>
        <v>153</v>
      </c>
      <c r="BN112" s="43">
        <f t="shared" ca="1" si="16"/>
        <v>0.26247612462025149</v>
      </c>
      <c r="BO112" s="8">
        <f t="shared" si="105"/>
        <v>0.74</v>
      </c>
      <c r="BP112" s="42">
        <f t="shared" ca="1" si="69"/>
        <v>99</v>
      </c>
      <c r="BR112" s="43">
        <f t="shared" ca="1" si="17"/>
        <v>0.33275988208090468</v>
      </c>
      <c r="BS112" s="8">
        <f t="shared" si="106"/>
        <v>0.74</v>
      </c>
      <c r="BT112" s="42">
        <f t="shared" ca="1" si="70"/>
        <v>144</v>
      </c>
    </row>
    <row r="113" spans="1:72" x14ac:dyDescent="0.2">
      <c r="A113" s="22">
        <v>44660</v>
      </c>
      <c r="B113" s="43">
        <f t="shared" ca="1" si="0"/>
        <v>0.48650264869290505</v>
      </c>
      <c r="C113" s="8">
        <f t="shared" si="89"/>
        <v>0.74</v>
      </c>
      <c r="D113" s="42">
        <f t="shared" ca="1" si="53"/>
        <v>74</v>
      </c>
      <c r="F113" s="43">
        <f t="shared" ca="1" si="1"/>
        <v>0.21302028803081174</v>
      </c>
      <c r="G113" s="8">
        <f t="shared" si="90"/>
        <v>0.74</v>
      </c>
      <c r="H113" s="42">
        <f t="shared" ca="1" si="54"/>
        <v>126</v>
      </c>
      <c r="J113" s="43">
        <f t="shared" ca="1" si="2"/>
        <v>0.13483474005764717</v>
      </c>
      <c r="K113" s="8">
        <f t="shared" si="91"/>
        <v>0.74</v>
      </c>
      <c r="L113" s="42">
        <f t="shared" ca="1" si="55"/>
        <v>79</v>
      </c>
      <c r="N113" s="43">
        <f t="shared" ca="1" si="3"/>
        <v>0.4952992201908063</v>
      </c>
      <c r="O113" s="8">
        <f t="shared" si="92"/>
        <v>0.74</v>
      </c>
      <c r="P113" s="42">
        <f t="shared" ca="1" si="56"/>
        <v>170</v>
      </c>
      <c r="R113" s="43">
        <f t="shared" ca="1" si="4"/>
        <v>0.2969900624773969</v>
      </c>
      <c r="S113" s="8">
        <f t="shared" si="93"/>
        <v>0.74</v>
      </c>
      <c r="T113" s="42">
        <f t="shared" ca="1" si="57"/>
        <v>89</v>
      </c>
      <c r="V113" s="43">
        <f t="shared" ca="1" si="5"/>
        <v>0.83067700187878746</v>
      </c>
      <c r="W113" s="8">
        <f t="shared" si="94"/>
        <v>0.74</v>
      </c>
      <c r="X113" s="42">
        <f t="shared" ca="1" si="58"/>
        <v>209</v>
      </c>
      <c r="Z113" s="43">
        <f t="shared" ca="1" si="6"/>
        <v>0.19858785151998626</v>
      </c>
      <c r="AA113" s="8">
        <f t="shared" si="95"/>
        <v>0.74</v>
      </c>
      <c r="AB113" s="42">
        <f t="shared" ca="1" si="59"/>
        <v>155</v>
      </c>
      <c r="AD113" s="43">
        <f t="shared" ca="1" si="7"/>
        <v>2.9595448622202092E-2</v>
      </c>
      <c r="AE113" s="8">
        <f t="shared" si="96"/>
        <v>0.74</v>
      </c>
      <c r="AF113" s="42">
        <f t="shared" ca="1" si="60"/>
        <v>121</v>
      </c>
      <c r="AH113" s="43">
        <f t="shared" ca="1" si="8"/>
        <v>0.17699866093270922</v>
      </c>
      <c r="AI113" s="8">
        <f t="shared" si="97"/>
        <v>0.74</v>
      </c>
      <c r="AJ113" s="42">
        <f t="shared" ca="1" si="61"/>
        <v>95</v>
      </c>
      <c r="AL113" s="43">
        <f t="shared" ca="1" si="9"/>
        <v>0.95789330680802576</v>
      </c>
      <c r="AM113" s="8">
        <f t="shared" si="98"/>
        <v>0.74</v>
      </c>
      <c r="AN113" s="42">
        <f t="shared" ca="1" si="62"/>
        <v>251</v>
      </c>
      <c r="AP113" s="43">
        <f t="shared" ca="1" si="10"/>
        <v>0.87575079892324259</v>
      </c>
      <c r="AQ113" s="8">
        <f t="shared" si="99"/>
        <v>0.74</v>
      </c>
      <c r="AR113" s="42">
        <f t="shared" ca="1" si="63"/>
        <v>192</v>
      </c>
      <c r="AT113" s="43">
        <f t="shared" ca="1" si="11"/>
        <v>0.52224058996523337</v>
      </c>
      <c r="AU113" s="8">
        <f t="shared" si="100"/>
        <v>0.74</v>
      </c>
      <c r="AV113" s="42">
        <f t="shared" ca="1" si="64"/>
        <v>155</v>
      </c>
      <c r="AX113" s="43">
        <f t="shared" ca="1" si="12"/>
        <v>0.55307511422488242</v>
      </c>
      <c r="AY113" s="8">
        <f t="shared" si="101"/>
        <v>0.74</v>
      </c>
      <c r="AZ113" s="42">
        <f t="shared" ca="1" si="65"/>
        <v>179</v>
      </c>
      <c r="BB113" s="43">
        <f t="shared" ca="1" si="13"/>
        <v>0.94463700664215544</v>
      </c>
      <c r="BC113" s="8">
        <f t="shared" si="102"/>
        <v>0.74</v>
      </c>
      <c r="BD113" s="42">
        <f t="shared" ca="1" si="66"/>
        <v>212</v>
      </c>
      <c r="BF113" s="43">
        <f t="shared" ca="1" si="14"/>
        <v>0.3237153880372039</v>
      </c>
      <c r="BG113" s="8">
        <f t="shared" si="103"/>
        <v>0.74</v>
      </c>
      <c r="BH113" s="42">
        <f t="shared" ca="1" si="67"/>
        <v>110</v>
      </c>
      <c r="BJ113" s="43">
        <f t="shared" ca="1" si="15"/>
        <v>0.86928312900078653</v>
      </c>
      <c r="BK113" s="8">
        <f t="shared" si="104"/>
        <v>0.74</v>
      </c>
      <c r="BL113" s="42">
        <f t="shared" ca="1" si="68"/>
        <v>208</v>
      </c>
      <c r="BN113" s="43">
        <f t="shared" ca="1" si="16"/>
        <v>0.64093400185220872</v>
      </c>
      <c r="BO113" s="8">
        <f t="shared" si="105"/>
        <v>0.74</v>
      </c>
      <c r="BP113" s="42">
        <f t="shared" ca="1" si="69"/>
        <v>131</v>
      </c>
      <c r="BR113" s="43">
        <f t="shared" ca="1" si="17"/>
        <v>8.6030854048607996E-2</v>
      </c>
      <c r="BS113" s="8">
        <f t="shared" si="106"/>
        <v>0.74</v>
      </c>
      <c r="BT113" s="42">
        <f t="shared" ca="1" si="70"/>
        <v>104</v>
      </c>
    </row>
    <row r="114" spans="1:72" x14ac:dyDescent="0.2">
      <c r="A114" s="22">
        <v>44661</v>
      </c>
      <c r="B114" s="43">
        <f t="shared" ca="1" si="0"/>
        <v>0.88337149748447785</v>
      </c>
      <c r="C114" s="8">
        <f t="shared" si="89"/>
        <v>0.74</v>
      </c>
      <c r="D114" s="42">
        <v>0</v>
      </c>
      <c r="F114" s="43">
        <f t="shared" ca="1" si="1"/>
        <v>0.29201712461652496</v>
      </c>
      <c r="G114" s="8">
        <f t="shared" si="90"/>
        <v>0.74</v>
      </c>
      <c r="H114" s="42">
        <v>0</v>
      </c>
      <c r="J114" s="43">
        <f t="shared" ca="1" si="2"/>
        <v>0.1583022965127916</v>
      </c>
      <c r="K114" s="8">
        <f t="shared" si="91"/>
        <v>0.74</v>
      </c>
      <c r="L114" s="42">
        <v>0</v>
      </c>
      <c r="N114" s="43">
        <f t="shared" ca="1" si="3"/>
        <v>0.51280559244468993</v>
      </c>
      <c r="O114" s="8">
        <f t="shared" si="92"/>
        <v>0.74</v>
      </c>
      <c r="P114" s="42">
        <v>0</v>
      </c>
      <c r="R114" s="43">
        <f t="shared" ca="1" si="4"/>
        <v>0.6658310791768014</v>
      </c>
      <c r="S114" s="8">
        <f t="shared" si="93"/>
        <v>0.74</v>
      </c>
      <c r="T114" s="42">
        <v>0</v>
      </c>
      <c r="V114" s="43">
        <f t="shared" ca="1" si="5"/>
        <v>0.62082302530500544</v>
      </c>
      <c r="W114" s="8">
        <f t="shared" si="94"/>
        <v>0.74</v>
      </c>
      <c r="X114" s="42">
        <v>0</v>
      </c>
      <c r="Z114" s="43">
        <f t="shared" ca="1" si="6"/>
        <v>0.46375456405790449</v>
      </c>
      <c r="AA114" s="8">
        <f t="shared" si="95"/>
        <v>0.74</v>
      </c>
      <c r="AB114" s="42">
        <v>0</v>
      </c>
      <c r="AD114" s="43">
        <f t="shared" ca="1" si="7"/>
        <v>0.945160102962467</v>
      </c>
      <c r="AE114" s="8">
        <f t="shared" si="96"/>
        <v>0.74</v>
      </c>
      <c r="AF114" s="42">
        <v>0</v>
      </c>
      <c r="AH114" s="43">
        <f t="shared" ca="1" si="8"/>
        <v>0.36498142041113846</v>
      </c>
      <c r="AI114" s="8">
        <f t="shared" si="97"/>
        <v>0.74</v>
      </c>
      <c r="AJ114" s="42">
        <v>0</v>
      </c>
      <c r="AL114" s="43">
        <f t="shared" ca="1" si="9"/>
        <v>0.41245173029529614</v>
      </c>
      <c r="AM114" s="8">
        <f t="shared" si="98"/>
        <v>0.74</v>
      </c>
      <c r="AN114" s="42">
        <v>0</v>
      </c>
      <c r="AP114" s="43">
        <f t="shared" ca="1" si="10"/>
        <v>0.28322507136825126</v>
      </c>
      <c r="AQ114" s="8">
        <f t="shared" si="99"/>
        <v>0.74</v>
      </c>
      <c r="AR114" s="42">
        <v>0</v>
      </c>
      <c r="AT114" s="43">
        <f t="shared" ca="1" si="11"/>
        <v>0.96725858974689249</v>
      </c>
      <c r="AU114" s="8">
        <f t="shared" si="100"/>
        <v>0.74</v>
      </c>
      <c r="AV114" s="42">
        <v>0</v>
      </c>
      <c r="AX114" s="43">
        <f t="shared" ca="1" si="12"/>
        <v>0.22855325212889033</v>
      </c>
      <c r="AY114" s="8">
        <f t="shared" si="101"/>
        <v>0.74</v>
      </c>
      <c r="AZ114" s="42">
        <v>0</v>
      </c>
      <c r="BB114" s="43">
        <f t="shared" ca="1" si="13"/>
        <v>0.88276543793867601</v>
      </c>
      <c r="BC114" s="8">
        <f t="shared" si="102"/>
        <v>0.74</v>
      </c>
      <c r="BD114" s="42">
        <v>0</v>
      </c>
      <c r="BF114" s="43">
        <f t="shared" ca="1" si="14"/>
        <v>0.16064810797598306</v>
      </c>
      <c r="BG114" s="8">
        <f t="shared" si="103"/>
        <v>0.74</v>
      </c>
      <c r="BH114" s="42">
        <v>0</v>
      </c>
      <c r="BJ114" s="43">
        <f t="shared" ca="1" si="15"/>
        <v>0.78298850703973866</v>
      </c>
      <c r="BK114" s="8">
        <f t="shared" si="104"/>
        <v>0.74</v>
      </c>
      <c r="BL114" s="42">
        <v>0</v>
      </c>
      <c r="BN114" s="43">
        <f t="shared" ca="1" si="16"/>
        <v>0.55446463903647214</v>
      </c>
      <c r="BO114" s="8">
        <f t="shared" si="105"/>
        <v>0.74</v>
      </c>
      <c r="BP114" s="42">
        <v>0</v>
      </c>
      <c r="BR114" s="43">
        <f t="shared" ca="1" si="17"/>
        <v>7.7830552975217793E-2</v>
      </c>
      <c r="BS114" s="8">
        <f t="shared" si="106"/>
        <v>0.74</v>
      </c>
      <c r="BT114" s="42">
        <v>0</v>
      </c>
    </row>
    <row r="115" spans="1:72" x14ac:dyDescent="0.2">
      <c r="A115" s="22">
        <v>44662</v>
      </c>
      <c r="B115" s="43">
        <f t="shared" ca="1" si="0"/>
        <v>0.19706104681820491</v>
      </c>
      <c r="C115" s="8">
        <f t="shared" si="89"/>
        <v>0.74</v>
      </c>
      <c r="D115" s="42">
        <v>0</v>
      </c>
      <c r="F115" s="43">
        <f t="shared" ca="1" si="1"/>
        <v>0.4566062785531888</v>
      </c>
      <c r="G115" s="8">
        <f t="shared" si="90"/>
        <v>0.74</v>
      </c>
      <c r="H115" s="42">
        <v>0</v>
      </c>
      <c r="J115" s="43">
        <f t="shared" ca="1" si="2"/>
        <v>0.15915061593614355</v>
      </c>
      <c r="K115" s="8">
        <f t="shared" si="91"/>
        <v>0.74</v>
      </c>
      <c r="L115" s="42">
        <v>0</v>
      </c>
      <c r="N115" s="43">
        <f t="shared" ca="1" si="3"/>
        <v>0.21955561845117399</v>
      </c>
      <c r="O115" s="8">
        <f t="shared" si="92"/>
        <v>0.74</v>
      </c>
      <c r="P115" s="42">
        <v>0</v>
      </c>
      <c r="R115" s="43">
        <f t="shared" ca="1" si="4"/>
        <v>0.39868026044425808</v>
      </c>
      <c r="S115" s="8">
        <f t="shared" si="93"/>
        <v>0.74</v>
      </c>
      <c r="T115" s="42">
        <v>0</v>
      </c>
      <c r="V115" s="43">
        <f t="shared" ca="1" si="5"/>
        <v>0.8438858779746673</v>
      </c>
      <c r="W115" s="8">
        <f t="shared" si="94"/>
        <v>0.74</v>
      </c>
      <c r="X115" s="42">
        <v>0</v>
      </c>
      <c r="Z115" s="43">
        <f t="shared" ca="1" si="6"/>
        <v>0.35002113964824122</v>
      </c>
      <c r="AA115" s="8">
        <f t="shared" si="95"/>
        <v>0.74</v>
      </c>
      <c r="AB115" s="42">
        <v>0</v>
      </c>
      <c r="AD115" s="43">
        <f t="shared" ca="1" si="7"/>
        <v>0.69956108249088622</v>
      </c>
      <c r="AE115" s="8">
        <f t="shared" si="96"/>
        <v>0.74</v>
      </c>
      <c r="AF115" s="42">
        <v>0</v>
      </c>
      <c r="AH115" s="43">
        <f t="shared" ca="1" si="8"/>
        <v>0.57492297665098824</v>
      </c>
      <c r="AI115" s="8">
        <f t="shared" si="97"/>
        <v>0.74</v>
      </c>
      <c r="AJ115" s="42">
        <v>0</v>
      </c>
      <c r="AL115" s="43">
        <f t="shared" ca="1" si="9"/>
        <v>0.26590842911178969</v>
      </c>
      <c r="AM115" s="8">
        <f t="shared" si="98"/>
        <v>0.74</v>
      </c>
      <c r="AN115" s="42">
        <v>0</v>
      </c>
      <c r="AP115" s="43">
        <f t="shared" ca="1" si="10"/>
        <v>0.51664839076681135</v>
      </c>
      <c r="AQ115" s="8">
        <f t="shared" si="99"/>
        <v>0.74</v>
      </c>
      <c r="AR115" s="42">
        <v>0</v>
      </c>
      <c r="AT115" s="43">
        <f t="shared" ca="1" si="11"/>
        <v>0.82738832152411246</v>
      </c>
      <c r="AU115" s="8">
        <f t="shared" si="100"/>
        <v>0.74</v>
      </c>
      <c r="AV115" s="42">
        <v>0</v>
      </c>
      <c r="AX115" s="43">
        <f t="shared" ca="1" si="12"/>
        <v>0.34075747053506433</v>
      </c>
      <c r="AY115" s="8">
        <f t="shared" si="101"/>
        <v>0.74</v>
      </c>
      <c r="AZ115" s="42">
        <v>0</v>
      </c>
      <c r="BB115" s="43">
        <f t="shared" ca="1" si="13"/>
        <v>0.29578760609044275</v>
      </c>
      <c r="BC115" s="8">
        <f t="shared" si="102"/>
        <v>0.74</v>
      </c>
      <c r="BD115" s="42">
        <v>0</v>
      </c>
      <c r="BF115" s="43">
        <f t="shared" ca="1" si="14"/>
        <v>0.29527512918900212</v>
      </c>
      <c r="BG115" s="8">
        <f t="shared" si="103"/>
        <v>0.74</v>
      </c>
      <c r="BH115" s="42">
        <v>0</v>
      </c>
      <c r="BJ115" s="43">
        <f t="shared" ca="1" si="15"/>
        <v>0.46438405459567422</v>
      </c>
      <c r="BK115" s="8">
        <f t="shared" si="104"/>
        <v>0.74</v>
      </c>
      <c r="BL115" s="42">
        <v>0</v>
      </c>
      <c r="BN115" s="43">
        <f t="shared" ca="1" si="16"/>
        <v>0.5893062018816474</v>
      </c>
      <c r="BO115" s="8">
        <f t="shared" si="105"/>
        <v>0.74</v>
      </c>
      <c r="BP115" s="42">
        <v>0</v>
      </c>
      <c r="BR115" s="43">
        <f t="shared" ca="1" si="17"/>
        <v>0.60709772530065997</v>
      </c>
      <c r="BS115" s="8">
        <f t="shared" si="106"/>
        <v>0.74</v>
      </c>
      <c r="BT115" s="42">
        <v>0</v>
      </c>
    </row>
    <row r="116" spans="1:72" x14ac:dyDescent="0.2">
      <c r="A116" s="22">
        <v>44663</v>
      </c>
      <c r="B116" s="43">
        <f t="shared" ca="1" si="0"/>
        <v>0.65861527268486331</v>
      </c>
      <c r="C116" s="8">
        <f t="shared" si="89"/>
        <v>0.74</v>
      </c>
      <c r="D116" s="42">
        <v>0</v>
      </c>
      <c r="F116" s="43">
        <f t="shared" ca="1" si="1"/>
        <v>0.5651218246678118</v>
      </c>
      <c r="G116" s="8">
        <f t="shared" si="90"/>
        <v>0.74</v>
      </c>
      <c r="H116" s="42">
        <v>0</v>
      </c>
      <c r="J116" s="43">
        <f t="shared" ca="1" si="2"/>
        <v>0.76007066060727424</v>
      </c>
      <c r="K116" s="8">
        <f t="shared" si="91"/>
        <v>0.74</v>
      </c>
      <c r="L116" s="42">
        <v>0</v>
      </c>
      <c r="N116" s="43">
        <f t="shared" ca="1" si="3"/>
        <v>0.43445556414044184</v>
      </c>
      <c r="O116" s="8">
        <f t="shared" si="92"/>
        <v>0.74</v>
      </c>
      <c r="P116" s="42">
        <v>0</v>
      </c>
      <c r="R116" s="43">
        <f t="shared" ca="1" si="4"/>
        <v>8.6779678649102299E-2</v>
      </c>
      <c r="S116" s="8">
        <f t="shared" si="93"/>
        <v>0.74</v>
      </c>
      <c r="T116" s="42">
        <v>0</v>
      </c>
      <c r="V116" s="43">
        <f t="shared" ca="1" si="5"/>
        <v>0.67774360745667606</v>
      </c>
      <c r="W116" s="8">
        <f t="shared" si="94"/>
        <v>0.74</v>
      </c>
      <c r="X116" s="42">
        <v>0</v>
      </c>
      <c r="Z116" s="43">
        <f t="shared" ca="1" si="6"/>
        <v>0.95565915911476551</v>
      </c>
      <c r="AA116" s="8">
        <f t="shared" si="95"/>
        <v>0.74</v>
      </c>
      <c r="AB116" s="42">
        <v>0</v>
      </c>
      <c r="AD116" s="43">
        <f t="shared" ca="1" si="7"/>
        <v>0.65066802258456269</v>
      </c>
      <c r="AE116" s="8">
        <f t="shared" si="96"/>
        <v>0.74</v>
      </c>
      <c r="AF116" s="42">
        <v>0</v>
      </c>
      <c r="AH116" s="43">
        <f t="shared" ca="1" si="8"/>
        <v>0.41396426135690079</v>
      </c>
      <c r="AI116" s="8">
        <f t="shared" si="97"/>
        <v>0.74</v>
      </c>
      <c r="AJ116" s="42">
        <v>0</v>
      </c>
      <c r="AL116" s="43">
        <f t="shared" ca="1" si="9"/>
        <v>7.117561375217718E-2</v>
      </c>
      <c r="AM116" s="8">
        <f t="shared" si="98"/>
        <v>0.74</v>
      </c>
      <c r="AN116" s="42">
        <v>0</v>
      </c>
      <c r="AP116" s="43">
        <f t="shared" ca="1" si="10"/>
        <v>0.72031047951991878</v>
      </c>
      <c r="AQ116" s="8">
        <f t="shared" si="99"/>
        <v>0.74</v>
      </c>
      <c r="AR116" s="42">
        <v>0</v>
      </c>
      <c r="AT116" s="43">
        <f t="shared" ca="1" si="11"/>
        <v>2.014819762762976E-2</v>
      </c>
      <c r="AU116" s="8">
        <f t="shared" si="100"/>
        <v>0.74</v>
      </c>
      <c r="AV116" s="42">
        <v>0</v>
      </c>
      <c r="AX116" s="43">
        <f t="shared" ca="1" si="12"/>
        <v>0.19513474857808455</v>
      </c>
      <c r="AY116" s="8">
        <f t="shared" si="101"/>
        <v>0.74</v>
      </c>
      <c r="AZ116" s="42">
        <v>0</v>
      </c>
      <c r="BB116" s="43">
        <f t="shared" ca="1" si="13"/>
        <v>6.9905079993803021E-2</v>
      </c>
      <c r="BC116" s="8">
        <f t="shared" si="102"/>
        <v>0.74</v>
      </c>
      <c r="BD116" s="42">
        <v>0</v>
      </c>
      <c r="BF116" s="43">
        <f t="shared" ca="1" si="14"/>
        <v>0.95811081739316184</v>
      </c>
      <c r="BG116" s="8">
        <f t="shared" si="103"/>
        <v>0.74</v>
      </c>
      <c r="BH116" s="42">
        <v>0</v>
      </c>
      <c r="BJ116" s="43">
        <f t="shared" ca="1" si="15"/>
        <v>0.28340965780697513</v>
      </c>
      <c r="BK116" s="8">
        <f t="shared" si="104"/>
        <v>0.74</v>
      </c>
      <c r="BL116" s="42">
        <v>0</v>
      </c>
      <c r="BN116" s="43">
        <f t="shared" ca="1" si="16"/>
        <v>0.26012363581686404</v>
      </c>
      <c r="BO116" s="8">
        <f t="shared" si="105"/>
        <v>0.74</v>
      </c>
      <c r="BP116" s="42">
        <v>0</v>
      </c>
      <c r="BR116" s="43">
        <f t="shared" ca="1" si="17"/>
        <v>0.87142521581417876</v>
      </c>
      <c r="BS116" s="8">
        <f t="shared" si="106"/>
        <v>0.74</v>
      </c>
      <c r="BT116" s="42">
        <v>0</v>
      </c>
    </row>
    <row r="117" spans="1:72" x14ac:dyDescent="0.2">
      <c r="A117" s="22">
        <v>44664</v>
      </c>
      <c r="B117" s="43">
        <f t="shared" ca="1" si="0"/>
        <v>0.37920397669491779</v>
      </c>
      <c r="C117" s="8">
        <f t="shared" si="89"/>
        <v>0.74</v>
      </c>
      <c r="D117" s="42">
        <v>0</v>
      </c>
      <c r="F117" s="43">
        <f t="shared" ca="1" si="1"/>
        <v>0.45273318954276609</v>
      </c>
      <c r="G117" s="8">
        <f t="shared" si="90"/>
        <v>0.74</v>
      </c>
      <c r="H117" s="42">
        <v>0</v>
      </c>
      <c r="J117" s="43">
        <f t="shared" ca="1" si="2"/>
        <v>0.92786509634773162</v>
      </c>
      <c r="K117" s="8">
        <f t="shared" si="91"/>
        <v>0.74</v>
      </c>
      <c r="L117" s="42">
        <v>0</v>
      </c>
      <c r="N117" s="43">
        <f t="shared" ca="1" si="3"/>
        <v>0.80359263660915881</v>
      </c>
      <c r="O117" s="8">
        <f t="shared" si="92"/>
        <v>0.74</v>
      </c>
      <c r="P117" s="42">
        <v>0</v>
      </c>
      <c r="R117" s="43">
        <f t="shared" ca="1" si="4"/>
        <v>0.45577133728903807</v>
      </c>
      <c r="S117" s="8">
        <f t="shared" si="93"/>
        <v>0.74</v>
      </c>
      <c r="T117" s="42">
        <v>0</v>
      </c>
      <c r="V117" s="43">
        <f t="shared" ca="1" si="5"/>
        <v>0.36168117668581201</v>
      </c>
      <c r="W117" s="8">
        <f t="shared" si="94"/>
        <v>0.74</v>
      </c>
      <c r="X117" s="42">
        <v>0</v>
      </c>
      <c r="Z117" s="43">
        <f t="shared" ca="1" si="6"/>
        <v>0.86145501009646375</v>
      </c>
      <c r="AA117" s="8">
        <f t="shared" si="95"/>
        <v>0.74</v>
      </c>
      <c r="AB117" s="42">
        <v>0</v>
      </c>
      <c r="AD117" s="43">
        <f t="shared" ca="1" si="7"/>
        <v>0.52232759618750746</v>
      </c>
      <c r="AE117" s="8">
        <f t="shared" si="96"/>
        <v>0.74</v>
      </c>
      <c r="AF117" s="42">
        <v>0</v>
      </c>
      <c r="AH117" s="43">
        <f t="shared" ca="1" si="8"/>
        <v>0.54593241065164877</v>
      </c>
      <c r="AI117" s="8">
        <f t="shared" si="97"/>
        <v>0.74</v>
      </c>
      <c r="AJ117" s="42">
        <v>0</v>
      </c>
      <c r="AL117" s="43">
        <f t="shared" ca="1" si="9"/>
        <v>0.67984203411310162</v>
      </c>
      <c r="AM117" s="8">
        <f t="shared" si="98"/>
        <v>0.74</v>
      </c>
      <c r="AN117" s="42">
        <v>0</v>
      </c>
      <c r="AP117" s="43">
        <f t="shared" ca="1" si="10"/>
        <v>0.95075411773395779</v>
      </c>
      <c r="AQ117" s="8">
        <f t="shared" si="99"/>
        <v>0.74</v>
      </c>
      <c r="AR117" s="42">
        <v>0</v>
      </c>
      <c r="AT117" s="43">
        <f t="shared" ca="1" si="11"/>
        <v>0.32010367269731654</v>
      </c>
      <c r="AU117" s="8">
        <f t="shared" si="100"/>
        <v>0.74</v>
      </c>
      <c r="AV117" s="42">
        <v>0</v>
      </c>
      <c r="AX117" s="43">
        <f t="shared" ca="1" si="12"/>
        <v>0.2427822290235554</v>
      </c>
      <c r="AY117" s="8">
        <f t="shared" si="101"/>
        <v>0.74</v>
      </c>
      <c r="AZ117" s="42">
        <v>0</v>
      </c>
      <c r="BB117" s="43">
        <f t="shared" ca="1" si="13"/>
        <v>7.5820318382687546E-2</v>
      </c>
      <c r="BC117" s="8">
        <f t="shared" si="102"/>
        <v>0.74</v>
      </c>
      <c r="BD117" s="42">
        <v>0</v>
      </c>
      <c r="BF117" s="43">
        <f t="shared" ca="1" si="14"/>
        <v>0.52058983708948892</v>
      </c>
      <c r="BG117" s="8">
        <f t="shared" si="103"/>
        <v>0.74</v>
      </c>
      <c r="BH117" s="42">
        <v>0</v>
      </c>
      <c r="BJ117" s="43">
        <f t="shared" ca="1" si="15"/>
        <v>0.55561564200161973</v>
      </c>
      <c r="BK117" s="8">
        <f t="shared" si="104"/>
        <v>0.74</v>
      </c>
      <c r="BL117" s="42">
        <v>0</v>
      </c>
      <c r="BN117" s="43">
        <f t="shared" ca="1" si="16"/>
        <v>0.49245886726967836</v>
      </c>
      <c r="BO117" s="8">
        <f t="shared" si="105"/>
        <v>0.74</v>
      </c>
      <c r="BP117" s="42">
        <v>0</v>
      </c>
      <c r="BR117" s="43">
        <f t="shared" ca="1" si="17"/>
        <v>3.319518687378098E-2</v>
      </c>
      <c r="BS117" s="8">
        <f t="shared" si="106"/>
        <v>0.74</v>
      </c>
      <c r="BT117" s="42">
        <v>0</v>
      </c>
    </row>
    <row r="118" spans="1:72" x14ac:dyDescent="0.2">
      <c r="A118" s="22">
        <v>44665</v>
      </c>
      <c r="B118" s="43">
        <f t="shared" ca="1" si="0"/>
        <v>9.2454520825731801E-2</v>
      </c>
      <c r="C118" s="8">
        <f t="shared" si="89"/>
        <v>0.74</v>
      </c>
      <c r="D118" s="42">
        <v>0</v>
      </c>
      <c r="F118" s="43">
        <f t="shared" ca="1" si="1"/>
        <v>0.27187614390279313</v>
      </c>
      <c r="G118" s="8">
        <f t="shared" si="90"/>
        <v>0.74</v>
      </c>
      <c r="H118" s="42">
        <v>0</v>
      </c>
      <c r="J118" s="43">
        <f t="shared" ca="1" si="2"/>
        <v>0.9616444626945283</v>
      </c>
      <c r="K118" s="8">
        <f t="shared" si="91"/>
        <v>0.74</v>
      </c>
      <c r="L118" s="42">
        <v>0</v>
      </c>
      <c r="N118" s="43">
        <f t="shared" ca="1" si="3"/>
        <v>0.71340144217622403</v>
      </c>
      <c r="O118" s="8">
        <f t="shared" si="92"/>
        <v>0.74</v>
      </c>
      <c r="P118" s="42">
        <v>0</v>
      </c>
      <c r="R118" s="43">
        <f t="shared" ca="1" si="4"/>
        <v>0.92653390140322234</v>
      </c>
      <c r="S118" s="8">
        <f t="shared" si="93"/>
        <v>0.74</v>
      </c>
      <c r="T118" s="42">
        <v>0</v>
      </c>
      <c r="V118" s="43">
        <f t="shared" ca="1" si="5"/>
        <v>5.9454979332178026E-2</v>
      </c>
      <c r="W118" s="8">
        <f t="shared" si="94"/>
        <v>0.74</v>
      </c>
      <c r="X118" s="42">
        <v>0</v>
      </c>
      <c r="Z118" s="43">
        <f t="shared" ca="1" si="6"/>
        <v>3.6747324068577836E-2</v>
      </c>
      <c r="AA118" s="8">
        <f t="shared" si="95"/>
        <v>0.74</v>
      </c>
      <c r="AB118" s="42">
        <v>0</v>
      </c>
      <c r="AD118" s="43">
        <f t="shared" ca="1" si="7"/>
        <v>0.3180776938282871</v>
      </c>
      <c r="AE118" s="8">
        <f t="shared" si="96"/>
        <v>0.74</v>
      </c>
      <c r="AF118" s="42">
        <v>0</v>
      </c>
      <c r="AH118" s="43">
        <f t="shared" ca="1" si="8"/>
        <v>0.47300840207177008</v>
      </c>
      <c r="AI118" s="8">
        <f t="shared" si="97"/>
        <v>0.74</v>
      </c>
      <c r="AJ118" s="42">
        <v>0</v>
      </c>
      <c r="AL118" s="43">
        <f t="shared" ca="1" si="9"/>
        <v>0.60991083082888464</v>
      </c>
      <c r="AM118" s="8">
        <f t="shared" si="98"/>
        <v>0.74</v>
      </c>
      <c r="AN118" s="42">
        <v>0</v>
      </c>
      <c r="AP118" s="43">
        <f t="shared" ca="1" si="10"/>
        <v>0.751876824806883</v>
      </c>
      <c r="AQ118" s="8">
        <f t="shared" si="99"/>
        <v>0.74</v>
      </c>
      <c r="AR118" s="42">
        <v>0</v>
      </c>
      <c r="AT118" s="43">
        <f t="shared" ca="1" si="11"/>
        <v>0.56536073957899635</v>
      </c>
      <c r="AU118" s="8">
        <f t="shared" si="100"/>
        <v>0.74</v>
      </c>
      <c r="AV118" s="42">
        <v>0</v>
      </c>
      <c r="AX118" s="43">
        <f t="shared" ca="1" si="12"/>
        <v>0.25854461857143107</v>
      </c>
      <c r="AY118" s="8">
        <f t="shared" si="101"/>
        <v>0.74</v>
      </c>
      <c r="AZ118" s="42">
        <v>0</v>
      </c>
      <c r="BB118" s="43">
        <f t="shared" ca="1" si="13"/>
        <v>3.7622383190786701E-2</v>
      </c>
      <c r="BC118" s="8">
        <f t="shared" si="102"/>
        <v>0.74</v>
      </c>
      <c r="BD118" s="42">
        <v>0</v>
      </c>
      <c r="BF118" s="43">
        <f t="shared" ca="1" si="14"/>
        <v>0.54768771981477304</v>
      </c>
      <c r="BG118" s="8">
        <f t="shared" si="103"/>
        <v>0.74</v>
      </c>
      <c r="BH118" s="42">
        <v>0</v>
      </c>
      <c r="BJ118" s="43">
        <f t="shared" ca="1" si="15"/>
        <v>6.0813000227665226E-3</v>
      </c>
      <c r="BK118" s="8">
        <f t="shared" si="104"/>
        <v>0.74</v>
      </c>
      <c r="BL118" s="42">
        <v>0</v>
      </c>
      <c r="BN118" s="43">
        <f t="shared" ca="1" si="16"/>
        <v>0.85649487612491293</v>
      </c>
      <c r="BO118" s="8">
        <f t="shared" si="105"/>
        <v>0.74</v>
      </c>
      <c r="BP118" s="42">
        <v>0</v>
      </c>
      <c r="BR118" s="43">
        <f t="shared" ca="1" si="17"/>
        <v>0.65115077621009376</v>
      </c>
      <c r="BS118" s="8">
        <f t="shared" si="106"/>
        <v>0.74</v>
      </c>
      <c r="BT118" s="42">
        <v>0</v>
      </c>
    </row>
    <row r="119" spans="1:72" x14ac:dyDescent="0.2">
      <c r="A119" s="22">
        <v>44666</v>
      </c>
      <c r="B119" s="43">
        <f t="shared" ca="1" si="0"/>
        <v>3.5496009374539894E-2</v>
      </c>
      <c r="C119" s="8">
        <f t="shared" si="89"/>
        <v>0.74</v>
      </c>
      <c r="D119" s="42">
        <v>0</v>
      </c>
      <c r="F119" s="43">
        <f t="shared" ca="1" si="1"/>
        <v>0.22001775410120616</v>
      </c>
      <c r="G119" s="8">
        <f t="shared" si="90"/>
        <v>0.74</v>
      </c>
      <c r="H119" s="42">
        <v>0</v>
      </c>
      <c r="J119" s="43">
        <f t="shared" ca="1" si="2"/>
        <v>0.94155871743846431</v>
      </c>
      <c r="K119" s="8">
        <f t="shared" si="91"/>
        <v>0.74</v>
      </c>
      <c r="L119" s="42">
        <v>0</v>
      </c>
      <c r="N119" s="43">
        <f t="shared" ca="1" si="3"/>
        <v>0.85899782920537249</v>
      </c>
      <c r="O119" s="8">
        <f t="shared" si="92"/>
        <v>0.74</v>
      </c>
      <c r="P119" s="42">
        <v>0</v>
      </c>
      <c r="R119" s="43">
        <f t="shared" ca="1" si="4"/>
        <v>0.28190070512096965</v>
      </c>
      <c r="S119" s="8">
        <f t="shared" si="93"/>
        <v>0.74</v>
      </c>
      <c r="T119" s="42">
        <v>0</v>
      </c>
      <c r="V119" s="43">
        <f t="shared" ca="1" si="5"/>
        <v>0.50468353058672744</v>
      </c>
      <c r="W119" s="8">
        <f t="shared" si="94"/>
        <v>0.74</v>
      </c>
      <c r="X119" s="42">
        <v>0</v>
      </c>
      <c r="Z119" s="43">
        <f t="shared" ca="1" si="6"/>
        <v>5.5193494583650748E-3</v>
      </c>
      <c r="AA119" s="8">
        <f t="shared" si="95"/>
        <v>0.74</v>
      </c>
      <c r="AB119" s="42">
        <v>0</v>
      </c>
      <c r="AD119" s="43">
        <f t="shared" ca="1" si="7"/>
        <v>0.92849431761580603</v>
      </c>
      <c r="AE119" s="8">
        <f t="shared" si="96"/>
        <v>0.74</v>
      </c>
      <c r="AF119" s="42">
        <v>0</v>
      </c>
      <c r="AH119" s="43">
        <f t="shared" ca="1" si="8"/>
        <v>0.96598376445675893</v>
      </c>
      <c r="AI119" s="8">
        <f t="shared" si="97"/>
        <v>0.74</v>
      </c>
      <c r="AJ119" s="42">
        <v>0</v>
      </c>
      <c r="AL119" s="43">
        <f t="shared" ca="1" si="9"/>
        <v>0.62045018387819983</v>
      </c>
      <c r="AM119" s="8">
        <f t="shared" si="98"/>
        <v>0.74</v>
      </c>
      <c r="AN119" s="42">
        <v>0</v>
      </c>
      <c r="AP119" s="43">
        <f t="shared" ca="1" si="10"/>
        <v>0.49393964017036618</v>
      </c>
      <c r="AQ119" s="8">
        <f t="shared" si="99"/>
        <v>0.74</v>
      </c>
      <c r="AR119" s="42">
        <v>0</v>
      </c>
      <c r="AT119" s="43">
        <f t="shared" ca="1" si="11"/>
        <v>2.0444747100627603E-2</v>
      </c>
      <c r="AU119" s="8">
        <f t="shared" si="100"/>
        <v>0.74</v>
      </c>
      <c r="AV119" s="42">
        <v>0</v>
      </c>
      <c r="AX119" s="43">
        <f t="shared" ca="1" si="12"/>
        <v>0.58213679517952044</v>
      </c>
      <c r="AY119" s="8">
        <f t="shared" si="101"/>
        <v>0.74</v>
      </c>
      <c r="AZ119" s="42">
        <v>0</v>
      </c>
      <c r="BB119" s="43">
        <f t="shared" ca="1" si="13"/>
        <v>9.8182544296033791E-3</v>
      </c>
      <c r="BC119" s="8">
        <f t="shared" si="102"/>
        <v>0.74</v>
      </c>
      <c r="BD119" s="42">
        <v>0</v>
      </c>
      <c r="BF119" s="43">
        <f t="shared" ca="1" si="14"/>
        <v>0.93016948601336358</v>
      </c>
      <c r="BG119" s="8">
        <f t="shared" si="103"/>
        <v>0.74</v>
      </c>
      <c r="BH119" s="42">
        <v>0</v>
      </c>
      <c r="BJ119" s="43">
        <f t="shared" ca="1" si="15"/>
        <v>0.41924947539845958</v>
      </c>
      <c r="BK119" s="8">
        <f t="shared" si="104"/>
        <v>0.74</v>
      </c>
      <c r="BL119" s="42">
        <v>0</v>
      </c>
      <c r="BN119" s="43">
        <f t="shared" ca="1" si="16"/>
        <v>0.49390470176458445</v>
      </c>
      <c r="BO119" s="8">
        <f t="shared" si="105"/>
        <v>0.74</v>
      </c>
      <c r="BP119" s="42">
        <v>0</v>
      </c>
      <c r="BR119" s="43">
        <f t="shared" ca="1" si="17"/>
        <v>0.24054825327353568</v>
      </c>
      <c r="BS119" s="8">
        <f t="shared" si="106"/>
        <v>0.74</v>
      </c>
      <c r="BT119" s="42">
        <v>0</v>
      </c>
    </row>
    <row r="120" spans="1:72" x14ac:dyDescent="0.2">
      <c r="A120" s="22">
        <v>44667</v>
      </c>
      <c r="B120" s="43">
        <f t="shared" ca="1" si="0"/>
        <v>0.86161734660269318</v>
      </c>
      <c r="C120" s="8">
        <f t="shared" si="89"/>
        <v>0.74</v>
      </c>
      <c r="D120" s="42">
        <v>0</v>
      </c>
      <c r="F120" s="43">
        <f t="shared" ca="1" si="1"/>
        <v>0.81877044900981966</v>
      </c>
      <c r="G120" s="8">
        <f t="shared" si="90"/>
        <v>0.74</v>
      </c>
      <c r="H120" s="42">
        <v>0</v>
      </c>
      <c r="J120" s="43">
        <f t="shared" ca="1" si="2"/>
        <v>0.87973976183723146</v>
      </c>
      <c r="K120" s="8">
        <f t="shared" si="91"/>
        <v>0.74</v>
      </c>
      <c r="L120" s="42">
        <v>0</v>
      </c>
      <c r="N120" s="43">
        <f t="shared" ca="1" si="3"/>
        <v>0.12365795342883568</v>
      </c>
      <c r="O120" s="8">
        <f t="shared" si="92"/>
        <v>0.74</v>
      </c>
      <c r="P120" s="42">
        <v>0</v>
      </c>
      <c r="R120" s="43">
        <f t="shared" ca="1" si="4"/>
        <v>0.15631235851473868</v>
      </c>
      <c r="S120" s="8">
        <f t="shared" si="93"/>
        <v>0.74</v>
      </c>
      <c r="T120" s="42">
        <v>0</v>
      </c>
      <c r="V120" s="43">
        <f t="shared" ca="1" si="5"/>
        <v>0.67385090356659283</v>
      </c>
      <c r="W120" s="8">
        <f t="shared" si="94"/>
        <v>0.74</v>
      </c>
      <c r="X120" s="42">
        <v>0</v>
      </c>
      <c r="Z120" s="43">
        <f t="shared" ca="1" si="6"/>
        <v>0.66989740840335821</v>
      </c>
      <c r="AA120" s="8">
        <f t="shared" si="95"/>
        <v>0.74</v>
      </c>
      <c r="AB120" s="42">
        <v>0</v>
      </c>
      <c r="AD120" s="43">
        <f t="shared" ca="1" si="7"/>
        <v>0.29544927434401458</v>
      </c>
      <c r="AE120" s="8">
        <f t="shared" si="96"/>
        <v>0.74</v>
      </c>
      <c r="AF120" s="42">
        <v>0</v>
      </c>
      <c r="AH120" s="43">
        <f t="shared" ca="1" si="8"/>
        <v>0.79340768751186619</v>
      </c>
      <c r="AI120" s="8">
        <f t="shared" si="97"/>
        <v>0.74</v>
      </c>
      <c r="AJ120" s="42">
        <v>0</v>
      </c>
      <c r="AL120" s="43">
        <f t="shared" ca="1" si="9"/>
        <v>1.7861792208312743E-2</v>
      </c>
      <c r="AM120" s="8">
        <f t="shared" si="98"/>
        <v>0.74</v>
      </c>
      <c r="AN120" s="42">
        <v>0</v>
      </c>
      <c r="AP120" s="43">
        <f t="shared" ca="1" si="10"/>
        <v>0.3567944517316739</v>
      </c>
      <c r="AQ120" s="8">
        <f t="shared" si="99"/>
        <v>0.74</v>
      </c>
      <c r="AR120" s="42">
        <v>0</v>
      </c>
      <c r="AT120" s="43">
        <f t="shared" ca="1" si="11"/>
        <v>0.11150885697559199</v>
      </c>
      <c r="AU120" s="8">
        <f t="shared" si="100"/>
        <v>0.74</v>
      </c>
      <c r="AV120" s="42">
        <v>0</v>
      </c>
      <c r="AX120" s="43">
        <f t="shared" ca="1" si="12"/>
        <v>0.61157944682576004</v>
      </c>
      <c r="AY120" s="8">
        <f t="shared" si="101"/>
        <v>0.74</v>
      </c>
      <c r="AZ120" s="42">
        <v>0</v>
      </c>
      <c r="BB120" s="43">
        <f t="shared" ca="1" si="13"/>
        <v>0.42121864603778136</v>
      </c>
      <c r="BC120" s="8">
        <f t="shared" si="102"/>
        <v>0.74</v>
      </c>
      <c r="BD120" s="42">
        <v>0</v>
      </c>
      <c r="BF120" s="43">
        <f t="shared" ca="1" si="14"/>
        <v>0.55635419601759251</v>
      </c>
      <c r="BG120" s="8">
        <f t="shared" si="103"/>
        <v>0.74</v>
      </c>
      <c r="BH120" s="42">
        <v>0</v>
      </c>
      <c r="BJ120" s="43">
        <f t="shared" ca="1" si="15"/>
        <v>3.7210088166889421E-2</v>
      </c>
      <c r="BK120" s="8">
        <f t="shared" si="104"/>
        <v>0.74</v>
      </c>
      <c r="BL120" s="42">
        <v>0</v>
      </c>
      <c r="BN120" s="43">
        <f t="shared" ca="1" si="16"/>
        <v>0.96757002850321916</v>
      </c>
      <c r="BO120" s="8">
        <f t="shared" si="105"/>
        <v>0.74</v>
      </c>
      <c r="BP120" s="42">
        <v>0</v>
      </c>
      <c r="BR120" s="43">
        <f t="shared" ca="1" si="17"/>
        <v>4.6557821782081121E-2</v>
      </c>
      <c r="BS120" s="8">
        <f t="shared" si="106"/>
        <v>0.74</v>
      </c>
      <c r="BT120" s="42">
        <v>0</v>
      </c>
    </row>
    <row r="121" spans="1:72" x14ac:dyDescent="0.2">
      <c r="A121" s="22">
        <v>44668</v>
      </c>
      <c r="B121" s="43">
        <f t="shared" ca="1" si="0"/>
        <v>0.68478304918135713</v>
      </c>
      <c r="C121" s="8">
        <f t="shared" si="89"/>
        <v>0.74</v>
      </c>
      <c r="D121" s="42">
        <v>0</v>
      </c>
      <c r="F121" s="43">
        <f t="shared" ca="1" si="1"/>
        <v>0.43739967911366928</v>
      </c>
      <c r="G121" s="8">
        <f t="shared" si="90"/>
        <v>0.74</v>
      </c>
      <c r="H121" s="42">
        <v>0</v>
      </c>
      <c r="J121" s="43">
        <f t="shared" ca="1" si="2"/>
        <v>7.7124320229418064E-3</v>
      </c>
      <c r="K121" s="8">
        <f t="shared" si="91"/>
        <v>0.74</v>
      </c>
      <c r="L121" s="42">
        <v>0</v>
      </c>
      <c r="N121" s="43">
        <f t="shared" ca="1" si="3"/>
        <v>0.78248993065529748</v>
      </c>
      <c r="O121" s="8">
        <f t="shared" si="92"/>
        <v>0.74</v>
      </c>
      <c r="P121" s="42">
        <v>0</v>
      </c>
      <c r="R121" s="43">
        <f t="shared" ca="1" si="4"/>
        <v>0.41473048617633201</v>
      </c>
      <c r="S121" s="8">
        <f t="shared" si="93"/>
        <v>0.74</v>
      </c>
      <c r="T121" s="42">
        <v>0</v>
      </c>
      <c r="V121" s="43">
        <f t="shared" ca="1" si="5"/>
        <v>0.25834921535165301</v>
      </c>
      <c r="W121" s="8">
        <f t="shared" si="94"/>
        <v>0.74</v>
      </c>
      <c r="X121" s="42">
        <v>0</v>
      </c>
      <c r="Z121" s="43">
        <f t="shared" ca="1" si="6"/>
        <v>0.76932681099218192</v>
      </c>
      <c r="AA121" s="8">
        <f t="shared" si="95"/>
        <v>0.74</v>
      </c>
      <c r="AB121" s="42">
        <v>0</v>
      </c>
      <c r="AD121" s="43">
        <f t="shared" ca="1" si="7"/>
        <v>0.39137460712669925</v>
      </c>
      <c r="AE121" s="8">
        <f t="shared" si="96"/>
        <v>0.74</v>
      </c>
      <c r="AF121" s="42">
        <v>0</v>
      </c>
      <c r="AH121" s="43">
        <f t="shared" ca="1" si="8"/>
        <v>0.58766283796318908</v>
      </c>
      <c r="AI121" s="8">
        <f t="shared" si="97"/>
        <v>0.74</v>
      </c>
      <c r="AJ121" s="42">
        <v>0</v>
      </c>
      <c r="AL121" s="43">
        <f t="shared" ca="1" si="9"/>
        <v>0.51925060689508451</v>
      </c>
      <c r="AM121" s="8">
        <f t="shared" si="98"/>
        <v>0.74</v>
      </c>
      <c r="AN121" s="42">
        <v>0</v>
      </c>
      <c r="AP121" s="43">
        <f t="shared" ca="1" si="10"/>
        <v>0.36027961135864617</v>
      </c>
      <c r="AQ121" s="8">
        <f t="shared" si="99"/>
        <v>0.74</v>
      </c>
      <c r="AR121" s="42">
        <v>0</v>
      </c>
      <c r="AT121" s="43">
        <f t="shared" ca="1" si="11"/>
        <v>0.31836166370387065</v>
      </c>
      <c r="AU121" s="8">
        <f t="shared" si="100"/>
        <v>0.74</v>
      </c>
      <c r="AV121" s="42">
        <v>0</v>
      </c>
      <c r="AX121" s="43">
        <f t="shared" ca="1" si="12"/>
        <v>0.78329483959436697</v>
      </c>
      <c r="AY121" s="8">
        <f t="shared" si="101"/>
        <v>0.74</v>
      </c>
      <c r="AZ121" s="42">
        <v>0</v>
      </c>
      <c r="BB121" s="43">
        <f t="shared" ca="1" si="13"/>
        <v>0.90377941685090912</v>
      </c>
      <c r="BC121" s="8">
        <f t="shared" si="102"/>
        <v>0.74</v>
      </c>
      <c r="BD121" s="42">
        <v>0</v>
      </c>
      <c r="BF121" s="43">
        <f t="shared" ca="1" si="14"/>
        <v>0.47272230071445864</v>
      </c>
      <c r="BG121" s="8">
        <f t="shared" si="103"/>
        <v>0.74</v>
      </c>
      <c r="BH121" s="42">
        <v>0</v>
      </c>
      <c r="BJ121" s="43">
        <f t="shared" ca="1" si="15"/>
        <v>0.81568213050866034</v>
      </c>
      <c r="BK121" s="8">
        <f t="shared" si="104"/>
        <v>0.74</v>
      </c>
      <c r="BL121" s="42">
        <v>0</v>
      </c>
      <c r="BN121" s="43">
        <f t="shared" ca="1" si="16"/>
        <v>9.6505749572509569E-2</v>
      </c>
      <c r="BO121" s="8">
        <f t="shared" si="105"/>
        <v>0.74</v>
      </c>
      <c r="BP121" s="42">
        <v>0</v>
      </c>
      <c r="BR121" s="43">
        <f t="shared" ca="1" si="17"/>
        <v>0.75267120530426013</v>
      </c>
      <c r="BS121" s="8">
        <f t="shared" si="106"/>
        <v>0.74</v>
      </c>
      <c r="BT121" s="42">
        <v>0</v>
      </c>
    </row>
    <row r="122" spans="1:72" x14ac:dyDescent="0.2">
      <c r="A122" s="22">
        <v>44669</v>
      </c>
      <c r="B122" s="43">
        <f t="shared" ca="1" si="0"/>
        <v>0.93361824596884613</v>
      </c>
      <c r="C122" s="8">
        <f t="shared" si="89"/>
        <v>0.74</v>
      </c>
      <c r="D122" s="42">
        <v>0</v>
      </c>
      <c r="F122" s="43">
        <f t="shared" ca="1" si="1"/>
        <v>0.49060801796243547</v>
      </c>
      <c r="G122" s="8">
        <f t="shared" si="90"/>
        <v>0.74</v>
      </c>
      <c r="H122" s="42">
        <v>0</v>
      </c>
      <c r="J122" s="43">
        <f t="shared" ca="1" si="2"/>
        <v>0.9702961090952742</v>
      </c>
      <c r="K122" s="8">
        <f t="shared" si="91"/>
        <v>0.74</v>
      </c>
      <c r="L122" s="42">
        <v>0</v>
      </c>
      <c r="N122" s="43">
        <f t="shared" ca="1" si="3"/>
        <v>0.88611238796976621</v>
      </c>
      <c r="O122" s="8">
        <f t="shared" si="92"/>
        <v>0.74</v>
      </c>
      <c r="P122" s="42">
        <v>0</v>
      </c>
      <c r="R122" s="43">
        <f t="shared" ca="1" si="4"/>
        <v>4.1810164922951865E-2</v>
      </c>
      <c r="S122" s="8">
        <f t="shared" si="93"/>
        <v>0.74</v>
      </c>
      <c r="T122" s="42">
        <v>0</v>
      </c>
      <c r="V122" s="43">
        <f t="shared" ca="1" si="5"/>
        <v>0.30286889889263757</v>
      </c>
      <c r="W122" s="8">
        <f t="shared" si="94"/>
        <v>0.74</v>
      </c>
      <c r="X122" s="42">
        <v>0</v>
      </c>
      <c r="Z122" s="43">
        <f t="shared" ca="1" si="6"/>
        <v>0.10658144720822671</v>
      </c>
      <c r="AA122" s="8">
        <f t="shared" si="95"/>
        <v>0.74</v>
      </c>
      <c r="AB122" s="42">
        <v>0</v>
      </c>
      <c r="AD122" s="43">
        <f t="shared" ca="1" si="7"/>
        <v>0.53476479812931732</v>
      </c>
      <c r="AE122" s="8">
        <f t="shared" si="96"/>
        <v>0.74</v>
      </c>
      <c r="AF122" s="42">
        <v>0</v>
      </c>
      <c r="AH122" s="43">
        <f t="shared" ca="1" si="8"/>
        <v>0.92144334088180524</v>
      </c>
      <c r="AI122" s="8">
        <f t="shared" si="97"/>
        <v>0.74</v>
      </c>
      <c r="AJ122" s="42">
        <v>0</v>
      </c>
      <c r="AL122" s="43">
        <f t="shared" ca="1" si="9"/>
        <v>0.24289727936994365</v>
      </c>
      <c r="AM122" s="8">
        <f t="shared" si="98"/>
        <v>0.74</v>
      </c>
      <c r="AN122" s="42">
        <v>0</v>
      </c>
      <c r="AP122" s="43">
        <f t="shared" ca="1" si="10"/>
        <v>3.5613685988866495E-2</v>
      </c>
      <c r="AQ122" s="8">
        <f t="shared" si="99"/>
        <v>0.74</v>
      </c>
      <c r="AR122" s="42">
        <v>0</v>
      </c>
      <c r="AT122" s="43">
        <f t="shared" ca="1" si="11"/>
        <v>0.95096772642893923</v>
      </c>
      <c r="AU122" s="8">
        <f t="shared" si="100"/>
        <v>0.74</v>
      </c>
      <c r="AV122" s="42">
        <v>0</v>
      </c>
      <c r="AX122" s="43">
        <f t="shared" ca="1" si="12"/>
        <v>0.53698882136485537</v>
      </c>
      <c r="AY122" s="8">
        <f t="shared" si="101"/>
        <v>0.74</v>
      </c>
      <c r="AZ122" s="42">
        <v>0</v>
      </c>
      <c r="BB122" s="43">
        <f t="shared" ca="1" si="13"/>
        <v>0.72011316926563407</v>
      </c>
      <c r="BC122" s="8">
        <f t="shared" si="102"/>
        <v>0.74</v>
      </c>
      <c r="BD122" s="42">
        <v>0</v>
      </c>
      <c r="BF122" s="43">
        <f t="shared" ca="1" si="14"/>
        <v>0.83901144998782085</v>
      </c>
      <c r="BG122" s="8">
        <f t="shared" si="103"/>
        <v>0.74</v>
      </c>
      <c r="BH122" s="42">
        <v>0</v>
      </c>
      <c r="BJ122" s="43">
        <f t="shared" ca="1" si="15"/>
        <v>0.37877673142494006</v>
      </c>
      <c r="BK122" s="8">
        <f t="shared" si="104"/>
        <v>0.74</v>
      </c>
      <c r="BL122" s="42">
        <v>0</v>
      </c>
      <c r="BN122" s="43">
        <f t="shared" ca="1" si="16"/>
        <v>0.40012699007568509</v>
      </c>
      <c r="BO122" s="8">
        <f t="shared" si="105"/>
        <v>0.74</v>
      </c>
      <c r="BP122" s="42">
        <v>0</v>
      </c>
      <c r="BR122" s="43">
        <f t="shared" ca="1" si="17"/>
        <v>0.57208222004948428</v>
      </c>
      <c r="BS122" s="8">
        <f t="shared" si="106"/>
        <v>0.74</v>
      </c>
      <c r="BT122" s="42">
        <v>0</v>
      </c>
    </row>
    <row r="123" spans="1:72" x14ac:dyDescent="0.2">
      <c r="A123" s="22">
        <v>44670</v>
      </c>
      <c r="B123" s="43">
        <f t="shared" ca="1" si="0"/>
        <v>0.48266445677859138</v>
      </c>
      <c r="C123" s="8">
        <f t="shared" si="89"/>
        <v>0.74</v>
      </c>
      <c r="D123" s="42">
        <f t="shared" ref="D123:D186" ca="1" si="107">ROUNDUP(_xlfn.NORM.INV(B123,C$4*C123,C$6*C123),0)</f>
        <v>74</v>
      </c>
      <c r="F123" s="43">
        <f t="shared" ca="1" si="1"/>
        <v>0.99528705544077878</v>
      </c>
      <c r="G123" s="8">
        <f t="shared" si="90"/>
        <v>0.74</v>
      </c>
      <c r="H123" s="42">
        <f t="shared" ref="H123:H186" ca="1" si="108">ROUNDUP(_xlfn.NORM.INV(F123,G$4*G123,G$6*G123),0)</f>
        <v>270</v>
      </c>
      <c r="J123" s="43">
        <f t="shared" ca="1" si="2"/>
        <v>0.53076258623423356</v>
      </c>
      <c r="K123" s="8">
        <f t="shared" si="91"/>
        <v>0.74</v>
      </c>
      <c r="L123" s="42">
        <f t="shared" ref="L123:L186" ca="1" si="109">ROUNDUP(_xlfn.NORM.INV(J123,K$4*K123,K$6*K123),0)</f>
        <v>114</v>
      </c>
      <c r="N123" s="43">
        <f t="shared" ca="1" si="3"/>
        <v>0.97081076575510106</v>
      </c>
      <c r="O123" s="8">
        <f t="shared" si="92"/>
        <v>0.74</v>
      </c>
      <c r="P123" s="42">
        <f t="shared" ref="P123:P186" ca="1" si="110">ROUNDUP(_xlfn.NORM.INV(N123,O$4*O123,O$6*O123),0)</f>
        <v>256</v>
      </c>
      <c r="R123" s="43">
        <f t="shared" ca="1" si="4"/>
        <v>0.36478737287494833</v>
      </c>
      <c r="S123" s="8">
        <f t="shared" si="93"/>
        <v>0.74</v>
      </c>
      <c r="T123" s="42">
        <f t="shared" ref="T123:T186" ca="1" si="111">ROUNDUP(_xlfn.NORM.INV(R123,S$4*S123,S$6*S123),0)</f>
        <v>94</v>
      </c>
      <c r="V123" s="43">
        <f t="shared" ca="1" si="5"/>
        <v>0.71852035788197732</v>
      </c>
      <c r="W123" s="8">
        <f t="shared" si="94"/>
        <v>0.74</v>
      </c>
      <c r="X123" s="42">
        <f t="shared" ref="X123:X186" ca="1" si="112">ROUNDUP(_xlfn.NORM.INV(V123,W$4*W123,W$6*W123),0)</f>
        <v>193</v>
      </c>
      <c r="Z123" s="43">
        <f t="shared" ca="1" si="6"/>
        <v>0.50529228155300221</v>
      </c>
      <c r="AA123" s="8">
        <f t="shared" si="95"/>
        <v>0.74</v>
      </c>
      <c r="AB123" s="42">
        <f t="shared" ref="AB123:AB186" ca="1" si="113">ROUNDUP(_xlfn.NORM.INV(Z123,AA$4*AA123,AA$6*AA123),0)</f>
        <v>201</v>
      </c>
      <c r="AD123" s="43">
        <f t="shared" ca="1" si="7"/>
        <v>0.92579197708787986</v>
      </c>
      <c r="AE123" s="8">
        <f t="shared" si="96"/>
        <v>0.74</v>
      </c>
      <c r="AF123" s="42">
        <f t="shared" ref="AF123:AF186" ca="1" si="114">ROUNDUP(_xlfn.NORM.INV(AD123,AE$4*AE123,AE$6*AE123),0)</f>
        <v>336</v>
      </c>
      <c r="AH123" s="43">
        <f t="shared" ca="1" si="8"/>
        <v>4.021570870600466E-2</v>
      </c>
      <c r="AI123" s="8">
        <f t="shared" si="97"/>
        <v>0.74</v>
      </c>
      <c r="AJ123" s="42">
        <f t="shared" ref="AJ123:AJ186" ca="1" si="115">ROUNDUP(_xlfn.NORM.INV(AH123,AI$4*AI123,AI$6*AI123),0)</f>
        <v>68</v>
      </c>
      <c r="AL123" s="43">
        <f t="shared" ca="1" si="9"/>
        <v>0.53097437002556891</v>
      </c>
      <c r="AM123" s="8">
        <f t="shared" si="98"/>
        <v>0.74</v>
      </c>
      <c r="AN123" s="42">
        <f t="shared" ref="AN123:AN186" ca="1" si="116">ROUNDUP(_xlfn.NORM.INV(AL123,AM$4*AM123,AM$6*AM123),0)</f>
        <v>176</v>
      </c>
      <c r="AP123" s="43">
        <f t="shared" ca="1" si="10"/>
        <v>0.5991807749953576</v>
      </c>
      <c r="AQ123" s="8">
        <f t="shared" si="99"/>
        <v>0.74</v>
      </c>
      <c r="AR123" s="42">
        <f t="shared" ref="AR123:AR186" ca="1" si="117">ROUNDUP(_xlfn.NORM.INV(AP123,AQ$4*AQ123,AQ$6*AQ123),0)</f>
        <v>157</v>
      </c>
      <c r="AT123" s="43">
        <f t="shared" ca="1" si="11"/>
        <v>0.82466241405095708</v>
      </c>
      <c r="AU123" s="8">
        <f t="shared" si="100"/>
        <v>0.74</v>
      </c>
      <c r="AV123" s="42">
        <f t="shared" ref="AV123:AV186" ca="1" si="118">ROUNDUP(_xlfn.NORM.INV(AT123,AU$4*AU123,AU$6*AU123),0)</f>
        <v>190</v>
      </c>
      <c r="AX123" s="43">
        <f t="shared" ca="1" si="12"/>
        <v>0.79776910439274684</v>
      </c>
      <c r="AY123" s="8">
        <f t="shared" si="101"/>
        <v>0.74</v>
      </c>
      <c r="AZ123" s="42">
        <f t="shared" ref="AZ123:AZ186" ca="1" si="119">ROUNDUP(_xlfn.NORM.INV(AX123,AY$4*AY123,AY$6*AY123),0)</f>
        <v>212</v>
      </c>
      <c r="BB123" s="43">
        <f t="shared" ca="1" si="13"/>
        <v>0.74845419699331972</v>
      </c>
      <c r="BC123" s="8">
        <f t="shared" si="102"/>
        <v>0.74</v>
      </c>
      <c r="BD123" s="42">
        <f t="shared" ref="BD123:BD186" ca="1" si="120">ROUNDUP(_xlfn.NORM.INV(BB123,BC$4*BC123,BC$6*BC123),0)</f>
        <v>175</v>
      </c>
      <c r="BF123" s="43">
        <f t="shared" ca="1" si="14"/>
        <v>0.35519894189619394</v>
      </c>
      <c r="BG123" s="8">
        <f t="shared" si="103"/>
        <v>0.74</v>
      </c>
      <c r="BH123" s="42">
        <f t="shared" ref="BH123:BH186" ca="1" si="121">ROUNDUP(_xlfn.NORM.INV(BF123,BG$4*BG123,BG$6*BG123),0)</f>
        <v>113</v>
      </c>
      <c r="BJ123" s="43">
        <f t="shared" ca="1" si="15"/>
        <v>0.13450187351540599</v>
      </c>
      <c r="BK123" s="8">
        <f t="shared" si="104"/>
        <v>0.74</v>
      </c>
      <c r="BL123" s="42">
        <f t="shared" ref="BL123:BL186" ca="1" si="122">ROUNDUP(_xlfn.NORM.INV(BJ123,BK$4*BK123,BK$6*BK123),0)</f>
        <v>113</v>
      </c>
      <c r="BN123" s="43">
        <f t="shared" ca="1" si="16"/>
        <v>0.871382646487599</v>
      </c>
      <c r="BO123" s="8">
        <f t="shared" si="105"/>
        <v>0.74</v>
      </c>
      <c r="BP123" s="42">
        <f t="shared" ref="BP123:BP186" ca="1" si="123">ROUNDUP(_xlfn.NORM.INV(BN123,BO$4*BO123,BO$6*BO123),0)</f>
        <v>155</v>
      </c>
      <c r="BR123" s="43">
        <f t="shared" ca="1" si="17"/>
        <v>0.20340151532146966</v>
      </c>
      <c r="BS123" s="8">
        <f t="shared" si="106"/>
        <v>0.74</v>
      </c>
      <c r="BT123" s="42">
        <f t="shared" ref="BT123:BT186" ca="1" si="124">ROUNDUP(_xlfn.NORM.INV(BR123,BS$4*BS123,BS$6*BS123),0)</f>
        <v>127</v>
      </c>
    </row>
    <row r="124" spans="1:72" x14ac:dyDescent="0.2">
      <c r="A124" s="22">
        <v>44671</v>
      </c>
      <c r="B124" s="43">
        <f t="shared" ca="1" si="0"/>
        <v>0.65217998286727286</v>
      </c>
      <c r="C124" s="8">
        <f t="shared" si="89"/>
        <v>0.74</v>
      </c>
      <c r="D124" s="42">
        <f t="shared" ca="1" si="107"/>
        <v>80</v>
      </c>
      <c r="F124" s="43">
        <f t="shared" ca="1" si="1"/>
        <v>0.68825719514422856</v>
      </c>
      <c r="G124" s="8">
        <f t="shared" si="90"/>
        <v>0.74</v>
      </c>
      <c r="H124" s="42">
        <f t="shared" ca="1" si="108"/>
        <v>181</v>
      </c>
      <c r="J124" s="43">
        <f t="shared" ca="1" si="2"/>
        <v>2.775331281856297E-2</v>
      </c>
      <c r="K124" s="8">
        <f t="shared" si="91"/>
        <v>0.74</v>
      </c>
      <c r="L124" s="42">
        <f t="shared" ca="1" si="109"/>
        <v>55</v>
      </c>
      <c r="N124" s="43">
        <f t="shared" ca="1" si="3"/>
        <v>0.47832351065215084</v>
      </c>
      <c r="O124" s="8">
        <f t="shared" si="92"/>
        <v>0.74</v>
      </c>
      <c r="P124" s="42">
        <f t="shared" ca="1" si="110"/>
        <v>168</v>
      </c>
      <c r="R124" s="43">
        <f t="shared" ca="1" si="4"/>
        <v>2.6312170035922455E-2</v>
      </c>
      <c r="S124" s="8">
        <f t="shared" si="93"/>
        <v>0.74</v>
      </c>
      <c r="T124" s="42">
        <f t="shared" ca="1" si="111"/>
        <v>50</v>
      </c>
      <c r="V124" s="43">
        <f t="shared" ca="1" si="5"/>
        <v>0.44061820680947927</v>
      </c>
      <c r="W124" s="8">
        <f t="shared" si="94"/>
        <v>0.74</v>
      </c>
      <c r="X124" s="42">
        <f t="shared" ca="1" si="112"/>
        <v>160</v>
      </c>
      <c r="Z124" s="43">
        <f t="shared" ca="1" si="6"/>
        <v>0.29552103910509875</v>
      </c>
      <c r="AA124" s="8">
        <f t="shared" si="95"/>
        <v>0.74</v>
      </c>
      <c r="AB124" s="42">
        <f t="shared" ca="1" si="113"/>
        <v>172</v>
      </c>
      <c r="AD124" s="43">
        <f t="shared" ca="1" si="7"/>
        <v>0.43044245928544123</v>
      </c>
      <c r="AE124" s="8">
        <f t="shared" si="96"/>
        <v>0.74</v>
      </c>
      <c r="AF124" s="42">
        <f t="shared" ca="1" si="114"/>
        <v>231</v>
      </c>
      <c r="AH124" s="43">
        <f t="shared" ca="1" si="8"/>
        <v>0.26570440525511263</v>
      </c>
      <c r="AI124" s="8">
        <f t="shared" si="97"/>
        <v>0.74</v>
      </c>
      <c r="AJ124" s="42">
        <f t="shared" ca="1" si="115"/>
        <v>106</v>
      </c>
      <c r="AL124" s="43">
        <f t="shared" ca="1" si="9"/>
        <v>0.98311887383537866</v>
      </c>
      <c r="AM124" s="8">
        <f t="shared" si="98"/>
        <v>0.74</v>
      </c>
      <c r="AN124" s="42">
        <f t="shared" ca="1" si="116"/>
        <v>269</v>
      </c>
      <c r="AP124" s="43">
        <f t="shared" ca="1" si="10"/>
        <v>0.67535261016188275</v>
      </c>
      <c r="AQ124" s="8">
        <f t="shared" si="99"/>
        <v>0.74</v>
      </c>
      <c r="AR124" s="42">
        <f t="shared" ca="1" si="117"/>
        <v>165</v>
      </c>
      <c r="AT124" s="43">
        <f t="shared" ca="1" si="11"/>
        <v>0.85350028628194907</v>
      </c>
      <c r="AU124" s="8">
        <f t="shared" si="100"/>
        <v>0.74</v>
      </c>
      <c r="AV124" s="42">
        <f t="shared" ca="1" si="118"/>
        <v>195</v>
      </c>
      <c r="AX124" s="43">
        <f t="shared" ca="1" si="12"/>
        <v>0.49081330072036489</v>
      </c>
      <c r="AY124" s="8">
        <f t="shared" si="101"/>
        <v>0.74</v>
      </c>
      <c r="AZ124" s="42">
        <f t="shared" ca="1" si="119"/>
        <v>172</v>
      </c>
      <c r="BB124" s="43">
        <f t="shared" ca="1" si="13"/>
        <v>0.4428233907713538</v>
      </c>
      <c r="BC124" s="8">
        <f t="shared" si="102"/>
        <v>0.74</v>
      </c>
      <c r="BD124" s="42">
        <f t="shared" ca="1" si="120"/>
        <v>143</v>
      </c>
      <c r="BF124" s="43">
        <f t="shared" ca="1" si="14"/>
        <v>0.76107533236964864</v>
      </c>
      <c r="BG124" s="8">
        <f t="shared" si="103"/>
        <v>0.74</v>
      </c>
      <c r="BH124" s="42">
        <f t="shared" ca="1" si="121"/>
        <v>149</v>
      </c>
      <c r="BJ124" s="43">
        <f t="shared" ca="1" si="15"/>
        <v>0.34727592139838959</v>
      </c>
      <c r="BK124" s="8">
        <f t="shared" si="104"/>
        <v>0.74</v>
      </c>
      <c r="BL124" s="42">
        <f t="shared" ca="1" si="122"/>
        <v>143</v>
      </c>
      <c r="BN124" s="43">
        <f t="shared" ca="1" si="16"/>
        <v>0.87312108749919914</v>
      </c>
      <c r="BO124" s="8">
        <f t="shared" si="105"/>
        <v>0.74</v>
      </c>
      <c r="BP124" s="42">
        <f t="shared" ca="1" si="123"/>
        <v>156</v>
      </c>
      <c r="BR124" s="43">
        <f t="shared" ca="1" si="17"/>
        <v>0.26955632731340473</v>
      </c>
      <c r="BS124" s="8">
        <f t="shared" si="106"/>
        <v>0.74</v>
      </c>
      <c r="BT124" s="42">
        <f t="shared" ca="1" si="124"/>
        <v>136</v>
      </c>
    </row>
    <row r="125" spans="1:72" x14ac:dyDescent="0.2">
      <c r="A125" s="22">
        <v>44672</v>
      </c>
      <c r="B125" s="43">
        <f t="shared" ca="1" si="0"/>
        <v>0.40802701043484069</v>
      </c>
      <c r="C125" s="8">
        <f t="shared" si="89"/>
        <v>0.74</v>
      </c>
      <c r="D125" s="42">
        <f t="shared" ca="1" si="107"/>
        <v>71</v>
      </c>
      <c r="F125" s="43">
        <f t="shared" ca="1" si="1"/>
        <v>0.68270113385099351</v>
      </c>
      <c r="G125" s="8">
        <f t="shared" si="90"/>
        <v>0.74</v>
      </c>
      <c r="H125" s="42">
        <f t="shared" ca="1" si="108"/>
        <v>180</v>
      </c>
      <c r="J125" s="43">
        <f t="shared" ca="1" si="2"/>
        <v>0.11153212472487828</v>
      </c>
      <c r="K125" s="8">
        <f t="shared" si="91"/>
        <v>0.74</v>
      </c>
      <c r="L125" s="42">
        <f t="shared" ca="1" si="109"/>
        <v>75</v>
      </c>
      <c r="N125" s="43">
        <f t="shared" ca="1" si="3"/>
        <v>7.5030968815192001E-2</v>
      </c>
      <c r="O125" s="8">
        <f t="shared" si="92"/>
        <v>0.74</v>
      </c>
      <c r="P125" s="42">
        <f t="shared" ca="1" si="110"/>
        <v>105</v>
      </c>
      <c r="R125" s="43">
        <f t="shared" ca="1" si="4"/>
        <v>0.16511793503486094</v>
      </c>
      <c r="S125" s="8">
        <f t="shared" si="93"/>
        <v>0.74</v>
      </c>
      <c r="T125" s="42">
        <f t="shared" ca="1" si="111"/>
        <v>77</v>
      </c>
      <c r="V125" s="43">
        <f t="shared" ca="1" si="5"/>
        <v>0.61207025850895902</v>
      </c>
      <c r="W125" s="8">
        <f t="shared" si="94"/>
        <v>0.74</v>
      </c>
      <c r="X125" s="42">
        <f t="shared" ca="1" si="112"/>
        <v>180</v>
      </c>
      <c r="Z125" s="43">
        <f t="shared" ca="1" si="6"/>
        <v>0.44861484544757857</v>
      </c>
      <c r="AA125" s="8">
        <f t="shared" si="95"/>
        <v>0.74</v>
      </c>
      <c r="AB125" s="42">
        <f t="shared" ca="1" si="113"/>
        <v>193</v>
      </c>
      <c r="AD125" s="43">
        <f t="shared" ca="1" si="7"/>
        <v>0.39029110902741959</v>
      </c>
      <c r="AE125" s="8">
        <f t="shared" si="96"/>
        <v>0.74</v>
      </c>
      <c r="AF125" s="42">
        <f t="shared" ca="1" si="114"/>
        <v>225</v>
      </c>
      <c r="AH125" s="43">
        <f t="shared" ca="1" si="8"/>
        <v>0.23622203047302082</v>
      </c>
      <c r="AI125" s="8">
        <f t="shared" si="97"/>
        <v>0.74</v>
      </c>
      <c r="AJ125" s="42">
        <f t="shared" ca="1" si="115"/>
        <v>102</v>
      </c>
      <c r="AL125" s="43">
        <f t="shared" ca="1" si="9"/>
        <v>0.25748165567253078</v>
      </c>
      <c r="AM125" s="8">
        <f t="shared" si="98"/>
        <v>0.74</v>
      </c>
      <c r="AN125" s="42">
        <f t="shared" ca="1" si="116"/>
        <v>142</v>
      </c>
      <c r="AP125" s="43">
        <f t="shared" ca="1" si="10"/>
        <v>0.61740071977614119</v>
      </c>
      <c r="AQ125" s="8">
        <f t="shared" si="99"/>
        <v>0.74</v>
      </c>
      <c r="AR125" s="42">
        <f t="shared" ca="1" si="117"/>
        <v>159</v>
      </c>
      <c r="AT125" s="43">
        <f t="shared" ca="1" si="11"/>
        <v>0.48492878803960249</v>
      </c>
      <c r="AU125" s="8">
        <f t="shared" si="100"/>
        <v>0.74</v>
      </c>
      <c r="AV125" s="42">
        <f t="shared" ca="1" si="118"/>
        <v>151</v>
      </c>
      <c r="AX125" s="43">
        <f t="shared" ca="1" si="12"/>
        <v>0.38073852320176615</v>
      </c>
      <c r="AY125" s="8">
        <f t="shared" si="101"/>
        <v>0.74</v>
      </c>
      <c r="AZ125" s="42">
        <f t="shared" ca="1" si="119"/>
        <v>159</v>
      </c>
      <c r="BB125" s="43">
        <f t="shared" ca="1" si="13"/>
        <v>0.41139693789662768</v>
      </c>
      <c r="BC125" s="8">
        <f t="shared" si="102"/>
        <v>0.74</v>
      </c>
      <c r="BD125" s="42">
        <f t="shared" ca="1" si="120"/>
        <v>140</v>
      </c>
      <c r="BF125" s="43">
        <f t="shared" ca="1" si="14"/>
        <v>0.47422343781034892</v>
      </c>
      <c r="BG125" s="8">
        <f t="shared" si="103"/>
        <v>0.74</v>
      </c>
      <c r="BH125" s="42">
        <f t="shared" ca="1" si="121"/>
        <v>123</v>
      </c>
      <c r="BJ125" s="43">
        <f t="shared" ca="1" si="15"/>
        <v>0.13153186296792796</v>
      </c>
      <c r="BK125" s="8">
        <f t="shared" si="104"/>
        <v>0.74</v>
      </c>
      <c r="BL125" s="42">
        <f t="shared" ca="1" si="122"/>
        <v>112</v>
      </c>
      <c r="BN125" s="43">
        <f t="shared" ca="1" si="16"/>
        <v>0.31496455197820339</v>
      </c>
      <c r="BO125" s="8">
        <f t="shared" si="105"/>
        <v>0.74</v>
      </c>
      <c r="BP125" s="42">
        <f t="shared" ca="1" si="123"/>
        <v>104</v>
      </c>
      <c r="BR125" s="43">
        <f t="shared" ca="1" si="17"/>
        <v>0.69720669116306733</v>
      </c>
      <c r="BS125" s="8">
        <f t="shared" si="106"/>
        <v>0.74</v>
      </c>
      <c r="BT125" s="42">
        <f t="shared" ca="1" si="124"/>
        <v>185</v>
      </c>
    </row>
    <row r="126" spans="1:72" x14ac:dyDescent="0.2">
      <c r="A126" s="22">
        <v>44673</v>
      </c>
      <c r="B126" s="43">
        <f t="shared" ca="1" si="0"/>
        <v>0.48427059673591122</v>
      </c>
      <c r="C126" s="8">
        <f t="shared" si="89"/>
        <v>0.74</v>
      </c>
      <c r="D126" s="42">
        <f t="shared" ca="1" si="107"/>
        <v>74</v>
      </c>
      <c r="F126" s="43">
        <f t="shared" ca="1" si="1"/>
        <v>0.65196477830845145</v>
      </c>
      <c r="G126" s="8">
        <f t="shared" si="90"/>
        <v>0.74</v>
      </c>
      <c r="H126" s="42">
        <f t="shared" ca="1" si="108"/>
        <v>176</v>
      </c>
      <c r="J126" s="43">
        <f t="shared" ca="1" si="2"/>
        <v>0.87165837024620951</v>
      </c>
      <c r="K126" s="8">
        <f t="shared" si="91"/>
        <v>0.74</v>
      </c>
      <c r="L126" s="42">
        <f t="shared" ca="1" si="109"/>
        <v>145</v>
      </c>
      <c r="N126" s="43">
        <f t="shared" ca="1" si="3"/>
        <v>0.93274705654773715</v>
      </c>
      <c r="O126" s="8">
        <f t="shared" si="92"/>
        <v>0.74</v>
      </c>
      <c r="P126" s="42">
        <f t="shared" ca="1" si="110"/>
        <v>238</v>
      </c>
      <c r="R126" s="43">
        <f t="shared" ca="1" si="4"/>
        <v>0.94963929197388708</v>
      </c>
      <c r="S126" s="8">
        <f t="shared" si="93"/>
        <v>0.74</v>
      </c>
      <c r="T126" s="42">
        <f t="shared" ca="1" si="111"/>
        <v>148</v>
      </c>
      <c r="V126" s="43">
        <f t="shared" ca="1" si="5"/>
        <v>0.41220671793016128</v>
      </c>
      <c r="W126" s="8">
        <f t="shared" si="94"/>
        <v>0.74</v>
      </c>
      <c r="X126" s="42">
        <f t="shared" ca="1" si="112"/>
        <v>157</v>
      </c>
      <c r="Z126" s="43">
        <f t="shared" ca="1" si="6"/>
        <v>0.47786357030940807</v>
      </c>
      <c r="AA126" s="8">
        <f t="shared" si="95"/>
        <v>0.74</v>
      </c>
      <c r="AB126" s="42">
        <f t="shared" ca="1" si="113"/>
        <v>197</v>
      </c>
      <c r="AD126" s="43">
        <f t="shared" ca="1" si="7"/>
        <v>0.55738280997364176</v>
      </c>
      <c r="AE126" s="8">
        <f t="shared" si="96"/>
        <v>0.74</v>
      </c>
      <c r="AF126" s="42">
        <f t="shared" ca="1" si="114"/>
        <v>252</v>
      </c>
      <c r="AH126" s="43">
        <f t="shared" ca="1" si="8"/>
        <v>0.15657959564425394</v>
      </c>
      <c r="AI126" s="8">
        <f t="shared" si="97"/>
        <v>0.74</v>
      </c>
      <c r="AJ126" s="42">
        <f t="shared" ca="1" si="115"/>
        <v>93</v>
      </c>
      <c r="AL126" s="43">
        <f t="shared" ca="1" si="9"/>
        <v>0.32638026679750032</v>
      </c>
      <c r="AM126" s="8">
        <f t="shared" si="98"/>
        <v>0.74</v>
      </c>
      <c r="AN126" s="42">
        <f t="shared" ca="1" si="116"/>
        <v>152</v>
      </c>
      <c r="AP126" s="43">
        <f t="shared" ca="1" si="10"/>
        <v>0.2361973848817418</v>
      </c>
      <c r="AQ126" s="8">
        <f t="shared" si="99"/>
        <v>0.74</v>
      </c>
      <c r="AR126" s="42">
        <f t="shared" ca="1" si="117"/>
        <v>119</v>
      </c>
      <c r="AT126" s="43">
        <f t="shared" ca="1" si="11"/>
        <v>0.75195563579172864</v>
      </c>
      <c r="AU126" s="8">
        <f t="shared" si="100"/>
        <v>0.74</v>
      </c>
      <c r="AV126" s="42">
        <f t="shared" ca="1" si="118"/>
        <v>180</v>
      </c>
      <c r="AX126" s="43">
        <f t="shared" ca="1" si="12"/>
        <v>0.34698080778163287</v>
      </c>
      <c r="AY126" s="8">
        <f t="shared" si="101"/>
        <v>0.74</v>
      </c>
      <c r="AZ126" s="42">
        <f t="shared" ca="1" si="119"/>
        <v>155</v>
      </c>
      <c r="BB126" s="43">
        <f t="shared" ca="1" si="13"/>
        <v>0.18349498240482787</v>
      </c>
      <c r="BC126" s="8">
        <f t="shared" si="102"/>
        <v>0.74</v>
      </c>
      <c r="BD126" s="42">
        <f t="shared" ca="1" si="120"/>
        <v>113</v>
      </c>
      <c r="BF126" s="43">
        <f t="shared" ca="1" si="14"/>
        <v>0.6080655620301807</v>
      </c>
      <c r="BG126" s="8">
        <f t="shared" si="103"/>
        <v>0.74</v>
      </c>
      <c r="BH126" s="42">
        <f t="shared" ca="1" si="121"/>
        <v>134</v>
      </c>
      <c r="BJ126" s="43">
        <f t="shared" ca="1" si="15"/>
        <v>0.91524747575233401</v>
      </c>
      <c r="BK126" s="8">
        <f t="shared" si="104"/>
        <v>0.74</v>
      </c>
      <c r="BL126" s="42">
        <f t="shared" ca="1" si="122"/>
        <v>219</v>
      </c>
      <c r="BN126" s="43">
        <f t="shared" ca="1" si="16"/>
        <v>0.85180832689069652</v>
      </c>
      <c r="BO126" s="8">
        <f t="shared" si="105"/>
        <v>0.74</v>
      </c>
      <c r="BP126" s="42">
        <f t="shared" ca="1" si="123"/>
        <v>152</v>
      </c>
      <c r="BR126" s="43">
        <f t="shared" ca="1" si="17"/>
        <v>0.40471474104374927</v>
      </c>
      <c r="BS126" s="8">
        <f t="shared" si="106"/>
        <v>0.74</v>
      </c>
      <c r="BT126" s="42">
        <f t="shared" ca="1" si="124"/>
        <v>152</v>
      </c>
    </row>
    <row r="127" spans="1:72" x14ac:dyDescent="0.2">
      <c r="A127" s="22">
        <v>44674</v>
      </c>
      <c r="B127" s="43">
        <f t="shared" ca="1" si="0"/>
        <v>0.12892306901790884</v>
      </c>
      <c r="C127" s="8">
        <f t="shared" si="89"/>
        <v>0.74</v>
      </c>
      <c r="D127" s="42">
        <f t="shared" ca="1" si="107"/>
        <v>58</v>
      </c>
      <c r="F127" s="43">
        <f t="shared" ca="1" si="1"/>
        <v>0.27350140252186073</v>
      </c>
      <c r="G127" s="8">
        <f t="shared" si="90"/>
        <v>0.74</v>
      </c>
      <c r="H127" s="42">
        <f t="shared" ca="1" si="108"/>
        <v>134</v>
      </c>
      <c r="J127" s="43">
        <f t="shared" ca="1" si="2"/>
        <v>0.35094101940768785</v>
      </c>
      <c r="K127" s="8">
        <f t="shared" si="91"/>
        <v>0.74</v>
      </c>
      <c r="L127" s="42">
        <f t="shared" ca="1" si="109"/>
        <v>100</v>
      </c>
      <c r="N127" s="43">
        <f t="shared" ca="1" si="3"/>
        <v>0.26938392642476705</v>
      </c>
      <c r="O127" s="8">
        <f t="shared" si="92"/>
        <v>0.74</v>
      </c>
      <c r="P127" s="42">
        <f t="shared" ca="1" si="110"/>
        <v>142</v>
      </c>
      <c r="R127" s="43">
        <f t="shared" ca="1" si="4"/>
        <v>0.67992672466210569</v>
      </c>
      <c r="S127" s="8">
        <f t="shared" si="93"/>
        <v>0.74</v>
      </c>
      <c r="T127" s="42">
        <f t="shared" ca="1" si="111"/>
        <v>116</v>
      </c>
      <c r="V127" s="43">
        <f t="shared" ca="1" si="5"/>
        <v>0.66206602906529688</v>
      </c>
      <c r="W127" s="8">
        <f t="shared" si="94"/>
        <v>0.74</v>
      </c>
      <c r="X127" s="42">
        <f t="shared" ca="1" si="112"/>
        <v>186</v>
      </c>
      <c r="Z127" s="43">
        <f t="shared" ca="1" si="6"/>
        <v>0.13435723358318064</v>
      </c>
      <c r="AA127" s="8">
        <f t="shared" si="95"/>
        <v>0.74</v>
      </c>
      <c r="AB127" s="42">
        <f t="shared" ca="1" si="113"/>
        <v>141</v>
      </c>
      <c r="AD127" s="43">
        <f t="shared" ca="1" si="7"/>
        <v>0.24897022017484949</v>
      </c>
      <c r="AE127" s="8">
        <f t="shared" si="96"/>
        <v>0.74</v>
      </c>
      <c r="AF127" s="42">
        <f t="shared" ca="1" si="114"/>
        <v>199</v>
      </c>
      <c r="AH127" s="43">
        <f t="shared" ca="1" si="8"/>
        <v>0.10830139045498455</v>
      </c>
      <c r="AI127" s="8">
        <f t="shared" si="97"/>
        <v>0.74</v>
      </c>
      <c r="AJ127" s="42">
        <f t="shared" ca="1" si="115"/>
        <v>85</v>
      </c>
      <c r="AL127" s="43">
        <f t="shared" ca="1" si="9"/>
        <v>0.52916203257854189</v>
      </c>
      <c r="AM127" s="8">
        <f t="shared" si="98"/>
        <v>0.74</v>
      </c>
      <c r="AN127" s="42">
        <f t="shared" ca="1" si="116"/>
        <v>176</v>
      </c>
      <c r="AP127" s="43">
        <f t="shared" ca="1" si="10"/>
        <v>0.15066261161737748</v>
      </c>
      <c r="AQ127" s="8">
        <f t="shared" si="99"/>
        <v>0.74</v>
      </c>
      <c r="AR127" s="42">
        <f t="shared" ca="1" si="117"/>
        <v>107</v>
      </c>
      <c r="AT127" s="43">
        <f t="shared" ca="1" si="11"/>
        <v>0.59820484339578972</v>
      </c>
      <c r="AU127" s="8">
        <f t="shared" si="100"/>
        <v>0.74</v>
      </c>
      <c r="AV127" s="42">
        <f t="shared" ca="1" si="118"/>
        <v>163</v>
      </c>
      <c r="AX127" s="43">
        <f t="shared" ca="1" si="12"/>
        <v>5.6421592511707974E-2</v>
      </c>
      <c r="AY127" s="8">
        <f t="shared" si="101"/>
        <v>0.74</v>
      </c>
      <c r="AZ127" s="42">
        <f t="shared" ca="1" si="119"/>
        <v>100</v>
      </c>
      <c r="BB127" s="43">
        <f t="shared" ca="1" si="13"/>
        <v>0.90888751361575115</v>
      </c>
      <c r="BC127" s="8">
        <f t="shared" si="102"/>
        <v>0.74</v>
      </c>
      <c r="BD127" s="42">
        <f t="shared" ca="1" si="120"/>
        <v>202</v>
      </c>
      <c r="BF127" s="43">
        <f t="shared" ca="1" si="14"/>
        <v>0.7891351243839011</v>
      </c>
      <c r="BG127" s="8">
        <f t="shared" si="103"/>
        <v>0.74</v>
      </c>
      <c r="BH127" s="42">
        <f t="shared" ca="1" si="121"/>
        <v>152</v>
      </c>
      <c r="BJ127" s="43">
        <f t="shared" ca="1" si="15"/>
        <v>0.62103029254681574</v>
      </c>
      <c r="BK127" s="8">
        <f t="shared" si="104"/>
        <v>0.74</v>
      </c>
      <c r="BL127" s="42">
        <f t="shared" ca="1" si="122"/>
        <v>173</v>
      </c>
      <c r="BN127" s="43">
        <f t="shared" ca="1" si="16"/>
        <v>0.93705748476861417</v>
      </c>
      <c r="BO127" s="8">
        <f t="shared" si="105"/>
        <v>0.74</v>
      </c>
      <c r="BP127" s="42">
        <f t="shared" ca="1" si="123"/>
        <v>168</v>
      </c>
      <c r="BR127" s="43">
        <f t="shared" ca="1" si="17"/>
        <v>0.5824990205020022</v>
      </c>
      <c r="BS127" s="8">
        <f t="shared" si="106"/>
        <v>0.74</v>
      </c>
      <c r="BT127" s="42">
        <f t="shared" ca="1" si="124"/>
        <v>172</v>
      </c>
    </row>
    <row r="128" spans="1:72" x14ac:dyDescent="0.2">
      <c r="A128" s="22">
        <v>44675</v>
      </c>
      <c r="B128" s="43">
        <f t="shared" ca="1" si="0"/>
        <v>0.51497595476247982</v>
      </c>
      <c r="C128" s="8">
        <f t="shared" si="89"/>
        <v>0.74</v>
      </c>
      <c r="D128" s="42">
        <f t="shared" ca="1" si="107"/>
        <v>75</v>
      </c>
      <c r="F128" s="43">
        <f t="shared" ca="1" si="1"/>
        <v>0.99806223172940556</v>
      </c>
      <c r="G128" s="8">
        <f t="shared" si="90"/>
        <v>0.74</v>
      </c>
      <c r="H128" s="42">
        <f t="shared" ca="1" si="108"/>
        <v>283</v>
      </c>
      <c r="J128" s="43">
        <f t="shared" ca="1" si="2"/>
        <v>0.38998738863567251</v>
      </c>
      <c r="K128" s="8">
        <f t="shared" si="91"/>
        <v>0.74</v>
      </c>
      <c r="L128" s="42">
        <f t="shared" ca="1" si="109"/>
        <v>103</v>
      </c>
      <c r="N128" s="43">
        <f t="shared" ca="1" si="3"/>
        <v>6.0626112949251465E-2</v>
      </c>
      <c r="O128" s="8">
        <f t="shared" si="92"/>
        <v>0.74</v>
      </c>
      <c r="P128" s="42">
        <f t="shared" ca="1" si="110"/>
        <v>100</v>
      </c>
      <c r="R128" s="43">
        <f t="shared" ca="1" si="4"/>
        <v>0.99421546309950593</v>
      </c>
      <c r="S128" s="8">
        <f t="shared" si="93"/>
        <v>0.74</v>
      </c>
      <c r="T128" s="42">
        <f t="shared" ca="1" si="111"/>
        <v>172</v>
      </c>
      <c r="V128" s="43">
        <f t="shared" ca="1" si="5"/>
        <v>0.23287138286443088</v>
      </c>
      <c r="W128" s="8">
        <f t="shared" si="94"/>
        <v>0.74</v>
      </c>
      <c r="X128" s="42">
        <f t="shared" ca="1" si="112"/>
        <v>135</v>
      </c>
      <c r="Z128" s="43">
        <f t="shared" ca="1" si="6"/>
        <v>0.13323026257433457</v>
      </c>
      <c r="AA128" s="8">
        <f t="shared" si="95"/>
        <v>0.74</v>
      </c>
      <c r="AB128" s="42">
        <f t="shared" ca="1" si="113"/>
        <v>141</v>
      </c>
      <c r="AD128" s="43">
        <f t="shared" ca="1" si="7"/>
        <v>5.0300534458883051E-2</v>
      </c>
      <c r="AE128" s="8">
        <f t="shared" si="96"/>
        <v>0.74</v>
      </c>
      <c r="AF128" s="42">
        <f t="shared" ca="1" si="114"/>
        <v>137</v>
      </c>
      <c r="AH128" s="43">
        <f t="shared" ca="1" si="8"/>
        <v>0.36720704686889583</v>
      </c>
      <c r="AI128" s="8">
        <f t="shared" si="97"/>
        <v>0.74</v>
      </c>
      <c r="AJ128" s="42">
        <f t="shared" ca="1" si="115"/>
        <v>115</v>
      </c>
      <c r="AL128" s="43">
        <f t="shared" ca="1" si="9"/>
        <v>0.15604885024392523</v>
      </c>
      <c r="AM128" s="8">
        <f t="shared" si="98"/>
        <v>0.74</v>
      </c>
      <c r="AN128" s="42">
        <f t="shared" ca="1" si="116"/>
        <v>126</v>
      </c>
      <c r="AP128" s="43">
        <f t="shared" ca="1" si="10"/>
        <v>0.61630326527858792</v>
      </c>
      <c r="AQ128" s="8">
        <f t="shared" si="99"/>
        <v>0.74</v>
      </c>
      <c r="AR128" s="42">
        <f t="shared" ca="1" si="117"/>
        <v>159</v>
      </c>
      <c r="AT128" s="43">
        <f t="shared" ca="1" si="11"/>
        <v>0.3926455087388846</v>
      </c>
      <c r="AU128" s="8">
        <f t="shared" si="100"/>
        <v>0.74</v>
      </c>
      <c r="AV128" s="42">
        <f t="shared" ca="1" si="118"/>
        <v>142</v>
      </c>
      <c r="AX128" s="43">
        <f t="shared" ca="1" si="12"/>
        <v>0.91139644576073164</v>
      </c>
      <c r="AY128" s="8">
        <f t="shared" si="101"/>
        <v>0.74</v>
      </c>
      <c r="AZ128" s="42">
        <f t="shared" ca="1" si="119"/>
        <v>236</v>
      </c>
      <c r="BB128" s="43">
        <f t="shared" ca="1" si="13"/>
        <v>0.45116884503860366</v>
      </c>
      <c r="BC128" s="8">
        <f t="shared" si="102"/>
        <v>0.74</v>
      </c>
      <c r="BD128" s="42">
        <f t="shared" ca="1" si="120"/>
        <v>144</v>
      </c>
      <c r="BF128" s="43">
        <f t="shared" ca="1" si="14"/>
        <v>0.6444386534513995</v>
      </c>
      <c r="BG128" s="8">
        <f t="shared" si="103"/>
        <v>0.74</v>
      </c>
      <c r="BH128" s="42">
        <f t="shared" ca="1" si="121"/>
        <v>138</v>
      </c>
      <c r="BJ128" s="43">
        <f t="shared" ca="1" si="15"/>
        <v>0.68283420976228026</v>
      </c>
      <c r="BK128" s="8">
        <f t="shared" si="104"/>
        <v>0.74</v>
      </c>
      <c r="BL128" s="42">
        <f t="shared" ca="1" si="122"/>
        <v>180</v>
      </c>
      <c r="BN128" s="43">
        <f t="shared" ca="1" si="16"/>
        <v>0.43023437843002665</v>
      </c>
      <c r="BO128" s="8">
        <f t="shared" si="105"/>
        <v>0.74</v>
      </c>
      <c r="BP128" s="42">
        <f t="shared" ca="1" si="123"/>
        <v>114</v>
      </c>
      <c r="BR128" s="43">
        <f t="shared" ca="1" si="17"/>
        <v>0.25724334722672137</v>
      </c>
      <c r="BS128" s="8">
        <f t="shared" si="106"/>
        <v>0.74</v>
      </c>
      <c r="BT128" s="42">
        <f t="shared" ca="1" si="124"/>
        <v>135</v>
      </c>
    </row>
    <row r="129" spans="1:72" x14ac:dyDescent="0.2">
      <c r="A129" s="22">
        <v>44676</v>
      </c>
      <c r="B129" s="43">
        <f t="shared" ca="1" si="0"/>
        <v>0.32391239707449826</v>
      </c>
      <c r="C129" s="8">
        <f t="shared" si="89"/>
        <v>0.74</v>
      </c>
      <c r="D129" s="42">
        <f t="shared" ca="1" si="107"/>
        <v>68</v>
      </c>
      <c r="F129" s="43">
        <f t="shared" ca="1" si="1"/>
        <v>3.8150915845912903E-2</v>
      </c>
      <c r="G129" s="8">
        <f t="shared" si="90"/>
        <v>0.74</v>
      </c>
      <c r="H129" s="42">
        <f t="shared" ca="1" si="108"/>
        <v>85</v>
      </c>
      <c r="J129" s="43">
        <f t="shared" ca="1" si="2"/>
        <v>0.9313290794475515</v>
      </c>
      <c r="K129" s="8">
        <f t="shared" si="91"/>
        <v>0.74</v>
      </c>
      <c r="L129" s="42">
        <f t="shared" ca="1" si="109"/>
        <v>155</v>
      </c>
      <c r="N129" s="43">
        <f t="shared" ca="1" si="3"/>
        <v>0.79209544983886282</v>
      </c>
      <c r="O129" s="8">
        <f t="shared" si="92"/>
        <v>0.74</v>
      </c>
      <c r="P129" s="42">
        <f t="shared" ca="1" si="110"/>
        <v>207</v>
      </c>
      <c r="R129" s="43">
        <f t="shared" ca="1" si="4"/>
        <v>0.81779613374315596</v>
      </c>
      <c r="S129" s="8">
        <f t="shared" si="93"/>
        <v>0.74</v>
      </c>
      <c r="T129" s="42">
        <f t="shared" ca="1" si="111"/>
        <v>128</v>
      </c>
      <c r="V129" s="43">
        <f t="shared" ca="1" si="5"/>
        <v>0.18464774185987221</v>
      </c>
      <c r="W129" s="8">
        <f t="shared" si="94"/>
        <v>0.74</v>
      </c>
      <c r="X129" s="42">
        <f t="shared" ca="1" si="112"/>
        <v>127</v>
      </c>
      <c r="Z129" s="43">
        <f t="shared" ca="1" si="6"/>
        <v>0.11653925809635191</v>
      </c>
      <c r="AA129" s="8">
        <f t="shared" si="95"/>
        <v>0.74</v>
      </c>
      <c r="AB129" s="42">
        <f t="shared" ca="1" si="113"/>
        <v>137</v>
      </c>
      <c r="AD129" s="43">
        <f t="shared" ca="1" si="7"/>
        <v>0.37835545505518209</v>
      </c>
      <c r="AE129" s="8">
        <f t="shared" si="96"/>
        <v>0.74</v>
      </c>
      <c r="AF129" s="42">
        <f t="shared" ca="1" si="114"/>
        <v>222</v>
      </c>
      <c r="AH129" s="43">
        <f t="shared" ca="1" si="8"/>
        <v>0.15862757423407348</v>
      </c>
      <c r="AI129" s="8">
        <f t="shared" si="97"/>
        <v>0.74</v>
      </c>
      <c r="AJ129" s="42">
        <f t="shared" ca="1" si="115"/>
        <v>93</v>
      </c>
      <c r="AL129" s="43">
        <f t="shared" ca="1" si="9"/>
        <v>0.80780045754716057</v>
      </c>
      <c r="AM129" s="8">
        <f t="shared" si="98"/>
        <v>0.74</v>
      </c>
      <c r="AN129" s="42">
        <f t="shared" ca="1" si="116"/>
        <v>212</v>
      </c>
      <c r="AP129" s="43">
        <f t="shared" ca="1" si="10"/>
        <v>0.27881206699913907</v>
      </c>
      <c r="AQ129" s="8">
        <f t="shared" si="99"/>
        <v>0.74</v>
      </c>
      <c r="AR129" s="42">
        <f t="shared" ca="1" si="117"/>
        <v>124</v>
      </c>
      <c r="AT129" s="43">
        <f t="shared" ca="1" si="11"/>
        <v>0.31223083019464193</v>
      </c>
      <c r="AU129" s="8">
        <f t="shared" si="100"/>
        <v>0.74</v>
      </c>
      <c r="AV129" s="42">
        <f t="shared" ca="1" si="118"/>
        <v>133</v>
      </c>
      <c r="AX129" s="43">
        <f t="shared" ca="1" si="12"/>
        <v>0.78019568021617569</v>
      </c>
      <c r="AY129" s="8">
        <f t="shared" si="101"/>
        <v>0.74</v>
      </c>
      <c r="AZ129" s="42">
        <f t="shared" ca="1" si="119"/>
        <v>209</v>
      </c>
      <c r="BB129" s="43">
        <f t="shared" ca="1" si="13"/>
        <v>0.56027799204895068</v>
      </c>
      <c r="BC129" s="8">
        <f t="shared" si="102"/>
        <v>0.74</v>
      </c>
      <c r="BD129" s="42">
        <f t="shared" ca="1" si="120"/>
        <v>155</v>
      </c>
      <c r="BF129" s="43">
        <f t="shared" ca="1" si="14"/>
        <v>0.2119050575287178</v>
      </c>
      <c r="BG129" s="8">
        <f t="shared" si="103"/>
        <v>0.74</v>
      </c>
      <c r="BH129" s="42">
        <f t="shared" ca="1" si="121"/>
        <v>99</v>
      </c>
      <c r="BJ129" s="43">
        <f t="shared" ca="1" si="15"/>
        <v>0.4188424430407538</v>
      </c>
      <c r="BK129" s="8">
        <f t="shared" si="104"/>
        <v>0.74</v>
      </c>
      <c r="BL129" s="42">
        <f t="shared" ca="1" si="122"/>
        <v>151</v>
      </c>
      <c r="BN129" s="43">
        <f t="shared" ca="1" si="16"/>
        <v>0.20986308812986199</v>
      </c>
      <c r="BO129" s="8">
        <f t="shared" si="105"/>
        <v>0.74</v>
      </c>
      <c r="BP129" s="42">
        <f t="shared" ca="1" si="123"/>
        <v>94</v>
      </c>
      <c r="BR129" s="43">
        <f t="shared" ca="1" si="17"/>
        <v>0.70542955422093911</v>
      </c>
      <c r="BS129" s="8">
        <f t="shared" si="106"/>
        <v>0.74</v>
      </c>
      <c r="BT129" s="42">
        <f t="shared" ca="1" si="124"/>
        <v>186</v>
      </c>
    </row>
    <row r="130" spans="1:72" x14ac:dyDescent="0.2">
      <c r="A130" s="22">
        <v>44677</v>
      </c>
      <c r="B130" s="43">
        <f t="shared" ca="1" si="0"/>
        <v>0.83629853905917118</v>
      </c>
      <c r="C130" s="8">
        <f t="shared" si="89"/>
        <v>0.74</v>
      </c>
      <c r="D130" s="42">
        <f t="shared" ca="1" si="107"/>
        <v>89</v>
      </c>
      <c r="F130" s="43">
        <f t="shared" ca="1" si="1"/>
        <v>5.0603891480779373E-3</v>
      </c>
      <c r="G130" s="8">
        <f t="shared" si="90"/>
        <v>0.74</v>
      </c>
      <c r="H130" s="42">
        <f t="shared" ca="1" si="108"/>
        <v>51</v>
      </c>
      <c r="J130" s="43">
        <f t="shared" ca="1" si="2"/>
        <v>0.85310885683659954</v>
      </c>
      <c r="K130" s="8">
        <f t="shared" si="91"/>
        <v>0.74</v>
      </c>
      <c r="L130" s="42">
        <f t="shared" ca="1" si="109"/>
        <v>143</v>
      </c>
      <c r="N130" s="43">
        <f t="shared" ca="1" si="3"/>
        <v>0.60484218895827235</v>
      </c>
      <c r="O130" s="8">
        <f t="shared" si="92"/>
        <v>0.74</v>
      </c>
      <c r="P130" s="42">
        <f t="shared" ca="1" si="110"/>
        <v>182</v>
      </c>
      <c r="R130" s="43">
        <f t="shared" ca="1" si="4"/>
        <v>0.12299383943545872</v>
      </c>
      <c r="S130" s="8">
        <f t="shared" si="93"/>
        <v>0.74</v>
      </c>
      <c r="T130" s="42">
        <f t="shared" ca="1" si="111"/>
        <v>71</v>
      </c>
      <c r="V130" s="43">
        <f t="shared" ca="1" si="5"/>
        <v>0.74277409392611993</v>
      </c>
      <c r="W130" s="8">
        <f t="shared" si="94"/>
        <v>0.74</v>
      </c>
      <c r="X130" s="42">
        <f t="shared" ca="1" si="112"/>
        <v>196</v>
      </c>
      <c r="Z130" s="43">
        <f t="shared" ca="1" si="6"/>
        <v>0.56806487580291509</v>
      </c>
      <c r="AA130" s="8">
        <f t="shared" si="95"/>
        <v>0.74</v>
      </c>
      <c r="AB130" s="42">
        <f t="shared" ca="1" si="113"/>
        <v>209</v>
      </c>
      <c r="AD130" s="43">
        <f t="shared" ca="1" si="7"/>
        <v>0.89169632490611572</v>
      </c>
      <c r="AE130" s="8">
        <f t="shared" si="96"/>
        <v>0.74</v>
      </c>
      <c r="AF130" s="42">
        <f t="shared" ca="1" si="114"/>
        <v>322</v>
      </c>
      <c r="AH130" s="43">
        <f t="shared" ca="1" si="8"/>
        <v>0.24731570258240443</v>
      </c>
      <c r="AI130" s="8">
        <f t="shared" si="97"/>
        <v>0.74</v>
      </c>
      <c r="AJ130" s="42">
        <f t="shared" ca="1" si="115"/>
        <v>104</v>
      </c>
      <c r="AL130" s="43">
        <f t="shared" ca="1" si="9"/>
        <v>3.807387555590902E-2</v>
      </c>
      <c r="AM130" s="8">
        <f t="shared" si="98"/>
        <v>0.74</v>
      </c>
      <c r="AN130" s="42">
        <f t="shared" ca="1" si="116"/>
        <v>91</v>
      </c>
      <c r="AP130" s="43">
        <f t="shared" ca="1" si="10"/>
        <v>0.76716580792866473</v>
      </c>
      <c r="AQ130" s="8">
        <f t="shared" si="99"/>
        <v>0.74</v>
      </c>
      <c r="AR130" s="42">
        <f t="shared" ca="1" si="117"/>
        <v>176</v>
      </c>
      <c r="AT130" s="43">
        <f t="shared" ca="1" si="11"/>
        <v>0.1984763539102703</v>
      </c>
      <c r="AU130" s="8">
        <f t="shared" si="100"/>
        <v>0.74</v>
      </c>
      <c r="AV130" s="42">
        <f t="shared" ca="1" si="118"/>
        <v>118</v>
      </c>
      <c r="AX130" s="43">
        <f t="shared" ca="1" si="12"/>
        <v>0.5855722105579797</v>
      </c>
      <c r="AY130" s="8">
        <f t="shared" si="101"/>
        <v>0.74</v>
      </c>
      <c r="AZ130" s="42">
        <f t="shared" ca="1" si="119"/>
        <v>183</v>
      </c>
      <c r="BB130" s="43">
        <f t="shared" ca="1" si="13"/>
        <v>0.48918674475597546</v>
      </c>
      <c r="BC130" s="8">
        <f t="shared" si="102"/>
        <v>0.74</v>
      </c>
      <c r="BD130" s="42">
        <f t="shared" ca="1" si="120"/>
        <v>148</v>
      </c>
      <c r="BF130" s="43">
        <f t="shared" ca="1" si="14"/>
        <v>7.6402185636027853E-2</v>
      </c>
      <c r="BG130" s="8">
        <f t="shared" si="103"/>
        <v>0.74</v>
      </c>
      <c r="BH130" s="42">
        <f t="shared" ca="1" si="121"/>
        <v>78</v>
      </c>
      <c r="BJ130" s="43">
        <f t="shared" ca="1" si="15"/>
        <v>0.35982037754353802</v>
      </c>
      <c r="BK130" s="8">
        <f t="shared" si="104"/>
        <v>0.74</v>
      </c>
      <c r="BL130" s="42">
        <f t="shared" ca="1" si="122"/>
        <v>145</v>
      </c>
      <c r="BN130" s="43">
        <f t="shared" ca="1" si="16"/>
        <v>0.94011486939314126</v>
      </c>
      <c r="BO130" s="8">
        <f t="shared" si="105"/>
        <v>0.74</v>
      </c>
      <c r="BP130" s="42">
        <f t="shared" ca="1" si="123"/>
        <v>169</v>
      </c>
      <c r="BR130" s="43">
        <f t="shared" ca="1" si="17"/>
        <v>2.8881273457565748E-2</v>
      </c>
      <c r="BS130" s="8">
        <f t="shared" si="106"/>
        <v>0.74</v>
      </c>
      <c r="BT130" s="42">
        <f t="shared" ca="1" si="124"/>
        <v>81</v>
      </c>
    </row>
    <row r="131" spans="1:72" x14ac:dyDescent="0.2">
      <c r="A131" s="22">
        <v>44678</v>
      </c>
      <c r="B131" s="43">
        <f t="shared" ca="1" si="0"/>
        <v>0.83198709121893333</v>
      </c>
      <c r="C131" s="8">
        <f t="shared" si="89"/>
        <v>0.74</v>
      </c>
      <c r="D131" s="42">
        <f t="shared" ca="1" si="107"/>
        <v>89</v>
      </c>
      <c r="F131" s="43">
        <f t="shared" ca="1" si="1"/>
        <v>0.78779219428284941</v>
      </c>
      <c r="G131" s="8">
        <f t="shared" si="90"/>
        <v>0.74</v>
      </c>
      <c r="H131" s="42">
        <f t="shared" ca="1" si="108"/>
        <v>194</v>
      </c>
      <c r="J131" s="43">
        <f t="shared" ca="1" si="2"/>
        <v>0.31196175841755935</v>
      </c>
      <c r="K131" s="8">
        <f t="shared" si="91"/>
        <v>0.74</v>
      </c>
      <c r="L131" s="42">
        <f t="shared" ca="1" si="109"/>
        <v>97</v>
      </c>
      <c r="N131" s="43">
        <f t="shared" ca="1" si="3"/>
        <v>0.13894428874338038</v>
      </c>
      <c r="O131" s="8">
        <f t="shared" si="92"/>
        <v>0.74</v>
      </c>
      <c r="P131" s="42">
        <f t="shared" ca="1" si="110"/>
        <v>121</v>
      </c>
      <c r="R131" s="43">
        <f t="shared" ca="1" si="4"/>
        <v>0.39844222963079157</v>
      </c>
      <c r="S131" s="8">
        <f t="shared" si="93"/>
        <v>0.74</v>
      </c>
      <c r="T131" s="42">
        <f t="shared" ca="1" si="111"/>
        <v>96</v>
      </c>
      <c r="V131" s="43">
        <f t="shared" ca="1" si="5"/>
        <v>0.29636704479636056</v>
      </c>
      <c r="W131" s="8">
        <f t="shared" si="94"/>
        <v>0.74</v>
      </c>
      <c r="X131" s="42">
        <f t="shared" ca="1" si="112"/>
        <v>143</v>
      </c>
      <c r="Z131" s="43">
        <f t="shared" ca="1" si="6"/>
        <v>0.98439785824832216</v>
      </c>
      <c r="AA131" s="8">
        <f t="shared" si="95"/>
        <v>0.74</v>
      </c>
      <c r="AB131" s="42">
        <f t="shared" ca="1" si="113"/>
        <v>315</v>
      </c>
      <c r="AD131" s="43">
        <f t="shared" ca="1" si="7"/>
        <v>0.40812761863660363</v>
      </c>
      <c r="AE131" s="8">
        <f t="shared" si="96"/>
        <v>0.74</v>
      </c>
      <c r="AF131" s="42">
        <f t="shared" ca="1" si="114"/>
        <v>227</v>
      </c>
      <c r="AH131" s="43">
        <f t="shared" ca="1" si="8"/>
        <v>9.7861610026618973E-2</v>
      </c>
      <c r="AI131" s="8">
        <f t="shared" si="97"/>
        <v>0.74</v>
      </c>
      <c r="AJ131" s="42">
        <f t="shared" ca="1" si="115"/>
        <v>83</v>
      </c>
      <c r="AL131" s="43">
        <f t="shared" ca="1" si="9"/>
        <v>0.26810399720010913</v>
      </c>
      <c r="AM131" s="8">
        <f t="shared" si="98"/>
        <v>0.74</v>
      </c>
      <c r="AN131" s="42">
        <f t="shared" ca="1" si="116"/>
        <v>144</v>
      </c>
      <c r="AP131" s="43">
        <f t="shared" ca="1" si="10"/>
        <v>0.56616950531115406</v>
      </c>
      <c r="AQ131" s="8">
        <f t="shared" si="99"/>
        <v>0.74</v>
      </c>
      <c r="AR131" s="42">
        <f t="shared" ca="1" si="117"/>
        <v>154</v>
      </c>
      <c r="AT131" s="43">
        <f t="shared" ca="1" si="11"/>
        <v>0.21591679496752669</v>
      </c>
      <c r="AU131" s="8">
        <f t="shared" si="100"/>
        <v>0.74</v>
      </c>
      <c r="AV131" s="42">
        <f t="shared" ca="1" si="118"/>
        <v>121</v>
      </c>
      <c r="AX131" s="43">
        <f t="shared" ca="1" si="12"/>
        <v>1.6848396788707642E-2</v>
      </c>
      <c r="AY131" s="8">
        <f t="shared" si="101"/>
        <v>0.74</v>
      </c>
      <c r="AZ131" s="42">
        <f t="shared" ca="1" si="119"/>
        <v>75</v>
      </c>
      <c r="BB131" s="43">
        <f t="shared" ca="1" si="13"/>
        <v>0.68522090470409691</v>
      </c>
      <c r="BC131" s="8">
        <f t="shared" si="102"/>
        <v>0.74</v>
      </c>
      <c r="BD131" s="42">
        <f t="shared" ca="1" si="120"/>
        <v>168</v>
      </c>
      <c r="BF131" s="43">
        <f t="shared" ca="1" si="14"/>
        <v>0.18470412472345399</v>
      </c>
      <c r="BG131" s="8">
        <f t="shared" si="103"/>
        <v>0.74</v>
      </c>
      <c r="BH131" s="42">
        <f t="shared" ca="1" si="121"/>
        <v>95</v>
      </c>
      <c r="BJ131" s="43">
        <f t="shared" ca="1" si="15"/>
        <v>0.59072213672807428</v>
      </c>
      <c r="BK131" s="8">
        <f t="shared" si="104"/>
        <v>0.74</v>
      </c>
      <c r="BL131" s="42">
        <f t="shared" ca="1" si="122"/>
        <v>170</v>
      </c>
      <c r="BN131" s="43">
        <f t="shared" ca="1" si="16"/>
        <v>0.73776786139589756</v>
      </c>
      <c r="BO131" s="8">
        <f t="shared" si="105"/>
        <v>0.74</v>
      </c>
      <c r="BP131" s="42">
        <f t="shared" ca="1" si="123"/>
        <v>140</v>
      </c>
      <c r="BR131" s="43">
        <f t="shared" ca="1" si="17"/>
        <v>0.77375977196442647</v>
      </c>
      <c r="BS131" s="8">
        <f t="shared" si="106"/>
        <v>0.74</v>
      </c>
      <c r="BT131" s="42">
        <f t="shared" ca="1" si="124"/>
        <v>195</v>
      </c>
    </row>
    <row r="132" spans="1:72" x14ac:dyDescent="0.2">
      <c r="A132" s="22">
        <v>44679</v>
      </c>
      <c r="B132" s="43">
        <f t="shared" ca="1" si="0"/>
        <v>0.86076660599271404</v>
      </c>
      <c r="C132" s="8">
        <f t="shared" si="89"/>
        <v>0.74</v>
      </c>
      <c r="D132" s="42">
        <f t="shared" ca="1" si="107"/>
        <v>91</v>
      </c>
      <c r="F132" s="43">
        <f t="shared" ca="1" si="1"/>
        <v>4.4910834768630115E-2</v>
      </c>
      <c r="G132" s="8">
        <f t="shared" si="90"/>
        <v>0.74</v>
      </c>
      <c r="H132" s="42">
        <f t="shared" ca="1" si="108"/>
        <v>88</v>
      </c>
      <c r="J132" s="43">
        <f t="shared" ca="1" si="2"/>
        <v>0.42360764524914973</v>
      </c>
      <c r="K132" s="8">
        <f t="shared" si="91"/>
        <v>0.74</v>
      </c>
      <c r="L132" s="42">
        <f t="shared" ca="1" si="109"/>
        <v>106</v>
      </c>
      <c r="N132" s="43">
        <f t="shared" ca="1" si="3"/>
        <v>0.10097840599720243</v>
      </c>
      <c r="O132" s="8">
        <f t="shared" si="92"/>
        <v>0.74</v>
      </c>
      <c r="P132" s="42">
        <f t="shared" ca="1" si="110"/>
        <v>112</v>
      </c>
      <c r="R132" s="43">
        <f t="shared" ca="1" si="4"/>
        <v>0.6457633432035369</v>
      </c>
      <c r="S132" s="8">
        <f t="shared" si="93"/>
        <v>0.74</v>
      </c>
      <c r="T132" s="42">
        <f t="shared" ca="1" si="111"/>
        <v>113</v>
      </c>
      <c r="V132" s="43">
        <f t="shared" ca="1" si="5"/>
        <v>0.76191172384340522</v>
      </c>
      <c r="W132" s="8">
        <f t="shared" si="94"/>
        <v>0.74</v>
      </c>
      <c r="X132" s="42">
        <f t="shared" ca="1" si="112"/>
        <v>199</v>
      </c>
      <c r="Z132" s="43">
        <f t="shared" ca="1" si="6"/>
        <v>0.70023312462752563</v>
      </c>
      <c r="AA132" s="8">
        <f t="shared" si="95"/>
        <v>0.74</v>
      </c>
      <c r="AB132" s="42">
        <f t="shared" ca="1" si="113"/>
        <v>228</v>
      </c>
      <c r="AD132" s="43">
        <f t="shared" ca="1" si="7"/>
        <v>0.63851759364504412</v>
      </c>
      <c r="AE132" s="8">
        <f t="shared" si="96"/>
        <v>0.74</v>
      </c>
      <c r="AF132" s="42">
        <f t="shared" ca="1" si="114"/>
        <v>265</v>
      </c>
      <c r="AH132" s="43">
        <f t="shared" ca="1" si="8"/>
        <v>0.49632714035320868</v>
      </c>
      <c r="AI132" s="8">
        <f t="shared" si="97"/>
        <v>0.74</v>
      </c>
      <c r="AJ132" s="42">
        <f t="shared" ca="1" si="115"/>
        <v>126</v>
      </c>
      <c r="AL132" s="43">
        <f t="shared" ca="1" si="9"/>
        <v>0.19707741055951267</v>
      </c>
      <c r="AM132" s="8">
        <f t="shared" si="98"/>
        <v>0.74</v>
      </c>
      <c r="AN132" s="42">
        <f t="shared" ca="1" si="116"/>
        <v>133</v>
      </c>
      <c r="AP132" s="43">
        <f t="shared" ca="1" si="10"/>
        <v>0.43501205310974389</v>
      </c>
      <c r="AQ132" s="8">
        <f t="shared" si="99"/>
        <v>0.74</v>
      </c>
      <c r="AR132" s="42">
        <f t="shared" ca="1" si="117"/>
        <v>141</v>
      </c>
      <c r="AT132" s="43">
        <f t="shared" ca="1" si="11"/>
        <v>0.44923324707127199</v>
      </c>
      <c r="AU132" s="8">
        <f t="shared" si="100"/>
        <v>0.74</v>
      </c>
      <c r="AV132" s="42">
        <f t="shared" ca="1" si="118"/>
        <v>147</v>
      </c>
      <c r="AX132" s="43">
        <f t="shared" ca="1" si="12"/>
        <v>0.70884607617782791</v>
      </c>
      <c r="AY132" s="8">
        <f t="shared" si="101"/>
        <v>0.74</v>
      </c>
      <c r="AZ132" s="42">
        <f t="shared" ca="1" si="119"/>
        <v>199</v>
      </c>
      <c r="BB132" s="43">
        <f t="shared" ca="1" si="13"/>
        <v>0.67454466193253693</v>
      </c>
      <c r="BC132" s="8">
        <f t="shared" si="102"/>
        <v>0.74</v>
      </c>
      <c r="BD132" s="42">
        <f t="shared" ca="1" si="120"/>
        <v>167</v>
      </c>
      <c r="BF132" s="43">
        <f t="shared" ca="1" si="14"/>
        <v>0.84811733161476333</v>
      </c>
      <c r="BG132" s="8">
        <f t="shared" si="103"/>
        <v>0.74</v>
      </c>
      <c r="BH132" s="42">
        <f t="shared" ca="1" si="121"/>
        <v>159</v>
      </c>
      <c r="BJ132" s="43">
        <f t="shared" ca="1" si="15"/>
        <v>0.69322960623234942</v>
      </c>
      <c r="BK132" s="8">
        <f t="shared" si="104"/>
        <v>0.74</v>
      </c>
      <c r="BL132" s="42">
        <f t="shared" ca="1" si="122"/>
        <v>182</v>
      </c>
      <c r="BN132" s="43">
        <f t="shared" ca="1" si="16"/>
        <v>0.21364854520275423</v>
      </c>
      <c r="BO132" s="8">
        <f t="shared" si="105"/>
        <v>0.74</v>
      </c>
      <c r="BP132" s="42">
        <f t="shared" ca="1" si="123"/>
        <v>94</v>
      </c>
      <c r="BR132" s="43">
        <f t="shared" ca="1" si="17"/>
        <v>0.7371542622875864</v>
      </c>
      <c r="BS132" s="8">
        <f t="shared" si="106"/>
        <v>0.74</v>
      </c>
      <c r="BT132" s="42">
        <f t="shared" ca="1" si="124"/>
        <v>190</v>
      </c>
    </row>
    <row r="133" spans="1:72" x14ac:dyDescent="0.2">
      <c r="A133" s="22">
        <v>44680</v>
      </c>
      <c r="B133" s="43">
        <f t="shared" ca="1" si="0"/>
        <v>0.89458609213428242</v>
      </c>
      <c r="C133" s="8">
        <f t="shared" si="89"/>
        <v>0.74</v>
      </c>
      <c r="D133" s="42">
        <f t="shared" ca="1" si="107"/>
        <v>93</v>
      </c>
      <c r="F133" s="43">
        <f t="shared" ca="1" si="1"/>
        <v>0.82828664549238562</v>
      </c>
      <c r="G133" s="8">
        <f t="shared" si="90"/>
        <v>0.74</v>
      </c>
      <c r="H133" s="42">
        <f t="shared" ca="1" si="108"/>
        <v>200</v>
      </c>
      <c r="J133" s="43">
        <f t="shared" ca="1" si="2"/>
        <v>0.8589719292406206</v>
      </c>
      <c r="K133" s="8">
        <f t="shared" si="91"/>
        <v>0.74</v>
      </c>
      <c r="L133" s="42">
        <f t="shared" ca="1" si="109"/>
        <v>143</v>
      </c>
      <c r="N133" s="43">
        <f t="shared" ca="1" si="3"/>
        <v>0.62892863654928688</v>
      </c>
      <c r="O133" s="8">
        <f t="shared" si="92"/>
        <v>0.74</v>
      </c>
      <c r="P133" s="42">
        <f t="shared" ca="1" si="110"/>
        <v>185</v>
      </c>
      <c r="R133" s="43">
        <f t="shared" ca="1" si="4"/>
        <v>0.66066045024899445</v>
      </c>
      <c r="S133" s="8">
        <f t="shared" si="93"/>
        <v>0.74</v>
      </c>
      <c r="T133" s="42">
        <f t="shared" ca="1" si="111"/>
        <v>115</v>
      </c>
      <c r="V133" s="43">
        <f t="shared" ca="1" si="5"/>
        <v>0.35624768090479675</v>
      </c>
      <c r="W133" s="8">
        <f t="shared" si="94"/>
        <v>0.74</v>
      </c>
      <c r="X133" s="42">
        <f t="shared" ca="1" si="112"/>
        <v>151</v>
      </c>
      <c r="Z133" s="43">
        <f t="shared" ca="1" si="6"/>
        <v>0.69501566615294974</v>
      </c>
      <c r="AA133" s="8">
        <f t="shared" si="95"/>
        <v>0.74</v>
      </c>
      <c r="AB133" s="42">
        <f t="shared" ca="1" si="113"/>
        <v>227</v>
      </c>
      <c r="AD133" s="43">
        <f t="shared" ca="1" si="7"/>
        <v>0.71918560233944906</v>
      </c>
      <c r="AE133" s="8">
        <f t="shared" si="96"/>
        <v>0.74</v>
      </c>
      <c r="AF133" s="42">
        <f t="shared" ca="1" si="114"/>
        <v>280</v>
      </c>
      <c r="AH133" s="43">
        <f t="shared" ca="1" si="8"/>
        <v>0.96992495969835246</v>
      </c>
      <c r="AI133" s="8">
        <f t="shared" si="97"/>
        <v>0.74</v>
      </c>
      <c r="AJ133" s="42">
        <f t="shared" ca="1" si="115"/>
        <v>190</v>
      </c>
      <c r="AL133" s="43">
        <f t="shared" ca="1" si="9"/>
        <v>0.88133560997710103</v>
      </c>
      <c r="AM133" s="8">
        <f t="shared" si="98"/>
        <v>0.74</v>
      </c>
      <c r="AN133" s="42">
        <f t="shared" ca="1" si="116"/>
        <v>226</v>
      </c>
      <c r="AP133" s="43">
        <f t="shared" ca="1" si="10"/>
        <v>0.1772835435011173</v>
      </c>
      <c r="AQ133" s="8">
        <f t="shared" si="99"/>
        <v>0.74</v>
      </c>
      <c r="AR133" s="42">
        <f t="shared" ca="1" si="117"/>
        <v>111</v>
      </c>
      <c r="AT133" s="43">
        <f t="shared" ca="1" si="11"/>
        <v>0.51813625702135557</v>
      </c>
      <c r="AU133" s="8">
        <f t="shared" si="100"/>
        <v>0.74</v>
      </c>
      <c r="AV133" s="42">
        <f t="shared" ca="1" si="118"/>
        <v>154</v>
      </c>
      <c r="AX133" s="43">
        <f t="shared" ca="1" si="12"/>
        <v>0.94133496835658537</v>
      </c>
      <c r="AY133" s="8">
        <f t="shared" si="101"/>
        <v>0.74</v>
      </c>
      <c r="AZ133" s="42">
        <f t="shared" ca="1" si="119"/>
        <v>246</v>
      </c>
      <c r="BB133" s="43">
        <f t="shared" ca="1" si="13"/>
        <v>0.50850691499541889</v>
      </c>
      <c r="BC133" s="8">
        <f t="shared" si="102"/>
        <v>0.74</v>
      </c>
      <c r="BD133" s="42">
        <f t="shared" ca="1" si="120"/>
        <v>150</v>
      </c>
      <c r="BF133" s="43">
        <f t="shared" ca="1" si="14"/>
        <v>0.10654895224690675</v>
      </c>
      <c r="BG133" s="8">
        <f t="shared" si="103"/>
        <v>0.74</v>
      </c>
      <c r="BH133" s="42">
        <f t="shared" ca="1" si="121"/>
        <v>84</v>
      </c>
      <c r="BJ133" s="43">
        <f t="shared" ca="1" si="15"/>
        <v>0.64380306472671567</v>
      </c>
      <c r="BK133" s="8">
        <f t="shared" si="104"/>
        <v>0.74</v>
      </c>
      <c r="BL133" s="42">
        <f t="shared" ca="1" si="122"/>
        <v>176</v>
      </c>
      <c r="BN133" s="43">
        <f t="shared" ca="1" si="16"/>
        <v>0.86895548556424906</v>
      </c>
      <c r="BO133" s="8">
        <f t="shared" si="105"/>
        <v>0.74</v>
      </c>
      <c r="BP133" s="42">
        <f t="shared" ca="1" si="123"/>
        <v>155</v>
      </c>
      <c r="BR133" s="43">
        <f t="shared" ca="1" si="17"/>
        <v>0.69142968990507214</v>
      </c>
      <c r="BS133" s="8">
        <f t="shared" si="106"/>
        <v>0.74</v>
      </c>
      <c r="BT133" s="42">
        <f t="shared" ca="1" si="124"/>
        <v>184</v>
      </c>
    </row>
    <row r="134" spans="1:72" x14ac:dyDescent="0.2">
      <c r="A134" s="22">
        <v>44681</v>
      </c>
      <c r="B134" s="43">
        <f t="shared" ca="1" si="0"/>
        <v>0.46661716621727067</v>
      </c>
      <c r="C134" s="8">
        <f t="shared" si="89"/>
        <v>0.74</v>
      </c>
      <c r="D134" s="42">
        <f t="shared" ca="1" si="107"/>
        <v>73</v>
      </c>
      <c r="F134" s="43">
        <f t="shared" ca="1" si="1"/>
        <v>5.1081056281420234E-2</v>
      </c>
      <c r="G134" s="8">
        <f t="shared" si="90"/>
        <v>0.74</v>
      </c>
      <c r="H134" s="42">
        <f t="shared" ca="1" si="108"/>
        <v>90</v>
      </c>
      <c r="J134" s="43">
        <f t="shared" ca="1" si="2"/>
        <v>0.59758540607012844</v>
      </c>
      <c r="K134" s="8">
        <f t="shared" si="91"/>
        <v>0.74</v>
      </c>
      <c r="L134" s="42">
        <f t="shared" ca="1" si="109"/>
        <v>119</v>
      </c>
      <c r="N134" s="43">
        <f t="shared" ca="1" si="3"/>
        <v>0.10479632620259094</v>
      </c>
      <c r="O134" s="8">
        <f t="shared" si="92"/>
        <v>0.74</v>
      </c>
      <c r="P134" s="42">
        <f t="shared" ca="1" si="110"/>
        <v>113</v>
      </c>
      <c r="R134" s="43">
        <f t="shared" ca="1" si="4"/>
        <v>0.65603071725790618</v>
      </c>
      <c r="S134" s="8">
        <f t="shared" si="93"/>
        <v>0.74</v>
      </c>
      <c r="T134" s="42">
        <f t="shared" ca="1" si="111"/>
        <v>114</v>
      </c>
      <c r="V134" s="43">
        <f t="shared" ca="1" si="5"/>
        <v>4.6551800499069818E-2</v>
      </c>
      <c r="W134" s="8">
        <f t="shared" si="94"/>
        <v>0.74</v>
      </c>
      <c r="X134" s="42">
        <f t="shared" ca="1" si="112"/>
        <v>92</v>
      </c>
      <c r="Z134" s="43">
        <f t="shared" ca="1" si="6"/>
        <v>0.98181061832566341</v>
      </c>
      <c r="AA134" s="8">
        <f t="shared" si="95"/>
        <v>0.74</v>
      </c>
      <c r="AB134" s="42">
        <f t="shared" ca="1" si="113"/>
        <v>312</v>
      </c>
      <c r="AD134" s="43">
        <f t="shared" ca="1" si="7"/>
        <v>0.6341322196140986</v>
      </c>
      <c r="AE134" s="8">
        <f t="shared" si="96"/>
        <v>0.74</v>
      </c>
      <c r="AF134" s="42">
        <f t="shared" ca="1" si="114"/>
        <v>265</v>
      </c>
      <c r="AH134" s="43">
        <f t="shared" ca="1" si="8"/>
        <v>0.96189215827449559</v>
      </c>
      <c r="AI134" s="8">
        <f t="shared" si="97"/>
        <v>0.74</v>
      </c>
      <c r="AJ134" s="42">
        <f t="shared" ca="1" si="115"/>
        <v>186</v>
      </c>
      <c r="AL134" s="43">
        <f t="shared" ca="1" si="9"/>
        <v>0.57719959480074157</v>
      </c>
      <c r="AM134" s="8">
        <f t="shared" si="98"/>
        <v>0.74</v>
      </c>
      <c r="AN134" s="42">
        <f t="shared" ca="1" si="116"/>
        <v>181</v>
      </c>
      <c r="AP134" s="43">
        <f t="shared" ca="1" si="10"/>
        <v>0.13894797088192423</v>
      </c>
      <c r="AQ134" s="8">
        <f t="shared" si="99"/>
        <v>0.74</v>
      </c>
      <c r="AR134" s="42">
        <f t="shared" ca="1" si="117"/>
        <v>105</v>
      </c>
      <c r="AT134" s="43">
        <f t="shared" ca="1" si="11"/>
        <v>0.56906006784731045</v>
      </c>
      <c r="AU134" s="8">
        <f t="shared" si="100"/>
        <v>0.74</v>
      </c>
      <c r="AV134" s="42">
        <f t="shared" ca="1" si="118"/>
        <v>160</v>
      </c>
      <c r="AX134" s="43">
        <f t="shared" ca="1" si="12"/>
        <v>0.67282309149158293</v>
      </c>
      <c r="AY134" s="8">
        <f t="shared" si="101"/>
        <v>0.74</v>
      </c>
      <c r="AZ134" s="42">
        <f t="shared" ca="1" si="119"/>
        <v>194</v>
      </c>
      <c r="BB134" s="43">
        <f t="shared" ca="1" si="13"/>
        <v>2.7341553211528424E-3</v>
      </c>
      <c r="BC134" s="8">
        <f t="shared" si="102"/>
        <v>0.74</v>
      </c>
      <c r="BD134" s="42">
        <f t="shared" ca="1" si="120"/>
        <v>39</v>
      </c>
      <c r="BF134" s="43">
        <f t="shared" ca="1" si="14"/>
        <v>0.34910573049689719</v>
      </c>
      <c r="BG134" s="8">
        <f t="shared" si="103"/>
        <v>0.74</v>
      </c>
      <c r="BH134" s="42">
        <f t="shared" ca="1" si="121"/>
        <v>112</v>
      </c>
      <c r="BJ134" s="43">
        <f t="shared" ca="1" si="15"/>
        <v>0.34970379695205334</v>
      </c>
      <c r="BK134" s="8">
        <f t="shared" si="104"/>
        <v>0.74</v>
      </c>
      <c r="BL134" s="42">
        <f t="shared" ca="1" si="122"/>
        <v>144</v>
      </c>
      <c r="BN134" s="43">
        <f t="shared" ca="1" si="16"/>
        <v>0.44115440113658766</v>
      </c>
      <c r="BO134" s="8">
        <f t="shared" si="105"/>
        <v>0.74</v>
      </c>
      <c r="BP134" s="42">
        <f t="shared" ca="1" si="123"/>
        <v>115</v>
      </c>
      <c r="BR134" s="43">
        <f t="shared" ca="1" si="17"/>
        <v>0.93058129009375379</v>
      </c>
      <c r="BS134" s="8">
        <f t="shared" si="106"/>
        <v>0.74</v>
      </c>
      <c r="BT134" s="42">
        <f t="shared" ca="1" si="124"/>
        <v>227</v>
      </c>
    </row>
    <row r="135" spans="1:72" x14ac:dyDescent="0.2">
      <c r="A135" s="22">
        <v>44682</v>
      </c>
      <c r="B135" s="43">
        <f t="shared" ca="1" si="0"/>
        <v>0.48123799187974559</v>
      </c>
      <c r="C135" s="8">
        <f t="shared" si="89"/>
        <v>0.74</v>
      </c>
      <c r="D135" s="42">
        <f t="shared" ca="1" si="107"/>
        <v>74</v>
      </c>
      <c r="F135" s="43">
        <f t="shared" ca="1" si="1"/>
        <v>0.74864797224870294</v>
      </c>
      <c r="G135" s="8">
        <f t="shared" si="90"/>
        <v>0.74</v>
      </c>
      <c r="H135" s="42">
        <f t="shared" ca="1" si="108"/>
        <v>188</v>
      </c>
      <c r="J135" s="43">
        <f t="shared" ca="1" si="2"/>
        <v>0.33689168222279309</v>
      </c>
      <c r="K135" s="8">
        <f t="shared" si="91"/>
        <v>0.74</v>
      </c>
      <c r="L135" s="42">
        <f t="shared" ca="1" si="109"/>
        <v>99</v>
      </c>
      <c r="N135" s="43">
        <f t="shared" ca="1" si="3"/>
        <v>0.4279741708741932</v>
      </c>
      <c r="O135" s="8">
        <f t="shared" si="92"/>
        <v>0.74</v>
      </c>
      <c r="P135" s="42">
        <f t="shared" ca="1" si="110"/>
        <v>162</v>
      </c>
      <c r="R135" s="43">
        <f t="shared" ca="1" si="4"/>
        <v>0.9013485279992911</v>
      </c>
      <c r="S135" s="8">
        <f t="shared" si="93"/>
        <v>0.74</v>
      </c>
      <c r="T135" s="42">
        <f t="shared" ca="1" si="111"/>
        <v>138</v>
      </c>
      <c r="V135" s="43">
        <f t="shared" ca="1" si="5"/>
        <v>3.918394435023298E-2</v>
      </c>
      <c r="W135" s="8">
        <f t="shared" si="94"/>
        <v>0.74</v>
      </c>
      <c r="X135" s="42">
        <f t="shared" ca="1" si="112"/>
        <v>89</v>
      </c>
      <c r="Z135" s="43">
        <f t="shared" ca="1" si="6"/>
        <v>1.3918358132248954E-2</v>
      </c>
      <c r="AA135" s="8">
        <f t="shared" si="95"/>
        <v>0.74</v>
      </c>
      <c r="AB135" s="42">
        <f t="shared" ca="1" si="113"/>
        <v>83</v>
      </c>
      <c r="AD135" s="43">
        <f t="shared" ca="1" si="7"/>
        <v>0.21297132844485911</v>
      </c>
      <c r="AE135" s="8">
        <f t="shared" si="96"/>
        <v>0.74</v>
      </c>
      <c r="AF135" s="42">
        <f t="shared" ca="1" si="114"/>
        <v>191</v>
      </c>
      <c r="AH135" s="43">
        <f t="shared" ca="1" si="8"/>
        <v>0.62663335097135398</v>
      </c>
      <c r="AI135" s="8">
        <f t="shared" si="97"/>
        <v>0.74</v>
      </c>
      <c r="AJ135" s="42">
        <f t="shared" ca="1" si="115"/>
        <v>137</v>
      </c>
      <c r="AL135" s="43">
        <f t="shared" ca="1" si="9"/>
        <v>0.45171565479066489</v>
      </c>
      <c r="AM135" s="8">
        <f t="shared" si="98"/>
        <v>0.74</v>
      </c>
      <c r="AN135" s="42">
        <f t="shared" ca="1" si="116"/>
        <v>167</v>
      </c>
      <c r="AP135" s="43">
        <f t="shared" ca="1" si="10"/>
        <v>0.7525197601295448</v>
      </c>
      <c r="AQ135" s="8">
        <f t="shared" si="99"/>
        <v>0.74</v>
      </c>
      <c r="AR135" s="42">
        <f t="shared" ca="1" si="117"/>
        <v>174</v>
      </c>
      <c r="AT135" s="43">
        <f t="shared" ca="1" si="11"/>
        <v>0.89790046713857796</v>
      </c>
      <c r="AU135" s="8">
        <f t="shared" si="100"/>
        <v>0.74</v>
      </c>
      <c r="AV135" s="42">
        <f t="shared" ca="1" si="118"/>
        <v>204</v>
      </c>
      <c r="AX135" s="43">
        <f t="shared" ca="1" si="12"/>
        <v>0.55061567876796225</v>
      </c>
      <c r="AY135" s="8">
        <f t="shared" si="101"/>
        <v>0.74</v>
      </c>
      <c r="AZ135" s="42">
        <f t="shared" ca="1" si="119"/>
        <v>179</v>
      </c>
      <c r="BB135" s="43">
        <f t="shared" ca="1" si="13"/>
        <v>0.7604905044724104</v>
      </c>
      <c r="BC135" s="8">
        <f t="shared" si="102"/>
        <v>0.74</v>
      </c>
      <c r="BD135" s="42">
        <f t="shared" ca="1" si="120"/>
        <v>177</v>
      </c>
      <c r="BF135" s="43">
        <f t="shared" ca="1" si="14"/>
        <v>0.25480906277170667</v>
      </c>
      <c r="BG135" s="8">
        <f t="shared" si="103"/>
        <v>0.74</v>
      </c>
      <c r="BH135" s="42">
        <f t="shared" ca="1" si="121"/>
        <v>103</v>
      </c>
      <c r="BJ135" s="43">
        <f t="shared" ca="1" si="15"/>
        <v>0.69727848039601958</v>
      </c>
      <c r="BK135" s="8">
        <f t="shared" si="104"/>
        <v>0.74</v>
      </c>
      <c r="BL135" s="42">
        <f t="shared" ca="1" si="122"/>
        <v>182</v>
      </c>
      <c r="BN135" s="43">
        <f t="shared" ca="1" si="16"/>
        <v>0.72342472980191197</v>
      </c>
      <c r="BO135" s="8">
        <f t="shared" si="105"/>
        <v>0.74</v>
      </c>
      <c r="BP135" s="42">
        <f t="shared" ca="1" si="123"/>
        <v>138</v>
      </c>
      <c r="BR135" s="43">
        <f t="shared" ca="1" si="17"/>
        <v>0.42451388691468439</v>
      </c>
      <c r="BS135" s="8">
        <f t="shared" si="106"/>
        <v>0.74</v>
      </c>
      <c r="BT135" s="42">
        <f t="shared" ca="1" si="124"/>
        <v>155</v>
      </c>
    </row>
    <row r="136" spans="1:72" x14ac:dyDescent="0.2">
      <c r="A136" s="22">
        <v>44683</v>
      </c>
      <c r="B136" s="43">
        <f t="shared" ca="1" si="0"/>
        <v>0.48999861692704572</v>
      </c>
      <c r="C136" s="8">
        <f t="shared" si="89"/>
        <v>0.74</v>
      </c>
      <c r="D136" s="42">
        <f t="shared" ca="1" si="107"/>
        <v>74</v>
      </c>
      <c r="F136" s="43">
        <f t="shared" ca="1" si="1"/>
        <v>0.32488255056336202</v>
      </c>
      <c r="G136" s="8">
        <f t="shared" si="90"/>
        <v>0.74</v>
      </c>
      <c r="H136" s="42">
        <f t="shared" ca="1" si="108"/>
        <v>141</v>
      </c>
      <c r="J136" s="43">
        <f t="shared" ca="1" si="2"/>
        <v>0.82327254845853681</v>
      </c>
      <c r="K136" s="8">
        <f t="shared" si="91"/>
        <v>0.74</v>
      </c>
      <c r="L136" s="42">
        <f t="shared" ca="1" si="109"/>
        <v>139</v>
      </c>
      <c r="N136" s="43">
        <f t="shared" ca="1" si="3"/>
        <v>0.68355995550109527</v>
      </c>
      <c r="O136" s="8">
        <f t="shared" si="92"/>
        <v>0.74</v>
      </c>
      <c r="P136" s="42">
        <f t="shared" ca="1" si="110"/>
        <v>192</v>
      </c>
      <c r="R136" s="43">
        <f t="shared" ca="1" si="4"/>
        <v>0.37102150227805941</v>
      </c>
      <c r="S136" s="8">
        <f t="shared" si="93"/>
        <v>0.74</v>
      </c>
      <c r="T136" s="42">
        <f t="shared" ca="1" si="111"/>
        <v>94</v>
      </c>
      <c r="V136" s="43">
        <f t="shared" ca="1" si="5"/>
        <v>0.21917848165339349</v>
      </c>
      <c r="W136" s="8">
        <f t="shared" si="94"/>
        <v>0.74</v>
      </c>
      <c r="X136" s="42">
        <f t="shared" ca="1" si="112"/>
        <v>133</v>
      </c>
      <c r="Z136" s="43">
        <f t="shared" ca="1" si="6"/>
        <v>0.32001003809653605</v>
      </c>
      <c r="AA136" s="8">
        <f t="shared" si="95"/>
        <v>0.74</v>
      </c>
      <c r="AB136" s="42">
        <f t="shared" ca="1" si="113"/>
        <v>175</v>
      </c>
      <c r="AD136" s="43">
        <f t="shared" ca="1" si="7"/>
        <v>0.10157898496594919</v>
      </c>
      <c r="AE136" s="8">
        <f t="shared" si="96"/>
        <v>0.74</v>
      </c>
      <c r="AF136" s="42">
        <f t="shared" ca="1" si="114"/>
        <v>160</v>
      </c>
      <c r="AH136" s="43">
        <f t="shared" ca="1" si="8"/>
        <v>1.7071705616961141E-2</v>
      </c>
      <c r="AI136" s="8">
        <f t="shared" si="97"/>
        <v>0.74</v>
      </c>
      <c r="AJ136" s="42">
        <f t="shared" ca="1" si="115"/>
        <v>55</v>
      </c>
      <c r="AL136" s="43">
        <f t="shared" ca="1" si="9"/>
        <v>0.59558937871412165</v>
      </c>
      <c r="AM136" s="8">
        <f t="shared" si="98"/>
        <v>0.74</v>
      </c>
      <c r="AN136" s="42">
        <f t="shared" ca="1" si="116"/>
        <v>183</v>
      </c>
      <c r="AP136" s="43">
        <f t="shared" ca="1" si="10"/>
        <v>0.24190321111043622</v>
      </c>
      <c r="AQ136" s="8">
        <f t="shared" si="99"/>
        <v>0.74</v>
      </c>
      <c r="AR136" s="42">
        <f t="shared" ca="1" si="117"/>
        <v>120</v>
      </c>
      <c r="AT136" s="43">
        <f t="shared" ca="1" si="11"/>
        <v>0.82263204916850663</v>
      </c>
      <c r="AU136" s="8">
        <f t="shared" si="100"/>
        <v>0.74</v>
      </c>
      <c r="AV136" s="42">
        <f t="shared" ca="1" si="118"/>
        <v>190</v>
      </c>
      <c r="AX136" s="43">
        <f t="shared" ca="1" si="12"/>
        <v>0.26416236496583201</v>
      </c>
      <c r="AY136" s="8">
        <f t="shared" si="101"/>
        <v>0.74</v>
      </c>
      <c r="AZ136" s="42">
        <f t="shared" ca="1" si="119"/>
        <v>144</v>
      </c>
      <c r="BB136" s="43">
        <f t="shared" ca="1" si="13"/>
        <v>0.22167946739245592</v>
      </c>
      <c r="BC136" s="8">
        <f t="shared" si="102"/>
        <v>0.74</v>
      </c>
      <c r="BD136" s="42">
        <f t="shared" ca="1" si="120"/>
        <v>119</v>
      </c>
      <c r="BF136" s="43">
        <f t="shared" ca="1" si="14"/>
        <v>0.17952617674547422</v>
      </c>
      <c r="BG136" s="8">
        <f t="shared" si="103"/>
        <v>0.74</v>
      </c>
      <c r="BH136" s="42">
        <f t="shared" ca="1" si="121"/>
        <v>95</v>
      </c>
      <c r="BJ136" s="43">
        <f t="shared" ca="1" si="15"/>
        <v>0.67742130356227892</v>
      </c>
      <c r="BK136" s="8">
        <f t="shared" si="104"/>
        <v>0.74</v>
      </c>
      <c r="BL136" s="42">
        <f t="shared" ca="1" si="122"/>
        <v>180</v>
      </c>
      <c r="BN136" s="43">
        <f t="shared" ca="1" si="16"/>
        <v>0.29287798178836633</v>
      </c>
      <c r="BO136" s="8">
        <f t="shared" si="105"/>
        <v>0.74</v>
      </c>
      <c r="BP136" s="42">
        <f t="shared" ca="1" si="123"/>
        <v>102</v>
      </c>
      <c r="BR136" s="43">
        <f t="shared" ca="1" si="17"/>
        <v>0.674280813246668</v>
      </c>
      <c r="BS136" s="8">
        <f t="shared" si="106"/>
        <v>0.74</v>
      </c>
      <c r="BT136" s="42">
        <f t="shared" ca="1" si="124"/>
        <v>182</v>
      </c>
    </row>
    <row r="137" spans="1:72" x14ac:dyDescent="0.2">
      <c r="A137" s="22">
        <v>44684</v>
      </c>
      <c r="B137" s="43">
        <f t="shared" ca="1" si="0"/>
        <v>0.37201917320488065</v>
      </c>
      <c r="C137" s="8">
        <f t="shared" si="89"/>
        <v>0.74</v>
      </c>
      <c r="D137" s="42">
        <f t="shared" ca="1" si="107"/>
        <v>70</v>
      </c>
      <c r="F137" s="43">
        <f t="shared" ca="1" si="1"/>
        <v>0.11608152536055083</v>
      </c>
      <c r="G137" s="8">
        <f t="shared" si="90"/>
        <v>0.74</v>
      </c>
      <c r="H137" s="42">
        <f t="shared" ca="1" si="108"/>
        <v>109</v>
      </c>
      <c r="J137" s="43">
        <f t="shared" ca="1" si="2"/>
        <v>0.57621004444973323</v>
      </c>
      <c r="K137" s="8">
        <f t="shared" si="91"/>
        <v>0.74</v>
      </c>
      <c r="L137" s="42">
        <f t="shared" ca="1" si="109"/>
        <v>117</v>
      </c>
      <c r="N137" s="43">
        <f t="shared" ca="1" si="3"/>
        <v>0.64638248333769988</v>
      </c>
      <c r="O137" s="8">
        <f t="shared" si="92"/>
        <v>0.74</v>
      </c>
      <c r="P137" s="42">
        <f t="shared" ca="1" si="110"/>
        <v>187</v>
      </c>
      <c r="R137" s="43">
        <f t="shared" ca="1" si="4"/>
        <v>0.54517562338655556</v>
      </c>
      <c r="S137" s="8">
        <f t="shared" si="93"/>
        <v>0.74</v>
      </c>
      <c r="T137" s="42">
        <f t="shared" ca="1" si="111"/>
        <v>106</v>
      </c>
      <c r="V137" s="43">
        <f t="shared" ca="1" si="5"/>
        <v>1.863733525768474E-2</v>
      </c>
      <c r="W137" s="8">
        <f t="shared" si="94"/>
        <v>0.74</v>
      </c>
      <c r="X137" s="42">
        <f t="shared" ca="1" si="112"/>
        <v>75</v>
      </c>
      <c r="Z137" s="43">
        <f t="shared" ca="1" si="6"/>
        <v>0.32498122721816947</v>
      </c>
      <c r="AA137" s="8">
        <f t="shared" si="95"/>
        <v>0.74</v>
      </c>
      <c r="AB137" s="42">
        <f t="shared" ca="1" si="113"/>
        <v>176</v>
      </c>
      <c r="AD137" s="43">
        <f t="shared" ca="1" si="7"/>
        <v>0.14621321379485763</v>
      </c>
      <c r="AE137" s="8">
        <f t="shared" si="96"/>
        <v>0.74</v>
      </c>
      <c r="AF137" s="42">
        <f t="shared" ca="1" si="114"/>
        <v>175</v>
      </c>
      <c r="AH137" s="43">
        <f t="shared" ca="1" si="8"/>
        <v>0.93009481779180103</v>
      </c>
      <c r="AI137" s="8">
        <f t="shared" si="97"/>
        <v>0.74</v>
      </c>
      <c r="AJ137" s="42">
        <f t="shared" ca="1" si="115"/>
        <v>176</v>
      </c>
      <c r="AL137" s="43">
        <f t="shared" ca="1" si="9"/>
        <v>0.88824110250685728</v>
      </c>
      <c r="AM137" s="8">
        <f t="shared" si="98"/>
        <v>0.74</v>
      </c>
      <c r="AN137" s="42">
        <f t="shared" ca="1" si="116"/>
        <v>228</v>
      </c>
      <c r="AP137" s="43">
        <f t="shared" ca="1" si="10"/>
        <v>0.28947331776159269</v>
      </c>
      <c r="AQ137" s="8">
        <f t="shared" si="99"/>
        <v>0.74</v>
      </c>
      <c r="AR137" s="42">
        <f t="shared" ca="1" si="117"/>
        <v>125</v>
      </c>
      <c r="AT137" s="43">
        <f t="shared" ca="1" si="11"/>
        <v>0.37884424206751088</v>
      </c>
      <c r="AU137" s="8">
        <f t="shared" si="100"/>
        <v>0.74</v>
      </c>
      <c r="AV137" s="42">
        <f t="shared" ca="1" si="118"/>
        <v>140</v>
      </c>
      <c r="AX137" s="43">
        <f t="shared" ca="1" si="12"/>
        <v>0.11661065792903202</v>
      </c>
      <c r="AY137" s="8">
        <f t="shared" si="101"/>
        <v>0.74</v>
      </c>
      <c r="AZ137" s="42">
        <f t="shared" ca="1" si="119"/>
        <v>118</v>
      </c>
      <c r="BB137" s="43">
        <f t="shared" ca="1" si="13"/>
        <v>0.57403122462999934</v>
      </c>
      <c r="BC137" s="8">
        <f t="shared" si="102"/>
        <v>0.74</v>
      </c>
      <c r="BD137" s="42">
        <f t="shared" ca="1" si="120"/>
        <v>156</v>
      </c>
      <c r="BF137" s="43">
        <f t="shared" ca="1" si="14"/>
        <v>0.77442218477546698</v>
      </c>
      <c r="BG137" s="8">
        <f t="shared" si="103"/>
        <v>0.74</v>
      </c>
      <c r="BH137" s="42">
        <f t="shared" ca="1" si="121"/>
        <v>150</v>
      </c>
      <c r="BJ137" s="43">
        <f t="shared" ca="1" si="15"/>
        <v>8.4732447194790783E-2</v>
      </c>
      <c r="BK137" s="8">
        <f t="shared" si="104"/>
        <v>0.74</v>
      </c>
      <c r="BL137" s="42">
        <f t="shared" ca="1" si="122"/>
        <v>102</v>
      </c>
      <c r="BN137" s="43">
        <f t="shared" ca="1" si="16"/>
        <v>0.94857128106793753</v>
      </c>
      <c r="BO137" s="8">
        <f t="shared" si="105"/>
        <v>0.74</v>
      </c>
      <c r="BP137" s="42">
        <f t="shared" ca="1" si="123"/>
        <v>171</v>
      </c>
      <c r="BR137" s="43">
        <f t="shared" ca="1" si="17"/>
        <v>0.79282916982339025</v>
      </c>
      <c r="BS137" s="8">
        <f t="shared" si="106"/>
        <v>0.74</v>
      </c>
      <c r="BT137" s="42">
        <f t="shared" ca="1" si="124"/>
        <v>198</v>
      </c>
    </row>
    <row r="138" spans="1:72" x14ac:dyDescent="0.2">
      <c r="A138" s="22">
        <v>44685</v>
      </c>
      <c r="B138" s="43">
        <f t="shared" ca="1" si="0"/>
        <v>0.8312344059335468</v>
      </c>
      <c r="C138" s="8">
        <f t="shared" si="89"/>
        <v>0.74</v>
      </c>
      <c r="D138" s="42">
        <f t="shared" ca="1" si="107"/>
        <v>89</v>
      </c>
      <c r="F138" s="43">
        <f t="shared" ca="1" si="1"/>
        <v>0.49852935113613805</v>
      </c>
      <c r="G138" s="8">
        <f t="shared" si="90"/>
        <v>0.74</v>
      </c>
      <c r="H138" s="42">
        <f t="shared" ca="1" si="108"/>
        <v>160</v>
      </c>
      <c r="J138" s="43">
        <f t="shared" ca="1" si="2"/>
        <v>0.95013636085182884</v>
      </c>
      <c r="K138" s="8">
        <f t="shared" si="91"/>
        <v>0.74</v>
      </c>
      <c r="L138" s="42">
        <f t="shared" ca="1" si="109"/>
        <v>160</v>
      </c>
      <c r="N138" s="43">
        <f t="shared" ca="1" si="3"/>
        <v>0.87802932438323378</v>
      </c>
      <c r="O138" s="8">
        <f t="shared" si="92"/>
        <v>0.74</v>
      </c>
      <c r="P138" s="42">
        <f t="shared" ca="1" si="110"/>
        <v>223</v>
      </c>
      <c r="R138" s="43">
        <f t="shared" ca="1" si="4"/>
        <v>0.51544106840296344</v>
      </c>
      <c r="S138" s="8">
        <f t="shared" si="93"/>
        <v>0.74</v>
      </c>
      <c r="T138" s="42">
        <f t="shared" ca="1" si="111"/>
        <v>104</v>
      </c>
      <c r="V138" s="43">
        <f t="shared" ca="1" si="5"/>
        <v>6.8373617077633786E-2</v>
      </c>
      <c r="W138" s="8">
        <f t="shared" si="94"/>
        <v>0.74</v>
      </c>
      <c r="X138" s="42">
        <f t="shared" ca="1" si="112"/>
        <v>101</v>
      </c>
      <c r="Z138" s="43">
        <f t="shared" ca="1" si="6"/>
        <v>0.84538279858373189</v>
      </c>
      <c r="AA138" s="8">
        <f t="shared" si="95"/>
        <v>0.74</v>
      </c>
      <c r="AB138" s="42">
        <f t="shared" ca="1" si="113"/>
        <v>254</v>
      </c>
      <c r="AD138" s="43">
        <f t="shared" ca="1" si="7"/>
        <v>0.72309892060575309</v>
      </c>
      <c r="AE138" s="8">
        <f t="shared" si="96"/>
        <v>0.74</v>
      </c>
      <c r="AF138" s="42">
        <f t="shared" ca="1" si="114"/>
        <v>281</v>
      </c>
      <c r="AH138" s="43">
        <f t="shared" ca="1" si="8"/>
        <v>0.66849368938338105</v>
      </c>
      <c r="AI138" s="8">
        <f t="shared" si="97"/>
        <v>0.74</v>
      </c>
      <c r="AJ138" s="42">
        <f t="shared" ca="1" si="115"/>
        <v>141</v>
      </c>
      <c r="AL138" s="43">
        <f t="shared" ca="1" si="9"/>
        <v>3.6156798840058513E-2</v>
      </c>
      <c r="AM138" s="8">
        <f t="shared" si="98"/>
        <v>0.74</v>
      </c>
      <c r="AN138" s="42">
        <f t="shared" ca="1" si="116"/>
        <v>90</v>
      </c>
      <c r="AP138" s="43">
        <f t="shared" ca="1" si="10"/>
        <v>0.15448005494857453</v>
      </c>
      <c r="AQ138" s="8">
        <f t="shared" si="99"/>
        <v>0.74</v>
      </c>
      <c r="AR138" s="42">
        <f t="shared" ca="1" si="117"/>
        <v>107</v>
      </c>
      <c r="AT138" s="43">
        <f t="shared" ca="1" si="11"/>
        <v>0.97403131738977355</v>
      </c>
      <c r="AU138" s="8">
        <f t="shared" si="100"/>
        <v>0.74</v>
      </c>
      <c r="AV138" s="42">
        <f t="shared" ca="1" si="118"/>
        <v>231</v>
      </c>
      <c r="AX138" s="43">
        <f t="shared" ca="1" si="12"/>
        <v>0.85059755951771521</v>
      </c>
      <c r="AY138" s="8">
        <f t="shared" si="101"/>
        <v>0.74</v>
      </c>
      <c r="AZ138" s="42">
        <f t="shared" ca="1" si="119"/>
        <v>221</v>
      </c>
      <c r="BB138" s="43">
        <f t="shared" ca="1" si="13"/>
        <v>0.40779473806241795</v>
      </c>
      <c r="BC138" s="8">
        <f t="shared" si="102"/>
        <v>0.74</v>
      </c>
      <c r="BD138" s="42">
        <f t="shared" ca="1" si="120"/>
        <v>140</v>
      </c>
      <c r="BF138" s="43">
        <f t="shared" ca="1" si="14"/>
        <v>0.14478948215677001</v>
      </c>
      <c r="BG138" s="8">
        <f t="shared" si="103"/>
        <v>0.74</v>
      </c>
      <c r="BH138" s="42">
        <f t="shared" ca="1" si="121"/>
        <v>90</v>
      </c>
      <c r="BJ138" s="43">
        <f t="shared" ca="1" si="15"/>
        <v>0.31520554954179958</v>
      </c>
      <c r="BK138" s="8">
        <f t="shared" si="104"/>
        <v>0.74</v>
      </c>
      <c r="BL138" s="42">
        <f t="shared" ca="1" si="122"/>
        <v>140</v>
      </c>
      <c r="BN138" s="43">
        <f t="shared" ca="1" si="16"/>
        <v>0.17845167988657673</v>
      </c>
      <c r="BO138" s="8">
        <f t="shared" si="105"/>
        <v>0.74</v>
      </c>
      <c r="BP138" s="42">
        <f t="shared" ca="1" si="123"/>
        <v>90</v>
      </c>
      <c r="BR138" s="43">
        <f t="shared" ca="1" si="17"/>
        <v>0.88000361026414187</v>
      </c>
      <c r="BS138" s="8">
        <f t="shared" si="106"/>
        <v>0.74</v>
      </c>
      <c r="BT138" s="42">
        <f t="shared" ca="1" si="124"/>
        <v>214</v>
      </c>
    </row>
    <row r="139" spans="1:72" x14ac:dyDescent="0.2">
      <c r="A139" s="22">
        <v>44686</v>
      </c>
      <c r="B139" s="43">
        <f t="shared" ca="1" si="0"/>
        <v>0.25632233633350787</v>
      </c>
      <c r="C139" s="8">
        <f t="shared" si="89"/>
        <v>0.74</v>
      </c>
      <c r="D139" s="42">
        <f t="shared" ca="1" si="107"/>
        <v>65</v>
      </c>
      <c r="F139" s="43">
        <f t="shared" ca="1" si="1"/>
        <v>0.31350533928034663</v>
      </c>
      <c r="G139" s="8">
        <f t="shared" si="90"/>
        <v>0.74</v>
      </c>
      <c r="H139" s="42">
        <f t="shared" ca="1" si="108"/>
        <v>139</v>
      </c>
      <c r="J139" s="43">
        <f t="shared" ca="1" si="2"/>
        <v>0.49047612011856967</v>
      </c>
      <c r="K139" s="8">
        <f t="shared" si="91"/>
        <v>0.74</v>
      </c>
      <c r="L139" s="42">
        <f t="shared" ca="1" si="109"/>
        <v>111</v>
      </c>
      <c r="N139" s="43">
        <f t="shared" ca="1" si="3"/>
        <v>0.60774209066271911</v>
      </c>
      <c r="O139" s="8">
        <f t="shared" si="92"/>
        <v>0.74</v>
      </c>
      <c r="P139" s="42">
        <f t="shared" ca="1" si="110"/>
        <v>183</v>
      </c>
      <c r="R139" s="43">
        <f t="shared" ca="1" si="4"/>
        <v>0.16641026966300143</v>
      </c>
      <c r="S139" s="8">
        <f t="shared" si="93"/>
        <v>0.74</v>
      </c>
      <c r="T139" s="42">
        <f t="shared" ca="1" si="111"/>
        <v>77</v>
      </c>
      <c r="V139" s="43">
        <f t="shared" ca="1" si="5"/>
        <v>1.8092823361917199E-2</v>
      </c>
      <c r="W139" s="8">
        <f t="shared" si="94"/>
        <v>0.74</v>
      </c>
      <c r="X139" s="42">
        <f t="shared" ca="1" si="112"/>
        <v>74</v>
      </c>
      <c r="Z139" s="43">
        <f t="shared" ca="1" si="6"/>
        <v>0.38299940554197587</v>
      </c>
      <c r="AA139" s="8">
        <f t="shared" si="95"/>
        <v>0.74</v>
      </c>
      <c r="AB139" s="42">
        <f t="shared" ca="1" si="113"/>
        <v>184</v>
      </c>
      <c r="AD139" s="43">
        <f t="shared" ca="1" si="7"/>
        <v>0.82640887485908332</v>
      </c>
      <c r="AE139" s="8">
        <f t="shared" si="96"/>
        <v>0.74</v>
      </c>
      <c r="AF139" s="42">
        <f t="shared" ca="1" si="114"/>
        <v>303</v>
      </c>
      <c r="AH139" s="43">
        <f t="shared" ca="1" si="8"/>
        <v>0.73127674657978603</v>
      </c>
      <c r="AI139" s="8">
        <f t="shared" si="97"/>
        <v>0.74</v>
      </c>
      <c r="AJ139" s="42">
        <f t="shared" ca="1" si="115"/>
        <v>147</v>
      </c>
      <c r="AL139" s="43">
        <f t="shared" ca="1" si="9"/>
        <v>0.67467186929049627</v>
      </c>
      <c r="AM139" s="8">
        <f t="shared" si="98"/>
        <v>0.74</v>
      </c>
      <c r="AN139" s="42">
        <f t="shared" ca="1" si="116"/>
        <v>193</v>
      </c>
      <c r="AP139" s="43">
        <f t="shared" ca="1" si="10"/>
        <v>0.17188993845019551</v>
      </c>
      <c r="AQ139" s="8">
        <f t="shared" si="99"/>
        <v>0.74</v>
      </c>
      <c r="AR139" s="42">
        <f t="shared" ca="1" si="117"/>
        <v>110</v>
      </c>
      <c r="AT139" s="43">
        <f t="shared" ca="1" si="11"/>
        <v>0.1394764952711306</v>
      </c>
      <c r="AU139" s="8">
        <f t="shared" si="100"/>
        <v>0.74</v>
      </c>
      <c r="AV139" s="42">
        <f t="shared" ca="1" si="118"/>
        <v>109</v>
      </c>
      <c r="AX139" s="43">
        <f t="shared" ca="1" si="12"/>
        <v>0.32598488150851579</v>
      </c>
      <c r="AY139" s="8">
        <f t="shared" si="101"/>
        <v>0.74</v>
      </c>
      <c r="AZ139" s="42">
        <f t="shared" ca="1" si="119"/>
        <v>153</v>
      </c>
      <c r="BB139" s="43">
        <f t="shared" ca="1" si="13"/>
        <v>4.2654194368877518E-2</v>
      </c>
      <c r="BC139" s="8">
        <f t="shared" si="102"/>
        <v>0.74</v>
      </c>
      <c r="BD139" s="42">
        <f t="shared" ca="1" si="120"/>
        <v>81</v>
      </c>
      <c r="BF139" s="43">
        <f t="shared" ca="1" si="14"/>
        <v>0.66192960403979184</v>
      </c>
      <c r="BG139" s="8">
        <f t="shared" si="103"/>
        <v>0.74</v>
      </c>
      <c r="BH139" s="42">
        <f t="shared" ca="1" si="121"/>
        <v>139</v>
      </c>
      <c r="BJ139" s="43">
        <f t="shared" ca="1" si="15"/>
        <v>0.83113357448505121</v>
      </c>
      <c r="BK139" s="8">
        <f t="shared" si="104"/>
        <v>0.74</v>
      </c>
      <c r="BL139" s="42">
        <f t="shared" ca="1" si="122"/>
        <v>201</v>
      </c>
      <c r="BN139" s="43">
        <f t="shared" ca="1" si="16"/>
        <v>0.63115801974378816</v>
      </c>
      <c r="BO139" s="8">
        <f t="shared" si="105"/>
        <v>0.74</v>
      </c>
      <c r="BP139" s="42">
        <f t="shared" ca="1" si="123"/>
        <v>130</v>
      </c>
      <c r="BR139" s="43">
        <f t="shared" ca="1" si="17"/>
        <v>0.2399794990712264</v>
      </c>
      <c r="BS139" s="8">
        <f t="shared" si="106"/>
        <v>0.74</v>
      </c>
      <c r="BT139" s="42">
        <f t="shared" ca="1" si="124"/>
        <v>132</v>
      </c>
    </row>
    <row r="140" spans="1:72" x14ac:dyDescent="0.2">
      <c r="A140" s="22">
        <v>44687</v>
      </c>
      <c r="B140" s="43">
        <f t="shared" ca="1" si="0"/>
        <v>0.93309223963724408</v>
      </c>
      <c r="C140" s="8">
        <f t="shared" si="89"/>
        <v>0.74</v>
      </c>
      <c r="D140" s="42">
        <f t="shared" ca="1" si="107"/>
        <v>97</v>
      </c>
      <c r="F140" s="43">
        <f t="shared" ca="1" si="1"/>
        <v>0.63906271384628677</v>
      </c>
      <c r="G140" s="8">
        <f t="shared" si="90"/>
        <v>0.74</v>
      </c>
      <c r="H140" s="42">
        <f t="shared" ca="1" si="108"/>
        <v>175</v>
      </c>
      <c r="J140" s="43">
        <f t="shared" ca="1" si="2"/>
        <v>0.8967967055289624</v>
      </c>
      <c r="K140" s="8">
        <f t="shared" si="91"/>
        <v>0.74</v>
      </c>
      <c r="L140" s="42">
        <f t="shared" ca="1" si="109"/>
        <v>149</v>
      </c>
      <c r="N140" s="43">
        <f t="shared" ca="1" si="3"/>
        <v>0.93784304068531432</v>
      </c>
      <c r="O140" s="8">
        <f t="shared" si="92"/>
        <v>0.74</v>
      </c>
      <c r="P140" s="42">
        <f t="shared" ca="1" si="110"/>
        <v>240</v>
      </c>
      <c r="R140" s="43">
        <f t="shared" ca="1" si="4"/>
        <v>0.13759779088171487</v>
      </c>
      <c r="S140" s="8">
        <f t="shared" si="93"/>
        <v>0.74</v>
      </c>
      <c r="T140" s="42">
        <f t="shared" ca="1" si="111"/>
        <v>73</v>
      </c>
      <c r="V140" s="43">
        <f t="shared" ca="1" si="5"/>
        <v>0.24594969169366654</v>
      </c>
      <c r="W140" s="8">
        <f t="shared" si="94"/>
        <v>0.74</v>
      </c>
      <c r="X140" s="42">
        <f t="shared" ca="1" si="112"/>
        <v>136</v>
      </c>
      <c r="Z140" s="43">
        <f t="shared" ca="1" si="6"/>
        <v>0.42787103924737535</v>
      </c>
      <c r="AA140" s="8">
        <f t="shared" si="95"/>
        <v>0.74</v>
      </c>
      <c r="AB140" s="42">
        <f t="shared" ca="1" si="113"/>
        <v>191</v>
      </c>
      <c r="AD140" s="43">
        <f t="shared" ca="1" si="7"/>
        <v>0.65545488483494985</v>
      </c>
      <c r="AE140" s="8">
        <f t="shared" si="96"/>
        <v>0.74</v>
      </c>
      <c r="AF140" s="42">
        <f t="shared" ca="1" si="114"/>
        <v>268</v>
      </c>
      <c r="AH140" s="43">
        <f t="shared" ca="1" si="8"/>
        <v>0.91136819725566276</v>
      </c>
      <c r="AI140" s="8">
        <f t="shared" si="97"/>
        <v>0.74</v>
      </c>
      <c r="AJ140" s="42">
        <f t="shared" ca="1" si="115"/>
        <v>172</v>
      </c>
      <c r="AL140" s="43">
        <f t="shared" ca="1" si="9"/>
        <v>0.13509807983164568</v>
      </c>
      <c r="AM140" s="8">
        <f t="shared" si="98"/>
        <v>0.74</v>
      </c>
      <c r="AN140" s="42">
        <f t="shared" ca="1" si="116"/>
        <v>122</v>
      </c>
      <c r="AP140" s="43">
        <f t="shared" ca="1" si="10"/>
        <v>0.92101888375211904</v>
      </c>
      <c r="AQ140" s="8">
        <f t="shared" si="99"/>
        <v>0.74</v>
      </c>
      <c r="AR140" s="42">
        <f t="shared" ca="1" si="117"/>
        <v>202</v>
      </c>
      <c r="AT140" s="43">
        <f t="shared" ca="1" si="11"/>
        <v>0.93948455737895986</v>
      </c>
      <c r="AU140" s="8">
        <f t="shared" si="100"/>
        <v>0.74</v>
      </c>
      <c r="AV140" s="42">
        <f t="shared" ca="1" si="118"/>
        <v>215</v>
      </c>
      <c r="AX140" s="43">
        <f t="shared" ca="1" si="12"/>
        <v>0.84251996093123038</v>
      </c>
      <c r="AY140" s="8">
        <f t="shared" si="101"/>
        <v>0.74</v>
      </c>
      <c r="AZ140" s="42">
        <f t="shared" ca="1" si="119"/>
        <v>220</v>
      </c>
      <c r="BB140" s="43">
        <f t="shared" ca="1" si="13"/>
        <v>0.25762100717277348</v>
      </c>
      <c r="BC140" s="8">
        <f t="shared" si="102"/>
        <v>0.74</v>
      </c>
      <c r="BD140" s="42">
        <f t="shared" ca="1" si="120"/>
        <v>123</v>
      </c>
      <c r="BF140" s="43">
        <f t="shared" ca="1" si="14"/>
        <v>0.40430386548718966</v>
      </c>
      <c r="BG140" s="8">
        <f t="shared" si="103"/>
        <v>0.74</v>
      </c>
      <c r="BH140" s="42">
        <f t="shared" ca="1" si="121"/>
        <v>117</v>
      </c>
      <c r="BJ140" s="43">
        <f t="shared" ca="1" si="15"/>
        <v>8.8165533150562414E-2</v>
      </c>
      <c r="BK140" s="8">
        <f t="shared" si="104"/>
        <v>0.74</v>
      </c>
      <c r="BL140" s="42">
        <f t="shared" ca="1" si="122"/>
        <v>103</v>
      </c>
      <c r="BN140" s="43">
        <f t="shared" ca="1" si="16"/>
        <v>0.38180244110987049</v>
      </c>
      <c r="BO140" s="8">
        <f t="shared" si="105"/>
        <v>0.74</v>
      </c>
      <c r="BP140" s="42">
        <f t="shared" ca="1" si="123"/>
        <v>110</v>
      </c>
      <c r="BR140" s="43">
        <f t="shared" ca="1" si="17"/>
        <v>0.55568203712305375</v>
      </c>
      <c r="BS140" s="8">
        <f t="shared" si="106"/>
        <v>0.74</v>
      </c>
      <c r="BT140" s="42">
        <f t="shared" ca="1" si="124"/>
        <v>169</v>
      </c>
    </row>
    <row r="141" spans="1:72" x14ac:dyDescent="0.2">
      <c r="A141" s="22">
        <v>44688</v>
      </c>
      <c r="B141" s="43">
        <f t="shared" ca="1" si="0"/>
        <v>7.0184186474297361E-2</v>
      </c>
      <c r="C141" s="8">
        <f t="shared" si="89"/>
        <v>0.74</v>
      </c>
      <c r="D141" s="42">
        <f t="shared" ca="1" si="107"/>
        <v>53</v>
      </c>
      <c r="F141" s="43">
        <f t="shared" ca="1" si="1"/>
        <v>0.36538553546828789</v>
      </c>
      <c r="G141" s="8">
        <f t="shared" si="90"/>
        <v>0.74</v>
      </c>
      <c r="H141" s="42">
        <f t="shared" ca="1" si="108"/>
        <v>145</v>
      </c>
      <c r="J141" s="43">
        <f t="shared" ca="1" si="2"/>
        <v>0.48775885958351506</v>
      </c>
      <c r="K141" s="8">
        <f t="shared" si="91"/>
        <v>0.74</v>
      </c>
      <c r="L141" s="42">
        <f t="shared" ca="1" si="109"/>
        <v>111</v>
      </c>
      <c r="N141" s="43">
        <f t="shared" ca="1" si="3"/>
        <v>0.43444677629673467</v>
      </c>
      <c r="O141" s="8">
        <f t="shared" si="92"/>
        <v>0.74</v>
      </c>
      <c r="P141" s="42">
        <f t="shared" ca="1" si="110"/>
        <v>163</v>
      </c>
      <c r="R141" s="43">
        <f t="shared" ca="1" si="4"/>
        <v>0.90756192245100897</v>
      </c>
      <c r="S141" s="8">
        <f t="shared" si="93"/>
        <v>0.74</v>
      </c>
      <c r="T141" s="42">
        <f t="shared" ca="1" si="111"/>
        <v>139</v>
      </c>
      <c r="V141" s="43">
        <f t="shared" ca="1" si="5"/>
        <v>7.0291829970080766E-2</v>
      </c>
      <c r="W141" s="8">
        <f t="shared" si="94"/>
        <v>0.74</v>
      </c>
      <c r="X141" s="42">
        <f t="shared" ca="1" si="112"/>
        <v>102</v>
      </c>
      <c r="Z141" s="43">
        <f t="shared" ca="1" si="6"/>
        <v>0.65636231264713107</v>
      </c>
      <c r="AA141" s="8">
        <f t="shared" si="95"/>
        <v>0.74</v>
      </c>
      <c r="AB141" s="42">
        <f t="shared" ca="1" si="113"/>
        <v>222</v>
      </c>
      <c r="AD141" s="43">
        <f t="shared" ca="1" si="7"/>
        <v>0.26069928093644812</v>
      </c>
      <c r="AE141" s="8">
        <f t="shared" si="96"/>
        <v>0.74</v>
      </c>
      <c r="AF141" s="42">
        <f t="shared" ca="1" si="114"/>
        <v>201</v>
      </c>
      <c r="AH141" s="43">
        <f t="shared" ca="1" si="8"/>
        <v>0.24844875718905679</v>
      </c>
      <c r="AI141" s="8">
        <f t="shared" si="97"/>
        <v>0.74</v>
      </c>
      <c r="AJ141" s="42">
        <f t="shared" ca="1" si="115"/>
        <v>104</v>
      </c>
      <c r="AL141" s="43">
        <f t="shared" ca="1" si="9"/>
        <v>0.7583227837598906</v>
      </c>
      <c r="AM141" s="8">
        <f t="shared" si="98"/>
        <v>0.74</v>
      </c>
      <c r="AN141" s="42">
        <f t="shared" ca="1" si="116"/>
        <v>204</v>
      </c>
      <c r="AP141" s="43">
        <f t="shared" ca="1" si="10"/>
        <v>0.8512772073174727</v>
      </c>
      <c r="AQ141" s="8">
        <f t="shared" si="99"/>
        <v>0.74</v>
      </c>
      <c r="AR141" s="42">
        <f t="shared" ca="1" si="117"/>
        <v>188</v>
      </c>
      <c r="AT141" s="43">
        <f t="shared" ca="1" si="11"/>
        <v>0.21789223170098182</v>
      </c>
      <c r="AU141" s="8">
        <f t="shared" si="100"/>
        <v>0.74</v>
      </c>
      <c r="AV141" s="42">
        <f t="shared" ca="1" si="118"/>
        <v>121</v>
      </c>
      <c r="AX141" s="43">
        <f t="shared" ca="1" si="12"/>
        <v>4.6793419666608216E-2</v>
      </c>
      <c r="AY141" s="8">
        <f t="shared" si="101"/>
        <v>0.74</v>
      </c>
      <c r="AZ141" s="42">
        <f t="shared" ca="1" si="119"/>
        <v>96</v>
      </c>
      <c r="BB141" s="43">
        <f t="shared" ca="1" si="13"/>
        <v>0.45439291279668281</v>
      </c>
      <c r="BC141" s="8">
        <f t="shared" si="102"/>
        <v>0.74</v>
      </c>
      <c r="BD141" s="42">
        <f t="shared" ca="1" si="120"/>
        <v>144</v>
      </c>
      <c r="BF141" s="43">
        <f t="shared" ca="1" si="14"/>
        <v>0.39562492914473446</v>
      </c>
      <c r="BG141" s="8">
        <f t="shared" si="103"/>
        <v>0.74</v>
      </c>
      <c r="BH141" s="42">
        <f t="shared" ca="1" si="121"/>
        <v>116</v>
      </c>
      <c r="BJ141" s="43">
        <f t="shared" ca="1" si="15"/>
        <v>0.39843535013333342</v>
      </c>
      <c r="BK141" s="8">
        <f t="shared" si="104"/>
        <v>0.74</v>
      </c>
      <c r="BL141" s="42">
        <f t="shared" ca="1" si="122"/>
        <v>149</v>
      </c>
      <c r="BN141" s="43">
        <f t="shared" ca="1" si="16"/>
        <v>2.1672491987779763E-2</v>
      </c>
      <c r="BO141" s="8">
        <f t="shared" si="105"/>
        <v>0.74</v>
      </c>
      <c r="BP141" s="42">
        <f t="shared" ca="1" si="123"/>
        <v>55</v>
      </c>
      <c r="BR141" s="43">
        <f t="shared" ca="1" si="17"/>
        <v>0.6225434597856504</v>
      </c>
      <c r="BS141" s="8">
        <f t="shared" si="106"/>
        <v>0.74</v>
      </c>
      <c r="BT141" s="42">
        <f t="shared" ca="1" si="124"/>
        <v>176</v>
      </c>
    </row>
    <row r="142" spans="1:72" x14ac:dyDescent="0.2">
      <c r="A142" s="22">
        <v>44689</v>
      </c>
      <c r="B142" s="43">
        <f t="shared" ca="1" si="0"/>
        <v>0.45977787700831407</v>
      </c>
      <c r="C142" s="8">
        <f t="shared" si="89"/>
        <v>0.74</v>
      </c>
      <c r="D142" s="42">
        <f t="shared" ca="1" si="107"/>
        <v>73</v>
      </c>
      <c r="F142" s="43">
        <f t="shared" ca="1" si="1"/>
        <v>0.70816370951062346</v>
      </c>
      <c r="G142" s="8">
        <f t="shared" si="90"/>
        <v>0.74</v>
      </c>
      <c r="H142" s="42">
        <f t="shared" ca="1" si="108"/>
        <v>183</v>
      </c>
      <c r="J142" s="43">
        <f t="shared" ca="1" si="2"/>
        <v>3.3062348635646832E-2</v>
      </c>
      <c r="K142" s="8">
        <f t="shared" si="91"/>
        <v>0.74</v>
      </c>
      <c r="L142" s="42">
        <f t="shared" ca="1" si="109"/>
        <v>57</v>
      </c>
      <c r="N142" s="43">
        <f t="shared" ca="1" si="3"/>
        <v>0.78902182455397296</v>
      </c>
      <c r="O142" s="8">
        <f t="shared" si="92"/>
        <v>0.74</v>
      </c>
      <c r="P142" s="42">
        <f t="shared" ca="1" si="110"/>
        <v>207</v>
      </c>
      <c r="R142" s="43">
        <f t="shared" ca="1" si="4"/>
        <v>0.75024395171843516</v>
      </c>
      <c r="S142" s="8">
        <f t="shared" si="93"/>
        <v>0.74</v>
      </c>
      <c r="T142" s="42">
        <f t="shared" ca="1" si="111"/>
        <v>122</v>
      </c>
      <c r="V142" s="43">
        <f t="shared" ca="1" si="5"/>
        <v>0.49834881550907351</v>
      </c>
      <c r="W142" s="8">
        <f t="shared" si="94"/>
        <v>0.74</v>
      </c>
      <c r="X142" s="42">
        <f t="shared" ca="1" si="112"/>
        <v>167</v>
      </c>
      <c r="Z142" s="43">
        <f t="shared" ca="1" si="6"/>
        <v>0.20162614058659378</v>
      </c>
      <c r="AA142" s="8">
        <f t="shared" si="95"/>
        <v>0.74</v>
      </c>
      <c r="AB142" s="42">
        <f t="shared" ca="1" si="113"/>
        <v>156</v>
      </c>
      <c r="AD142" s="43">
        <f t="shared" ca="1" si="7"/>
        <v>0.10999755832445102</v>
      </c>
      <c r="AE142" s="8">
        <f t="shared" si="96"/>
        <v>0.74</v>
      </c>
      <c r="AF142" s="42">
        <f t="shared" ca="1" si="114"/>
        <v>163</v>
      </c>
      <c r="AH142" s="43">
        <f t="shared" ca="1" si="8"/>
        <v>0.18390588890250303</v>
      </c>
      <c r="AI142" s="8">
        <f t="shared" si="97"/>
        <v>0.74</v>
      </c>
      <c r="AJ142" s="42">
        <f t="shared" ca="1" si="115"/>
        <v>96</v>
      </c>
      <c r="AL142" s="43">
        <f t="shared" ca="1" si="9"/>
        <v>0.52481821820521124</v>
      </c>
      <c r="AM142" s="8">
        <f t="shared" si="98"/>
        <v>0.74</v>
      </c>
      <c r="AN142" s="42">
        <f t="shared" ca="1" si="116"/>
        <v>175</v>
      </c>
      <c r="AP142" s="43">
        <f t="shared" ca="1" si="10"/>
        <v>0.86528148152813655</v>
      </c>
      <c r="AQ142" s="8">
        <f t="shared" si="99"/>
        <v>0.74</v>
      </c>
      <c r="AR142" s="42">
        <f t="shared" ca="1" si="117"/>
        <v>190</v>
      </c>
      <c r="AT142" s="43">
        <f t="shared" ca="1" si="11"/>
        <v>0.76229555695770335</v>
      </c>
      <c r="AU142" s="8">
        <f t="shared" si="100"/>
        <v>0.74</v>
      </c>
      <c r="AV142" s="42">
        <f t="shared" ca="1" si="118"/>
        <v>182</v>
      </c>
      <c r="AX142" s="43">
        <f t="shared" ca="1" si="12"/>
        <v>0.85446866486691064</v>
      </c>
      <c r="AY142" s="8">
        <f t="shared" si="101"/>
        <v>0.74</v>
      </c>
      <c r="AZ142" s="42">
        <f t="shared" ca="1" si="119"/>
        <v>222</v>
      </c>
      <c r="BB142" s="43">
        <f t="shared" ca="1" si="13"/>
        <v>0.53727520988659705</v>
      </c>
      <c r="BC142" s="8">
        <f t="shared" si="102"/>
        <v>0.74</v>
      </c>
      <c r="BD142" s="42">
        <f t="shared" ca="1" si="120"/>
        <v>153</v>
      </c>
      <c r="BF142" s="43">
        <f t="shared" ca="1" si="14"/>
        <v>9.4798198667571443E-2</v>
      </c>
      <c r="BG142" s="8">
        <f t="shared" si="103"/>
        <v>0.74</v>
      </c>
      <c r="BH142" s="42">
        <f t="shared" ca="1" si="121"/>
        <v>82</v>
      </c>
      <c r="BJ142" s="43">
        <f t="shared" ca="1" si="15"/>
        <v>6.3264561222543536E-3</v>
      </c>
      <c r="BK142" s="8">
        <f t="shared" si="104"/>
        <v>0.74</v>
      </c>
      <c r="BL142" s="42">
        <f t="shared" ca="1" si="122"/>
        <v>54</v>
      </c>
      <c r="BN142" s="43">
        <f t="shared" ca="1" si="16"/>
        <v>0.51521106538183326</v>
      </c>
      <c r="BO142" s="8">
        <f t="shared" si="105"/>
        <v>0.74</v>
      </c>
      <c r="BP142" s="42">
        <f t="shared" ca="1" si="123"/>
        <v>121</v>
      </c>
      <c r="BR142" s="43">
        <f t="shared" ca="1" si="17"/>
        <v>0.15340417342662871</v>
      </c>
      <c r="BS142" s="8">
        <f t="shared" si="106"/>
        <v>0.74</v>
      </c>
      <c r="BT142" s="42">
        <f t="shared" ca="1" si="124"/>
        <v>119</v>
      </c>
    </row>
    <row r="143" spans="1:72" x14ac:dyDescent="0.2">
      <c r="A143" s="22">
        <v>44690</v>
      </c>
      <c r="B143" s="43">
        <f t="shared" ca="1" si="0"/>
        <v>0.45592872843208032</v>
      </c>
      <c r="C143" s="8">
        <f t="shared" si="89"/>
        <v>0.74</v>
      </c>
      <c r="D143" s="42">
        <f t="shared" ca="1" si="107"/>
        <v>73</v>
      </c>
      <c r="F143" s="43">
        <f t="shared" ca="1" si="1"/>
        <v>6.5471385764405254E-2</v>
      </c>
      <c r="G143" s="8">
        <f t="shared" si="90"/>
        <v>0.74</v>
      </c>
      <c r="H143" s="42">
        <f t="shared" ca="1" si="108"/>
        <v>96</v>
      </c>
      <c r="J143" s="43">
        <f t="shared" ca="1" si="2"/>
        <v>0.27546936299988001</v>
      </c>
      <c r="K143" s="8">
        <f t="shared" si="91"/>
        <v>0.74</v>
      </c>
      <c r="L143" s="42">
        <f t="shared" ca="1" si="109"/>
        <v>94</v>
      </c>
      <c r="N143" s="43">
        <f t="shared" ca="1" si="3"/>
        <v>0.54952510503900742</v>
      </c>
      <c r="O143" s="8">
        <f t="shared" si="92"/>
        <v>0.74</v>
      </c>
      <c r="P143" s="42">
        <f t="shared" ca="1" si="110"/>
        <v>176</v>
      </c>
      <c r="R143" s="43">
        <f t="shared" ca="1" si="4"/>
        <v>0.66080216594192454</v>
      </c>
      <c r="S143" s="8">
        <f t="shared" si="93"/>
        <v>0.74</v>
      </c>
      <c r="T143" s="42">
        <f t="shared" ca="1" si="111"/>
        <v>115</v>
      </c>
      <c r="V143" s="43">
        <f t="shared" ca="1" si="5"/>
        <v>0.64292689234710221</v>
      </c>
      <c r="W143" s="8">
        <f t="shared" si="94"/>
        <v>0.74</v>
      </c>
      <c r="X143" s="42">
        <f t="shared" ca="1" si="112"/>
        <v>183</v>
      </c>
      <c r="Z143" s="43">
        <f t="shared" ca="1" si="6"/>
        <v>0.84616265116705613</v>
      </c>
      <c r="AA143" s="8">
        <f t="shared" si="95"/>
        <v>0.74</v>
      </c>
      <c r="AB143" s="42">
        <f t="shared" ca="1" si="113"/>
        <v>255</v>
      </c>
      <c r="AD143" s="43">
        <f t="shared" ca="1" si="7"/>
        <v>0.77970991846420246</v>
      </c>
      <c r="AE143" s="8">
        <f t="shared" si="96"/>
        <v>0.74</v>
      </c>
      <c r="AF143" s="42">
        <f t="shared" ca="1" si="114"/>
        <v>292</v>
      </c>
      <c r="AH143" s="43">
        <f t="shared" ca="1" si="8"/>
        <v>0.50272409962914988</v>
      </c>
      <c r="AI143" s="8">
        <f t="shared" si="97"/>
        <v>0.74</v>
      </c>
      <c r="AJ143" s="42">
        <f t="shared" ca="1" si="115"/>
        <v>127</v>
      </c>
      <c r="AL143" s="43">
        <f t="shared" ca="1" si="9"/>
        <v>0.45775948050816662</v>
      </c>
      <c r="AM143" s="8">
        <f t="shared" si="98"/>
        <v>0.74</v>
      </c>
      <c r="AN143" s="42">
        <f t="shared" ca="1" si="116"/>
        <v>167</v>
      </c>
      <c r="AP143" s="43">
        <f t="shared" ca="1" si="10"/>
        <v>0.43333702284450393</v>
      </c>
      <c r="AQ143" s="8">
        <f t="shared" si="99"/>
        <v>0.74</v>
      </c>
      <c r="AR143" s="42">
        <f t="shared" ca="1" si="117"/>
        <v>140</v>
      </c>
      <c r="AT143" s="43">
        <f t="shared" ca="1" si="11"/>
        <v>0.80427667661554147</v>
      </c>
      <c r="AU143" s="8">
        <f t="shared" si="100"/>
        <v>0.74</v>
      </c>
      <c r="AV143" s="42">
        <f t="shared" ca="1" si="118"/>
        <v>187</v>
      </c>
      <c r="AX143" s="43">
        <f t="shared" ca="1" si="12"/>
        <v>0.59635276826248584</v>
      </c>
      <c r="AY143" s="8">
        <f t="shared" si="101"/>
        <v>0.74</v>
      </c>
      <c r="AZ143" s="42">
        <f t="shared" ca="1" si="119"/>
        <v>185</v>
      </c>
      <c r="BB143" s="43">
        <f t="shared" ca="1" si="13"/>
        <v>3.8425822135325083E-3</v>
      </c>
      <c r="BC143" s="8">
        <f t="shared" si="102"/>
        <v>0.74</v>
      </c>
      <c r="BD143" s="42">
        <f t="shared" ca="1" si="120"/>
        <v>43</v>
      </c>
      <c r="BF143" s="43">
        <f t="shared" ca="1" si="14"/>
        <v>0.46968851673679446</v>
      </c>
      <c r="BG143" s="8">
        <f t="shared" si="103"/>
        <v>0.74</v>
      </c>
      <c r="BH143" s="42">
        <f t="shared" ca="1" si="121"/>
        <v>123</v>
      </c>
      <c r="BJ143" s="43">
        <f t="shared" ca="1" si="15"/>
        <v>2.6475823222063433E-2</v>
      </c>
      <c r="BK143" s="8">
        <f t="shared" si="104"/>
        <v>0.74</v>
      </c>
      <c r="BL143" s="42">
        <f t="shared" ca="1" si="122"/>
        <v>78</v>
      </c>
      <c r="BN143" s="43">
        <f t="shared" ca="1" si="16"/>
        <v>0.26547830706920239</v>
      </c>
      <c r="BO143" s="8">
        <f t="shared" si="105"/>
        <v>0.74</v>
      </c>
      <c r="BP143" s="42">
        <f t="shared" ca="1" si="123"/>
        <v>100</v>
      </c>
      <c r="BR143" s="43">
        <f t="shared" ca="1" si="17"/>
        <v>0.53157605371350225</v>
      </c>
      <c r="BS143" s="8">
        <f t="shared" si="106"/>
        <v>0.74</v>
      </c>
      <c r="BT143" s="42">
        <f t="shared" ca="1" si="124"/>
        <v>166</v>
      </c>
    </row>
    <row r="144" spans="1:72" x14ac:dyDescent="0.2">
      <c r="A144" s="22">
        <v>44691</v>
      </c>
      <c r="B144" s="43">
        <f t="shared" ca="1" si="0"/>
        <v>0.40710782019432779</v>
      </c>
      <c r="C144" s="8">
        <f t="shared" si="89"/>
        <v>0.74</v>
      </c>
      <c r="D144" s="42">
        <f t="shared" ca="1" si="107"/>
        <v>71</v>
      </c>
      <c r="F144" s="43">
        <f t="shared" ca="1" si="1"/>
        <v>0.94995697195720319</v>
      </c>
      <c r="G144" s="8">
        <f t="shared" si="90"/>
        <v>0.74</v>
      </c>
      <c r="H144" s="42">
        <f t="shared" ca="1" si="108"/>
        <v>230</v>
      </c>
      <c r="J144" s="43">
        <f t="shared" ca="1" si="2"/>
        <v>0.26093647186773894</v>
      </c>
      <c r="K144" s="8">
        <f t="shared" si="91"/>
        <v>0.74</v>
      </c>
      <c r="L144" s="42">
        <f t="shared" ca="1" si="109"/>
        <v>93</v>
      </c>
      <c r="N144" s="43">
        <f t="shared" ca="1" si="3"/>
        <v>0.20049264107497977</v>
      </c>
      <c r="O144" s="8">
        <f t="shared" si="92"/>
        <v>0.74</v>
      </c>
      <c r="P144" s="42">
        <f t="shared" ca="1" si="110"/>
        <v>132</v>
      </c>
      <c r="R144" s="43">
        <f t="shared" ca="1" si="4"/>
        <v>0.64134047067298627</v>
      </c>
      <c r="S144" s="8">
        <f t="shared" si="93"/>
        <v>0.74</v>
      </c>
      <c r="T144" s="42">
        <f t="shared" ca="1" si="111"/>
        <v>113</v>
      </c>
      <c r="V144" s="43">
        <f t="shared" ca="1" si="5"/>
        <v>0.78083883579210756</v>
      </c>
      <c r="W144" s="8">
        <f t="shared" si="94"/>
        <v>0.74</v>
      </c>
      <c r="X144" s="42">
        <f t="shared" ca="1" si="112"/>
        <v>201</v>
      </c>
      <c r="Z144" s="43">
        <f t="shared" ca="1" si="6"/>
        <v>0.19981252505738956</v>
      </c>
      <c r="AA144" s="8">
        <f t="shared" si="95"/>
        <v>0.74</v>
      </c>
      <c r="AB144" s="42">
        <f t="shared" ca="1" si="113"/>
        <v>155</v>
      </c>
      <c r="AD144" s="43">
        <f t="shared" ca="1" si="7"/>
        <v>0.78667690425524639</v>
      </c>
      <c r="AE144" s="8">
        <f t="shared" si="96"/>
        <v>0.74</v>
      </c>
      <c r="AF144" s="42">
        <f t="shared" ca="1" si="114"/>
        <v>294</v>
      </c>
      <c r="AH144" s="43">
        <f t="shared" ca="1" si="8"/>
        <v>0.88471724332480051</v>
      </c>
      <c r="AI144" s="8">
        <f t="shared" si="97"/>
        <v>0.74</v>
      </c>
      <c r="AJ144" s="42">
        <f t="shared" ca="1" si="115"/>
        <v>167</v>
      </c>
      <c r="AL144" s="43">
        <f t="shared" ca="1" si="9"/>
        <v>0.1828775654821444</v>
      </c>
      <c r="AM144" s="8">
        <f t="shared" si="98"/>
        <v>0.74</v>
      </c>
      <c r="AN144" s="42">
        <f t="shared" ca="1" si="116"/>
        <v>131</v>
      </c>
      <c r="AP144" s="43">
        <f t="shared" ca="1" si="10"/>
        <v>0.83359691325312935</v>
      </c>
      <c r="AQ144" s="8">
        <f t="shared" si="99"/>
        <v>0.74</v>
      </c>
      <c r="AR144" s="42">
        <f t="shared" ca="1" si="117"/>
        <v>185</v>
      </c>
      <c r="AT144" s="43">
        <f t="shared" ca="1" si="11"/>
        <v>0.92662091493451548</v>
      </c>
      <c r="AU144" s="8">
        <f t="shared" si="100"/>
        <v>0.74</v>
      </c>
      <c r="AV144" s="42">
        <f t="shared" ca="1" si="118"/>
        <v>211</v>
      </c>
      <c r="AX144" s="43">
        <f t="shared" ca="1" si="12"/>
        <v>0.6351929271243949</v>
      </c>
      <c r="AY144" s="8">
        <f t="shared" si="101"/>
        <v>0.74</v>
      </c>
      <c r="AZ144" s="42">
        <f t="shared" ca="1" si="119"/>
        <v>189</v>
      </c>
      <c r="BB144" s="43">
        <f t="shared" ca="1" si="13"/>
        <v>5.6671574829012417E-2</v>
      </c>
      <c r="BC144" s="8">
        <f t="shared" si="102"/>
        <v>0.74</v>
      </c>
      <c r="BD144" s="42">
        <f t="shared" ca="1" si="120"/>
        <v>86</v>
      </c>
      <c r="BF144" s="43">
        <f t="shared" ca="1" si="14"/>
        <v>0.10810366846484532</v>
      </c>
      <c r="BG144" s="8">
        <f t="shared" si="103"/>
        <v>0.74</v>
      </c>
      <c r="BH144" s="42">
        <f t="shared" ca="1" si="121"/>
        <v>84</v>
      </c>
      <c r="BJ144" s="43">
        <f t="shared" ca="1" si="15"/>
        <v>6.6032828701823809E-2</v>
      </c>
      <c r="BK144" s="8">
        <f t="shared" si="104"/>
        <v>0.74</v>
      </c>
      <c r="BL144" s="42">
        <f t="shared" ca="1" si="122"/>
        <v>96</v>
      </c>
      <c r="BN144" s="43">
        <f t="shared" ca="1" si="16"/>
        <v>0.60218119243898971</v>
      </c>
      <c r="BO144" s="8">
        <f t="shared" si="105"/>
        <v>0.74</v>
      </c>
      <c r="BP144" s="42">
        <f t="shared" ca="1" si="123"/>
        <v>128</v>
      </c>
      <c r="BR144" s="43">
        <f t="shared" ca="1" si="17"/>
        <v>0.6934653049339724</v>
      </c>
      <c r="BS144" s="8">
        <f t="shared" si="106"/>
        <v>0.74</v>
      </c>
      <c r="BT144" s="42">
        <f t="shared" ca="1" si="124"/>
        <v>185</v>
      </c>
    </row>
    <row r="145" spans="1:72" x14ac:dyDescent="0.2">
      <c r="A145" s="22">
        <v>44692</v>
      </c>
      <c r="B145" s="43">
        <f t="shared" ca="1" si="0"/>
        <v>6.2062186949845555E-2</v>
      </c>
      <c r="C145" s="8">
        <f t="shared" si="89"/>
        <v>0.74</v>
      </c>
      <c r="D145" s="42">
        <f t="shared" ca="1" si="107"/>
        <v>52</v>
      </c>
      <c r="F145" s="43">
        <f t="shared" ca="1" si="1"/>
        <v>0.49687694008379646</v>
      </c>
      <c r="G145" s="8">
        <f t="shared" si="90"/>
        <v>0.74</v>
      </c>
      <c r="H145" s="42">
        <f t="shared" ca="1" si="108"/>
        <v>160</v>
      </c>
      <c r="J145" s="43">
        <f t="shared" ca="1" si="2"/>
        <v>0.30838150477879389</v>
      </c>
      <c r="K145" s="8">
        <f t="shared" si="91"/>
        <v>0.74</v>
      </c>
      <c r="L145" s="42">
        <f t="shared" ca="1" si="109"/>
        <v>97</v>
      </c>
      <c r="N145" s="43">
        <f t="shared" ca="1" si="3"/>
        <v>0.12744545086826053</v>
      </c>
      <c r="O145" s="8">
        <f t="shared" si="92"/>
        <v>0.74</v>
      </c>
      <c r="P145" s="42">
        <f t="shared" ca="1" si="110"/>
        <v>119</v>
      </c>
      <c r="R145" s="43">
        <f t="shared" ca="1" si="4"/>
        <v>0.9386103630553031</v>
      </c>
      <c r="S145" s="8">
        <f t="shared" si="93"/>
        <v>0.74</v>
      </c>
      <c r="T145" s="42">
        <f t="shared" ca="1" si="111"/>
        <v>145</v>
      </c>
      <c r="V145" s="43">
        <f t="shared" ca="1" si="5"/>
        <v>0.38706586262111198</v>
      </c>
      <c r="W145" s="8">
        <f t="shared" si="94"/>
        <v>0.74</v>
      </c>
      <c r="X145" s="42">
        <f t="shared" ca="1" si="112"/>
        <v>154</v>
      </c>
      <c r="Z145" s="43">
        <f t="shared" ca="1" si="6"/>
        <v>0.15458339895435214</v>
      </c>
      <c r="AA145" s="8">
        <f t="shared" si="95"/>
        <v>0.74</v>
      </c>
      <c r="AB145" s="42">
        <f t="shared" ca="1" si="113"/>
        <v>146</v>
      </c>
      <c r="AD145" s="43">
        <f t="shared" ca="1" si="7"/>
        <v>0.15796220762938951</v>
      </c>
      <c r="AE145" s="8">
        <f t="shared" si="96"/>
        <v>0.74</v>
      </c>
      <c r="AF145" s="42">
        <f t="shared" ca="1" si="114"/>
        <v>178</v>
      </c>
      <c r="AH145" s="43">
        <f t="shared" ca="1" si="8"/>
        <v>0.11485679455619824</v>
      </c>
      <c r="AI145" s="8">
        <f t="shared" si="97"/>
        <v>0.74</v>
      </c>
      <c r="AJ145" s="42">
        <f t="shared" ca="1" si="115"/>
        <v>86</v>
      </c>
      <c r="AL145" s="43">
        <f t="shared" ca="1" si="9"/>
        <v>7.6199303081853187E-2</v>
      </c>
      <c r="AM145" s="8">
        <f t="shared" si="98"/>
        <v>0.74</v>
      </c>
      <c r="AN145" s="42">
        <f t="shared" ca="1" si="116"/>
        <v>107</v>
      </c>
      <c r="AP145" s="43">
        <f t="shared" ca="1" si="10"/>
        <v>0.86854181625469495</v>
      </c>
      <c r="AQ145" s="8">
        <f t="shared" si="99"/>
        <v>0.74</v>
      </c>
      <c r="AR145" s="42">
        <f t="shared" ca="1" si="117"/>
        <v>191</v>
      </c>
      <c r="AT145" s="43">
        <f t="shared" ca="1" si="11"/>
        <v>0.41306663768185858</v>
      </c>
      <c r="AU145" s="8">
        <f t="shared" si="100"/>
        <v>0.74</v>
      </c>
      <c r="AV145" s="42">
        <f t="shared" ca="1" si="118"/>
        <v>144</v>
      </c>
      <c r="AX145" s="43">
        <f t="shared" ca="1" si="12"/>
        <v>1.0078572732006297E-3</v>
      </c>
      <c r="AY145" s="8">
        <f t="shared" si="101"/>
        <v>0.74</v>
      </c>
      <c r="AZ145" s="42">
        <f t="shared" ca="1" si="119"/>
        <v>31</v>
      </c>
      <c r="BB145" s="43">
        <f t="shared" ca="1" si="13"/>
        <v>0.90147397826115871</v>
      </c>
      <c r="BC145" s="8">
        <f t="shared" si="102"/>
        <v>0.74</v>
      </c>
      <c r="BD145" s="42">
        <f t="shared" ca="1" si="120"/>
        <v>200</v>
      </c>
      <c r="BF145" s="43">
        <f t="shared" ca="1" si="14"/>
        <v>7.6960107118695942E-2</v>
      </c>
      <c r="BG145" s="8">
        <f t="shared" si="103"/>
        <v>0.74</v>
      </c>
      <c r="BH145" s="42">
        <f t="shared" ca="1" si="121"/>
        <v>78</v>
      </c>
      <c r="BJ145" s="43">
        <f t="shared" ca="1" si="15"/>
        <v>0.43899092664721617</v>
      </c>
      <c r="BK145" s="8">
        <f t="shared" si="104"/>
        <v>0.74</v>
      </c>
      <c r="BL145" s="42">
        <f t="shared" ca="1" si="122"/>
        <v>154</v>
      </c>
      <c r="BN145" s="43">
        <f t="shared" ca="1" si="16"/>
        <v>0.8175446546674735</v>
      </c>
      <c r="BO145" s="8">
        <f t="shared" si="105"/>
        <v>0.74</v>
      </c>
      <c r="BP145" s="42">
        <f t="shared" ca="1" si="123"/>
        <v>148</v>
      </c>
      <c r="BR145" s="43">
        <f t="shared" ca="1" si="17"/>
        <v>0.11056678845139334</v>
      </c>
      <c r="BS145" s="8">
        <f t="shared" si="106"/>
        <v>0.74</v>
      </c>
      <c r="BT145" s="42">
        <f t="shared" ca="1" si="124"/>
        <v>110</v>
      </c>
    </row>
    <row r="146" spans="1:72" x14ac:dyDescent="0.2">
      <c r="A146" s="22">
        <v>44693</v>
      </c>
      <c r="B146" s="43">
        <f t="shared" ca="1" si="0"/>
        <v>0.70112940928128176</v>
      </c>
      <c r="C146" s="8">
        <f t="shared" si="89"/>
        <v>0.74</v>
      </c>
      <c r="D146" s="42">
        <f t="shared" ca="1" si="107"/>
        <v>82</v>
      </c>
      <c r="F146" s="43">
        <f t="shared" ca="1" si="1"/>
        <v>0.67470262716482388</v>
      </c>
      <c r="G146" s="8">
        <f t="shared" si="90"/>
        <v>0.74</v>
      </c>
      <c r="H146" s="42">
        <f t="shared" ca="1" si="108"/>
        <v>179</v>
      </c>
      <c r="J146" s="43">
        <f t="shared" ca="1" si="2"/>
        <v>0.71770631994147116</v>
      </c>
      <c r="K146" s="8">
        <f t="shared" si="91"/>
        <v>0.74</v>
      </c>
      <c r="L146" s="42">
        <f t="shared" ca="1" si="109"/>
        <v>129</v>
      </c>
      <c r="N146" s="43">
        <f t="shared" ca="1" si="3"/>
        <v>0.21760966698828621</v>
      </c>
      <c r="O146" s="8">
        <f t="shared" si="92"/>
        <v>0.74</v>
      </c>
      <c r="P146" s="42">
        <f t="shared" ca="1" si="110"/>
        <v>135</v>
      </c>
      <c r="R146" s="43">
        <f t="shared" ca="1" si="4"/>
        <v>0.61180383201621069</v>
      </c>
      <c r="S146" s="8">
        <f t="shared" si="93"/>
        <v>0.74</v>
      </c>
      <c r="T146" s="42">
        <f t="shared" ca="1" si="111"/>
        <v>111</v>
      </c>
      <c r="V146" s="43">
        <f t="shared" ca="1" si="5"/>
        <v>0.21682465186487998</v>
      </c>
      <c r="W146" s="8">
        <f t="shared" si="94"/>
        <v>0.74</v>
      </c>
      <c r="X146" s="42">
        <f t="shared" ca="1" si="112"/>
        <v>132</v>
      </c>
      <c r="Z146" s="43">
        <f t="shared" ca="1" si="6"/>
        <v>0.50614077861387297</v>
      </c>
      <c r="AA146" s="8">
        <f t="shared" si="95"/>
        <v>0.74</v>
      </c>
      <c r="AB146" s="42">
        <f t="shared" ca="1" si="113"/>
        <v>201</v>
      </c>
      <c r="AD146" s="43">
        <f t="shared" ca="1" si="7"/>
        <v>0.64513201483779736</v>
      </c>
      <c r="AE146" s="8">
        <f t="shared" si="96"/>
        <v>0.74</v>
      </c>
      <c r="AF146" s="42">
        <f t="shared" ca="1" si="114"/>
        <v>266</v>
      </c>
      <c r="AH146" s="43">
        <f t="shared" ca="1" si="8"/>
        <v>5.2455109533959376E-2</v>
      </c>
      <c r="AI146" s="8">
        <f t="shared" si="97"/>
        <v>0.74</v>
      </c>
      <c r="AJ146" s="42">
        <f t="shared" ca="1" si="115"/>
        <v>72</v>
      </c>
      <c r="AL146" s="43">
        <f t="shared" ca="1" si="9"/>
        <v>0.82803482642116499</v>
      </c>
      <c r="AM146" s="8">
        <f t="shared" si="98"/>
        <v>0.74</v>
      </c>
      <c r="AN146" s="42">
        <f t="shared" ca="1" si="116"/>
        <v>216</v>
      </c>
      <c r="AP146" s="43">
        <f t="shared" ca="1" si="10"/>
        <v>1.0812402897430351E-2</v>
      </c>
      <c r="AQ146" s="8">
        <f t="shared" si="99"/>
        <v>0.74</v>
      </c>
      <c r="AR146" s="42">
        <f t="shared" ca="1" si="117"/>
        <v>57</v>
      </c>
      <c r="AT146" s="43">
        <f t="shared" ca="1" si="11"/>
        <v>0.3011362479130183</v>
      </c>
      <c r="AU146" s="8">
        <f t="shared" si="100"/>
        <v>0.74</v>
      </c>
      <c r="AV146" s="42">
        <f t="shared" ca="1" si="118"/>
        <v>131</v>
      </c>
      <c r="AX146" s="43">
        <f t="shared" ca="1" si="12"/>
        <v>0.42776332844429343</v>
      </c>
      <c r="AY146" s="8">
        <f t="shared" si="101"/>
        <v>0.74</v>
      </c>
      <c r="AZ146" s="42">
        <f t="shared" ca="1" si="119"/>
        <v>165</v>
      </c>
      <c r="BB146" s="43">
        <f t="shared" ca="1" si="13"/>
        <v>0.63453193566243493</v>
      </c>
      <c r="BC146" s="8">
        <f t="shared" si="102"/>
        <v>0.74</v>
      </c>
      <c r="BD146" s="42">
        <f t="shared" ca="1" si="120"/>
        <v>163</v>
      </c>
      <c r="BF146" s="43">
        <f t="shared" ca="1" si="14"/>
        <v>0.21873917592670644</v>
      </c>
      <c r="BG146" s="8">
        <f t="shared" si="103"/>
        <v>0.74</v>
      </c>
      <c r="BH146" s="42">
        <f t="shared" ca="1" si="121"/>
        <v>99</v>
      </c>
      <c r="BJ146" s="43">
        <f t="shared" ca="1" si="15"/>
        <v>0.17913834353374924</v>
      </c>
      <c r="BK146" s="8">
        <f t="shared" si="104"/>
        <v>0.74</v>
      </c>
      <c r="BL146" s="42">
        <f t="shared" ca="1" si="122"/>
        <v>121</v>
      </c>
      <c r="BN146" s="43">
        <f t="shared" ca="1" si="16"/>
        <v>0.66278672141605766</v>
      </c>
      <c r="BO146" s="8">
        <f t="shared" si="105"/>
        <v>0.74</v>
      </c>
      <c r="BP146" s="42">
        <f t="shared" ca="1" si="123"/>
        <v>133</v>
      </c>
      <c r="BR146" s="43">
        <f t="shared" ca="1" si="17"/>
        <v>0.58019047475482366</v>
      </c>
      <c r="BS146" s="8">
        <f t="shared" si="106"/>
        <v>0.74</v>
      </c>
      <c r="BT146" s="42">
        <f t="shared" ca="1" si="124"/>
        <v>172</v>
      </c>
    </row>
    <row r="147" spans="1:72" x14ac:dyDescent="0.2">
      <c r="A147" s="22">
        <v>44694</v>
      </c>
      <c r="B147" s="43">
        <f t="shared" ca="1" si="0"/>
        <v>0.75150988959662546</v>
      </c>
      <c r="C147" s="8">
        <f t="shared" si="89"/>
        <v>0.74</v>
      </c>
      <c r="D147" s="42">
        <f t="shared" ca="1" si="107"/>
        <v>85</v>
      </c>
      <c r="F147" s="43">
        <f t="shared" ca="1" si="1"/>
        <v>0.57621172224873174</v>
      </c>
      <c r="G147" s="8">
        <f t="shared" si="90"/>
        <v>0.74</v>
      </c>
      <c r="H147" s="42">
        <f t="shared" ca="1" si="108"/>
        <v>168</v>
      </c>
      <c r="J147" s="43">
        <f t="shared" ca="1" si="2"/>
        <v>0.73036584958723327</v>
      </c>
      <c r="K147" s="8">
        <f t="shared" si="91"/>
        <v>0.74</v>
      </c>
      <c r="L147" s="42">
        <f t="shared" ca="1" si="109"/>
        <v>130</v>
      </c>
      <c r="N147" s="43">
        <f t="shared" ca="1" si="3"/>
        <v>0.86050574769355703</v>
      </c>
      <c r="O147" s="8">
        <f t="shared" si="92"/>
        <v>0.74</v>
      </c>
      <c r="P147" s="42">
        <f t="shared" ca="1" si="110"/>
        <v>219</v>
      </c>
      <c r="R147" s="43">
        <f t="shared" ca="1" si="4"/>
        <v>0.85409917174634686</v>
      </c>
      <c r="S147" s="8">
        <f t="shared" si="93"/>
        <v>0.74</v>
      </c>
      <c r="T147" s="42">
        <f t="shared" ca="1" si="111"/>
        <v>132</v>
      </c>
      <c r="V147" s="43">
        <f t="shared" ca="1" si="5"/>
        <v>0.56077840163073356</v>
      </c>
      <c r="W147" s="8">
        <f t="shared" si="94"/>
        <v>0.74</v>
      </c>
      <c r="X147" s="42">
        <f t="shared" ca="1" si="112"/>
        <v>174</v>
      </c>
      <c r="Z147" s="43">
        <f t="shared" ca="1" si="6"/>
        <v>0.40582533448961222</v>
      </c>
      <c r="AA147" s="8">
        <f t="shared" si="95"/>
        <v>0.74</v>
      </c>
      <c r="AB147" s="42">
        <f t="shared" ca="1" si="113"/>
        <v>188</v>
      </c>
      <c r="AD147" s="43">
        <f t="shared" ca="1" si="7"/>
        <v>6.3649085057559729E-2</v>
      </c>
      <c r="AE147" s="8">
        <f t="shared" si="96"/>
        <v>0.74</v>
      </c>
      <c r="AF147" s="42">
        <f t="shared" ca="1" si="114"/>
        <v>144</v>
      </c>
      <c r="AH147" s="43">
        <f t="shared" ca="1" si="8"/>
        <v>0.22853267345838446</v>
      </c>
      <c r="AI147" s="8">
        <f t="shared" si="97"/>
        <v>0.74</v>
      </c>
      <c r="AJ147" s="42">
        <f t="shared" ca="1" si="115"/>
        <v>102</v>
      </c>
      <c r="AL147" s="43">
        <f t="shared" ca="1" si="9"/>
        <v>0.24495577256539247</v>
      </c>
      <c r="AM147" s="8">
        <f t="shared" si="98"/>
        <v>0.74</v>
      </c>
      <c r="AN147" s="42">
        <f t="shared" ca="1" si="116"/>
        <v>141</v>
      </c>
      <c r="AP147" s="43">
        <f t="shared" ca="1" si="10"/>
        <v>0.70514674583056436</v>
      </c>
      <c r="AQ147" s="8">
        <f t="shared" si="99"/>
        <v>0.74</v>
      </c>
      <c r="AR147" s="42">
        <f t="shared" ca="1" si="117"/>
        <v>168</v>
      </c>
      <c r="AT147" s="43">
        <f t="shared" ca="1" si="11"/>
        <v>0.38219032750673965</v>
      </c>
      <c r="AU147" s="8">
        <f t="shared" si="100"/>
        <v>0.74</v>
      </c>
      <c r="AV147" s="42">
        <f t="shared" ca="1" si="118"/>
        <v>140</v>
      </c>
      <c r="AX147" s="43">
        <f t="shared" ca="1" si="12"/>
        <v>2.4915806987712563E-2</v>
      </c>
      <c r="AY147" s="8">
        <f t="shared" si="101"/>
        <v>0.74</v>
      </c>
      <c r="AZ147" s="42">
        <f t="shared" ca="1" si="119"/>
        <v>83</v>
      </c>
      <c r="BB147" s="43">
        <f t="shared" ca="1" si="13"/>
        <v>0.6640982570972298</v>
      </c>
      <c r="BC147" s="8">
        <f t="shared" si="102"/>
        <v>0.74</v>
      </c>
      <c r="BD147" s="42">
        <f t="shared" ca="1" si="120"/>
        <v>166</v>
      </c>
      <c r="BF147" s="43">
        <f t="shared" ca="1" si="14"/>
        <v>0.13525394887413444</v>
      </c>
      <c r="BG147" s="8">
        <f t="shared" si="103"/>
        <v>0.74</v>
      </c>
      <c r="BH147" s="42">
        <f t="shared" ca="1" si="121"/>
        <v>89</v>
      </c>
      <c r="BJ147" s="43">
        <f t="shared" ca="1" si="15"/>
        <v>0.50739438201073983</v>
      </c>
      <c r="BK147" s="8">
        <f t="shared" si="104"/>
        <v>0.74</v>
      </c>
      <c r="BL147" s="42">
        <f t="shared" ca="1" si="122"/>
        <v>161</v>
      </c>
      <c r="BN147" s="43">
        <f t="shared" ca="1" si="16"/>
        <v>0.50583574518799501</v>
      </c>
      <c r="BO147" s="8">
        <f t="shared" si="105"/>
        <v>0.74</v>
      </c>
      <c r="BP147" s="42">
        <f t="shared" ca="1" si="123"/>
        <v>120</v>
      </c>
      <c r="BR147" s="43">
        <f t="shared" ca="1" si="17"/>
        <v>0.19562945552423872</v>
      </c>
      <c r="BS147" s="8">
        <f t="shared" si="106"/>
        <v>0.74</v>
      </c>
      <c r="BT147" s="42">
        <f t="shared" ca="1" si="124"/>
        <v>126</v>
      </c>
    </row>
    <row r="148" spans="1:72" x14ac:dyDescent="0.2">
      <c r="A148" s="22">
        <v>44695</v>
      </c>
      <c r="B148" s="43">
        <f t="shared" ca="1" si="0"/>
        <v>0.2967397317600301</v>
      </c>
      <c r="C148" s="8">
        <f t="shared" si="89"/>
        <v>0.74</v>
      </c>
      <c r="D148" s="42">
        <f t="shared" ca="1" si="107"/>
        <v>67</v>
      </c>
      <c r="F148" s="43">
        <f t="shared" ca="1" si="1"/>
        <v>0.87131410164585676</v>
      </c>
      <c r="G148" s="8">
        <f t="shared" si="90"/>
        <v>0.74</v>
      </c>
      <c r="H148" s="42">
        <f t="shared" ca="1" si="108"/>
        <v>208</v>
      </c>
      <c r="J148" s="43">
        <f t="shared" ca="1" si="2"/>
        <v>0.70062830206947424</v>
      </c>
      <c r="K148" s="8">
        <f t="shared" si="91"/>
        <v>0.74</v>
      </c>
      <c r="L148" s="42">
        <f t="shared" ca="1" si="109"/>
        <v>127</v>
      </c>
      <c r="N148" s="43">
        <f t="shared" ca="1" si="3"/>
        <v>0.62440668684052825</v>
      </c>
      <c r="O148" s="8">
        <f t="shared" si="92"/>
        <v>0.74</v>
      </c>
      <c r="P148" s="42">
        <f t="shared" ca="1" si="110"/>
        <v>185</v>
      </c>
      <c r="R148" s="43">
        <f t="shared" ca="1" si="4"/>
        <v>0.72151230403174493</v>
      </c>
      <c r="S148" s="8">
        <f t="shared" si="93"/>
        <v>0.74</v>
      </c>
      <c r="T148" s="42">
        <f t="shared" ca="1" si="111"/>
        <v>119</v>
      </c>
      <c r="V148" s="43">
        <f t="shared" ca="1" si="5"/>
        <v>0.69444932492873856</v>
      </c>
      <c r="W148" s="8">
        <f t="shared" si="94"/>
        <v>0.74</v>
      </c>
      <c r="X148" s="42">
        <f t="shared" ca="1" si="112"/>
        <v>190</v>
      </c>
      <c r="Z148" s="43">
        <f t="shared" ca="1" si="6"/>
        <v>0.9437617441214442</v>
      </c>
      <c r="AA148" s="8">
        <f t="shared" si="95"/>
        <v>0.74</v>
      </c>
      <c r="AB148" s="42">
        <f t="shared" ca="1" si="113"/>
        <v>285</v>
      </c>
      <c r="AD148" s="43">
        <f t="shared" ca="1" si="7"/>
        <v>0.69908565077013007</v>
      </c>
      <c r="AE148" s="8">
        <f t="shared" si="96"/>
        <v>0.74</v>
      </c>
      <c r="AF148" s="42">
        <f t="shared" ca="1" si="114"/>
        <v>276</v>
      </c>
      <c r="AH148" s="43">
        <f t="shared" ca="1" si="8"/>
        <v>0.58722987660402559</v>
      </c>
      <c r="AI148" s="8">
        <f t="shared" si="97"/>
        <v>0.74</v>
      </c>
      <c r="AJ148" s="42">
        <f t="shared" ca="1" si="115"/>
        <v>134</v>
      </c>
      <c r="AL148" s="43">
        <f t="shared" ca="1" si="9"/>
        <v>0.61111115325504295</v>
      </c>
      <c r="AM148" s="8">
        <f t="shared" si="98"/>
        <v>0.74</v>
      </c>
      <c r="AN148" s="42">
        <f t="shared" ca="1" si="116"/>
        <v>185</v>
      </c>
      <c r="AP148" s="43">
        <f t="shared" ca="1" si="10"/>
        <v>0.77211783043770077</v>
      </c>
      <c r="AQ148" s="8">
        <f t="shared" si="99"/>
        <v>0.74</v>
      </c>
      <c r="AR148" s="42">
        <f t="shared" ca="1" si="117"/>
        <v>176</v>
      </c>
      <c r="AT148" s="43">
        <f t="shared" ca="1" si="11"/>
        <v>0.91346366645665411</v>
      </c>
      <c r="AU148" s="8">
        <f t="shared" si="100"/>
        <v>0.74</v>
      </c>
      <c r="AV148" s="42">
        <f t="shared" ca="1" si="118"/>
        <v>208</v>
      </c>
      <c r="AX148" s="43">
        <f t="shared" ca="1" si="12"/>
        <v>0.7744121158251086</v>
      </c>
      <c r="AY148" s="8">
        <f t="shared" si="101"/>
        <v>0.74</v>
      </c>
      <c r="AZ148" s="42">
        <f t="shared" ca="1" si="119"/>
        <v>208</v>
      </c>
      <c r="BB148" s="43">
        <f t="shared" ca="1" si="13"/>
        <v>0.19242145794037513</v>
      </c>
      <c r="BC148" s="8">
        <f t="shared" si="102"/>
        <v>0.74</v>
      </c>
      <c r="BD148" s="42">
        <f t="shared" ca="1" si="120"/>
        <v>115</v>
      </c>
      <c r="BF148" s="43">
        <f t="shared" ca="1" si="14"/>
        <v>0.78517434672790787</v>
      </c>
      <c r="BG148" s="8">
        <f t="shared" si="103"/>
        <v>0.74</v>
      </c>
      <c r="BH148" s="42">
        <f t="shared" ca="1" si="121"/>
        <v>152</v>
      </c>
      <c r="BJ148" s="43">
        <f t="shared" ca="1" si="15"/>
        <v>0.72087221835160176</v>
      </c>
      <c r="BK148" s="8">
        <f t="shared" si="104"/>
        <v>0.74</v>
      </c>
      <c r="BL148" s="42">
        <f t="shared" ca="1" si="122"/>
        <v>185</v>
      </c>
      <c r="BN148" s="43">
        <f t="shared" ca="1" si="16"/>
        <v>0.74323751555118667</v>
      </c>
      <c r="BO148" s="8">
        <f t="shared" si="105"/>
        <v>0.74</v>
      </c>
      <c r="BP148" s="42">
        <f t="shared" ca="1" si="123"/>
        <v>140</v>
      </c>
      <c r="BR148" s="43">
        <f t="shared" ca="1" si="17"/>
        <v>0.19743408826126085</v>
      </c>
      <c r="BS148" s="8">
        <f t="shared" si="106"/>
        <v>0.74</v>
      </c>
      <c r="BT148" s="42">
        <f t="shared" ca="1" si="124"/>
        <v>126</v>
      </c>
    </row>
    <row r="149" spans="1:72" x14ac:dyDescent="0.2">
      <c r="A149" s="22">
        <v>44696</v>
      </c>
      <c r="B149" s="43">
        <f t="shared" ca="1" si="0"/>
        <v>0.61064293119306323</v>
      </c>
      <c r="C149" s="8">
        <f t="shared" si="89"/>
        <v>0.74</v>
      </c>
      <c r="D149" s="42">
        <f t="shared" ca="1" si="107"/>
        <v>79</v>
      </c>
      <c r="F149" s="43">
        <f t="shared" ca="1" si="1"/>
        <v>0.48751282819374753</v>
      </c>
      <c r="G149" s="8">
        <f t="shared" si="90"/>
        <v>0.74</v>
      </c>
      <c r="H149" s="42">
        <f t="shared" ca="1" si="108"/>
        <v>159</v>
      </c>
      <c r="J149" s="43">
        <f t="shared" ca="1" si="2"/>
        <v>0.29056071114786919</v>
      </c>
      <c r="K149" s="8">
        <f t="shared" si="91"/>
        <v>0.74</v>
      </c>
      <c r="L149" s="42">
        <f t="shared" ca="1" si="109"/>
        <v>95</v>
      </c>
      <c r="N149" s="43">
        <f t="shared" ca="1" si="3"/>
        <v>6.7945829885637021E-2</v>
      </c>
      <c r="O149" s="8">
        <f t="shared" si="92"/>
        <v>0.74</v>
      </c>
      <c r="P149" s="42">
        <f t="shared" ca="1" si="110"/>
        <v>103</v>
      </c>
      <c r="R149" s="43">
        <f t="shared" ca="1" si="4"/>
        <v>0.61182730994109413</v>
      </c>
      <c r="S149" s="8">
        <f t="shared" si="93"/>
        <v>0.74</v>
      </c>
      <c r="T149" s="42">
        <f t="shared" ca="1" si="111"/>
        <v>111</v>
      </c>
      <c r="V149" s="43">
        <f t="shared" ca="1" si="5"/>
        <v>0.92883115073560041</v>
      </c>
      <c r="W149" s="8">
        <f t="shared" si="94"/>
        <v>0.74</v>
      </c>
      <c r="X149" s="42">
        <f t="shared" ca="1" si="112"/>
        <v>232</v>
      </c>
      <c r="Z149" s="43">
        <f t="shared" ca="1" si="6"/>
        <v>0.20384743788997761</v>
      </c>
      <c r="AA149" s="8">
        <f t="shared" si="95"/>
        <v>0.74</v>
      </c>
      <c r="AB149" s="42">
        <f t="shared" ca="1" si="113"/>
        <v>156</v>
      </c>
      <c r="AD149" s="43">
        <f t="shared" ca="1" si="7"/>
        <v>0.70583637535894306</v>
      </c>
      <c r="AE149" s="8">
        <f t="shared" si="96"/>
        <v>0.74</v>
      </c>
      <c r="AF149" s="42">
        <f t="shared" ca="1" si="114"/>
        <v>277</v>
      </c>
      <c r="AH149" s="43">
        <f t="shared" ca="1" si="8"/>
        <v>0.22230761758573203</v>
      </c>
      <c r="AI149" s="8">
        <f t="shared" si="97"/>
        <v>0.74</v>
      </c>
      <c r="AJ149" s="42">
        <f t="shared" ca="1" si="115"/>
        <v>101</v>
      </c>
      <c r="AL149" s="43">
        <f t="shared" ca="1" si="9"/>
        <v>0.94331203038161737</v>
      </c>
      <c r="AM149" s="8">
        <f t="shared" si="98"/>
        <v>0.74</v>
      </c>
      <c r="AN149" s="42">
        <f t="shared" ca="1" si="116"/>
        <v>245</v>
      </c>
      <c r="AP149" s="43">
        <f t="shared" ca="1" si="10"/>
        <v>0.21307964476495755</v>
      </c>
      <c r="AQ149" s="8">
        <f t="shared" si="99"/>
        <v>0.74</v>
      </c>
      <c r="AR149" s="42">
        <f t="shared" ca="1" si="117"/>
        <v>116</v>
      </c>
      <c r="AT149" s="43">
        <f t="shared" ca="1" si="11"/>
        <v>0.62255091668439566</v>
      </c>
      <c r="AU149" s="8">
        <f t="shared" si="100"/>
        <v>0.74</v>
      </c>
      <c r="AV149" s="42">
        <f t="shared" ca="1" si="118"/>
        <v>165</v>
      </c>
      <c r="AX149" s="43">
        <f t="shared" ca="1" si="12"/>
        <v>0.96820432212925767</v>
      </c>
      <c r="AY149" s="8">
        <f t="shared" si="101"/>
        <v>0.74</v>
      </c>
      <c r="AZ149" s="42">
        <f t="shared" ca="1" si="119"/>
        <v>259</v>
      </c>
      <c r="BB149" s="43">
        <f t="shared" ca="1" si="13"/>
        <v>0.31064012333071267</v>
      </c>
      <c r="BC149" s="8">
        <f t="shared" si="102"/>
        <v>0.74</v>
      </c>
      <c r="BD149" s="42">
        <f t="shared" ca="1" si="120"/>
        <v>129</v>
      </c>
      <c r="BF149" s="43">
        <f t="shared" ca="1" si="14"/>
        <v>0.98019608821570037</v>
      </c>
      <c r="BG149" s="8">
        <f t="shared" si="103"/>
        <v>0.74</v>
      </c>
      <c r="BH149" s="42">
        <f t="shared" ca="1" si="121"/>
        <v>194</v>
      </c>
      <c r="BJ149" s="43">
        <f t="shared" ca="1" si="15"/>
        <v>4.1408192447317749E-2</v>
      </c>
      <c r="BK149" s="8">
        <f t="shared" si="104"/>
        <v>0.74</v>
      </c>
      <c r="BL149" s="42">
        <f t="shared" ca="1" si="122"/>
        <v>86</v>
      </c>
      <c r="BN149" s="43">
        <f t="shared" ca="1" si="16"/>
        <v>0.55878704605611573</v>
      </c>
      <c r="BO149" s="8">
        <f t="shared" si="105"/>
        <v>0.74</v>
      </c>
      <c r="BP149" s="42">
        <f t="shared" ca="1" si="123"/>
        <v>124</v>
      </c>
      <c r="BR149" s="43">
        <f t="shared" ca="1" si="17"/>
        <v>0.80609639723979265</v>
      </c>
      <c r="BS149" s="8">
        <f t="shared" si="106"/>
        <v>0.74</v>
      </c>
      <c r="BT149" s="42">
        <f t="shared" ca="1" si="124"/>
        <v>200</v>
      </c>
    </row>
    <row r="150" spans="1:72" x14ac:dyDescent="0.2">
      <c r="A150" s="22">
        <v>44697</v>
      </c>
      <c r="B150" s="43">
        <f t="shared" ca="1" si="0"/>
        <v>0.63105934311045708</v>
      </c>
      <c r="C150" s="8">
        <f t="shared" si="89"/>
        <v>0.74</v>
      </c>
      <c r="D150" s="42">
        <f t="shared" ca="1" si="107"/>
        <v>79</v>
      </c>
      <c r="F150" s="43">
        <f t="shared" ca="1" si="1"/>
        <v>0.48081265089429537</v>
      </c>
      <c r="G150" s="8">
        <f t="shared" si="90"/>
        <v>0.74</v>
      </c>
      <c r="H150" s="42">
        <f t="shared" ca="1" si="108"/>
        <v>158</v>
      </c>
      <c r="J150" s="43">
        <f t="shared" ca="1" si="2"/>
        <v>0.28018190073889537</v>
      </c>
      <c r="K150" s="8">
        <f t="shared" si="91"/>
        <v>0.74</v>
      </c>
      <c r="L150" s="42">
        <f t="shared" ca="1" si="109"/>
        <v>94</v>
      </c>
      <c r="N150" s="43">
        <f t="shared" ca="1" si="3"/>
        <v>9.079230169663155E-2</v>
      </c>
      <c r="O150" s="8">
        <f t="shared" si="92"/>
        <v>0.74</v>
      </c>
      <c r="P150" s="42">
        <f t="shared" ca="1" si="110"/>
        <v>110</v>
      </c>
      <c r="R150" s="43">
        <f t="shared" ca="1" si="4"/>
        <v>0.15345580931250036</v>
      </c>
      <c r="S150" s="8">
        <f t="shared" si="93"/>
        <v>0.74</v>
      </c>
      <c r="T150" s="42">
        <f t="shared" ca="1" si="111"/>
        <v>75</v>
      </c>
      <c r="V150" s="43">
        <f t="shared" ca="1" si="5"/>
        <v>0.20733087597937816</v>
      </c>
      <c r="W150" s="8">
        <f t="shared" si="94"/>
        <v>0.74</v>
      </c>
      <c r="X150" s="42">
        <f t="shared" ca="1" si="112"/>
        <v>131</v>
      </c>
      <c r="Z150" s="43">
        <f t="shared" ca="1" si="6"/>
        <v>0.66449816662488181</v>
      </c>
      <c r="AA150" s="8">
        <f t="shared" si="95"/>
        <v>0.74</v>
      </c>
      <c r="AB150" s="42">
        <f t="shared" ca="1" si="113"/>
        <v>223</v>
      </c>
      <c r="AD150" s="43">
        <f t="shared" ca="1" si="7"/>
        <v>0.17920316880659215</v>
      </c>
      <c r="AE150" s="8">
        <f t="shared" si="96"/>
        <v>0.74</v>
      </c>
      <c r="AF150" s="42">
        <f t="shared" ca="1" si="114"/>
        <v>183</v>
      </c>
      <c r="AH150" s="43">
        <f t="shared" ca="1" si="8"/>
        <v>0.59498216267017923</v>
      </c>
      <c r="AI150" s="8">
        <f t="shared" si="97"/>
        <v>0.74</v>
      </c>
      <c r="AJ150" s="42">
        <f t="shared" ca="1" si="115"/>
        <v>135</v>
      </c>
      <c r="AL150" s="43">
        <f t="shared" ca="1" si="9"/>
        <v>0.31952588964365758</v>
      </c>
      <c r="AM150" s="8">
        <f t="shared" si="98"/>
        <v>0.74</v>
      </c>
      <c r="AN150" s="42">
        <f t="shared" ca="1" si="116"/>
        <v>151</v>
      </c>
      <c r="AP150" s="43">
        <f t="shared" ca="1" si="10"/>
        <v>0.49064433767517002</v>
      </c>
      <c r="AQ150" s="8">
        <f t="shared" si="99"/>
        <v>0.74</v>
      </c>
      <c r="AR150" s="42">
        <f t="shared" ca="1" si="117"/>
        <v>146</v>
      </c>
      <c r="AT150" s="43">
        <f t="shared" ca="1" si="11"/>
        <v>0.66790144713076205</v>
      </c>
      <c r="AU150" s="8">
        <f t="shared" si="100"/>
        <v>0.74</v>
      </c>
      <c r="AV150" s="42">
        <f t="shared" ca="1" si="118"/>
        <v>170</v>
      </c>
      <c r="AX150" s="43">
        <f t="shared" ca="1" si="12"/>
        <v>0.16489060811014467</v>
      </c>
      <c r="AY150" s="8">
        <f t="shared" si="101"/>
        <v>0.74</v>
      </c>
      <c r="AZ150" s="42">
        <f t="shared" ca="1" si="119"/>
        <v>128</v>
      </c>
      <c r="BB150" s="43">
        <f t="shared" ca="1" si="13"/>
        <v>0.8221893646744679</v>
      </c>
      <c r="BC150" s="8">
        <f t="shared" si="102"/>
        <v>0.74</v>
      </c>
      <c r="BD150" s="42">
        <f t="shared" ca="1" si="120"/>
        <v>185</v>
      </c>
      <c r="BF150" s="43">
        <f t="shared" ca="1" si="14"/>
        <v>0.55869075560379156</v>
      </c>
      <c r="BG150" s="8">
        <f t="shared" si="103"/>
        <v>0.74</v>
      </c>
      <c r="BH150" s="42">
        <f t="shared" ca="1" si="121"/>
        <v>130</v>
      </c>
      <c r="BJ150" s="43">
        <f t="shared" ca="1" si="15"/>
        <v>0.75134838410695315</v>
      </c>
      <c r="BK150" s="8">
        <f t="shared" si="104"/>
        <v>0.74</v>
      </c>
      <c r="BL150" s="42">
        <f t="shared" ca="1" si="122"/>
        <v>189</v>
      </c>
      <c r="BN150" s="43">
        <f t="shared" ca="1" si="16"/>
        <v>1.2790457092114571E-2</v>
      </c>
      <c r="BO150" s="8">
        <f t="shared" si="105"/>
        <v>0.74</v>
      </c>
      <c r="BP150" s="42">
        <f t="shared" ca="1" si="123"/>
        <v>49</v>
      </c>
      <c r="BR150" s="43">
        <f t="shared" ca="1" si="17"/>
        <v>0.63553546232774449</v>
      </c>
      <c r="BS150" s="8">
        <f t="shared" si="106"/>
        <v>0.74</v>
      </c>
      <c r="BT150" s="42">
        <f t="shared" ca="1" si="124"/>
        <v>178</v>
      </c>
    </row>
    <row r="151" spans="1:72" x14ac:dyDescent="0.2">
      <c r="A151" s="22">
        <v>44698</v>
      </c>
      <c r="B151" s="43">
        <f t="shared" ca="1" si="0"/>
        <v>0.37479184449583658</v>
      </c>
      <c r="C151" s="8">
        <f t="shared" si="89"/>
        <v>0.74</v>
      </c>
      <c r="D151" s="42">
        <f t="shared" ca="1" si="107"/>
        <v>70</v>
      </c>
      <c r="F151" s="43">
        <f t="shared" ca="1" si="1"/>
        <v>7.6365818961326326E-2</v>
      </c>
      <c r="G151" s="8">
        <f t="shared" si="90"/>
        <v>0.74</v>
      </c>
      <c r="H151" s="42">
        <f t="shared" ca="1" si="108"/>
        <v>99</v>
      </c>
      <c r="J151" s="43">
        <f t="shared" ca="1" si="2"/>
        <v>0.69228347442434346</v>
      </c>
      <c r="K151" s="8">
        <f t="shared" si="91"/>
        <v>0.74</v>
      </c>
      <c r="L151" s="42">
        <f t="shared" ca="1" si="109"/>
        <v>126</v>
      </c>
      <c r="N151" s="43">
        <f t="shared" ca="1" si="3"/>
        <v>3.4856344948694939E-2</v>
      </c>
      <c r="O151" s="8">
        <f t="shared" si="92"/>
        <v>0.74</v>
      </c>
      <c r="P151" s="42">
        <f t="shared" ca="1" si="110"/>
        <v>88</v>
      </c>
      <c r="R151" s="43">
        <f t="shared" ca="1" si="4"/>
        <v>0.81415571393482911</v>
      </c>
      <c r="S151" s="8">
        <f t="shared" si="93"/>
        <v>0.74</v>
      </c>
      <c r="T151" s="42">
        <f t="shared" ca="1" si="111"/>
        <v>128</v>
      </c>
      <c r="V151" s="43">
        <f t="shared" ca="1" si="5"/>
        <v>0.14331770395115773</v>
      </c>
      <c r="W151" s="8">
        <f t="shared" si="94"/>
        <v>0.74</v>
      </c>
      <c r="X151" s="42">
        <f t="shared" ca="1" si="112"/>
        <v>120</v>
      </c>
      <c r="Z151" s="43">
        <f t="shared" ca="1" si="6"/>
        <v>0.11358400666080204</v>
      </c>
      <c r="AA151" s="8">
        <f t="shared" si="95"/>
        <v>0.74</v>
      </c>
      <c r="AB151" s="42">
        <f t="shared" ca="1" si="113"/>
        <v>136</v>
      </c>
      <c r="AD151" s="43">
        <f t="shared" ca="1" si="7"/>
        <v>0.26127662739483681</v>
      </c>
      <c r="AE151" s="8">
        <f t="shared" si="96"/>
        <v>0.74</v>
      </c>
      <c r="AF151" s="42">
        <f t="shared" ca="1" si="114"/>
        <v>201</v>
      </c>
      <c r="AH151" s="43">
        <f t="shared" ca="1" si="8"/>
        <v>0.7764250772179262</v>
      </c>
      <c r="AI151" s="8">
        <f t="shared" si="97"/>
        <v>0.74</v>
      </c>
      <c r="AJ151" s="42">
        <f t="shared" ca="1" si="115"/>
        <v>152</v>
      </c>
      <c r="AL151" s="43">
        <f t="shared" ca="1" si="9"/>
        <v>0.34932101905151025</v>
      </c>
      <c r="AM151" s="8">
        <f t="shared" si="98"/>
        <v>0.74</v>
      </c>
      <c r="AN151" s="42">
        <f t="shared" ca="1" si="116"/>
        <v>154</v>
      </c>
      <c r="AP151" s="43">
        <f t="shared" ca="1" si="10"/>
        <v>0.21859114349812037</v>
      </c>
      <c r="AQ151" s="8">
        <f t="shared" si="99"/>
        <v>0.74</v>
      </c>
      <c r="AR151" s="42">
        <f t="shared" ca="1" si="117"/>
        <v>117</v>
      </c>
      <c r="AT151" s="43">
        <f t="shared" ca="1" si="11"/>
        <v>0.17851004721795716</v>
      </c>
      <c r="AU151" s="8">
        <f t="shared" si="100"/>
        <v>0.74</v>
      </c>
      <c r="AV151" s="42">
        <f t="shared" ca="1" si="118"/>
        <v>115</v>
      </c>
      <c r="AX151" s="43">
        <f t="shared" ca="1" si="12"/>
        <v>9.2739734260962492E-2</v>
      </c>
      <c r="AY151" s="8">
        <f t="shared" si="101"/>
        <v>0.74</v>
      </c>
      <c r="AZ151" s="42">
        <f t="shared" ca="1" si="119"/>
        <v>112</v>
      </c>
      <c r="BB151" s="43">
        <f t="shared" ca="1" si="13"/>
        <v>0.66348387392320374</v>
      </c>
      <c r="BC151" s="8">
        <f t="shared" si="102"/>
        <v>0.74</v>
      </c>
      <c r="BD151" s="42">
        <f t="shared" ca="1" si="120"/>
        <v>166</v>
      </c>
      <c r="BF151" s="43">
        <f t="shared" ca="1" si="14"/>
        <v>0.2646297338907877</v>
      </c>
      <c r="BG151" s="8">
        <f t="shared" si="103"/>
        <v>0.74</v>
      </c>
      <c r="BH151" s="42">
        <f t="shared" ca="1" si="121"/>
        <v>104</v>
      </c>
      <c r="BJ151" s="43">
        <f t="shared" ca="1" si="15"/>
        <v>0.74844983118490449</v>
      </c>
      <c r="BK151" s="8">
        <f t="shared" si="104"/>
        <v>0.74</v>
      </c>
      <c r="BL151" s="42">
        <f t="shared" ca="1" si="122"/>
        <v>189</v>
      </c>
      <c r="BN151" s="43">
        <f t="shared" ca="1" si="16"/>
        <v>0.12223602645454656</v>
      </c>
      <c r="BO151" s="8">
        <f t="shared" si="105"/>
        <v>0.74</v>
      </c>
      <c r="BP151" s="42">
        <f t="shared" ca="1" si="123"/>
        <v>82</v>
      </c>
      <c r="BR151" s="43">
        <f t="shared" ca="1" si="17"/>
        <v>0.34336720731537373</v>
      </c>
      <c r="BS151" s="8">
        <f t="shared" si="106"/>
        <v>0.74</v>
      </c>
      <c r="BT151" s="42">
        <f t="shared" ca="1" si="124"/>
        <v>145</v>
      </c>
    </row>
    <row r="152" spans="1:72" x14ac:dyDescent="0.2">
      <c r="A152" s="22">
        <v>44699</v>
      </c>
      <c r="B152" s="43">
        <f t="shared" ca="1" si="0"/>
        <v>0.88715154958140063</v>
      </c>
      <c r="C152" s="8">
        <f t="shared" si="89"/>
        <v>0.74</v>
      </c>
      <c r="D152" s="42">
        <f t="shared" ca="1" si="107"/>
        <v>92</v>
      </c>
      <c r="F152" s="43">
        <f t="shared" ca="1" si="1"/>
        <v>0.48805913343870577</v>
      </c>
      <c r="G152" s="8">
        <f t="shared" si="90"/>
        <v>0.74</v>
      </c>
      <c r="H152" s="42">
        <f t="shared" ca="1" si="108"/>
        <v>159</v>
      </c>
      <c r="J152" s="43">
        <f t="shared" ca="1" si="2"/>
        <v>0.78458272640573612</v>
      </c>
      <c r="K152" s="8">
        <f t="shared" si="91"/>
        <v>0.74</v>
      </c>
      <c r="L152" s="42">
        <f t="shared" ca="1" si="109"/>
        <v>135</v>
      </c>
      <c r="N152" s="43">
        <f t="shared" ca="1" si="3"/>
        <v>5.2141931494185112E-2</v>
      </c>
      <c r="O152" s="8">
        <f t="shared" si="92"/>
        <v>0.74</v>
      </c>
      <c r="P152" s="42">
        <f t="shared" ca="1" si="110"/>
        <v>97</v>
      </c>
      <c r="R152" s="43">
        <f t="shared" ca="1" si="4"/>
        <v>5.4547720747289641E-2</v>
      </c>
      <c r="S152" s="8">
        <f t="shared" si="93"/>
        <v>0.74</v>
      </c>
      <c r="T152" s="42">
        <f t="shared" ca="1" si="111"/>
        <v>59</v>
      </c>
      <c r="V152" s="43">
        <f t="shared" ca="1" si="5"/>
        <v>0.70407057853120647</v>
      </c>
      <c r="W152" s="8">
        <f t="shared" si="94"/>
        <v>0.74</v>
      </c>
      <c r="X152" s="42">
        <f t="shared" ca="1" si="112"/>
        <v>191</v>
      </c>
      <c r="Z152" s="43">
        <f t="shared" ca="1" si="6"/>
        <v>0.33014833288916656</v>
      </c>
      <c r="AA152" s="8">
        <f t="shared" si="95"/>
        <v>0.74</v>
      </c>
      <c r="AB152" s="42">
        <f t="shared" ca="1" si="113"/>
        <v>177</v>
      </c>
      <c r="AD152" s="43">
        <f t="shared" ca="1" si="7"/>
        <v>7.5941660742369743E-2</v>
      </c>
      <c r="AE152" s="8">
        <f t="shared" si="96"/>
        <v>0.74</v>
      </c>
      <c r="AF152" s="42">
        <f t="shared" ca="1" si="114"/>
        <v>150</v>
      </c>
      <c r="AH152" s="43">
        <f t="shared" ca="1" si="8"/>
        <v>0.47196766175236182</v>
      </c>
      <c r="AI152" s="8">
        <f t="shared" si="97"/>
        <v>0.74</v>
      </c>
      <c r="AJ152" s="42">
        <f t="shared" ca="1" si="115"/>
        <v>124</v>
      </c>
      <c r="AL152" s="43">
        <f t="shared" ca="1" si="9"/>
        <v>0.40938679517451548</v>
      </c>
      <c r="AM152" s="8">
        <f t="shared" si="98"/>
        <v>0.74</v>
      </c>
      <c r="AN152" s="42">
        <f t="shared" ca="1" si="116"/>
        <v>162</v>
      </c>
      <c r="AP152" s="43">
        <f t="shared" ca="1" si="10"/>
        <v>0.892273495462373</v>
      </c>
      <c r="AQ152" s="8">
        <f t="shared" si="99"/>
        <v>0.74</v>
      </c>
      <c r="AR152" s="42">
        <f t="shared" ca="1" si="117"/>
        <v>195</v>
      </c>
      <c r="AT152" s="43">
        <f t="shared" ca="1" si="11"/>
        <v>0.18333792800285886</v>
      </c>
      <c r="AU152" s="8">
        <f t="shared" si="100"/>
        <v>0.74</v>
      </c>
      <c r="AV152" s="42">
        <f t="shared" ca="1" si="118"/>
        <v>116</v>
      </c>
      <c r="AX152" s="43">
        <f t="shared" ca="1" si="12"/>
        <v>0.90150255145580949</v>
      </c>
      <c r="AY152" s="8">
        <f t="shared" si="101"/>
        <v>0.74</v>
      </c>
      <c r="AZ152" s="42">
        <f t="shared" ca="1" si="119"/>
        <v>233</v>
      </c>
      <c r="BB152" s="43">
        <f t="shared" ca="1" si="13"/>
        <v>0.11212059562546572</v>
      </c>
      <c r="BC152" s="8">
        <f t="shared" si="102"/>
        <v>0.74</v>
      </c>
      <c r="BD152" s="42">
        <f t="shared" ca="1" si="120"/>
        <v>101</v>
      </c>
      <c r="BF152" s="43">
        <f t="shared" ca="1" si="14"/>
        <v>0.26364260709681819</v>
      </c>
      <c r="BG152" s="8">
        <f t="shared" si="103"/>
        <v>0.74</v>
      </c>
      <c r="BH152" s="42">
        <f t="shared" ca="1" si="121"/>
        <v>104</v>
      </c>
      <c r="BJ152" s="43">
        <f t="shared" ca="1" si="15"/>
        <v>0.62284299283394473</v>
      </c>
      <c r="BK152" s="8">
        <f t="shared" si="104"/>
        <v>0.74</v>
      </c>
      <c r="BL152" s="42">
        <f t="shared" ca="1" si="122"/>
        <v>173</v>
      </c>
      <c r="BN152" s="43">
        <f t="shared" ca="1" si="16"/>
        <v>7.9693141969707337E-2</v>
      </c>
      <c r="BO152" s="8">
        <f t="shared" si="105"/>
        <v>0.74</v>
      </c>
      <c r="BP152" s="42">
        <f t="shared" ca="1" si="123"/>
        <v>75</v>
      </c>
      <c r="BR152" s="43">
        <f t="shared" ca="1" si="17"/>
        <v>0.80037907726553537</v>
      </c>
      <c r="BS152" s="8">
        <f t="shared" si="106"/>
        <v>0.74</v>
      </c>
      <c r="BT152" s="42">
        <f t="shared" ca="1" si="124"/>
        <v>199</v>
      </c>
    </row>
    <row r="153" spans="1:72" x14ac:dyDescent="0.2">
      <c r="A153" s="22">
        <v>44700</v>
      </c>
      <c r="B153" s="43">
        <f t="shared" ca="1" si="0"/>
        <v>0.30488741681267795</v>
      </c>
      <c r="C153" s="8">
        <f t="shared" si="89"/>
        <v>0.74</v>
      </c>
      <c r="D153" s="42">
        <f t="shared" ca="1" si="107"/>
        <v>67</v>
      </c>
      <c r="F153" s="43">
        <f t="shared" ca="1" si="1"/>
        <v>0.90489873737925874</v>
      </c>
      <c r="G153" s="8">
        <f t="shared" si="90"/>
        <v>0.74</v>
      </c>
      <c r="H153" s="42">
        <f t="shared" ca="1" si="108"/>
        <v>216</v>
      </c>
      <c r="J153" s="43">
        <f t="shared" ca="1" si="2"/>
        <v>0.27241190711724483</v>
      </c>
      <c r="K153" s="8">
        <f t="shared" si="91"/>
        <v>0.74</v>
      </c>
      <c r="L153" s="42">
        <f t="shared" ca="1" si="109"/>
        <v>94</v>
      </c>
      <c r="N153" s="43">
        <f t="shared" ca="1" si="3"/>
        <v>0.79464099795610765</v>
      </c>
      <c r="O153" s="8">
        <f t="shared" si="92"/>
        <v>0.74</v>
      </c>
      <c r="P153" s="42">
        <f t="shared" ca="1" si="110"/>
        <v>207</v>
      </c>
      <c r="R153" s="43">
        <f t="shared" ca="1" si="4"/>
        <v>0.91175665538550776</v>
      </c>
      <c r="S153" s="8">
        <f t="shared" si="93"/>
        <v>0.74</v>
      </c>
      <c r="T153" s="42">
        <f t="shared" ca="1" si="111"/>
        <v>140</v>
      </c>
      <c r="V153" s="43">
        <f t="shared" ca="1" si="5"/>
        <v>0.37497431058705355</v>
      </c>
      <c r="W153" s="8">
        <f t="shared" si="94"/>
        <v>0.74</v>
      </c>
      <c r="X153" s="42">
        <f t="shared" ca="1" si="112"/>
        <v>153</v>
      </c>
      <c r="Z153" s="43">
        <f t="shared" ca="1" si="6"/>
        <v>0.91323130762635529</v>
      </c>
      <c r="AA153" s="8">
        <f t="shared" si="95"/>
        <v>0.74</v>
      </c>
      <c r="AB153" s="42">
        <f t="shared" ca="1" si="113"/>
        <v>273</v>
      </c>
      <c r="AD153" s="43">
        <f t="shared" ca="1" si="7"/>
        <v>0.57920559766984336</v>
      </c>
      <c r="AE153" s="8">
        <f t="shared" si="96"/>
        <v>0.74</v>
      </c>
      <c r="AF153" s="42">
        <f t="shared" ca="1" si="114"/>
        <v>255</v>
      </c>
      <c r="AH153" s="43">
        <f t="shared" ca="1" si="8"/>
        <v>0.88064529626014043</v>
      </c>
      <c r="AI153" s="8">
        <f t="shared" si="97"/>
        <v>0.74</v>
      </c>
      <c r="AJ153" s="42">
        <f t="shared" ca="1" si="115"/>
        <v>166</v>
      </c>
      <c r="AL153" s="43">
        <f t="shared" ca="1" si="9"/>
        <v>0.72397443767134362</v>
      </c>
      <c r="AM153" s="8">
        <f t="shared" si="98"/>
        <v>0.74</v>
      </c>
      <c r="AN153" s="42">
        <f t="shared" ca="1" si="116"/>
        <v>199</v>
      </c>
      <c r="AP153" s="43">
        <f t="shared" ca="1" si="10"/>
        <v>0.91844700082456932</v>
      </c>
      <c r="AQ153" s="8">
        <f t="shared" si="99"/>
        <v>0.74</v>
      </c>
      <c r="AR153" s="42">
        <f t="shared" ca="1" si="117"/>
        <v>202</v>
      </c>
      <c r="AT153" s="43">
        <f t="shared" ca="1" si="11"/>
        <v>0.23114546792079704</v>
      </c>
      <c r="AU153" s="8">
        <f t="shared" si="100"/>
        <v>0.74</v>
      </c>
      <c r="AV153" s="42">
        <f t="shared" ca="1" si="118"/>
        <v>123</v>
      </c>
      <c r="AX153" s="43">
        <f t="shared" ca="1" si="12"/>
        <v>0.65952767308478299</v>
      </c>
      <c r="AY153" s="8">
        <f t="shared" si="101"/>
        <v>0.74</v>
      </c>
      <c r="AZ153" s="42">
        <f t="shared" ca="1" si="119"/>
        <v>192</v>
      </c>
      <c r="BB153" s="43">
        <f t="shared" ca="1" si="13"/>
        <v>0.21002826825229404</v>
      </c>
      <c r="BC153" s="8">
        <f t="shared" si="102"/>
        <v>0.74</v>
      </c>
      <c r="BD153" s="42">
        <f t="shared" ca="1" si="120"/>
        <v>117</v>
      </c>
      <c r="BF153" s="43">
        <f t="shared" ca="1" si="14"/>
        <v>0.23129538328819288</v>
      </c>
      <c r="BG153" s="8">
        <f t="shared" si="103"/>
        <v>0.74</v>
      </c>
      <c r="BH153" s="42">
        <f t="shared" ca="1" si="121"/>
        <v>101</v>
      </c>
      <c r="BJ153" s="43">
        <f t="shared" ca="1" si="15"/>
        <v>0.3989274092357511</v>
      </c>
      <c r="BK153" s="8">
        <f t="shared" si="104"/>
        <v>0.74</v>
      </c>
      <c r="BL153" s="42">
        <f t="shared" ca="1" si="122"/>
        <v>149</v>
      </c>
      <c r="BN153" s="43">
        <f t="shared" ca="1" si="16"/>
        <v>0.95102098282406233</v>
      </c>
      <c r="BO153" s="8">
        <f t="shared" si="105"/>
        <v>0.74</v>
      </c>
      <c r="BP153" s="42">
        <f t="shared" ca="1" si="123"/>
        <v>172</v>
      </c>
      <c r="BR153" s="43">
        <f t="shared" ca="1" si="17"/>
        <v>0.82002999520883724</v>
      </c>
      <c r="BS153" s="8">
        <f t="shared" si="106"/>
        <v>0.74</v>
      </c>
      <c r="BT153" s="42">
        <f t="shared" ca="1" si="124"/>
        <v>202</v>
      </c>
    </row>
    <row r="154" spans="1:72" x14ac:dyDescent="0.2">
      <c r="A154" s="22">
        <v>44701</v>
      </c>
      <c r="B154" s="43">
        <f t="shared" ca="1" si="0"/>
        <v>0.7243846144023609</v>
      </c>
      <c r="C154" s="8">
        <f t="shared" si="89"/>
        <v>0.74</v>
      </c>
      <c r="D154" s="42">
        <f t="shared" ca="1" si="107"/>
        <v>83</v>
      </c>
      <c r="F154" s="43">
        <f t="shared" ca="1" si="1"/>
        <v>0.44190757484652887</v>
      </c>
      <c r="G154" s="8">
        <f t="shared" si="90"/>
        <v>0.74</v>
      </c>
      <c r="H154" s="42">
        <f t="shared" ca="1" si="108"/>
        <v>154</v>
      </c>
      <c r="J154" s="43">
        <f t="shared" ca="1" si="2"/>
        <v>0.27484110186010557</v>
      </c>
      <c r="K154" s="8">
        <f t="shared" si="91"/>
        <v>0.74</v>
      </c>
      <c r="L154" s="42">
        <f t="shared" ca="1" si="109"/>
        <v>94</v>
      </c>
      <c r="N154" s="43">
        <f t="shared" ca="1" si="3"/>
        <v>0.76131423001825782</v>
      </c>
      <c r="O154" s="8">
        <f t="shared" si="92"/>
        <v>0.74</v>
      </c>
      <c r="P154" s="42">
        <f t="shared" ca="1" si="110"/>
        <v>202</v>
      </c>
      <c r="R154" s="43">
        <f t="shared" ca="1" si="4"/>
        <v>0.10206100596517498</v>
      </c>
      <c r="S154" s="8">
        <f t="shared" si="93"/>
        <v>0.74</v>
      </c>
      <c r="T154" s="42">
        <f t="shared" ca="1" si="111"/>
        <v>68</v>
      </c>
      <c r="V154" s="43">
        <f t="shared" ca="1" si="5"/>
        <v>0.31336459823308593</v>
      </c>
      <c r="W154" s="8">
        <f t="shared" si="94"/>
        <v>0.74</v>
      </c>
      <c r="X154" s="42">
        <f t="shared" ca="1" si="112"/>
        <v>145</v>
      </c>
      <c r="Z154" s="43">
        <f t="shared" ca="1" si="6"/>
        <v>0.10053839247475405</v>
      </c>
      <c r="AA154" s="8">
        <f t="shared" si="95"/>
        <v>0.74</v>
      </c>
      <c r="AB154" s="42">
        <f t="shared" ca="1" si="113"/>
        <v>132</v>
      </c>
      <c r="AD154" s="43">
        <f t="shared" ca="1" si="7"/>
        <v>0.24791644033883276</v>
      </c>
      <c r="AE154" s="8">
        <f t="shared" si="96"/>
        <v>0.74</v>
      </c>
      <c r="AF154" s="42">
        <f t="shared" ca="1" si="114"/>
        <v>199</v>
      </c>
      <c r="AH154" s="43">
        <f t="shared" ca="1" si="8"/>
        <v>0.91572664801840731</v>
      </c>
      <c r="AI154" s="8">
        <f t="shared" si="97"/>
        <v>0.74</v>
      </c>
      <c r="AJ154" s="42">
        <f t="shared" ca="1" si="115"/>
        <v>173</v>
      </c>
      <c r="AL154" s="43">
        <f t="shared" ca="1" si="9"/>
        <v>0.97244533191564997</v>
      </c>
      <c r="AM154" s="8">
        <f t="shared" si="98"/>
        <v>0.74</v>
      </c>
      <c r="AN154" s="42">
        <f t="shared" ca="1" si="116"/>
        <v>260</v>
      </c>
      <c r="AP154" s="43">
        <f t="shared" ca="1" si="10"/>
        <v>0.64142327107283514</v>
      </c>
      <c r="AQ154" s="8">
        <f t="shared" si="99"/>
        <v>0.74</v>
      </c>
      <c r="AR154" s="42">
        <f t="shared" ca="1" si="117"/>
        <v>161</v>
      </c>
      <c r="AT154" s="43">
        <f t="shared" ca="1" si="11"/>
        <v>0.72549853909205442</v>
      </c>
      <c r="AU154" s="8">
        <f t="shared" si="100"/>
        <v>0.74</v>
      </c>
      <c r="AV154" s="42">
        <f t="shared" ca="1" si="118"/>
        <v>177</v>
      </c>
      <c r="AX154" s="43">
        <f t="shared" ca="1" si="12"/>
        <v>0.53159575241506951</v>
      </c>
      <c r="AY154" s="8">
        <f t="shared" si="101"/>
        <v>0.74</v>
      </c>
      <c r="AZ154" s="42">
        <f t="shared" ca="1" si="119"/>
        <v>177</v>
      </c>
      <c r="BB154" s="43">
        <f t="shared" ca="1" si="13"/>
        <v>0.91020873116858214</v>
      </c>
      <c r="BC154" s="8">
        <f t="shared" si="102"/>
        <v>0.74</v>
      </c>
      <c r="BD154" s="42">
        <f t="shared" ca="1" si="120"/>
        <v>202</v>
      </c>
      <c r="BF154" s="43">
        <f t="shared" ca="1" si="14"/>
        <v>9.6494563931061816E-2</v>
      </c>
      <c r="BG154" s="8">
        <f t="shared" si="103"/>
        <v>0.74</v>
      </c>
      <c r="BH154" s="42">
        <f t="shared" ca="1" si="121"/>
        <v>82</v>
      </c>
      <c r="BJ154" s="43">
        <f t="shared" ca="1" si="15"/>
        <v>0.39689193456823735</v>
      </c>
      <c r="BK154" s="8">
        <f t="shared" si="104"/>
        <v>0.74</v>
      </c>
      <c r="BL154" s="42">
        <f t="shared" ca="1" si="122"/>
        <v>149</v>
      </c>
      <c r="BN154" s="43">
        <f t="shared" ca="1" si="16"/>
        <v>0.50688292231338328</v>
      </c>
      <c r="BO154" s="8">
        <f t="shared" si="105"/>
        <v>0.74</v>
      </c>
      <c r="BP154" s="42">
        <f t="shared" ca="1" si="123"/>
        <v>120</v>
      </c>
      <c r="BR154" s="43">
        <f t="shared" ca="1" si="17"/>
        <v>0.7768990059903923</v>
      </c>
      <c r="BS154" s="8">
        <f t="shared" si="106"/>
        <v>0.74</v>
      </c>
      <c r="BT154" s="42">
        <f t="shared" ca="1" si="124"/>
        <v>196</v>
      </c>
    </row>
    <row r="155" spans="1:72" x14ac:dyDescent="0.2">
      <c r="A155" s="22">
        <v>44702</v>
      </c>
      <c r="B155" s="43">
        <f t="shared" ca="1" si="0"/>
        <v>0.47515526153859833</v>
      </c>
      <c r="C155" s="8">
        <f t="shared" si="89"/>
        <v>0.74</v>
      </c>
      <c r="D155" s="42">
        <f t="shared" ca="1" si="107"/>
        <v>74</v>
      </c>
      <c r="F155" s="43">
        <f t="shared" ca="1" si="1"/>
        <v>0.3114616844545951</v>
      </c>
      <c r="G155" s="8">
        <f t="shared" si="90"/>
        <v>0.74</v>
      </c>
      <c r="H155" s="42">
        <f t="shared" ca="1" si="108"/>
        <v>139</v>
      </c>
      <c r="J155" s="43">
        <f t="shared" ca="1" si="2"/>
        <v>0.37963875471505748</v>
      </c>
      <c r="K155" s="8">
        <f t="shared" si="91"/>
        <v>0.74</v>
      </c>
      <c r="L155" s="42">
        <f t="shared" ca="1" si="109"/>
        <v>102</v>
      </c>
      <c r="N155" s="43">
        <f t="shared" ca="1" si="3"/>
        <v>0.51020380749714966</v>
      </c>
      <c r="O155" s="8">
        <f t="shared" si="92"/>
        <v>0.74</v>
      </c>
      <c r="P155" s="42">
        <f t="shared" ca="1" si="110"/>
        <v>171</v>
      </c>
      <c r="R155" s="43">
        <f t="shared" ca="1" si="4"/>
        <v>0.71419232687851786</v>
      </c>
      <c r="S155" s="8">
        <f t="shared" si="93"/>
        <v>0.74</v>
      </c>
      <c r="T155" s="42">
        <f t="shared" ca="1" si="111"/>
        <v>119</v>
      </c>
      <c r="V155" s="43">
        <f t="shared" ca="1" si="5"/>
        <v>7.9084141290698518E-2</v>
      </c>
      <c r="W155" s="8">
        <f t="shared" si="94"/>
        <v>0.74</v>
      </c>
      <c r="X155" s="42">
        <f t="shared" ca="1" si="112"/>
        <v>104</v>
      </c>
      <c r="Z155" s="43">
        <f t="shared" ca="1" si="6"/>
        <v>0.93571773089357091</v>
      </c>
      <c r="AA155" s="8">
        <f t="shared" si="95"/>
        <v>0.74</v>
      </c>
      <c r="AB155" s="42">
        <f t="shared" ca="1" si="113"/>
        <v>281</v>
      </c>
      <c r="AD155" s="43">
        <f t="shared" ca="1" si="7"/>
        <v>0.67926850777149972</v>
      </c>
      <c r="AE155" s="8">
        <f t="shared" si="96"/>
        <v>0.74</v>
      </c>
      <c r="AF155" s="42">
        <f t="shared" ca="1" si="114"/>
        <v>273</v>
      </c>
      <c r="AH155" s="43">
        <f t="shared" ca="1" si="8"/>
        <v>0.26761706010127451</v>
      </c>
      <c r="AI155" s="8">
        <f t="shared" si="97"/>
        <v>0.74</v>
      </c>
      <c r="AJ155" s="42">
        <f t="shared" ca="1" si="115"/>
        <v>106</v>
      </c>
      <c r="AL155" s="43">
        <f t="shared" ca="1" si="9"/>
        <v>0.26563920600511515</v>
      </c>
      <c r="AM155" s="8">
        <f t="shared" si="98"/>
        <v>0.74</v>
      </c>
      <c r="AN155" s="42">
        <f t="shared" ca="1" si="116"/>
        <v>144</v>
      </c>
      <c r="AP155" s="43">
        <f t="shared" ca="1" si="10"/>
        <v>0.22125937373137572</v>
      </c>
      <c r="AQ155" s="8">
        <f t="shared" si="99"/>
        <v>0.74</v>
      </c>
      <c r="AR155" s="42">
        <f t="shared" ca="1" si="117"/>
        <v>117</v>
      </c>
      <c r="AT155" s="43">
        <f t="shared" ca="1" si="11"/>
        <v>0.84619673620687463</v>
      </c>
      <c r="AU155" s="8">
        <f t="shared" si="100"/>
        <v>0.74</v>
      </c>
      <c r="AV155" s="42">
        <f t="shared" ca="1" si="118"/>
        <v>194</v>
      </c>
      <c r="AX155" s="43">
        <f t="shared" ca="1" si="12"/>
        <v>0.53181272118241352</v>
      </c>
      <c r="AY155" s="8">
        <f t="shared" si="101"/>
        <v>0.74</v>
      </c>
      <c r="AZ155" s="42">
        <f t="shared" ca="1" si="119"/>
        <v>177</v>
      </c>
      <c r="BB155" s="43">
        <f t="shared" ca="1" si="13"/>
        <v>0.42157094702190745</v>
      </c>
      <c r="BC155" s="8">
        <f t="shared" si="102"/>
        <v>0.74</v>
      </c>
      <c r="BD155" s="42">
        <f t="shared" ca="1" si="120"/>
        <v>141</v>
      </c>
      <c r="BF155" s="43">
        <f t="shared" ca="1" si="14"/>
        <v>0.26390591499241911</v>
      </c>
      <c r="BG155" s="8">
        <f t="shared" si="103"/>
        <v>0.74</v>
      </c>
      <c r="BH155" s="42">
        <f t="shared" ca="1" si="121"/>
        <v>104</v>
      </c>
      <c r="BJ155" s="43">
        <f t="shared" ca="1" si="15"/>
        <v>0.23977290884921043</v>
      </c>
      <c r="BK155" s="8">
        <f t="shared" si="104"/>
        <v>0.74</v>
      </c>
      <c r="BL155" s="42">
        <f t="shared" ca="1" si="122"/>
        <v>130</v>
      </c>
      <c r="BN155" s="43">
        <f t="shared" ca="1" si="16"/>
        <v>0.7097150591839404</v>
      </c>
      <c r="BO155" s="8">
        <f t="shared" si="105"/>
        <v>0.74</v>
      </c>
      <c r="BP155" s="42">
        <f t="shared" ca="1" si="123"/>
        <v>137</v>
      </c>
      <c r="BR155" s="43">
        <f t="shared" ca="1" si="17"/>
        <v>6.8110548668530835E-2</v>
      </c>
      <c r="BS155" s="8">
        <f t="shared" si="106"/>
        <v>0.74</v>
      </c>
      <c r="BT155" s="42">
        <f t="shared" ca="1" si="124"/>
        <v>98</v>
      </c>
    </row>
    <row r="156" spans="1:72" x14ac:dyDescent="0.2">
      <c r="A156" s="22">
        <v>44703</v>
      </c>
      <c r="B156" s="43">
        <f t="shared" ca="1" si="0"/>
        <v>6.0873924746588592E-2</v>
      </c>
      <c r="C156" s="8">
        <f t="shared" si="89"/>
        <v>0.74</v>
      </c>
      <c r="D156" s="42">
        <f t="shared" ca="1" si="107"/>
        <v>52</v>
      </c>
      <c r="F156" s="43">
        <f t="shared" ca="1" si="1"/>
        <v>0.92277705121808673</v>
      </c>
      <c r="G156" s="8">
        <f t="shared" si="90"/>
        <v>0.74</v>
      </c>
      <c r="H156" s="42">
        <f t="shared" ca="1" si="108"/>
        <v>220</v>
      </c>
      <c r="J156" s="43">
        <f t="shared" ca="1" si="2"/>
        <v>0.71915358639797855</v>
      </c>
      <c r="K156" s="8">
        <f t="shared" si="91"/>
        <v>0.74</v>
      </c>
      <c r="L156" s="42">
        <f t="shared" ca="1" si="109"/>
        <v>129</v>
      </c>
      <c r="N156" s="43">
        <f t="shared" ca="1" si="3"/>
        <v>0.16389004612935987</v>
      </c>
      <c r="O156" s="8">
        <f t="shared" si="92"/>
        <v>0.74</v>
      </c>
      <c r="P156" s="42">
        <f t="shared" ca="1" si="110"/>
        <v>126</v>
      </c>
      <c r="R156" s="43">
        <f t="shared" ca="1" si="4"/>
        <v>0.44939548482529879</v>
      </c>
      <c r="S156" s="8">
        <f t="shared" si="93"/>
        <v>0.74</v>
      </c>
      <c r="T156" s="42">
        <f t="shared" ca="1" si="111"/>
        <v>100</v>
      </c>
      <c r="V156" s="43">
        <f t="shared" ca="1" si="5"/>
        <v>0.36594752842075151</v>
      </c>
      <c r="W156" s="8">
        <f t="shared" si="94"/>
        <v>0.74</v>
      </c>
      <c r="X156" s="42">
        <f t="shared" ca="1" si="112"/>
        <v>152</v>
      </c>
      <c r="Z156" s="43">
        <f t="shared" ca="1" si="6"/>
        <v>0.73034025847184902</v>
      </c>
      <c r="AA156" s="8">
        <f t="shared" si="95"/>
        <v>0.74</v>
      </c>
      <c r="AB156" s="42">
        <f t="shared" ca="1" si="113"/>
        <v>233</v>
      </c>
      <c r="AD156" s="43">
        <f t="shared" ca="1" si="7"/>
        <v>0.95626105639413506</v>
      </c>
      <c r="AE156" s="8">
        <f t="shared" si="96"/>
        <v>0.74</v>
      </c>
      <c r="AF156" s="42">
        <f t="shared" ca="1" si="114"/>
        <v>353</v>
      </c>
      <c r="AH156" s="43">
        <f t="shared" ca="1" si="8"/>
        <v>0.67917887571755009</v>
      </c>
      <c r="AI156" s="8">
        <f t="shared" si="97"/>
        <v>0.74</v>
      </c>
      <c r="AJ156" s="42">
        <f t="shared" ca="1" si="115"/>
        <v>142</v>
      </c>
      <c r="AL156" s="43">
        <f t="shared" ca="1" si="9"/>
        <v>0.7652649794579568</v>
      </c>
      <c r="AM156" s="8">
        <f t="shared" si="98"/>
        <v>0.74</v>
      </c>
      <c r="AN156" s="42">
        <f t="shared" ca="1" si="116"/>
        <v>205</v>
      </c>
      <c r="AP156" s="43">
        <f t="shared" ca="1" si="10"/>
        <v>0.33176808039314121</v>
      </c>
      <c r="AQ156" s="8">
        <f t="shared" si="99"/>
        <v>0.74</v>
      </c>
      <c r="AR156" s="42">
        <f t="shared" ca="1" si="117"/>
        <v>130</v>
      </c>
      <c r="AT156" s="43">
        <f t="shared" ca="1" si="11"/>
        <v>0.88039601006099544</v>
      </c>
      <c r="AU156" s="8">
        <f t="shared" si="100"/>
        <v>0.74</v>
      </c>
      <c r="AV156" s="42">
        <f t="shared" ca="1" si="118"/>
        <v>200</v>
      </c>
      <c r="AX156" s="43">
        <f t="shared" ca="1" si="12"/>
        <v>0.14830961041298263</v>
      </c>
      <c r="AY156" s="8">
        <f t="shared" si="101"/>
        <v>0.74</v>
      </c>
      <c r="AZ156" s="42">
        <f t="shared" ca="1" si="119"/>
        <v>125</v>
      </c>
      <c r="BB156" s="43">
        <f t="shared" ca="1" si="13"/>
        <v>0.49015017775212533</v>
      </c>
      <c r="BC156" s="8">
        <f t="shared" si="102"/>
        <v>0.74</v>
      </c>
      <c r="BD156" s="42">
        <f t="shared" ca="1" si="120"/>
        <v>148</v>
      </c>
      <c r="BF156" s="43">
        <f t="shared" ca="1" si="14"/>
        <v>0.96427986842472047</v>
      </c>
      <c r="BG156" s="8">
        <f t="shared" si="103"/>
        <v>0.74</v>
      </c>
      <c r="BH156" s="42">
        <f t="shared" ca="1" si="121"/>
        <v>185</v>
      </c>
      <c r="BJ156" s="43">
        <f t="shared" ca="1" si="15"/>
        <v>0.12660509538712361</v>
      </c>
      <c r="BK156" s="8">
        <f t="shared" si="104"/>
        <v>0.74</v>
      </c>
      <c r="BL156" s="42">
        <f t="shared" ca="1" si="122"/>
        <v>111</v>
      </c>
      <c r="BN156" s="43">
        <f t="shared" ca="1" si="16"/>
        <v>0.68100683966174613</v>
      </c>
      <c r="BO156" s="8">
        <f t="shared" si="105"/>
        <v>0.74</v>
      </c>
      <c r="BP156" s="42">
        <f t="shared" ca="1" si="123"/>
        <v>134</v>
      </c>
      <c r="BR156" s="43">
        <f t="shared" ca="1" si="17"/>
        <v>0.67086260584492974</v>
      </c>
      <c r="BS156" s="8">
        <f t="shared" si="106"/>
        <v>0.74</v>
      </c>
      <c r="BT156" s="42">
        <f t="shared" ca="1" si="124"/>
        <v>182</v>
      </c>
    </row>
    <row r="157" spans="1:72" x14ac:dyDescent="0.2">
      <c r="A157" s="22">
        <v>44704</v>
      </c>
      <c r="B157" s="43">
        <f t="shared" ca="1" si="0"/>
        <v>0.18207989793591939</v>
      </c>
      <c r="C157" s="8">
        <f t="shared" si="89"/>
        <v>0.74</v>
      </c>
      <c r="D157" s="42">
        <f t="shared" ca="1" si="107"/>
        <v>61</v>
      </c>
      <c r="F157" s="43">
        <f t="shared" ca="1" si="1"/>
        <v>0.41278674258444914</v>
      </c>
      <c r="G157" s="8">
        <f t="shared" si="90"/>
        <v>0.74</v>
      </c>
      <c r="H157" s="42">
        <f t="shared" ca="1" si="108"/>
        <v>151</v>
      </c>
      <c r="J157" s="43">
        <f t="shared" ca="1" si="2"/>
        <v>0.71050350912478266</v>
      </c>
      <c r="K157" s="8">
        <f t="shared" si="91"/>
        <v>0.74</v>
      </c>
      <c r="L157" s="42">
        <f t="shared" ca="1" si="109"/>
        <v>128</v>
      </c>
      <c r="N157" s="43">
        <f t="shared" ca="1" si="3"/>
        <v>0.18084884915154975</v>
      </c>
      <c r="O157" s="8">
        <f t="shared" si="92"/>
        <v>0.74</v>
      </c>
      <c r="P157" s="42">
        <f t="shared" ca="1" si="110"/>
        <v>129</v>
      </c>
      <c r="R157" s="43">
        <f t="shared" ca="1" si="4"/>
        <v>0.94718649691019718</v>
      </c>
      <c r="S157" s="8">
        <f t="shared" si="93"/>
        <v>0.74</v>
      </c>
      <c r="T157" s="42">
        <f t="shared" ca="1" si="111"/>
        <v>147</v>
      </c>
      <c r="V157" s="43">
        <f t="shared" ca="1" si="5"/>
        <v>0.79503841345573378</v>
      </c>
      <c r="W157" s="8">
        <f t="shared" si="94"/>
        <v>0.74</v>
      </c>
      <c r="X157" s="42">
        <f t="shared" ca="1" si="112"/>
        <v>204</v>
      </c>
      <c r="Z157" s="43">
        <f t="shared" ca="1" si="6"/>
        <v>0.89826902481196025</v>
      </c>
      <c r="AA157" s="8">
        <f t="shared" si="95"/>
        <v>0.74</v>
      </c>
      <c r="AB157" s="42">
        <f t="shared" ca="1" si="113"/>
        <v>268</v>
      </c>
      <c r="AD157" s="43">
        <f t="shared" ca="1" si="7"/>
        <v>0.1698134075014518</v>
      </c>
      <c r="AE157" s="8">
        <f t="shared" si="96"/>
        <v>0.74</v>
      </c>
      <c r="AF157" s="42">
        <f t="shared" ca="1" si="114"/>
        <v>181</v>
      </c>
      <c r="AH157" s="43">
        <f t="shared" ca="1" si="8"/>
        <v>0.11724746895952842</v>
      </c>
      <c r="AI157" s="8">
        <f t="shared" si="97"/>
        <v>0.74</v>
      </c>
      <c r="AJ157" s="42">
        <f t="shared" ca="1" si="115"/>
        <v>87</v>
      </c>
      <c r="AL157" s="43">
        <f t="shared" ca="1" si="9"/>
        <v>0.55833701080280351</v>
      </c>
      <c r="AM157" s="8">
        <f t="shared" si="98"/>
        <v>0.74</v>
      </c>
      <c r="AN157" s="42">
        <f t="shared" ca="1" si="116"/>
        <v>179</v>
      </c>
      <c r="AP157" s="43">
        <f t="shared" ca="1" si="10"/>
        <v>0.30414669534146677</v>
      </c>
      <c r="AQ157" s="8">
        <f t="shared" si="99"/>
        <v>0.74</v>
      </c>
      <c r="AR157" s="42">
        <f t="shared" ca="1" si="117"/>
        <v>127</v>
      </c>
      <c r="AT157" s="43">
        <f t="shared" ca="1" si="11"/>
        <v>0.49448383134012497</v>
      </c>
      <c r="AU157" s="8">
        <f t="shared" si="100"/>
        <v>0.74</v>
      </c>
      <c r="AV157" s="42">
        <f t="shared" ca="1" si="118"/>
        <v>152</v>
      </c>
      <c r="AX157" s="43">
        <f t="shared" ca="1" si="12"/>
        <v>0.78626956984722296</v>
      </c>
      <c r="AY157" s="8">
        <f t="shared" si="101"/>
        <v>0.74</v>
      </c>
      <c r="AZ157" s="42">
        <f t="shared" ca="1" si="119"/>
        <v>210</v>
      </c>
      <c r="BB157" s="43">
        <f t="shared" ca="1" si="13"/>
        <v>0.70693415123178249</v>
      </c>
      <c r="BC157" s="8">
        <f t="shared" si="102"/>
        <v>0.74</v>
      </c>
      <c r="BD157" s="42">
        <f t="shared" ca="1" si="120"/>
        <v>170</v>
      </c>
      <c r="BF157" s="43">
        <f t="shared" ca="1" si="14"/>
        <v>0.56146963959674567</v>
      </c>
      <c r="BG157" s="8">
        <f t="shared" si="103"/>
        <v>0.74</v>
      </c>
      <c r="BH157" s="42">
        <f t="shared" ca="1" si="121"/>
        <v>130</v>
      </c>
      <c r="BJ157" s="43">
        <f t="shared" ca="1" si="15"/>
        <v>0.82986418080501623</v>
      </c>
      <c r="BK157" s="8">
        <f t="shared" si="104"/>
        <v>0.74</v>
      </c>
      <c r="BL157" s="42">
        <f t="shared" ca="1" si="122"/>
        <v>201</v>
      </c>
      <c r="BN157" s="43">
        <f t="shared" ca="1" si="16"/>
        <v>0.30384498158967554</v>
      </c>
      <c r="BO157" s="8">
        <f t="shared" si="105"/>
        <v>0.74</v>
      </c>
      <c r="BP157" s="42">
        <f t="shared" ca="1" si="123"/>
        <v>103</v>
      </c>
      <c r="BR157" s="43">
        <f t="shared" ca="1" si="17"/>
        <v>0.19802214831448905</v>
      </c>
      <c r="BS157" s="8">
        <f t="shared" si="106"/>
        <v>0.74</v>
      </c>
      <c r="BT157" s="42">
        <f t="shared" ca="1" si="124"/>
        <v>126</v>
      </c>
    </row>
    <row r="158" spans="1:72" x14ac:dyDescent="0.2">
      <c r="A158" s="22">
        <v>44705</v>
      </c>
      <c r="B158" s="43">
        <f t="shared" ca="1" si="0"/>
        <v>0.35028512509584087</v>
      </c>
      <c r="C158" s="8">
        <f t="shared" si="89"/>
        <v>0.74</v>
      </c>
      <c r="D158" s="42">
        <f t="shared" ca="1" si="107"/>
        <v>69</v>
      </c>
      <c r="F158" s="43">
        <f t="shared" ca="1" si="1"/>
        <v>0.71595423009313397</v>
      </c>
      <c r="G158" s="8">
        <f t="shared" si="90"/>
        <v>0.74</v>
      </c>
      <c r="H158" s="42">
        <f t="shared" ca="1" si="108"/>
        <v>184</v>
      </c>
      <c r="J158" s="43">
        <f t="shared" ca="1" si="2"/>
        <v>0.63109346715048764</v>
      </c>
      <c r="K158" s="8">
        <f t="shared" si="91"/>
        <v>0.74</v>
      </c>
      <c r="L158" s="42">
        <f t="shared" ca="1" si="109"/>
        <v>121</v>
      </c>
      <c r="N158" s="43">
        <f t="shared" ca="1" si="3"/>
        <v>0.17875759731234286</v>
      </c>
      <c r="O158" s="8">
        <f t="shared" si="92"/>
        <v>0.74</v>
      </c>
      <c r="P158" s="42">
        <f t="shared" ca="1" si="110"/>
        <v>129</v>
      </c>
      <c r="R158" s="43">
        <f t="shared" ca="1" si="4"/>
        <v>0.51168789124367708</v>
      </c>
      <c r="S158" s="8">
        <f t="shared" si="93"/>
        <v>0.74</v>
      </c>
      <c r="T158" s="42">
        <f t="shared" ca="1" si="111"/>
        <v>104</v>
      </c>
      <c r="V158" s="43">
        <f t="shared" ca="1" si="5"/>
        <v>0.69788187616582231</v>
      </c>
      <c r="W158" s="8">
        <f t="shared" si="94"/>
        <v>0.74</v>
      </c>
      <c r="X158" s="42">
        <f t="shared" ca="1" si="112"/>
        <v>190</v>
      </c>
      <c r="Z158" s="43">
        <f t="shared" ca="1" si="6"/>
        <v>0.39765175299311761</v>
      </c>
      <c r="AA158" s="8">
        <f t="shared" si="95"/>
        <v>0.74</v>
      </c>
      <c r="AB158" s="42">
        <f t="shared" ca="1" si="113"/>
        <v>186</v>
      </c>
      <c r="AD158" s="43">
        <f t="shared" ca="1" si="7"/>
        <v>0.38642219204008876</v>
      </c>
      <c r="AE158" s="8">
        <f t="shared" si="96"/>
        <v>0.74</v>
      </c>
      <c r="AF158" s="42">
        <f t="shared" ca="1" si="114"/>
        <v>224</v>
      </c>
      <c r="AH158" s="43">
        <f t="shared" ca="1" si="8"/>
        <v>0.86469523667079107</v>
      </c>
      <c r="AI158" s="8">
        <f t="shared" si="97"/>
        <v>0.74</v>
      </c>
      <c r="AJ158" s="42">
        <f t="shared" ca="1" si="115"/>
        <v>164</v>
      </c>
      <c r="AL158" s="43">
        <f t="shared" ca="1" si="9"/>
        <v>0.37834501593726966</v>
      </c>
      <c r="AM158" s="8">
        <f t="shared" si="98"/>
        <v>0.74</v>
      </c>
      <c r="AN158" s="42">
        <f t="shared" ca="1" si="116"/>
        <v>158</v>
      </c>
      <c r="AP158" s="43">
        <f t="shared" ca="1" si="10"/>
        <v>0.53338080966709744</v>
      </c>
      <c r="AQ158" s="8">
        <f t="shared" si="99"/>
        <v>0.74</v>
      </c>
      <c r="AR158" s="42">
        <f t="shared" ca="1" si="117"/>
        <v>150</v>
      </c>
      <c r="AT158" s="43">
        <f t="shared" ca="1" si="11"/>
        <v>0.60863215307765861</v>
      </c>
      <c r="AU158" s="8">
        <f t="shared" si="100"/>
        <v>0.74</v>
      </c>
      <c r="AV158" s="42">
        <f t="shared" ca="1" si="118"/>
        <v>164</v>
      </c>
      <c r="AX158" s="43">
        <f t="shared" ca="1" si="12"/>
        <v>0.18825238503284902</v>
      </c>
      <c r="AY158" s="8">
        <f t="shared" si="101"/>
        <v>0.74</v>
      </c>
      <c r="AZ158" s="42">
        <f t="shared" ca="1" si="119"/>
        <v>133</v>
      </c>
      <c r="BB158" s="43">
        <f t="shared" ca="1" si="13"/>
        <v>0.23240124821583097</v>
      </c>
      <c r="BC158" s="8">
        <f t="shared" si="102"/>
        <v>0.74</v>
      </c>
      <c r="BD158" s="42">
        <f t="shared" ca="1" si="120"/>
        <v>120</v>
      </c>
      <c r="BF158" s="43">
        <f t="shared" ca="1" si="14"/>
        <v>0.99909117392688851</v>
      </c>
      <c r="BG158" s="8">
        <f t="shared" si="103"/>
        <v>0.74</v>
      </c>
      <c r="BH158" s="42">
        <f t="shared" ca="1" si="121"/>
        <v>229</v>
      </c>
      <c r="BJ158" s="43">
        <f t="shared" ca="1" si="15"/>
        <v>4.5722776087993466E-2</v>
      </c>
      <c r="BK158" s="8">
        <f t="shared" si="104"/>
        <v>0.74</v>
      </c>
      <c r="BL158" s="42">
        <f t="shared" ca="1" si="122"/>
        <v>88</v>
      </c>
      <c r="BN158" s="43">
        <f t="shared" ca="1" si="16"/>
        <v>0.66501795265810193</v>
      </c>
      <c r="BO158" s="8">
        <f t="shared" si="105"/>
        <v>0.74</v>
      </c>
      <c r="BP158" s="42">
        <f t="shared" ca="1" si="123"/>
        <v>133</v>
      </c>
      <c r="BR158" s="43">
        <f t="shared" ca="1" si="17"/>
        <v>0.95494697919282689</v>
      </c>
      <c r="BS158" s="8">
        <f t="shared" si="106"/>
        <v>0.74</v>
      </c>
      <c r="BT158" s="42">
        <f t="shared" ca="1" si="124"/>
        <v>236</v>
      </c>
    </row>
    <row r="159" spans="1:72" x14ac:dyDescent="0.2">
      <c r="A159" s="22">
        <v>44706</v>
      </c>
      <c r="B159" s="43">
        <f t="shared" ca="1" si="0"/>
        <v>0.74642575476030792</v>
      </c>
      <c r="C159" s="8">
        <f t="shared" si="89"/>
        <v>0.74</v>
      </c>
      <c r="D159" s="42">
        <f t="shared" ca="1" si="107"/>
        <v>84</v>
      </c>
      <c r="F159" s="43">
        <f t="shared" ca="1" si="1"/>
        <v>0.90327644133894902</v>
      </c>
      <c r="G159" s="8">
        <f t="shared" si="90"/>
        <v>0.74</v>
      </c>
      <c r="H159" s="42">
        <f t="shared" ca="1" si="108"/>
        <v>215</v>
      </c>
      <c r="J159" s="43">
        <f t="shared" ca="1" si="2"/>
        <v>8.5009811523127143E-2</v>
      </c>
      <c r="K159" s="8">
        <f t="shared" si="91"/>
        <v>0.74</v>
      </c>
      <c r="L159" s="42">
        <f t="shared" ca="1" si="109"/>
        <v>71</v>
      </c>
      <c r="N159" s="43">
        <f t="shared" ca="1" si="3"/>
        <v>0.20841864807916166</v>
      </c>
      <c r="O159" s="8">
        <f t="shared" si="92"/>
        <v>0.74</v>
      </c>
      <c r="P159" s="42">
        <f t="shared" ca="1" si="110"/>
        <v>133</v>
      </c>
      <c r="R159" s="43">
        <f t="shared" ca="1" si="4"/>
        <v>0.50520863843805153</v>
      </c>
      <c r="S159" s="8">
        <f t="shared" si="93"/>
        <v>0.74</v>
      </c>
      <c r="T159" s="42">
        <f t="shared" ca="1" si="111"/>
        <v>104</v>
      </c>
      <c r="V159" s="43">
        <f t="shared" ca="1" si="5"/>
        <v>0.64004974783610746</v>
      </c>
      <c r="W159" s="8">
        <f t="shared" si="94"/>
        <v>0.74</v>
      </c>
      <c r="X159" s="42">
        <f t="shared" ca="1" si="112"/>
        <v>183</v>
      </c>
      <c r="Z159" s="43">
        <f t="shared" ca="1" si="6"/>
        <v>0.8816138933127915</v>
      </c>
      <c r="AA159" s="8">
        <f t="shared" si="95"/>
        <v>0.74</v>
      </c>
      <c r="AB159" s="42">
        <f t="shared" ca="1" si="113"/>
        <v>263</v>
      </c>
      <c r="AD159" s="43">
        <f t="shared" ca="1" si="7"/>
        <v>0.70991814216838867</v>
      </c>
      <c r="AE159" s="8">
        <f t="shared" si="96"/>
        <v>0.74</v>
      </c>
      <c r="AF159" s="42">
        <f t="shared" ca="1" si="114"/>
        <v>278</v>
      </c>
      <c r="AH159" s="43">
        <f t="shared" ca="1" si="8"/>
        <v>0.50852985246968974</v>
      </c>
      <c r="AI159" s="8">
        <f t="shared" si="97"/>
        <v>0.74</v>
      </c>
      <c r="AJ159" s="42">
        <f t="shared" ca="1" si="115"/>
        <v>127</v>
      </c>
      <c r="AL159" s="43">
        <f t="shared" ca="1" si="9"/>
        <v>0.92502201492899883</v>
      </c>
      <c r="AM159" s="8">
        <f t="shared" si="98"/>
        <v>0.74</v>
      </c>
      <c r="AN159" s="42">
        <f t="shared" ca="1" si="116"/>
        <v>238</v>
      </c>
      <c r="AP159" s="43">
        <f t="shared" ca="1" si="10"/>
        <v>0.23954719964657967</v>
      </c>
      <c r="AQ159" s="8">
        <f t="shared" si="99"/>
        <v>0.74</v>
      </c>
      <c r="AR159" s="42">
        <f t="shared" ca="1" si="117"/>
        <v>119</v>
      </c>
      <c r="AT159" s="43">
        <f t="shared" ca="1" si="11"/>
        <v>0.58903601805035577</v>
      </c>
      <c r="AU159" s="8">
        <f t="shared" si="100"/>
        <v>0.74</v>
      </c>
      <c r="AV159" s="42">
        <f t="shared" ca="1" si="118"/>
        <v>162</v>
      </c>
      <c r="AX159" s="43">
        <f t="shared" ca="1" si="12"/>
        <v>0.75816742595170572</v>
      </c>
      <c r="AY159" s="8">
        <f t="shared" si="101"/>
        <v>0.74</v>
      </c>
      <c r="AZ159" s="42">
        <f t="shared" ca="1" si="119"/>
        <v>206</v>
      </c>
      <c r="BB159" s="43">
        <f t="shared" ca="1" si="13"/>
        <v>0.66826694857639812</v>
      </c>
      <c r="BC159" s="8">
        <f t="shared" si="102"/>
        <v>0.74</v>
      </c>
      <c r="BD159" s="42">
        <f t="shared" ca="1" si="120"/>
        <v>166</v>
      </c>
      <c r="BF159" s="43">
        <f t="shared" ca="1" si="14"/>
        <v>0.21223407205058575</v>
      </c>
      <c r="BG159" s="8">
        <f t="shared" si="103"/>
        <v>0.74</v>
      </c>
      <c r="BH159" s="42">
        <f t="shared" ca="1" si="121"/>
        <v>99</v>
      </c>
      <c r="BJ159" s="43">
        <f t="shared" ca="1" si="15"/>
        <v>0.48663189839251031</v>
      </c>
      <c r="BK159" s="8">
        <f t="shared" si="104"/>
        <v>0.74</v>
      </c>
      <c r="BL159" s="42">
        <f t="shared" ca="1" si="122"/>
        <v>159</v>
      </c>
      <c r="BN159" s="43">
        <f t="shared" ca="1" si="16"/>
        <v>0.61745550542099081</v>
      </c>
      <c r="BO159" s="8">
        <f t="shared" si="105"/>
        <v>0.74</v>
      </c>
      <c r="BP159" s="42">
        <f t="shared" ca="1" si="123"/>
        <v>129</v>
      </c>
      <c r="BR159" s="43">
        <f t="shared" ca="1" si="17"/>
        <v>0.39321799626241971</v>
      </c>
      <c r="BS159" s="8">
        <f t="shared" si="106"/>
        <v>0.74</v>
      </c>
      <c r="BT159" s="42">
        <f t="shared" ca="1" si="124"/>
        <v>151</v>
      </c>
    </row>
    <row r="160" spans="1:72" x14ac:dyDescent="0.2">
      <c r="A160" s="22">
        <v>44707</v>
      </c>
      <c r="B160" s="43">
        <f t="shared" ca="1" si="0"/>
        <v>0.10222527927181335</v>
      </c>
      <c r="C160" s="8">
        <f t="shared" si="89"/>
        <v>0.74</v>
      </c>
      <c r="D160" s="42">
        <f t="shared" ca="1" si="107"/>
        <v>56</v>
      </c>
      <c r="F160" s="43">
        <f t="shared" ca="1" si="1"/>
        <v>0.92126555498249951</v>
      </c>
      <c r="G160" s="8">
        <f t="shared" si="90"/>
        <v>0.74</v>
      </c>
      <c r="H160" s="42">
        <f t="shared" ca="1" si="108"/>
        <v>220</v>
      </c>
      <c r="J160" s="43">
        <f t="shared" ca="1" si="2"/>
        <v>0.94008771011619918</v>
      </c>
      <c r="K160" s="8">
        <f t="shared" si="91"/>
        <v>0.74</v>
      </c>
      <c r="L160" s="42">
        <f t="shared" ca="1" si="109"/>
        <v>158</v>
      </c>
      <c r="N160" s="43">
        <f t="shared" ca="1" si="3"/>
        <v>0.85573861036385057</v>
      </c>
      <c r="O160" s="8">
        <f t="shared" si="92"/>
        <v>0.74</v>
      </c>
      <c r="P160" s="42">
        <f t="shared" ca="1" si="110"/>
        <v>218</v>
      </c>
      <c r="R160" s="43">
        <f t="shared" ca="1" si="4"/>
        <v>0.91681095472726237</v>
      </c>
      <c r="S160" s="8">
        <f t="shared" si="93"/>
        <v>0.74</v>
      </c>
      <c r="T160" s="42">
        <f t="shared" ca="1" si="111"/>
        <v>141</v>
      </c>
      <c r="V160" s="43">
        <f t="shared" ca="1" si="5"/>
        <v>0.37796451921598639</v>
      </c>
      <c r="W160" s="8">
        <f t="shared" si="94"/>
        <v>0.74</v>
      </c>
      <c r="X160" s="42">
        <f t="shared" ca="1" si="112"/>
        <v>153</v>
      </c>
      <c r="Z160" s="43">
        <f t="shared" ca="1" si="6"/>
        <v>6.9302570063721425E-2</v>
      </c>
      <c r="AA160" s="8">
        <f t="shared" si="95"/>
        <v>0.74</v>
      </c>
      <c r="AB160" s="42">
        <f t="shared" ca="1" si="113"/>
        <v>121</v>
      </c>
      <c r="AD160" s="43">
        <f t="shared" ca="1" si="7"/>
        <v>0.17261658771497812</v>
      </c>
      <c r="AE160" s="8">
        <f t="shared" si="96"/>
        <v>0.74</v>
      </c>
      <c r="AF160" s="42">
        <f t="shared" ca="1" si="114"/>
        <v>182</v>
      </c>
      <c r="AH160" s="43">
        <f t="shared" ca="1" si="8"/>
        <v>0.16844362454395923</v>
      </c>
      <c r="AI160" s="8">
        <f t="shared" si="97"/>
        <v>0.74</v>
      </c>
      <c r="AJ160" s="42">
        <f t="shared" ca="1" si="115"/>
        <v>94</v>
      </c>
      <c r="AL160" s="43">
        <f t="shared" ca="1" si="9"/>
        <v>0.70940164313647591</v>
      </c>
      <c r="AM160" s="8">
        <f t="shared" si="98"/>
        <v>0.74</v>
      </c>
      <c r="AN160" s="42">
        <f t="shared" ca="1" si="116"/>
        <v>197</v>
      </c>
      <c r="AP160" s="43">
        <f t="shared" ca="1" si="10"/>
        <v>0.61755162460564406</v>
      </c>
      <c r="AQ160" s="8">
        <f t="shared" si="99"/>
        <v>0.74</v>
      </c>
      <c r="AR160" s="42">
        <f t="shared" ca="1" si="117"/>
        <v>159</v>
      </c>
      <c r="AT160" s="43">
        <f t="shared" ca="1" si="11"/>
        <v>0.49195973437465301</v>
      </c>
      <c r="AU160" s="8">
        <f t="shared" si="100"/>
        <v>0.74</v>
      </c>
      <c r="AV160" s="42">
        <f t="shared" ca="1" si="118"/>
        <v>152</v>
      </c>
      <c r="AX160" s="43">
        <f t="shared" ca="1" si="12"/>
        <v>0.46114178200763356</v>
      </c>
      <c r="AY160" s="8">
        <f t="shared" si="101"/>
        <v>0.74</v>
      </c>
      <c r="AZ160" s="42">
        <f t="shared" ca="1" si="119"/>
        <v>169</v>
      </c>
      <c r="BB160" s="43">
        <f t="shared" ca="1" si="13"/>
        <v>0.77904576056931674</v>
      </c>
      <c r="BC160" s="8">
        <f t="shared" si="102"/>
        <v>0.74</v>
      </c>
      <c r="BD160" s="42">
        <f t="shared" ca="1" si="120"/>
        <v>179</v>
      </c>
      <c r="BF160" s="43">
        <f t="shared" ca="1" si="14"/>
        <v>0.6259714909616283</v>
      </c>
      <c r="BG160" s="8">
        <f t="shared" si="103"/>
        <v>0.74</v>
      </c>
      <c r="BH160" s="42">
        <f t="shared" ca="1" si="121"/>
        <v>136</v>
      </c>
      <c r="BJ160" s="43">
        <f t="shared" ca="1" si="15"/>
        <v>0.76328894302277406</v>
      </c>
      <c r="BK160" s="8">
        <f t="shared" si="104"/>
        <v>0.74</v>
      </c>
      <c r="BL160" s="42">
        <f t="shared" ca="1" si="122"/>
        <v>191</v>
      </c>
      <c r="BN160" s="43">
        <f t="shared" ca="1" si="16"/>
        <v>0.21095338659533447</v>
      </c>
      <c r="BO160" s="8">
        <f t="shared" si="105"/>
        <v>0.74</v>
      </c>
      <c r="BP160" s="42">
        <f t="shared" ca="1" si="123"/>
        <v>94</v>
      </c>
      <c r="BR160" s="43">
        <f t="shared" ca="1" si="17"/>
        <v>0.4546860078561894</v>
      </c>
      <c r="BS160" s="8">
        <f t="shared" si="106"/>
        <v>0.74</v>
      </c>
      <c r="BT160" s="42">
        <f t="shared" ca="1" si="124"/>
        <v>158</v>
      </c>
    </row>
    <row r="161" spans="1:72" x14ac:dyDescent="0.2">
      <c r="A161" s="22">
        <v>44708</v>
      </c>
      <c r="B161" s="43">
        <f t="shared" ca="1" si="0"/>
        <v>0.16225244378278936</v>
      </c>
      <c r="C161" s="8">
        <f t="shared" si="89"/>
        <v>0.74</v>
      </c>
      <c r="D161" s="42">
        <f t="shared" ca="1" si="107"/>
        <v>60</v>
      </c>
      <c r="F161" s="43">
        <f t="shared" ca="1" si="1"/>
        <v>5.0542518413751569E-2</v>
      </c>
      <c r="G161" s="8">
        <f t="shared" si="90"/>
        <v>0.74</v>
      </c>
      <c r="H161" s="42">
        <f t="shared" ca="1" si="108"/>
        <v>90</v>
      </c>
      <c r="J161" s="43">
        <f t="shared" ca="1" si="2"/>
        <v>0.46442563523980696</v>
      </c>
      <c r="K161" s="8">
        <f t="shared" si="91"/>
        <v>0.74</v>
      </c>
      <c r="L161" s="42">
        <f t="shared" ca="1" si="109"/>
        <v>109</v>
      </c>
      <c r="N161" s="43">
        <f t="shared" ca="1" si="3"/>
        <v>0.50360246793782193</v>
      </c>
      <c r="O161" s="8">
        <f t="shared" si="92"/>
        <v>0.74</v>
      </c>
      <c r="P161" s="42">
        <f t="shared" ca="1" si="110"/>
        <v>171</v>
      </c>
      <c r="R161" s="43">
        <f t="shared" ca="1" si="4"/>
        <v>0.44886229884048601</v>
      </c>
      <c r="S161" s="8">
        <f t="shared" si="93"/>
        <v>0.74</v>
      </c>
      <c r="T161" s="42">
        <f t="shared" ca="1" si="111"/>
        <v>100</v>
      </c>
      <c r="V161" s="43">
        <f t="shared" ca="1" si="5"/>
        <v>0.88245179941338825</v>
      </c>
      <c r="W161" s="8">
        <f t="shared" si="94"/>
        <v>0.74</v>
      </c>
      <c r="X161" s="42">
        <f t="shared" ca="1" si="112"/>
        <v>220</v>
      </c>
      <c r="Z161" s="43">
        <f t="shared" ca="1" si="6"/>
        <v>0.13919444715619789</v>
      </c>
      <c r="AA161" s="8">
        <f t="shared" si="95"/>
        <v>0.74</v>
      </c>
      <c r="AB161" s="42">
        <f t="shared" ca="1" si="113"/>
        <v>143</v>
      </c>
      <c r="AD161" s="43">
        <f t="shared" ca="1" si="7"/>
        <v>0.83774990277635253</v>
      </c>
      <c r="AE161" s="8">
        <f t="shared" si="96"/>
        <v>0.74</v>
      </c>
      <c r="AF161" s="42">
        <f t="shared" ca="1" si="114"/>
        <v>306</v>
      </c>
      <c r="AH161" s="43">
        <f t="shared" ca="1" si="8"/>
        <v>0.73462426050433771</v>
      </c>
      <c r="AI161" s="8">
        <f t="shared" si="97"/>
        <v>0.74</v>
      </c>
      <c r="AJ161" s="42">
        <f t="shared" ca="1" si="115"/>
        <v>148</v>
      </c>
      <c r="AL161" s="43">
        <f t="shared" ca="1" si="9"/>
        <v>0.32316335567490617</v>
      </c>
      <c r="AM161" s="8">
        <f t="shared" si="98"/>
        <v>0.74</v>
      </c>
      <c r="AN161" s="42">
        <f t="shared" ca="1" si="116"/>
        <v>151</v>
      </c>
      <c r="AP161" s="43">
        <f t="shared" ca="1" si="10"/>
        <v>0.92652975003039562</v>
      </c>
      <c r="AQ161" s="8">
        <f t="shared" si="99"/>
        <v>0.74</v>
      </c>
      <c r="AR161" s="42">
        <f t="shared" ca="1" si="117"/>
        <v>204</v>
      </c>
      <c r="AT161" s="43">
        <f t="shared" ca="1" si="11"/>
        <v>0.65276499202342408</v>
      </c>
      <c r="AU161" s="8">
        <f t="shared" si="100"/>
        <v>0.74</v>
      </c>
      <c r="AV161" s="42">
        <f t="shared" ca="1" si="118"/>
        <v>168</v>
      </c>
      <c r="AX161" s="43">
        <f t="shared" ca="1" si="12"/>
        <v>9.1306622712434948E-2</v>
      </c>
      <c r="AY161" s="8">
        <f t="shared" si="101"/>
        <v>0.74</v>
      </c>
      <c r="AZ161" s="42">
        <f t="shared" ca="1" si="119"/>
        <v>112</v>
      </c>
      <c r="BB161" s="43">
        <f t="shared" ca="1" si="13"/>
        <v>0.7645921529883225</v>
      </c>
      <c r="BC161" s="8">
        <f t="shared" si="102"/>
        <v>0.74</v>
      </c>
      <c r="BD161" s="42">
        <f t="shared" ca="1" si="120"/>
        <v>177</v>
      </c>
      <c r="BF161" s="43">
        <f t="shared" ca="1" si="14"/>
        <v>0.64093271211692304</v>
      </c>
      <c r="BG161" s="8">
        <f t="shared" si="103"/>
        <v>0.74</v>
      </c>
      <c r="BH161" s="42">
        <f t="shared" ca="1" si="121"/>
        <v>137</v>
      </c>
      <c r="BJ161" s="43">
        <f t="shared" ca="1" si="15"/>
        <v>0.35444711113576166</v>
      </c>
      <c r="BK161" s="8">
        <f t="shared" si="104"/>
        <v>0.74</v>
      </c>
      <c r="BL161" s="42">
        <f t="shared" ca="1" si="122"/>
        <v>144</v>
      </c>
      <c r="BN161" s="43">
        <f t="shared" ca="1" si="16"/>
        <v>0.29004364306572739</v>
      </c>
      <c r="BO161" s="8">
        <f t="shared" si="105"/>
        <v>0.74</v>
      </c>
      <c r="BP161" s="42">
        <f t="shared" ca="1" si="123"/>
        <v>102</v>
      </c>
      <c r="BR161" s="43">
        <f t="shared" ca="1" si="17"/>
        <v>0.14077416308415691</v>
      </c>
      <c r="BS161" s="8">
        <f t="shared" si="106"/>
        <v>0.74</v>
      </c>
      <c r="BT161" s="42">
        <f t="shared" ca="1" si="124"/>
        <v>116</v>
      </c>
    </row>
    <row r="162" spans="1:72" x14ac:dyDescent="0.2">
      <c r="A162" s="22">
        <v>44709</v>
      </c>
      <c r="B162" s="43">
        <f t="shared" ca="1" si="0"/>
        <v>0.70543657185156494</v>
      </c>
      <c r="C162" s="8">
        <f t="shared" si="89"/>
        <v>0.74</v>
      </c>
      <c r="D162" s="42">
        <f t="shared" ca="1" si="107"/>
        <v>82</v>
      </c>
      <c r="F162" s="43">
        <f t="shared" ca="1" si="1"/>
        <v>0.9685012801959576</v>
      </c>
      <c r="G162" s="8">
        <f t="shared" si="90"/>
        <v>0.74</v>
      </c>
      <c r="H162" s="42">
        <f t="shared" ca="1" si="108"/>
        <v>239</v>
      </c>
      <c r="J162" s="43">
        <f t="shared" ca="1" si="2"/>
        <v>0.10242639911822493</v>
      </c>
      <c r="K162" s="8">
        <f t="shared" si="91"/>
        <v>0.74</v>
      </c>
      <c r="L162" s="42">
        <f t="shared" ca="1" si="109"/>
        <v>74</v>
      </c>
      <c r="N162" s="43">
        <f t="shared" ca="1" si="3"/>
        <v>0.11471586828893809</v>
      </c>
      <c r="O162" s="8">
        <f t="shared" si="92"/>
        <v>0.74</v>
      </c>
      <c r="P162" s="42">
        <f t="shared" ca="1" si="110"/>
        <v>116</v>
      </c>
      <c r="R162" s="43">
        <f t="shared" ca="1" si="4"/>
        <v>0.73050369918443969</v>
      </c>
      <c r="S162" s="8">
        <f t="shared" si="93"/>
        <v>0.74</v>
      </c>
      <c r="T162" s="42">
        <f t="shared" ca="1" si="111"/>
        <v>120</v>
      </c>
      <c r="V162" s="43">
        <f t="shared" ca="1" si="5"/>
        <v>0.86715019423866879</v>
      </c>
      <c r="W162" s="8">
        <f t="shared" si="94"/>
        <v>0.74</v>
      </c>
      <c r="X162" s="42">
        <f t="shared" ca="1" si="112"/>
        <v>216</v>
      </c>
      <c r="Z162" s="43">
        <f t="shared" ca="1" si="6"/>
        <v>7.1747390752194717E-2</v>
      </c>
      <c r="AA162" s="8">
        <f t="shared" si="95"/>
        <v>0.74</v>
      </c>
      <c r="AB162" s="42">
        <f t="shared" ca="1" si="113"/>
        <v>122</v>
      </c>
      <c r="AD162" s="43">
        <f t="shared" ca="1" si="7"/>
        <v>0.76950797168641794</v>
      </c>
      <c r="AE162" s="8">
        <f t="shared" si="96"/>
        <v>0.74</v>
      </c>
      <c r="AF162" s="42">
        <f t="shared" ca="1" si="114"/>
        <v>290</v>
      </c>
      <c r="AH162" s="43">
        <f t="shared" ca="1" si="8"/>
        <v>0.21652541379138412</v>
      </c>
      <c r="AI162" s="8">
        <f t="shared" si="97"/>
        <v>0.74</v>
      </c>
      <c r="AJ162" s="42">
        <f t="shared" ca="1" si="115"/>
        <v>100</v>
      </c>
      <c r="AL162" s="43">
        <f t="shared" ca="1" si="9"/>
        <v>0.39561031119715961</v>
      </c>
      <c r="AM162" s="8">
        <f t="shared" si="98"/>
        <v>0.74</v>
      </c>
      <c r="AN162" s="42">
        <f t="shared" ca="1" si="116"/>
        <v>160</v>
      </c>
      <c r="AP162" s="43">
        <f t="shared" ca="1" si="10"/>
        <v>0.28219679900574623</v>
      </c>
      <c r="AQ162" s="8">
        <f t="shared" si="99"/>
        <v>0.74</v>
      </c>
      <c r="AR162" s="42">
        <f t="shared" ca="1" si="117"/>
        <v>125</v>
      </c>
      <c r="AT162" s="43">
        <f t="shared" ca="1" si="11"/>
        <v>0.43800192773437363</v>
      </c>
      <c r="AU162" s="8">
        <f t="shared" si="100"/>
        <v>0.74</v>
      </c>
      <c r="AV162" s="42">
        <f t="shared" ca="1" si="118"/>
        <v>146</v>
      </c>
      <c r="AX162" s="43">
        <f t="shared" ca="1" si="12"/>
        <v>4.7813550156465712E-2</v>
      </c>
      <c r="AY162" s="8">
        <f t="shared" si="101"/>
        <v>0.74</v>
      </c>
      <c r="AZ162" s="42">
        <f t="shared" ca="1" si="119"/>
        <v>97</v>
      </c>
      <c r="BB162" s="43">
        <f t="shared" ca="1" si="13"/>
        <v>0.30868645747838797</v>
      </c>
      <c r="BC162" s="8">
        <f t="shared" si="102"/>
        <v>0.74</v>
      </c>
      <c r="BD162" s="42">
        <f t="shared" ca="1" si="120"/>
        <v>129</v>
      </c>
      <c r="BF162" s="43">
        <f t="shared" ca="1" si="14"/>
        <v>0.32792207592174794</v>
      </c>
      <c r="BG162" s="8">
        <f t="shared" si="103"/>
        <v>0.74</v>
      </c>
      <c r="BH162" s="42">
        <f t="shared" ca="1" si="121"/>
        <v>110</v>
      </c>
      <c r="BJ162" s="43">
        <f t="shared" ca="1" si="15"/>
        <v>0.15813933377694067</v>
      </c>
      <c r="BK162" s="8">
        <f t="shared" si="104"/>
        <v>0.74</v>
      </c>
      <c r="BL162" s="42">
        <f t="shared" ca="1" si="122"/>
        <v>117</v>
      </c>
      <c r="BN162" s="43">
        <f t="shared" ca="1" si="16"/>
        <v>6.1254948795140041E-2</v>
      </c>
      <c r="BO162" s="8">
        <f t="shared" si="105"/>
        <v>0.74</v>
      </c>
      <c r="BP162" s="42">
        <f t="shared" ca="1" si="123"/>
        <v>70</v>
      </c>
      <c r="BR162" s="43">
        <f t="shared" ca="1" si="17"/>
        <v>0.77918602436196438</v>
      </c>
      <c r="BS162" s="8">
        <f t="shared" si="106"/>
        <v>0.74</v>
      </c>
      <c r="BT162" s="42">
        <f t="shared" ca="1" si="124"/>
        <v>196</v>
      </c>
    </row>
    <row r="163" spans="1:72" x14ac:dyDescent="0.2">
      <c r="A163" s="22">
        <v>44710</v>
      </c>
      <c r="B163" s="43">
        <f t="shared" ca="1" si="0"/>
        <v>0.7553724942793989</v>
      </c>
      <c r="C163" s="8">
        <f t="shared" si="89"/>
        <v>0.74</v>
      </c>
      <c r="D163" s="42">
        <f t="shared" ca="1" si="107"/>
        <v>85</v>
      </c>
      <c r="F163" s="43">
        <f t="shared" ca="1" si="1"/>
        <v>7.2480995673343318E-2</v>
      </c>
      <c r="G163" s="8">
        <f t="shared" si="90"/>
        <v>0.74</v>
      </c>
      <c r="H163" s="42">
        <f t="shared" ca="1" si="108"/>
        <v>98</v>
      </c>
      <c r="J163" s="43">
        <f t="shared" ca="1" si="2"/>
        <v>0.59364745395215557</v>
      </c>
      <c r="K163" s="8">
        <f t="shared" si="91"/>
        <v>0.74</v>
      </c>
      <c r="L163" s="42">
        <f t="shared" ca="1" si="109"/>
        <v>119</v>
      </c>
      <c r="N163" s="43">
        <f t="shared" ca="1" si="3"/>
        <v>0.93164612026770921</v>
      </c>
      <c r="O163" s="8">
        <f t="shared" si="92"/>
        <v>0.74</v>
      </c>
      <c r="P163" s="42">
        <f t="shared" ca="1" si="110"/>
        <v>238</v>
      </c>
      <c r="R163" s="43">
        <f t="shared" ca="1" si="4"/>
        <v>0.43152842497992561</v>
      </c>
      <c r="S163" s="8">
        <f t="shared" si="93"/>
        <v>0.74</v>
      </c>
      <c r="T163" s="42">
        <f t="shared" ca="1" si="111"/>
        <v>98</v>
      </c>
      <c r="V163" s="43">
        <f t="shared" ca="1" si="5"/>
        <v>0.99322519908407181</v>
      </c>
      <c r="W163" s="8">
        <f t="shared" si="94"/>
        <v>0.74</v>
      </c>
      <c r="X163" s="42">
        <f t="shared" ca="1" si="112"/>
        <v>277</v>
      </c>
      <c r="Z163" s="43">
        <f t="shared" ca="1" si="6"/>
        <v>0.2330983442632405</v>
      </c>
      <c r="AA163" s="8">
        <f t="shared" si="95"/>
        <v>0.74</v>
      </c>
      <c r="AB163" s="42">
        <f t="shared" ca="1" si="113"/>
        <v>161</v>
      </c>
      <c r="AD163" s="43">
        <f t="shared" ca="1" si="7"/>
        <v>0.57679972336834884</v>
      </c>
      <c r="AE163" s="8">
        <f t="shared" si="96"/>
        <v>0.74</v>
      </c>
      <c r="AF163" s="42">
        <f t="shared" ca="1" si="114"/>
        <v>255</v>
      </c>
      <c r="AH163" s="43">
        <f t="shared" ca="1" si="8"/>
        <v>0.44564208746604328</v>
      </c>
      <c r="AI163" s="8">
        <f t="shared" si="97"/>
        <v>0.74</v>
      </c>
      <c r="AJ163" s="42">
        <f t="shared" ca="1" si="115"/>
        <v>122</v>
      </c>
      <c r="AL163" s="43">
        <f t="shared" ca="1" si="9"/>
        <v>0.44742343160127274</v>
      </c>
      <c r="AM163" s="8">
        <f t="shared" si="98"/>
        <v>0.74</v>
      </c>
      <c r="AN163" s="42">
        <f t="shared" ca="1" si="116"/>
        <v>166</v>
      </c>
      <c r="AP163" s="43">
        <f t="shared" ca="1" si="10"/>
        <v>0.61541364259667275</v>
      </c>
      <c r="AQ163" s="8">
        <f t="shared" si="99"/>
        <v>0.74</v>
      </c>
      <c r="AR163" s="42">
        <f t="shared" ca="1" si="117"/>
        <v>158</v>
      </c>
      <c r="AT163" s="43">
        <f t="shared" ca="1" si="11"/>
        <v>0.37541088141712708</v>
      </c>
      <c r="AU163" s="8">
        <f t="shared" si="100"/>
        <v>0.74</v>
      </c>
      <c r="AV163" s="42">
        <f t="shared" ca="1" si="118"/>
        <v>140</v>
      </c>
      <c r="AX163" s="43">
        <f t="shared" ca="1" si="12"/>
        <v>0.70408120262120533</v>
      </c>
      <c r="AY163" s="8">
        <f t="shared" si="101"/>
        <v>0.74</v>
      </c>
      <c r="AZ163" s="42">
        <f t="shared" ca="1" si="119"/>
        <v>198</v>
      </c>
      <c r="BB163" s="43">
        <f t="shared" ca="1" si="13"/>
        <v>0.24170683244883762</v>
      </c>
      <c r="BC163" s="8">
        <f t="shared" si="102"/>
        <v>0.74</v>
      </c>
      <c r="BD163" s="42">
        <f t="shared" ca="1" si="120"/>
        <v>121</v>
      </c>
      <c r="BF163" s="43">
        <f t="shared" ca="1" si="14"/>
        <v>0.56091824817948144</v>
      </c>
      <c r="BG163" s="8">
        <f t="shared" si="103"/>
        <v>0.74</v>
      </c>
      <c r="BH163" s="42">
        <f t="shared" ca="1" si="121"/>
        <v>130</v>
      </c>
      <c r="BJ163" s="43">
        <f t="shared" ca="1" si="15"/>
        <v>0.72092724412505726</v>
      </c>
      <c r="BK163" s="8">
        <f t="shared" si="104"/>
        <v>0.74</v>
      </c>
      <c r="BL163" s="42">
        <f t="shared" ca="1" si="122"/>
        <v>185</v>
      </c>
      <c r="BN163" s="43">
        <f t="shared" ca="1" si="16"/>
        <v>0.27699376583873692</v>
      </c>
      <c r="BO163" s="8">
        <f t="shared" si="105"/>
        <v>0.74</v>
      </c>
      <c r="BP163" s="42">
        <f t="shared" ca="1" si="123"/>
        <v>101</v>
      </c>
      <c r="BR163" s="43">
        <f t="shared" ca="1" si="17"/>
        <v>0.96022271499526135</v>
      </c>
      <c r="BS163" s="8">
        <f t="shared" si="106"/>
        <v>0.74</v>
      </c>
      <c r="BT163" s="42">
        <f t="shared" ca="1" si="124"/>
        <v>239</v>
      </c>
    </row>
    <row r="164" spans="1:72" x14ac:dyDescent="0.2">
      <c r="A164" s="22">
        <v>44711</v>
      </c>
      <c r="B164" s="43">
        <f t="shared" ca="1" si="0"/>
        <v>0.52154228538541592</v>
      </c>
      <c r="C164" s="8">
        <f t="shared" si="89"/>
        <v>0.74</v>
      </c>
      <c r="D164" s="42">
        <f t="shared" ca="1" si="107"/>
        <v>75</v>
      </c>
      <c r="F164" s="43">
        <f t="shared" ca="1" si="1"/>
        <v>0.14612127195577707</v>
      </c>
      <c r="G164" s="8">
        <f t="shared" si="90"/>
        <v>0.74</v>
      </c>
      <c r="H164" s="42">
        <f t="shared" ca="1" si="108"/>
        <v>115</v>
      </c>
      <c r="J164" s="43">
        <f t="shared" ca="1" si="2"/>
        <v>0.34320548074000035</v>
      </c>
      <c r="K164" s="8">
        <f t="shared" si="91"/>
        <v>0.74</v>
      </c>
      <c r="L164" s="42">
        <f t="shared" ca="1" si="109"/>
        <v>100</v>
      </c>
      <c r="N164" s="43">
        <f t="shared" ca="1" si="3"/>
        <v>0.27190822303549644</v>
      </c>
      <c r="O164" s="8">
        <f t="shared" si="92"/>
        <v>0.74</v>
      </c>
      <c r="P164" s="42">
        <f t="shared" ca="1" si="110"/>
        <v>143</v>
      </c>
      <c r="R164" s="43">
        <f t="shared" ca="1" si="4"/>
        <v>0.75533631487020059</v>
      </c>
      <c r="S164" s="8">
        <f t="shared" si="93"/>
        <v>0.74</v>
      </c>
      <c r="T164" s="42">
        <f t="shared" ca="1" si="111"/>
        <v>122</v>
      </c>
      <c r="V164" s="43">
        <f t="shared" ca="1" si="5"/>
        <v>0.35217401040378082</v>
      </c>
      <c r="W164" s="8">
        <f t="shared" si="94"/>
        <v>0.74</v>
      </c>
      <c r="X164" s="42">
        <f t="shared" ca="1" si="112"/>
        <v>150</v>
      </c>
      <c r="Z164" s="43">
        <f t="shared" ca="1" si="6"/>
        <v>0.23609913820582473</v>
      </c>
      <c r="AA164" s="8">
        <f t="shared" si="95"/>
        <v>0.74</v>
      </c>
      <c r="AB164" s="42">
        <f t="shared" ca="1" si="113"/>
        <v>162</v>
      </c>
      <c r="AD164" s="43">
        <f t="shared" ca="1" si="7"/>
        <v>0.98240806820240478</v>
      </c>
      <c r="AE164" s="8">
        <f t="shared" si="96"/>
        <v>0.74</v>
      </c>
      <c r="AF164" s="42">
        <f t="shared" ca="1" si="114"/>
        <v>378</v>
      </c>
      <c r="AH164" s="43">
        <f t="shared" ca="1" si="8"/>
        <v>0.63789731479065614</v>
      </c>
      <c r="AI164" s="8">
        <f t="shared" si="97"/>
        <v>0.74</v>
      </c>
      <c r="AJ164" s="42">
        <f t="shared" ca="1" si="115"/>
        <v>138</v>
      </c>
      <c r="AL164" s="43">
        <f t="shared" ca="1" si="9"/>
        <v>0.29299624609601949</v>
      </c>
      <c r="AM164" s="8">
        <f t="shared" si="98"/>
        <v>0.74</v>
      </c>
      <c r="AN164" s="42">
        <f t="shared" ca="1" si="116"/>
        <v>147</v>
      </c>
      <c r="AP164" s="43">
        <f t="shared" ca="1" si="10"/>
        <v>0.4766493551609291</v>
      </c>
      <c r="AQ164" s="8">
        <f t="shared" si="99"/>
        <v>0.74</v>
      </c>
      <c r="AR164" s="42">
        <f t="shared" ca="1" si="117"/>
        <v>145</v>
      </c>
      <c r="AT164" s="43">
        <f t="shared" ca="1" si="11"/>
        <v>0.46654861130068248</v>
      </c>
      <c r="AU164" s="8">
        <f t="shared" si="100"/>
        <v>0.74</v>
      </c>
      <c r="AV164" s="42">
        <f t="shared" ca="1" si="118"/>
        <v>149</v>
      </c>
      <c r="AX164" s="43">
        <f t="shared" ca="1" si="12"/>
        <v>0.15317202088905102</v>
      </c>
      <c r="AY164" s="8">
        <f t="shared" si="101"/>
        <v>0.74</v>
      </c>
      <c r="AZ164" s="42">
        <f t="shared" ca="1" si="119"/>
        <v>126</v>
      </c>
      <c r="BB164" s="43">
        <f t="shared" ca="1" si="13"/>
        <v>0.71192934044584422</v>
      </c>
      <c r="BC164" s="8">
        <f t="shared" si="102"/>
        <v>0.74</v>
      </c>
      <c r="BD164" s="42">
        <f t="shared" ca="1" si="120"/>
        <v>171</v>
      </c>
      <c r="BF164" s="43">
        <f t="shared" ca="1" si="14"/>
        <v>0.28810669650661203</v>
      </c>
      <c r="BG164" s="8">
        <f t="shared" si="103"/>
        <v>0.74</v>
      </c>
      <c r="BH164" s="42">
        <f t="shared" ca="1" si="121"/>
        <v>107</v>
      </c>
      <c r="BJ164" s="43">
        <f t="shared" ca="1" si="15"/>
        <v>0.81915324289685565</v>
      </c>
      <c r="BK164" s="8">
        <f t="shared" si="104"/>
        <v>0.74</v>
      </c>
      <c r="BL164" s="42">
        <f t="shared" ca="1" si="122"/>
        <v>199</v>
      </c>
      <c r="BN164" s="43">
        <f t="shared" ca="1" si="16"/>
        <v>0.50501443255320777</v>
      </c>
      <c r="BO164" s="8">
        <f t="shared" si="105"/>
        <v>0.74</v>
      </c>
      <c r="BP164" s="42">
        <f t="shared" ca="1" si="123"/>
        <v>120</v>
      </c>
      <c r="BR164" s="43">
        <f t="shared" ca="1" si="17"/>
        <v>0.1447744505063755</v>
      </c>
      <c r="BS164" s="8">
        <f t="shared" si="106"/>
        <v>0.74</v>
      </c>
      <c r="BT164" s="42">
        <f t="shared" ca="1" si="124"/>
        <v>117</v>
      </c>
    </row>
    <row r="165" spans="1:72" x14ac:dyDescent="0.2">
      <c r="A165" s="22">
        <v>44712</v>
      </c>
      <c r="B165" s="43">
        <f t="shared" ca="1" si="0"/>
        <v>0.87070975487374236</v>
      </c>
      <c r="C165" s="8">
        <f t="shared" si="89"/>
        <v>0.74</v>
      </c>
      <c r="D165" s="42">
        <f t="shared" ca="1" si="107"/>
        <v>91</v>
      </c>
      <c r="F165" s="43">
        <f t="shared" ca="1" si="1"/>
        <v>0.50364382290636023</v>
      </c>
      <c r="G165" s="8">
        <f t="shared" si="90"/>
        <v>0.74</v>
      </c>
      <c r="H165" s="42">
        <f t="shared" ca="1" si="108"/>
        <v>160</v>
      </c>
      <c r="J165" s="43">
        <f t="shared" ca="1" si="2"/>
        <v>0.76282216389170154</v>
      </c>
      <c r="K165" s="8">
        <f t="shared" si="91"/>
        <v>0.74</v>
      </c>
      <c r="L165" s="42">
        <f t="shared" ca="1" si="109"/>
        <v>133</v>
      </c>
      <c r="N165" s="43">
        <f t="shared" ca="1" si="3"/>
        <v>0.88963192907248312</v>
      </c>
      <c r="O165" s="8">
        <f t="shared" si="92"/>
        <v>0.74</v>
      </c>
      <c r="P165" s="42">
        <f t="shared" ca="1" si="110"/>
        <v>226</v>
      </c>
      <c r="R165" s="43">
        <f t="shared" ca="1" si="4"/>
        <v>0.13562472442250095</v>
      </c>
      <c r="S165" s="8">
        <f t="shared" si="93"/>
        <v>0.74</v>
      </c>
      <c r="T165" s="42">
        <f t="shared" ca="1" si="111"/>
        <v>73</v>
      </c>
      <c r="V165" s="43">
        <f t="shared" ca="1" si="5"/>
        <v>0.57600514096607724</v>
      </c>
      <c r="W165" s="8">
        <f t="shared" si="94"/>
        <v>0.74</v>
      </c>
      <c r="X165" s="42">
        <f t="shared" ca="1" si="112"/>
        <v>176</v>
      </c>
      <c r="Z165" s="43">
        <f t="shared" ca="1" si="6"/>
        <v>0.14758831762057933</v>
      </c>
      <c r="AA165" s="8">
        <f t="shared" si="95"/>
        <v>0.74</v>
      </c>
      <c r="AB165" s="42">
        <f t="shared" ca="1" si="113"/>
        <v>145</v>
      </c>
      <c r="AD165" s="43">
        <f t="shared" ca="1" si="7"/>
        <v>0.90709739431433944</v>
      </c>
      <c r="AE165" s="8">
        <f t="shared" si="96"/>
        <v>0.74</v>
      </c>
      <c r="AF165" s="42">
        <f t="shared" ca="1" si="114"/>
        <v>328</v>
      </c>
      <c r="AH165" s="43">
        <f t="shared" ca="1" si="8"/>
        <v>0.89102848906400589</v>
      </c>
      <c r="AI165" s="8">
        <f t="shared" si="97"/>
        <v>0.74</v>
      </c>
      <c r="AJ165" s="42">
        <f t="shared" ca="1" si="115"/>
        <v>168</v>
      </c>
      <c r="AL165" s="43">
        <f t="shared" ca="1" si="9"/>
        <v>0.96212371629557469</v>
      </c>
      <c r="AM165" s="8">
        <f t="shared" si="98"/>
        <v>0.74</v>
      </c>
      <c r="AN165" s="42">
        <f t="shared" ca="1" si="116"/>
        <v>254</v>
      </c>
      <c r="AP165" s="43">
        <f t="shared" ca="1" si="10"/>
        <v>6.5130106167490598E-2</v>
      </c>
      <c r="AQ165" s="8">
        <f t="shared" si="99"/>
        <v>0.74</v>
      </c>
      <c r="AR165" s="42">
        <f t="shared" ca="1" si="117"/>
        <v>88</v>
      </c>
      <c r="AT165" s="43">
        <f t="shared" ca="1" si="11"/>
        <v>0.27058669622286513</v>
      </c>
      <c r="AU165" s="8">
        <f t="shared" si="100"/>
        <v>0.74</v>
      </c>
      <c r="AV165" s="42">
        <f t="shared" ca="1" si="118"/>
        <v>128</v>
      </c>
      <c r="AX165" s="43">
        <f t="shared" ca="1" si="12"/>
        <v>0.65797539981524589</v>
      </c>
      <c r="AY165" s="8">
        <f t="shared" si="101"/>
        <v>0.74</v>
      </c>
      <c r="AZ165" s="42">
        <f t="shared" ca="1" si="119"/>
        <v>192</v>
      </c>
      <c r="BB165" s="43">
        <f t="shared" ca="1" si="13"/>
        <v>3.0182961327802182E-2</v>
      </c>
      <c r="BC165" s="8">
        <f t="shared" si="102"/>
        <v>0.74</v>
      </c>
      <c r="BD165" s="42">
        <f t="shared" ca="1" si="120"/>
        <v>75</v>
      </c>
      <c r="BF165" s="43">
        <f t="shared" ca="1" si="14"/>
        <v>0.31382761428220518</v>
      </c>
      <c r="BG165" s="8">
        <f t="shared" si="103"/>
        <v>0.74</v>
      </c>
      <c r="BH165" s="42">
        <f t="shared" ca="1" si="121"/>
        <v>109</v>
      </c>
      <c r="BJ165" s="43">
        <f t="shared" ca="1" si="15"/>
        <v>0.69026004214571979</v>
      </c>
      <c r="BK165" s="8">
        <f t="shared" si="104"/>
        <v>0.74</v>
      </c>
      <c r="BL165" s="42">
        <f t="shared" ca="1" si="122"/>
        <v>181</v>
      </c>
      <c r="BN165" s="43">
        <f t="shared" ca="1" si="16"/>
        <v>0.63572370878702877</v>
      </c>
      <c r="BO165" s="8">
        <f t="shared" si="105"/>
        <v>0.74</v>
      </c>
      <c r="BP165" s="42">
        <f t="shared" ca="1" si="123"/>
        <v>130</v>
      </c>
      <c r="BR165" s="43">
        <f t="shared" ca="1" si="17"/>
        <v>0.79597282699016048</v>
      </c>
      <c r="BS165" s="8">
        <f t="shared" si="106"/>
        <v>0.74</v>
      </c>
      <c r="BT165" s="42">
        <f t="shared" ca="1" si="124"/>
        <v>199</v>
      </c>
    </row>
    <row r="166" spans="1:72" x14ac:dyDescent="0.2">
      <c r="A166" s="22">
        <v>44713</v>
      </c>
      <c r="B166" s="43">
        <f t="shared" ca="1" si="0"/>
        <v>0.30892283093412165</v>
      </c>
      <c r="C166" s="8">
        <f t="shared" si="89"/>
        <v>0.74</v>
      </c>
      <c r="D166" s="42">
        <f t="shared" ca="1" si="107"/>
        <v>67</v>
      </c>
      <c r="F166" s="43">
        <f t="shared" ca="1" si="1"/>
        <v>0.26088918236254488</v>
      </c>
      <c r="G166" s="8">
        <f t="shared" si="90"/>
        <v>0.74</v>
      </c>
      <c r="H166" s="42">
        <f t="shared" ca="1" si="108"/>
        <v>133</v>
      </c>
      <c r="J166" s="43">
        <f t="shared" ca="1" si="2"/>
        <v>0.85149908746779612</v>
      </c>
      <c r="K166" s="8">
        <f t="shared" si="91"/>
        <v>0.74</v>
      </c>
      <c r="L166" s="42">
        <f t="shared" ca="1" si="109"/>
        <v>142</v>
      </c>
      <c r="N166" s="43">
        <f t="shared" ca="1" si="3"/>
        <v>0.99131604094154557</v>
      </c>
      <c r="O166" s="8">
        <f t="shared" si="92"/>
        <v>0.74</v>
      </c>
      <c r="P166" s="42">
        <f t="shared" ca="1" si="110"/>
        <v>278</v>
      </c>
      <c r="R166" s="43">
        <f t="shared" ca="1" si="4"/>
        <v>0.25699700330293429</v>
      </c>
      <c r="S166" s="8">
        <f t="shared" si="93"/>
        <v>0.74</v>
      </c>
      <c r="T166" s="42">
        <f t="shared" ca="1" si="111"/>
        <v>85</v>
      </c>
      <c r="V166" s="43">
        <f t="shared" ca="1" si="5"/>
        <v>7.7147922264845681E-2</v>
      </c>
      <c r="W166" s="8">
        <f t="shared" si="94"/>
        <v>0.74</v>
      </c>
      <c r="X166" s="42">
        <f t="shared" ca="1" si="112"/>
        <v>104</v>
      </c>
      <c r="Z166" s="43">
        <f t="shared" ca="1" si="6"/>
        <v>0.71593852261295343</v>
      </c>
      <c r="AA166" s="8">
        <f t="shared" si="95"/>
        <v>0.74</v>
      </c>
      <c r="AB166" s="42">
        <f t="shared" ca="1" si="113"/>
        <v>231</v>
      </c>
      <c r="AD166" s="43">
        <f t="shared" ca="1" si="7"/>
        <v>2.7861411893333798E-2</v>
      </c>
      <c r="AE166" s="8">
        <f t="shared" si="96"/>
        <v>0.74</v>
      </c>
      <c r="AF166" s="42">
        <f t="shared" ca="1" si="114"/>
        <v>119</v>
      </c>
      <c r="AH166" s="43">
        <f t="shared" ca="1" si="8"/>
        <v>0.54658002509008774</v>
      </c>
      <c r="AI166" s="8">
        <f t="shared" si="97"/>
        <v>0.74</v>
      </c>
      <c r="AJ166" s="42">
        <f t="shared" ca="1" si="115"/>
        <v>131</v>
      </c>
      <c r="AL166" s="43">
        <f t="shared" ca="1" si="9"/>
        <v>0.6199063360146656</v>
      </c>
      <c r="AM166" s="8">
        <f t="shared" si="98"/>
        <v>0.74</v>
      </c>
      <c r="AN166" s="42">
        <f t="shared" ca="1" si="116"/>
        <v>186</v>
      </c>
      <c r="AP166" s="43">
        <f t="shared" ca="1" si="10"/>
        <v>0.62770380112052715</v>
      </c>
      <c r="AQ166" s="8">
        <f t="shared" si="99"/>
        <v>0.74</v>
      </c>
      <c r="AR166" s="42">
        <f t="shared" ca="1" si="117"/>
        <v>160</v>
      </c>
      <c r="AT166" s="43">
        <f t="shared" ca="1" si="11"/>
        <v>0.48602562693571749</v>
      </c>
      <c r="AU166" s="8">
        <f t="shared" si="100"/>
        <v>0.74</v>
      </c>
      <c r="AV166" s="42">
        <f t="shared" ca="1" si="118"/>
        <v>151</v>
      </c>
      <c r="AX166" s="43">
        <f t="shared" ca="1" si="12"/>
        <v>3.690690048115508E-3</v>
      </c>
      <c r="AY166" s="8">
        <f t="shared" si="101"/>
        <v>0.74</v>
      </c>
      <c r="AZ166" s="42">
        <f t="shared" ca="1" si="119"/>
        <v>50</v>
      </c>
      <c r="BB166" s="43">
        <f t="shared" ca="1" si="13"/>
        <v>0.2843830947910021</v>
      </c>
      <c r="BC166" s="8">
        <f t="shared" si="102"/>
        <v>0.74</v>
      </c>
      <c r="BD166" s="42">
        <f t="shared" ca="1" si="120"/>
        <v>126</v>
      </c>
      <c r="BF166" s="43">
        <f t="shared" ca="1" si="14"/>
        <v>0.49985873286879268</v>
      </c>
      <c r="BG166" s="8">
        <f t="shared" si="103"/>
        <v>0.74</v>
      </c>
      <c r="BH166" s="42">
        <f t="shared" ca="1" si="121"/>
        <v>125</v>
      </c>
      <c r="BJ166" s="43">
        <f t="shared" ca="1" si="15"/>
        <v>0.23082213037734656</v>
      </c>
      <c r="BK166" s="8">
        <f t="shared" si="104"/>
        <v>0.74</v>
      </c>
      <c r="BL166" s="42">
        <f t="shared" ca="1" si="122"/>
        <v>129</v>
      </c>
      <c r="BN166" s="43">
        <f t="shared" ca="1" si="16"/>
        <v>0.52228440705687984</v>
      </c>
      <c r="BO166" s="8">
        <f t="shared" si="105"/>
        <v>0.74</v>
      </c>
      <c r="BP166" s="42">
        <f t="shared" ca="1" si="123"/>
        <v>121</v>
      </c>
      <c r="BR166" s="43">
        <f t="shared" ca="1" si="17"/>
        <v>1.9114739114228341E-2</v>
      </c>
      <c r="BS166" s="8">
        <f t="shared" si="106"/>
        <v>0.74</v>
      </c>
      <c r="BT166" s="42">
        <f t="shared" ca="1" si="124"/>
        <v>73</v>
      </c>
    </row>
    <row r="167" spans="1:72" x14ac:dyDescent="0.2">
      <c r="A167" s="22">
        <v>44714</v>
      </c>
      <c r="B167" s="43">
        <f t="shared" ca="1" si="0"/>
        <v>0.78330255212799071</v>
      </c>
      <c r="C167" s="8">
        <f t="shared" si="89"/>
        <v>0.74</v>
      </c>
      <c r="D167" s="42">
        <f t="shared" ca="1" si="107"/>
        <v>86</v>
      </c>
      <c r="F167" s="43">
        <f t="shared" ca="1" si="1"/>
        <v>0.49832167795751281</v>
      </c>
      <c r="G167" s="8">
        <f t="shared" si="90"/>
        <v>0.74</v>
      </c>
      <c r="H167" s="42">
        <f t="shared" ca="1" si="108"/>
        <v>160</v>
      </c>
      <c r="J167" s="43">
        <f t="shared" ca="1" si="2"/>
        <v>0.6235753133404075</v>
      </c>
      <c r="K167" s="8">
        <f t="shared" si="91"/>
        <v>0.74</v>
      </c>
      <c r="L167" s="42">
        <f t="shared" ca="1" si="109"/>
        <v>121</v>
      </c>
      <c r="N167" s="43">
        <f t="shared" ca="1" si="3"/>
        <v>0.83030709638187372</v>
      </c>
      <c r="O167" s="8">
        <f t="shared" si="92"/>
        <v>0.74</v>
      </c>
      <c r="P167" s="42">
        <f t="shared" ca="1" si="110"/>
        <v>213</v>
      </c>
      <c r="R167" s="43">
        <f t="shared" ca="1" si="4"/>
        <v>5.8451882674606326E-2</v>
      </c>
      <c r="S167" s="8">
        <f t="shared" si="93"/>
        <v>0.74</v>
      </c>
      <c r="T167" s="42">
        <f t="shared" ca="1" si="111"/>
        <v>60</v>
      </c>
      <c r="V167" s="43">
        <f t="shared" ca="1" si="5"/>
        <v>0.74701929796701338</v>
      </c>
      <c r="W167" s="8">
        <f t="shared" si="94"/>
        <v>0.74</v>
      </c>
      <c r="X167" s="42">
        <f t="shared" ca="1" si="112"/>
        <v>197</v>
      </c>
      <c r="Z167" s="43">
        <f t="shared" ca="1" si="6"/>
        <v>0.56683282520820555</v>
      </c>
      <c r="AA167" s="8">
        <f t="shared" si="95"/>
        <v>0.74</v>
      </c>
      <c r="AB167" s="42">
        <f t="shared" ca="1" si="113"/>
        <v>209</v>
      </c>
      <c r="AD167" s="43">
        <f t="shared" ca="1" si="7"/>
        <v>9.7294169925715157E-2</v>
      </c>
      <c r="AE167" s="8">
        <f t="shared" si="96"/>
        <v>0.74</v>
      </c>
      <c r="AF167" s="42">
        <f t="shared" ca="1" si="114"/>
        <v>159</v>
      </c>
      <c r="AH167" s="43">
        <f t="shared" ca="1" si="8"/>
        <v>0.48203758070532454</v>
      </c>
      <c r="AI167" s="8">
        <f t="shared" si="97"/>
        <v>0.74</v>
      </c>
      <c r="AJ167" s="42">
        <f t="shared" ca="1" si="115"/>
        <v>125</v>
      </c>
      <c r="AL167" s="43">
        <f t="shared" ca="1" si="9"/>
        <v>6.661836504024532E-2</v>
      </c>
      <c r="AM167" s="8">
        <f t="shared" si="98"/>
        <v>0.74</v>
      </c>
      <c r="AN167" s="42">
        <f t="shared" ca="1" si="116"/>
        <v>103</v>
      </c>
      <c r="AP167" s="43">
        <f t="shared" ca="1" si="10"/>
        <v>0.51622748361897663</v>
      </c>
      <c r="AQ167" s="8">
        <f t="shared" si="99"/>
        <v>0.74</v>
      </c>
      <c r="AR167" s="42">
        <f t="shared" ca="1" si="117"/>
        <v>149</v>
      </c>
      <c r="AT167" s="43">
        <f t="shared" ca="1" si="11"/>
        <v>0.91913893155360016</v>
      </c>
      <c r="AU167" s="8">
        <f t="shared" si="100"/>
        <v>0.74</v>
      </c>
      <c r="AV167" s="42">
        <f t="shared" ca="1" si="118"/>
        <v>209</v>
      </c>
      <c r="AX167" s="43">
        <f t="shared" ca="1" si="12"/>
        <v>0.721604999532791</v>
      </c>
      <c r="AY167" s="8">
        <f t="shared" si="101"/>
        <v>0.74</v>
      </c>
      <c r="AZ167" s="42">
        <f t="shared" ca="1" si="119"/>
        <v>200</v>
      </c>
      <c r="BB167" s="43">
        <f t="shared" ca="1" si="13"/>
        <v>0.17147545706065426</v>
      </c>
      <c r="BC167" s="8">
        <f t="shared" si="102"/>
        <v>0.74</v>
      </c>
      <c r="BD167" s="42">
        <f t="shared" ca="1" si="120"/>
        <v>111</v>
      </c>
      <c r="BF167" s="43">
        <f t="shared" ca="1" si="14"/>
        <v>0.97180959312873227</v>
      </c>
      <c r="BG167" s="8">
        <f t="shared" si="103"/>
        <v>0.74</v>
      </c>
      <c r="BH167" s="42">
        <f t="shared" ca="1" si="121"/>
        <v>189</v>
      </c>
      <c r="BJ167" s="43">
        <f t="shared" ca="1" si="15"/>
        <v>0.70723594242421306</v>
      </c>
      <c r="BK167" s="8">
        <f t="shared" si="104"/>
        <v>0.74</v>
      </c>
      <c r="BL167" s="42">
        <f t="shared" ca="1" si="122"/>
        <v>183</v>
      </c>
      <c r="BN167" s="43">
        <f t="shared" ca="1" si="16"/>
        <v>0.92252743257324943</v>
      </c>
      <c r="BO167" s="8">
        <f t="shared" si="105"/>
        <v>0.74</v>
      </c>
      <c r="BP167" s="42">
        <f t="shared" ca="1" si="123"/>
        <v>164</v>
      </c>
      <c r="BR167" s="43">
        <f t="shared" ca="1" si="17"/>
        <v>0.57816510895657025</v>
      </c>
      <c r="BS167" s="8">
        <f t="shared" si="106"/>
        <v>0.74</v>
      </c>
      <c r="BT167" s="42">
        <f t="shared" ca="1" si="124"/>
        <v>171</v>
      </c>
    </row>
    <row r="168" spans="1:72" x14ac:dyDescent="0.2">
      <c r="A168" s="22">
        <v>44715</v>
      </c>
      <c r="B168" s="43">
        <f t="shared" ca="1" si="0"/>
        <v>0.71841521369970907</v>
      </c>
      <c r="C168" s="8">
        <f t="shared" si="89"/>
        <v>0.74</v>
      </c>
      <c r="D168" s="42">
        <f t="shared" ca="1" si="107"/>
        <v>83</v>
      </c>
      <c r="F168" s="43">
        <f t="shared" ca="1" si="1"/>
        <v>0.27389974171604392</v>
      </c>
      <c r="G168" s="8">
        <f t="shared" si="90"/>
        <v>0.74</v>
      </c>
      <c r="H168" s="42">
        <f t="shared" ca="1" si="108"/>
        <v>134</v>
      </c>
      <c r="J168" s="43">
        <f t="shared" ca="1" si="2"/>
        <v>0.92311748140353667</v>
      </c>
      <c r="K168" s="8">
        <f t="shared" si="91"/>
        <v>0.74</v>
      </c>
      <c r="L168" s="42">
        <f t="shared" ca="1" si="109"/>
        <v>154</v>
      </c>
      <c r="N168" s="43">
        <f t="shared" ca="1" si="3"/>
        <v>0.88569718178856049</v>
      </c>
      <c r="O168" s="8">
        <f t="shared" si="92"/>
        <v>0.74</v>
      </c>
      <c r="P168" s="42">
        <f t="shared" ca="1" si="110"/>
        <v>225</v>
      </c>
      <c r="R168" s="43">
        <f t="shared" ca="1" si="4"/>
        <v>0.11831121053626314</v>
      </c>
      <c r="S168" s="8">
        <f t="shared" si="93"/>
        <v>0.74</v>
      </c>
      <c r="T168" s="42">
        <f t="shared" ca="1" si="111"/>
        <v>71</v>
      </c>
      <c r="V168" s="43">
        <f t="shared" ca="1" si="5"/>
        <v>0.29120709197596129</v>
      </c>
      <c r="W168" s="8">
        <f t="shared" si="94"/>
        <v>0.74</v>
      </c>
      <c r="X168" s="42">
        <f t="shared" ca="1" si="112"/>
        <v>143</v>
      </c>
      <c r="Z168" s="43">
        <f t="shared" ca="1" si="6"/>
        <v>7.5653222115821595E-2</v>
      </c>
      <c r="AA168" s="8">
        <f t="shared" si="95"/>
        <v>0.74</v>
      </c>
      <c r="AB168" s="42">
        <f t="shared" ca="1" si="113"/>
        <v>124</v>
      </c>
      <c r="AD168" s="43">
        <f t="shared" ca="1" si="7"/>
        <v>5.6738872893346004E-3</v>
      </c>
      <c r="AE168" s="8">
        <f t="shared" si="96"/>
        <v>0.74</v>
      </c>
      <c r="AF168" s="42">
        <f t="shared" ca="1" si="114"/>
        <v>79</v>
      </c>
      <c r="AH168" s="43">
        <f t="shared" ca="1" si="8"/>
        <v>0.59846182108952251</v>
      </c>
      <c r="AI168" s="8">
        <f t="shared" si="97"/>
        <v>0.74</v>
      </c>
      <c r="AJ168" s="42">
        <f t="shared" ca="1" si="115"/>
        <v>135</v>
      </c>
      <c r="AL168" s="43">
        <f t="shared" ca="1" si="9"/>
        <v>0.50465652572624997</v>
      </c>
      <c r="AM168" s="8">
        <f t="shared" si="98"/>
        <v>0.74</v>
      </c>
      <c r="AN168" s="42">
        <f t="shared" ca="1" si="116"/>
        <v>173</v>
      </c>
      <c r="AP168" s="43">
        <f t="shared" ca="1" si="10"/>
        <v>0.24847428958360362</v>
      </c>
      <c r="AQ168" s="8">
        <f t="shared" si="99"/>
        <v>0.74</v>
      </c>
      <c r="AR168" s="42">
        <f t="shared" ca="1" si="117"/>
        <v>120</v>
      </c>
      <c r="AT168" s="43">
        <f t="shared" ca="1" si="11"/>
        <v>0.63927690684106697</v>
      </c>
      <c r="AU168" s="8">
        <f t="shared" si="100"/>
        <v>0.74</v>
      </c>
      <c r="AV168" s="42">
        <f t="shared" ca="1" si="118"/>
        <v>167</v>
      </c>
      <c r="AX168" s="43">
        <f t="shared" ca="1" si="12"/>
        <v>0.65998150106700038</v>
      </c>
      <c r="AY168" s="8">
        <f t="shared" si="101"/>
        <v>0.74</v>
      </c>
      <c r="AZ168" s="42">
        <f t="shared" ca="1" si="119"/>
        <v>192</v>
      </c>
      <c r="BB168" s="43">
        <f t="shared" ca="1" si="13"/>
        <v>0.1204139046557271</v>
      </c>
      <c r="BC168" s="8">
        <f t="shared" si="102"/>
        <v>0.74</v>
      </c>
      <c r="BD168" s="42">
        <f t="shared" ca="1" si="120"/>
        <v>102</v>
      </c>
      <c r="BF168" s="43">
        <f t="shared" ca="1" si="14"/>
        <v>0.3436049259923184</v>
      </c>
      <c r="BG168" s="8">
        <f t="shared" si="103"/>
        <v>0.74</v>
      </c>
      <c r="BH168" s="42">
        <f t="shared" ca="1" si="121"/>
        <v>112</v>
      </c>
      <c r="BJ168" s="43">
        <f t="shared" ca="1" si="15"/>
        <v>0.17117336909581393</v>
      </c>
      <c r="BK168" s="8">
        <f t="shared" si="104"/>
        <v>0.74</v>
      </c>
      <c r="BL168" s="42">
        <f t="shared" ca="1" si="122"/>
        <v>120</v>
      </c>
      <c r="BN168" s="43">
        <f t="shared" ca="1" si="16"/>
        <v>0.44446170728495271</v>
      </c>
      <c r="BO168" s="8">
        <f t="shared" si="105"/>
        <v>0.74</v>
      </c>
      <c r="BP168" s="42">
        <f t="shared" ca="1" si="123"/>
        <v>115</v>
      </c>
      <c r="BR168" s="43">
        <f t="shared" ca="1" si="17"/>
        <v>0.47784799914207787</v>
      </c>
      <c r="BS168" s="8">
        <f t="shared" si="106"/>
        <v>0.74</v>
      </c>
      <c r="BT168" s="42">
        <f t="shared" ca="1" si="124"/>
        <v>160</v>
      </c>
    </row>
    <row r="169" spans="1:72" x14ac:dyDescent="0.2">
      <c r="A169" s="22">
        <v>44716</v>
      </c>
      <c r="B169" s="43">
        <f t="shared" ca="1" si="0"/>
        <v>0.58005994156004292</v>
      </c>
      <c r="C169" s="8">
        <f t="shared" si="89"/>
        <v>0.74</v>
      </c>
      <c r="D169" s="42">
        <f t="shared" ca="1" si="107"/>
        <v>77</v>
      </c>
      <c r="F169" s="43">
        <f t="shared" ca="1" si="1"/>
        <v>0.3367315648857867</v>
      </c>
      <c r="G169" s="8">
        <f t="shared" si="90"/>
        <v>0.74</v>
      </c>
      <c r="H169" s="42">
        <f t="shared" ca="1" si="108"/>
        <v>142</v>
      </c>
      <c r="J169" s="43">
        <f t="shared" ca="1" si="2"/>
        <v>0.89016509108369091</v>
      </c>
      <c r="K169" s="8">
        <f t="shared" si="91"/>
        <v>0.74</v>
      </c>
      <c r="L169" s="42">
        <f t="shared" ca="1" si="109"/>
        <v>148</v>
      </c>
      <c r="N169" s="43">
        <f t="shared" ca="1" si="3"/>
        <v>0.38617959784491451</v>
      </c>
      <c r="O169" s="8">
        <f t="shared" si="92"/>
        <v>0.74</v>
      </c>
      <c r="P169" s="42">
        <f t="shared" ca="1" si="110"/>
        <v>157</v>
      </c>
      <c r="R169" s="43">
        <f t="shared" ca="1" si="4"/>
        <v>0.99405056368210587</v>
      </c>
      <c r="S169" s="8">
        <f t="shared" si="93"/>
        <v>0.74</v>
      </c>
      <c r="T169" s="42">
        <f t="shared" ca="1" si="111"/>
        <v>172</v>
      </c>
      <c r="V169" s="43">
        <f t="shared" ca="1" si="5"/>
        <v>0.83254972955833861</v>
      </c>
      <c r="W169" s="8">
        <f t="shared" si="94"/>
        <v>0.74</v>
      </c>
      <c r="X169" s="42">
        <f t="shared" ca="1" si="112"/>
        <v>210</v>
      </c>
      <c r="Z169" s="43">
        <f t="shared" ca="1" si="6"/>
        <v>0.20872502583689123</v>
      </c>
      <c r="AA169" s="8">
        <f t="shared" si="95"/>
        <v>0.74</v>
      </c>
      <c r="AB169" s="42">
        <f t="shared" ca="1" si="113"/>
        <v>157</v>
      </c>
      <c r="AD169" s="43">
        <f t="shared" ca="1" si="7"/>
        <v>0.73567150144633919</v>
      </c>
      <c r="AE169" s="8">
        <f t="shared" si="96"/>
        <v>0.74</v>
      </c>
      <c r="AF169" s="42">
        <f t="shared" ca="1" si="114"/>
        <v>283</v>
      </c>
      <c r="AH169" s="43">
        <f t="shared" ca="1" si="8"/>
        <v>0.48812147100306602</v>
      </c>
      <c r="AI169" s="8">
        <f t="shared" si="97"/>
        <v>0.74</v>
      </c>
      <c r="AJ169" s="42">
        <f t="shared" ca="1" si="115"/>
        <v>126</v>
      </c>
      <c r="AL169" s="43">
        <f t="shared" ca="1" si="9"/>
        <v>0.46307438763867237</v>
      </c>
      <c r="AM169" s="8">
        <f t="shared" si="98"/>
        <v>0.74</v>
      </c>
      <c r="AN169" s="42">
        <f t="shared" ca="1" si="116"/>
        <v>168</v>
      </c>
      <c r="AP169" s="43">
        <f t="shared" ca="1" si="10"/>
        <v>0.44327186643319805</v>
      </c>
      <c r="AQ169" s="8">
        <f t="shared" si="99"/>
        <v>0.74</v>
      </c>
      <c r="AR169" s="42">
        <f t="shared" ca="1" si="117"/>
        <v>141</v>
      </c>
      <c r="AT169" s="43">
        <f t="shared" ca="1" si="11"/>
        <v>0.9255680861659602</v>
      </c>
      <c r="AU169" s="8">
        <f t="shared" si="100"/>
        <v>0.74</v>
      </c>
      <c r="AV169" s="42">
        <f t="shared" ca="1" si="118"/>
        <v>211</v>
      </c>
      <c r="AX169" s="43">
        <f t="shared" ca="1" si="12"/>
        <v>0.26142378919288289</v>
      </c>
      <c r="AY169" s="8">
        <f t="shared" si="101"/>
        <v>0.74</v>
      </c>
      <c r="AZ169" s="42">
        <f t="shared" ca="1" si="119"/>
        <v>144</v>
      </c>
      <c r="BB169" s="43">
        <f t="shared" ca="1" si="13"/>
        <v>0.9212665364177437</v>
      </c>
      <c r="BC169" s="8">
        <f t="shared" si="102"/>
        <v>0.74</v>
      </c>
      <c r="BD169" s="42">
        <f t="shared" ca="1" si="120"/>
        <v>205</v>
      </c>
      <c r="BF169" s="43">
        <f t="shared" ca="1" si="14"/>
        <v>0.258936410916073</v>
      </c>
      <c r="BG169" s="8">
        <f t="shared" si="103"/>
        <v>0.74</v>
      </c>
      <c r="BH169" s="42">
        <f t="shared" ca="1" si="121"/>
        <v>104</v>
      </c>
      <c r="BJ169" s="43">
        <f t="shared" ca="1" si="15"/>
        <v>0.60953552546799905</v>
      </c>
      <c r="BK169" s="8">
        <f t="shared" si="104"/>
        <v>0.74</v>
      </c>
      <c r="BL169" s="42">
        <f t="shared" ca="1" si="122"/>
        <v>172</v>
      </c>
      <c r="BN169" s="43">
        <f t="shared" ca="1" si="16"/>
        <v>0.46888124902509343</v>
      </c>
      <c r="BO169" s="8">
        <f t="shared" si="105"/>
        <v>0.74</v>
      </c>
      <c r="BP169" s="42">
        <f t="shared" ca="1" si="123"/>
        <v>117</v>
      </c>
      <c r="BR169" s="43">
        <f t="shared" ca="1" si="17"/>
        <v>0.79123102787893818</v>
      </c>
      <c r="BS169" s="8">
        <f t="shared" si="106"/>
        <v>0.74</v>
      </c>
      <c r="BT169" s="42">
        <f t="shared" ca="1" si="124"/>
        <v>198</v>
      </c>
    </row>
    <row r="170" spans="1:72" x14ac:dyDescent="0.2">
      <c r="A170" s="22">
        <v>44717</v>
      </c>
      <c r="B170" s="43">
        <f t="shared" ca="1" si="0"/>
        <v>0.51304072447805271</v>
      </c>
      <c r="C170" s="8">
        <f t="shared" ref="C170:C201" si="125">1-(0.06 + 0.2)</f>
        <v>0.74</v>
      </c>
      <c r="D170" s="42">
        <f t="shared" ca="1" si="107"/>
        <v>75</v>
      </c>
      <c r="F170" s="43">
        <f t="shared" ca="1" si="1"/>
        <v>0.27097368839371916</v>
      </c>
      <c r="G170" s="8">
        <f t="shared" ref="G170:G201" si="126">1-(0.06 + 0.2)</f>
        <v>0.74</v>
      </c>
      <c r="H170" s="42">
        <f t="shared" ca="1" si="108"/>
        <v>134</v>
      </c>
      <c r="J170" s="43">
        <f t="shared" ca="1" si="2"/>
        <v>0.77891886580712277</v>
      </c>
      <c r="K170" s="8">
        <f t="shared" ref="K170:K201" si="127">1-(0.06 + 0.2)</f>
        <v>0.74</v>
      </c>
      <c r="L170" s="42">
        <f t="shared" ca="1" si="109"/>
        <v>134</v>
      </c>
      <c r="N170" s="43">
        <f t="shared" ca="1" si="3"/>
        <v>0.65766960462116009</v>
      </c>
      <c r="O170" s="8">
        <f t="shared" ref="O170:O201" si="128">1-(0.06 + 0.2)</f>
        <v>0.74</v>
      </c>
      <c r="P170" s="42">
        <f t="shared" ca="1" si="110"/>
        <v>189</v>
      </c>
      <c r="R170" s="43">
        <f t="shared" ca="1" si="4"/>
        <v>0.73736988794969538</v>
      </c>
      <c r="S170" s="8">
        <f t="shared" ref="S170:S201" si="129">1-(0.06 + 0.2)</f>
        <v>0.74</v>
      </c>
      <c r="T170" s="42">
        <f t="shared" ca="1" si="111"/>
        <v>121</v>
      </c>
      <c r="V170" s="43">
        <f t="shared" ca="1" si="5"/>
        <v>0.97558486981119741</v>
      </c>
      <c r="W170" s="8">
        <f t="shared" ref="W170:W201" si="130">1-(0.06 + 0.2)</f>
        <v>0.74</v>
      </c>
      <c r="X170" s="42">
        <f t="shared" ca="1" si="112"/>
        <v>254</v>
      </c>
      <c r="Z170" s="43">
        <f t="shared" ca="1" si="6"/>
        <v>0.2730568726697622</v>
      </c>
      <c r="AA170" s="8">
        <f t="shared" ref="AA170:AA201" si="131">1-(0.06 + 0.2)</f>
        <v>0.74</v>
      </c>
      <c r="AB170" s="42">
        <f t="shared" ca="1" si="113"/>
        <v>168</v>
      </c>
      <c r="AD170" s="43">
        <f t="shared" ca="1" si="7"/>
        <v>0.97853821655102735</v>
      </c>
      <c r="AE170" s="8">
        <f t="shared" ref="AE170:AE201" si="132">1-(0.06 + 0.2)</f>
        <v>0.74</v>
      </c>
      <c r="AF170" s="42">
        <f t="shared" ca="1" si="114"/>
        <v>373</v>
      </c>
      <c r="AH170" s="43">
        <f t="shared" ca="1" si="8"/>
        <v>0.78350640249346815</v>
      </c>
      <c r="AI170" s="8">
        <f t="shared" ref="AI170:AI201" si="133">1-(0.06 + 0.2)</f>
        <v>0.74</v>
      </c>
      <c r="AJ170" s="42">
        <f t="shared" ca="1" si="115"/>
        <v>153</v>
      </c>
      <c r="AL170" s="43">
        <f t="shared" ca="1" si="9"/>
        <v>0.27995863194147153</v>
      </c>
      <c r="AM170" s="8">
        <f t="shared" ref="AM170:AM201" si="134">1-(0.06 + 0.2)</f>
        <v>0.74</v>
      </c>
      <c r="AN170" s="42">
        <f t="shared" ca="1" si="116"/>
        <v>146</v>
      </c>
      <c r="AP170" s="43">
        <f t="shared" ca="1" si="10"/>
        <v>0.34033047105159009</v>
      </c>
      <c r="AQ170" s="8">
        <f t="shared" ref="AQ170:AQ201" si="135">1-(0.06 + 0.2)</f>
        <v>0.74</v>
      </c>
      <c r="AR170" s="42">
        <f t="shared" ca="1" si="117"/>
        <v>131</v>
      </c>
      <c r="AT170" s="43">
        <f t="shared" ca="1" si="11"/>
        <v>0.86744563347023529</v>
      </c>
      <c r="AU170" s="8">
        <f t="shared" ref="AU170:AU201" si="136">1-(0.06 + 0.2)</f>
        <v>0.74</v>
      </c>
      <c r="AV170" s="42">
        <f t="shared" ca="1" si="118"/>
        <v>198</v>
      </c>
      <c r="AX170" s="43">
        <f t="shared" ca="1" si="12"/>
        <v>0.61461667447993173</v>
      </c>
      <c r="AY170" s="8">
        <f t="shared" ref="AY170:AY201" si="137">1-(0.06 + 0.2)</f>
        <v>0.74</v>
      </c>
      <c r="AZ170" s="42">
        <f t="shared" ca="1" si="119"/>
        <v>187</v>
      </c>
      <c r="BB170" s="43">
        <f t="shared" ca="1" si="13"/>
        <v>0.55718932680361832</v>
      </c>
      <c r="BC170" s="8">
        <f t="shared" ref="BC170:BC201" si="138">1-(0.06 + 0.2)</f>
        <v>0.74</v>
      </c>
      <c r="BD170" s="42">
        <f t="shared" ca="1" si="120"/>
        <v>155</v>
      </c>
      <c r="BF170" s="43">
        <f t="shared" ca="1" si="14"/>
        <v>0.42798328975809252</v>
      </c>
      <c r="BG170" s="8">
        <f t="shared" ref="BG170:BG201" si="139">1-(0.06 + 0.2)</f>
        <v>0.74</v>
      </c>
      <c r="BH170" s="42">
        <f t="shared" ca="1" si="121"/>
        <v>119</v>
      </c>
      <c r="BJ170" s="43">
        <f t="shared" ca="1" si="15"/>
        <v>0.25858893302842501</v>
      </c>
      <c r="BK170" s="8">
        <f t="shared" ref="BK170:BK201" si="140">1-(0.06 + 0.2)</f>
        <v>0.74</v>
      </c>
      <c r="BL170" s="42">
        <f t="shared" ca="1" si="122"/>
        <v>133</v>
      </c>
      <c r="BN170" s="43">
        <f t="shared" ca="1" si="16"/>
        <v>0.55940327886201402</v>
      </c>
      <c r="BO170" s="8">
        <f t="shared" ref="BO170:BO201" si="141">1-(0.06 + 0.2)</f>
        <v>0.74</v>
      </c>
      <c r="BP170" s="42">
        <f t="shared" ca="1" si="123"/>
        <v>124</v>
      </c>
      <c r="BR170" s="43">
        <f t="shared" ca="1" si="17"/>
        <v>6.9688358772959091E-3</v>
      </c>
      <c r="BS170" s="8">
        <f t="shared" ref="BS170:BS201" si="142">1-(0.06 + 0.2)</f>
        <v>0.74</v>
      </c>
      <c r="BT170" s="42">
        <f t="shared" ca="1" si="124"/>
        <v>56</v>
      </c>
    </row>
    <row r="171" spans="1:72" x14ac:dyDescent="0.2">
      <c r="A171" s="22">
        <v>44718</v>
      </c>
      <c r="B171" s="43">
        <f t="shared" ca="1" si="0"/>
        <v>0.88946288853895095</v>
      </c>
      <c r="C171" s="8">
        <f t="shared" si="125"/>
        <v>0.74</v>
      </c>
      <c r="D171" s="42">
        <f t="shared" ca="1" si="107"/>
        <v>93</v>
      </c>
      <c r="F171" s="43">
        <f t="shared" ca="1" si="1"/>
        <v>0.42435457346835781</v>
      </c>
      <c r="G171" s="8">
        <f t="shared" si="126"/>
        <v>0.74</v>
      </c>
      <c r="H171" s="42">
        <f t="shared" ca="1" si="108"/>
        <v>152</v>
      </c>
      <c r="J171" s="43">
        <f t="shared" ca="1" si="2"/>
        <v>0.20742052723194093</v>
      </c>
      <c r="K171" s="8">
        <f t="shared" si="127"/>
        <v>0.74</v>
      </c>
      <c r="L171" s="42">
        <f t="shared" ca="1" si="109"/>
        <v>87</v>
      </c>
      <c r="N171" s="43">
        <f t="shared" ca="1" si="3"/>
        <v>0.78557010773134861</v>
      </c>
      <c r="O171" s="8">
        <f t="shared" si="128"/>
        <v>0.74</v>
      </c>
      <c r="P171" s="42">
        <f t="shared" ca="1" si="110"/>
        <v>206</v>
      </c>
      <c r="R171" s="43">
        <f t="shared" ca="1" si="4"/>
        <v>0.78888436612185342</v>
      </c>
      <c r="S171" s="8">
        <f t="shared" si="129"/>
        <v>0.74</v>
      </c>
      <c r="T171" s="42">
        <f t="shared" ca="1" si="111"/>
        <v>125</v>
      </c>
      <c r="V171" s="43">
        <f t="shared" ca="1" si="5"/>
        <v>0.6354916517214203</v>
      </c>
      <c r="W171" s="8">
        <f t="shared" si="130"/>
        <v>0.74</v>
      </c>
      <c r="X171" s="42">
        <f t="shared" ca="1" si="112"/>
        <v>182</v>
      </c>
      <c r="Z171" s="43">
        <f t="shared" ca="1" si="6"/>
        <v>0.25112720058537885</v>
      </c>
      <c r="AA171" s="8">
        <f t="shared" si="131"/>
        <v>0.74</v>
      </c>
      <c r="AB171" s="42">
        <f t="shared" ca="1" si="113"/>
        <v>165</v>
      </c>
      <c r="AD171" s="43">
        <f t="shared" ca="1" si="7"/>
        <v>0.7863919518993927</v>
      </c>
      <c r="AE171" s="8">
        <f t="shared" si="132"/>
        <v>0.74</v>
      </c>
      <c r="AF171" s="42">
        <f t="shared" ca="1" si="114"/>
        <v>294</v>
      </c>
      <c r="AH171" s="43">
        <f t="shared" ca="1" si="8"/>
        <v>0.84417560412591264</v>
      </c>
      <c r="AI171" s="8">
        <f t="shared" si="133"/>
        <v>0.74</v>
      </c>
      <c r="AJ171" s="42">
        <f t="shared" ca="1" si="115"/>
        <v>161</v>
      </c>
      <c r="AL171" s="43">
        <f t="shared" ca="1" si="9"/>
        <v>0.55046067945056643</v>
      </c>
      <c r="AM171" s="8">
        <f t="shared" si="134"/>
        <v>0.74</v>
      </c>
      <c r="AN171" s="42">
        <f t="shared" ca="1" si="116"/>
        <v>178</v>
      </c>
      <c r="AP171" s="43">
        <f t="shared" ca="1" si="10"/>
        <v>0.76589226361393314</v>
      </c>
      <c r="AQ171" s="8">
        <f t="shared" si="135"/>
        <v>0.74</v>
      </c>
      <c r="AR171" s="42">
        <f t="shared" ca="1" si="117"/>
        <v>175</v>
      </c>
      <c r="AT171" s="43">
        <f t="shared" ca="1" si="11"/>
        <v>0.50024548241665501</v>
      </c>
      <c r="AU171" s="8">
        <f t="shared" si="136"/>
        <v>0.74</v>
      </c>
      <c r="AV171" s="42">
        <f t="shared" ca="1" si="118"/>
        <v>153</v>
      </c>
      <c r="AX171" s="43">
        <f t="shared" ca="1" si="12"/>
        <v>0.394202300158362</v>
      </c>
      <c r="AY171" s="8">
        <f t="shared" si="137"/>
        <v>0.74</v>
      </c>
      <c r="AZ171" s="42">
        <f t="shared" ca="1" si="119"/>
        <v>161</v>
      </c>
      <c r="BB171" s="43">
        <f t="shared" ca="1" si="13"/>
        <v>0.98195692798846557</v>
      </c>
      <c r="BC171" s="8">
        <f t="shared" si="138"/>
        <v>0.74</v>
      </c>
      <c r="BD171" s="42">
        <f t="shared" ca="1" si="120"/>
        <v>232</v>
      </c>
      <c r="BF171" s="43">
        <f t="shared" ca="1" si="14"/>
        <v>2.6712135005658055E-2</v>
      </c>
      <c r="BG171" s="8">
        <f t="shared" si="139"/>
        <v>0.74</v>
      </c>
      <c r="BH171" s="42">
        <f t="shared" ca="1" si="121"/>
        <v>61</v>
      </c>
      <c r="BJ171" s="43">
        <f t="shared" ca="1" si="15"/>
        <v>0.89811645350574809</v>
      </c>
      <c r="BK171" s="8">
        <f t="shared" si="140"/>
        <v>0.74</v>
      </c>
      <c r="BL171" s="42">
        <f t="shared" ca="1" si="122"/>
        <v>214</v>
      </c>
      <c r="BN171" s="43">
        <f t="shared" ca="1" si="16"/>
        <v>0.71946053942677723</v>
      </c>
      <c r="BO171" s="8">
        <f t="shared" si="141"/>
        <v>0.74</v>
      </c>
      <c r="BP171" s="42">
        <f t="shared" ca="1" si="123"/>
        <v>138</v>
      </c>
      <c r="BR171" s="43">
        <f t="shared" ca="1" si="17"/>
        <v>0.91436081477370323</v>
      </c>
      <c r="BS171" s="8">
        <f t="shared" si="142"/>
        <v>0.74</v>
      </c>
      <c r="BT171" s="42">
        <f t="shared" ca="1" si="124"/>
        <v>222</v>
      </c>
    </row>
    <row r="172" spans="1:72" x14ac:dyDescent="0.2">
      <c r="A172" s="22">
        <v>44719</v>
      </c>
      <c r="B172" s="43">
        <f t="shared" ca="1" si="0"/>
        <v>6.4245661607599702E-2</v>
      </c>
      <c r="C172" s="8">
        <f t="shared" si="125"/>
        <v>0.74</v>
      </c>
      <c r="D172" s="42">
        <f t="shared" ca="1" si="107"/>
        <v>52</v>
      </c>
      <c r="F172" s="43">
        <f t="shared" ca="1" si="1"/>
        <v>0.94615249007311275</v>
      </c>
      <c r="G172" s="8">
        <f t="shared" si="126"/>
        <v>0.74</v>
      </c>
      <c r="H172" s="42">
        <f t="shared" ca="1" si="108"/>
        <v>228</v>
      </c>
      <c r="J172" s="43">
        <f t="shared" ca="1" si="2"/>
        <v>0.62874424058452927</v>
      </c>
      <c r="K172" s="8">
        <f t="shared" si="127"/>
        <v>0.74</v>
      </c>
      <c r="L172" s="42">
        <f t="shared" ca="1" si="109"/>
        <v>121</v>
      </c>
      <c r="N172" s="43">
        <f t="shared" ca="1" si="3"/>
        <v>0.82702672189574433</v>
      </c>
      <c r="O172" s="8">
        <f t="shared" si="128"/>
        <v>0.74</v>
      </c>
      <c r="P172" s="42">
        <f t="shared" ca="1" si="110"/>
        <v>213</v>
      </c>
      <c r="R172" s="43">
        <f t="shared" ca="1" si="4"/>
        <v>0.5393501354251542</v>
      </c>
      <c r="S172" s="8">
        <f t="shared" si="129"/>
        <v>0.74</v>
      </c>
      <c r="T172" s="42">
        <f t="shared" ca="1" si="111"/>
        <v>106</v>
      </c>
      <c r="V172" s="43">
        <f t="shared" ca="1" si="5"/>
        <v>0.68020451789421787</v>
      </c>
      <c r="W172" s="8">
        <f t="shared" si="130"/>
        <v>0.74</v>
      </c>
      <c r="X172" s="42">
        <f t="shared" ca="1" si="112"/>
        <v>188</v>
      </c>
      <c r="Z172" s="43">
        <f t="shared" ca="1" si="6"/>
        <v>0.58401522497279945</v>
      </c>
      <c r="AA172" s="8">
        <f t="shared" si="131"/>
        <v>0.74</v>
      </c>
      <c r="AB172" s="42">
        <f t="shared" ca="1" si="113"/>
        <v>212</v>
      </c>
      <c r="AD172" s="43">
        <f t="shared" ca="1" si="7"/>
        <v>0.40652564290271376</v>
      </c>
      <c r="AE172" s="8">
        <f t="shared" si="132"/>
        <v>0.74</v>
      </c>
      <c r="AF172" s="42">
        <f t="shared" ca="1" si="114"/>
        <v>227</v>
      </c>
      <c r="AH172" s="43">
        <f t="shared" ca="1" si="8"/>
        <v>7.9698641745310494E-2</v>
      </c>
      <c r="AI172" s="8">
        <f t="shared" si="133"/>
        <v>0.74</v>
      </c>
      <c r="AJ172" s="42">
        <f t="shared" ca="1" si="115"/>
        <v>79</v>
      </c>
      <c r="AL172" s="43">
        <f t="shared" ca="1" si="9"/>
        <v>0.85187382416977853</v>
      </c>
      <c r="AM172" s="8">
        <f t="shared" si="134"/>
        <v>0.74</v>
      </c>
      <c r="AN172" s="42">
        <f t="shared" ca="1" si="116"/>
        <v>220</v>
      </c>
      <c r="AP172" s="43">
        <f t="shared" ca="1" si="10"/>
        <v>0.76835393625251136</v>
      </c>
      <c r="AQ172" s="8">
        <f t="shared" si="135"/>
        <v>0.74</v>
      </c>
      <c r="AR172" s="42">
        <f t="shared" ca="1" si="117"/>
        <v>176</v>
      </c>
      <c r="AT172" s="43">
        <f t="shared" ca="1" si="11"/>
        <v>0.25630237928428456</v>
      </c>
      <c r="AU172" s="8">
        <f t="shared" si="136"/>
        <v>0.74</v>
      </c>
      <c r="AV172" s="42">
        <f t="shared" ca="1" si="118"/>
        <v>126</v>
      </c>
      <c r="AX172" s="43">
        <f t="shared" ca="1" si="12"/>
        <v>0.98099214054468997</v>
      </c>
      <c r="AY172" s="8">
        <f t="shared" si="137"/>
        <v>0.74</v>
      </c>
      <c r="AZ172" s="42">
        <f t="shared" ca="1" si="119"/>
        <v>269</v>
      </c>
      <c r="BB172" s="43">
        <f t="shared" ca="1" si="13"/>
        <v>0.78478321732023448</v>
      </c>
      <c r="BC172" s="8">
        <f t="shared" si="138"/>
        <v>0.74</v>
      </c>
      <c r="BD172" s="42">
        <f t="shared" ca="1" si="120"/>
        <v>180</v>
      </c>
      <c r="BF172" s="43">
        <f t="shared" ca="1" si="14"/>
        <v>0.77667724961854745</v>
      </c>
      <c r="BG172" s="8">
        <f t="shared" si="139"/>
        <v>0.74</v>
      </c>
      <c r="BH172" s="42">
        <f t="shared" ca="1" si="121"/>
        <v>151</v>
      </c>
      <c r="BJ172" s="43">
        <f t="shared" ca="1" si="15"/>
        <v>0.1077583123319763</v>
      </c>
      <c r="BK172" s="8">
        <f t="shared" si="140"/>
        <v>0.74</v>
      </c>
      <c r="BL172" s="42">
        <f t="shared" ca="1" si="122"/>
        <v>107</v>
      </c>
      <c r="BN172" s="43">
        <f t="shared" ca="1" si="16"/>
        <v>2.3683323206469153E-2</v>
      </c>
      <c r="BO172" s="8">
        <f t="shared" si="141"/>
        <v>0.74</v>
      </c>
      <c r="BP172" s="42">
        <f t="shared" ca="1" si="123"/>
        <v>57</v>
      </c>
      <c r="BR172" s="43">
        <f t="shared" ca="1" si="17"/>
        <v>0.68841645393172546</v>
      </c>
      <c r="BS172" s="8">
        <f t="shared" si="142"/>
        <v>0.74</v>
      </c>
      <c r="BT172" s="42">
        <f t="shared" ca="1" si="124"/>
        <v>184</v>
      </c>
    </row>
    <row r="173" spans="1:72" x14ac:dyDescent="0.2">
      <c r="A173" s="22">
        <v>44720</v>
      </c>
      <c r="B173" s="43">
        <f t="shared" ca="1" si="0"/>
        <v>0.93927920634299211</v>
      </c>
      <c r="C173" s="8">
        <f t="shared" si="125"/>
        <v>0.74</v>
      </c>
      <c r="D173" s="42">
        <f t="shared" ca="1" si="107"/>
        <v>97</v>
      </c>
      <c r="F173" s="43">
        <f t="shared" ca="1" si="1"/>
        <v>0.57024408177524644</v>
      </c>
      <c r="G173" s="8">
        <f t="shared" si="126"/>
        <v>0.74</v>
      </c>
      <c r="H173" s="42">
        <f t="shared" ca="1" si="108"/>
        <v>167</v>
      </c>
      <c r="J173" s="43">
        <f t="shared" ca="1" si="2"/>
        <v>0.72666082870672477</v>
      </c>
      <c r="K173" s="8">
        <f t="shared" si="127"/>
        <v>0.74</v>
      </c>
      <c r="L173" s="42">
        <f t="shared" ca="1" si="109"/>
        <v>129</v>
      </c>
      <c r="N173" s="43">
        <f t="shared" ca="1" si="3"/>
        <v>0.94601304061740366</v>
      </c>
      <c r="O173" s="8">
        <f t="shared" si="128"/>
        <v>0.74</v>
      </c>
      <c r="P173" s="42">
        <f t="shared" ca="1" si="110"/>
        <v>243</v>
      </c>
      <c r="R173" s="43">
        <f t="shared" ca="1" si="4"/>
        <v>0.5014579566090942</v>
      </c>
      <c r="S173" s="8">
        <f t="shared" si="129"/>
        <v>0.74</v>
      </c>
      <c r="T173" s="42">
        <f t="shared" ca="1" si="111"/>
        <v>103</v>
      </c>
      <c r="V173" s="43">
        <f t="shared" ca="1" si="5"/>
        <v>0.40859294446871586</v>
      </c>
      <c r="W173" s="8">
        <f t="shared" si="130"/>
        <v>0.74</v>
      </c>
      <c r="X173" s="42">
        <f t="shared" ca="1" si="112"/>
        <v>157</v>
      </c>
      <c r="Z173" s="43">
        <f t="shared" ca="1" si="6"/>
        <v>0.43001722118470276</v>
      </c>
      <c r="AA173" s="8">
        <f t="shared" si="131"/>
        <v>0.74</v>
      </c>
      <c r="AB173" s="42">
        <f t="shared" ca="1" si="113"/>
        <v>191</v>
      </c>
      <c r="AD173" s="43">
        <f t="shared" ca="1" si="7"/>
        <v>0.38742125301062758</v>
      </c>
      <c r="AE173" s="8">
        <f t="shared" si="132"/>
        <v>0.74</v>
      </c>
      <c r="AF173" s="42">
        <f t="shared" ca="1" si="114"/>
        <v>224</v>
      </c>
      <c r="AH173" s="43">
        <f t="shared" ca="1" si="8"/>
        <v>0.18486048886967632</v>
      </c>
      <c r="AI173" s="8">
        <f t="shared" si="133"/>
        <v>0.74</v>
      </c>
      <c r="AJ173" s="42">
        <f t="shared" ca="1" si="115"/>
        <v>96</v>
      </c>
      <c r="AL173" s="43">
        <f t="shared" ca="1" si="9"/>
        <v>0.27179931321231054</v>
      </c>
      <c r="AM173" s="8">
        <f t="shared" si="134"/>
        <v>0.74</v>
      </c>
      <c r="AN173" s="42">
        <f t="shared" ca="1" si="116"/>
        <v>144</v>
      </c>
      <c r="AP173" s="43">
        <f t="shared" ca="1" si="10"/>
        <v>0.3500934903458266</v>
      </c>
      <c r="AQ173" s="8">
        <f t="shared" si="135"/>
        <v>0.74</v>
      </c>
      <c r="AR173" s="42">
        <f t="shared" ca="1" si="117"/>
        <v>132</v>
      </c>
      <c r="AT173" s="43">
        <f t="shared" ca="1" si="11"/>
        <v>4.0402215825188548E-2</v>
      </c>
      <c r="AU173" s="8">
        <f t="shared" si="136"/>
        <v>0.74</v>
      </c>
      <c r="AV173" s="42">
        <f t="shared" ca="1" si="118"/>
        <v>82</v>
      </c>
      <c r="AX173" s="43">
        <f t="shared" ca="1" si="12"/>
        <v>0.76288105297705799</v>
      </c>
      <c r="AY173" s="8">
        <f t="shared" si="137"/>
        <v>0.74</v>
      </c>
      <c r="AZ173" s="42">
        <f t="shared" ca="1" si="119"/>
        <v>206</v>
      </c>
      <c r="BB173" s="43">
        <f t="shared" ca="1" si="13"/>
        <v>0.63773145626600169</v>
      </c>
      <c r="BC173" s="8">
        <f t="shared" si="138"/>
        <v>0.74</v>
      </c>
      <c r="BD173" s="42">
        <f t="shared" ca="1" si="120"/>
        <v>163</v>
      </c>
      <c r="BF173" s="43">
        <f t="shared" ca="1" si="14"/>
        <v>0.57926268879196396</v>
      </c>
      <c r="BG173" s="8">
        <f t="shared" si="139"/>
        <v>0.74</v>
      </c>
      <c r="BH173" s="42">
        <f t="shared" ca="1" si="121"/>
        <v>132</v>
      </c>
      <c r="BJ173" s="43">
        <f t="shared" ca="1" si="15"/>
        <v>0.38973072056308145</v>
      </c>
      <c r="BK173" s="8">
        <f t="shared" si="140"/>
        <v>0.74</v>
      </c>
      <c r="BL173" s="42">
        <f t="shared" ca="1" si="122"/>
        <v>148</v>
      </c>
      <c r="BN173" s="43">
        <f t="shared" ca="1" si="16"/>
        <v>0.91482753382052173</v>
      </c>
      <c r="BO173" s="8">
        <f t="shared" si="141"/>
        <v>0.74</v>
      </c>
      <c r="BP173" s="42">
        <f t="shared" ca="1" si="123"/>
        <v>163</v>
      </c>
      <c r="BR173" s="43">
        <f t="shared" ca="1" si="17"/>
        <v>0.8113534525818441</v>
      </c>
      <c r="BS173" s="8">
        <f t="shared" si="142"/>
        <v>0.74</v>
      </c>
      <c r="BT173" s="42">
        <f t="shared" ca="1" si="124"/>
        <v>201</v>
      </c>
    </row>
    <row r="174" spans="1:72" x14ac:dyDescent="0.2">
      <c r="A174" s="22">
        <v>44721</v>
      </c>
      <c r="B174" s="43">
        <f t="shared" ca="1" si="0"/>
        <v>0.15000143726305248</v>
      </c>
      <c r="C174" s="8">
        <f t="shared" si="125"/>
        <v>0.74</v>
      </c>
      <c r="D174" s="42">
        <f t="shared" ca="1" si="107"/>
        <v>59</v>
      </c>
      <c r="F174" s="43">
        <f t="shared" ca="1" si="1"/>
        <v>0.27613590578987046</v>
      </c>
      <c r="G174" s="8">
        <f t="shared" si="126"/>
        <v>0.74</v>
      </c>
      <c r="H174" s="42">
        <f t="shared" ca="1" si="108"/>
        <v>135</v>
      </c>
      <c r="J174" s="43">
        <f t="shared" ca="1" si="2"/>
        <v>0.77721338867135314</v>
      </c>
      <c r="K174" s="8">
        <f t="shared" si="127"/>
        <v>0.74</v>
      </c>
      <c r="L174" s="42">
        <f t="shared" ca="1" si="109"/>
        <v>134</v>
      </c>
      <c r="N174" s="43">
        <f t="shared" ca="1" si="3"/>
        <v>0.23346437990534663</v>
      </c>
      <c r="O174" s="8">
        <f t="shared" si="128"/>
        <v>0.74</v>
      </c>
      <c r="P174" s="42">
        <f t="shared" ca="1" si="110"/>
        <v>137</v>
      </c>
      <c r="R174" s="43">
        <f t="shared" ca="1" si="4"/>
        <v>0.15892652512094396</v>
      </c>
      <c r="S174" s="8">
        <f t="shared" si="129"/>
        <v>0.74</v>
      </c>
      <c r="T174" s="42">
        <f t="shared" ca="1" si="111"/>
        <v>76</v>
      </c>
      <c r="V174" s="43">
        <f t="shared" ca="1" si="5"/>
        <v>0.30983198506393805</v>
      </c>
      <c r="W174" s="8">
        <f t="shared" si="130"/>
        <v>0.74</v>
      </c>
      <c r="X174" s="42">
        <f t="shared" ca="1" si="112"/>
        <v>145</v>
      </c>
      <c r="Z174" s="43">
        <f t="shared" ca="1" si="6"/>
        <v>0.98454257135418488</v>
      </c>
      <c r="AA174" s="8">
        <f t="shared" si="131"/>
        <v>0.74</v>
      </c>
      <c r="AB174" s="42">
        <f t="shared" ca="1" si="113"/>
        <v>315</v>
      </c>
      <c r="AD174" s="43">
        <f t="shared" ca="1" si="7"/>
        <v>0.91802783116477216</v>
      </c>
      <c r="AE174" s="8">
        <f t="shared" si="132"/>
        <v>0.74</v>
      </c>
      <c r="AF174" s="42">
        <f t="shared" ca="1" si="114"/>
        <v>332</v>
      </c>
      <c r="AH174" s="43">
        <f t="shared" ca="1" si="8"/>
        <v>0.69192084467127413</v>
      </c>
      <c r="AI174" s="8">
        <f t="shared" si="133"/>
        <v>0.74</v>
      </c>
      <c r="AJ174" s="42">
        <f t="shared" ca="1" si="115"/>
        <v>143</v>
      </c>
      <c r="AL174" s="43">
        <f t="shared" ca="1" si="9"/>
        <v>0.96710304184792917</v>
      </c>
      <c r="AM174" s="8">
        <f t="shared" si="134"/>
        <v>0.74</v>
      </c>
      <c r="AN174" s="42">
        <f t="shared" ca="1" si="116"/>
        <v>256</v>
      </c>
      <c r="AP174" s="43">
        <f t="shared" ca="1" si="10"/>
        <v>0.10248429368193845</v>
      </c>
      <c r="AQ174" s="8">
        <f t="shared" si="135"/>
        <v>0.74</v>
      </c>
      <c r="AR174" s="42">
        <f t="shared" ca="1" si="117"/>
        <v>97</v>
      </c>
      <c r="AT174" s="43">
        <f t="shared" ca="1" si="11"/>
        <v>0.51267246196695626</v>
      </c>
      <c r="AU174" s="8">
        <f t="shared" si="136"/>
        <v>0.74</v>
      </c>
      <c r="AV174" s="42">
        <f t="shared" ca="1" si="118"/>
        <v>154</v>
      </c>
      <c r="AX174" s="43">
        <f t="shared" ca="1" si="12"/>
        <v>0.68175018393854669</v>
      </c>
      <c r="AY174" s="8">
        <f t="shared" si="137"/>
        <v>0.74</v>
      </c>
      <c r="AZ174" s="42">
        <f t="shared" ca="1" si="119"/>
        <v>195</v>
      </c>
      <c r="BB174" s="43">
        <f t="shared" ca="1" si="13"/>
        <v>0.61835362147016626</v>
      </c>
      <c r="BC174" s="8">
        <f t="shared" si="138"/>
        <v>0.74</v>
      </c>
      <c r="BD174" s="42">
        <f t="shared" ca="1" si="120"/>
        <v>161</v>
      </c>
      <c r="BF174" s="43">
        <f t="shared" ca="1" si="14"/>
        <v>0.9959778677864054</v>
      </c>
      <c r="BG174" s="8">
        <f t="shared" si="139"/>
        <v>0.74</v>
      </c>
      <c r="BH174" s="42">
        <f t="shared" ca="1" si="121"/>
        <v>213</v>
      </c>
      <c r="BJ174" s="43">
        <f t="shared" ca="1" si="15"/>
        <v>0.21247695933115096</v>
      </c>
      <c r="BK174" s="8">
        <f t="shared" si="140"/>
        <v>0.74</v>
      </c>
      <c r="BL174" s="42">
        <f t="shared" ca="1" si="122"/>
        <v>126</v>
      </c>
      <c r="BN174" s="43">
        <f t="shared" ca="1" si="16"/>
        <v>1.4012306429750709E-2</v>
      </c>
      <c r="BO174" s="8">
        <f t="shared" si="141"/>
        <v>0.74</v>
      </c>
      <c r="BP174" s="42">
        <f t="shared" ca="1" si="123"/>
        <v>50</v>
      </c>
      <c r="BR174" s="43">
        <f t="shared" ca="1" si="17"/>
        <v>0.38432235720476038</v>
      </c>
      <c r="BS174" s="8">
        <f t="shared" si="142"/>
        <v>0.74</v>
      </c>
      <c r="BT174" s="42">
        <f t="shared" ca="1" si="124"/>
        <v>150</v>
      </c>
    </row>
    <row r="175" spans="1:72" x14ac:dyDescent="0.2">
      <c r="A175" s="22">
        <v>44722</v>
      </c>
      <c r="B175" s="43">
        <f t="shared" ca="1" si="0"/>
        <v>2.3368097406567978E-2</v>
      </c>
      <c r="C175" s="8">
        <f t="shared" si="125"/>
        <v>0.74</v>
      </c>
      <c r="D175" s="42">
        <f t="shared" ca="1" si="107"/>
        <v>45</v>
      </c>
      <c r="F175" s="43">
        <f t="shared" ca="1" si="1"/>
        <v>0.81556068364829182</v>
      </c>
      <c r="G175" s="8">
        <f t="shared" si="126"/>
        <v>0.74</v>
      </c>
      <c r="H175" s="42">
        <f t="shared" ca="1" si="108"/>
        <v>198</v>
      </c>
      <c r="J175" s="43">
        <f t="shared" ca="1" si="2"/>
        <v>0.88601569592549367</v>
      </c>
      <c r="K175" s="8">
        <f t="shared" si="127"/>
        <v>0.74</v>
      </c>
      <c r="L175" s="42">
        <f t="shared" ca="1" si="109"/>
        <v>147</v>
      </c>
      <c r="N175" s="43">
        <f t="shared" ca="1" si="3"/>
        <v>0.3435470959634046</v>
      </c>
      <c r="O175" s="8">
        <f t="shared" si="128"/>
        <v>0.74</v>
      </c>
      <c r="P175" s="42">
        <f t="shared" ca="1" si="110"/>
        <v>152</v>
      </c>
      <c r="R175" s="43">
        <f t="shared" ca="1" si="4"/>
        <v>0.40682869610963557</v>
      </c>
      <c r="S175" s="8">
        <f t="shared" si="129"/>
        <v>0.74</v>
      </c>
      <c r="T175" s="42">
        <f t="shared" ca="1" si="111"/>
        <v>97</v>
      </c>
      <c r="V175" s="43">
        <f t="shared" ca="1" si="5"/>
        <v>0.56089440775607624</v>
      </c>
      <c r="W175" s="8">
        <f t="shared" si="130"/>
        <v>0.74</v>
      </c>
      <c r="X175" s="42">
        <f t="shared" ca="1" si="112"/>
        <v>174</v>
      </c>
      <c r="Z175" s="43">
        <f t="shared" ca="1" si="6"/>
        <v>0.31621162946167902</v>
      </c>
      <c r="AA175" s="8">
        <f t="shared" si="131"/>
        <v>0.74</v>
      </c>
      <c r="AB175" s="42">
        <f t="shared" ca="1" si="113"/>
        <v>175</v>
      </c>
      <c r="AD175" s="43">
        <f t="shared" ca="1" si="7"/>
        <v>0.93959305299473772</v>
      </c>
      <c r="AE175" s="8">
        <f t="shared" si="132"/>
        <v>0.74</v>
      </c>
      <c r="AF175" s="42">
        <f t="shared" ca="1" si="114"/>
        <v>343</v>
      </c>
      <c r="AH175" s="43">
        <f t="shared" ca="1" si="8"/>
        <v>0.14618996151622166</v>
      </c>
      <c r="AI175" s="8">
        <f t="shared" si="133"/>
        <v>0.74</v>
      </c>
      <c r="AJ175" s="42">
        <f t="shared" ca="1" si="115"/>
        <v>91</v>
      </c>
      <c r="AL175" s="43">
        <f t="shared" ca="1" si="9"/>
        <v>0.85654970530952856</v>
      </c>
      <c r="AM175" s="8">
        <f t="shared" si="134"/>
        <v>0.74</v>
      </c>
      <c r="AN175" s="42">
        <f t="shared" ca="1" si="116"/>
        <v>221</v>
      </c>
      <c r="AP175" s="43">
        <f t="shared" ca="1" si="10"/>
        <v>0.60838669990581185</v>
      </c>
      <c r="AQ175" s="8">
        <f t="shared" si="135"/>
        <v>0.74</v>
      </c>
      <c r="AR175" s="42">
        <f t="shared" ca="1" si="117"/>
        <v>158</v>
      </c>
      <c r="AT175" s="43">
        <f t="shared" ca="1" si="11"/>
        <v>0.43860181597997927</v>
      </c>
      <c r="AU175" s="8">
        <f t="shared" si="136"/>
        <v>0.74</v>
      </c>
      <c r="AV175" s="42">
        <f t="shared" ca="1" si="118"/>
        <v>146</v>
      </c>
      <c r="AX175" s="43">
        <f t="shared" ca="1" si="12"/>
        <v>5.0757134737661747E-2</v>
      </c>
      <c r="AY175" s="8">
        <f t="shared" si="137"/>
        <v>0.74</v>
      </c>
      <c r="AZ175" s="42">
        <f t="shared" ca="1" si="119"/>
        <v>98</v>
      </c>
      <c r="BB175" s="43">
        <f t="shared" ca="1" si="13"/>
        <v>0.15804964060319726</v>
      </c>
      <c r="BC175" s="8">
        <f t="shared" si="138"/>
        <v>0.74</v>
      </c>
      <c r="BD175" s="42">
        <f t="shared" ca="1" si="120"/>
        <v>109</v>
      </c>
      <c r="BF175" s="43">
        <f t="shared" ca="1" si="14"/>
        <v>0.12322774691553562</v>
      </c>
      <c r="BG175" s="8">
        <f t="shared" si="139"/>
        <v>0.74</v>
      </c>
      <c r="BH175" s="42">
        <f t="shared" ca="1" si="121"/>
        <v>87</v>
      </c>
      <c r="BJ175" s="43">
        <f t="shared" ca="1" si="15"/>
        <v>0.10026793626755515</v>
      </c>
      <c r="BK175" s="8">
        <f t="shared" si="140"/>
        <v>0.74</v>
      </c>
      <c r="BL175" s="42">
        <f t="shared" ca="1" si="122"/>
        <v>106</v>
      </c>
      <c r="BN175" s="43">
        <f t="shared" ca="1" si="16"/>
        <v>0.75643242271407174</v>
      </c>
      <c r="BO175" s="8">
        <f t="shared" si="141"/>
        <v>0.74</v>
      </c>
      <c r="BP175" s="42">
        <f t="shared" ca="1" si="123"/>
        <v>141</v>
      </c>
      <c r="BR175" s="43">
        <f t="shared" ca="1" si="17"/>
        <v>7.7041077599552477E-2</v>
      </c>
      <c r="BS175" s="8">
        <f t="shared" si="142"/>
        <v>0.74</v>
      </c>
      <c r="BT175" s="42">
        <f t="shared" ca="1" si="124"/>
        <v>101</v>
      </c>
    </row>
    <row r="176" spans="1:72" x14ac:dyDescent="0.2">
      <c r="A176" s="22">
        <v>44723</v>
      </c>
      <c r="B176" s="43">
        <f t="shared" ca="1" si="0"/>
        <v>0.80381122206157796</v>
      </c>
      <c r="C176" s="8">
        <f t="shared" si="125"/>
        <v>0.74</v>
      </c>
      <c r="D176" s="42">
        <f t="shared" ca="1" si="107"/>
        <v>87</v>
      </c>
      <c r="F176" s="43">
        <f t="shared" ca="1" si="1"/>
        <v>0.52251043352779181</v>
      </c>
      <c r="G176" s="8">
        <f t="shared" si="126"/>
        <v>0.74</v>
      </c>
      <c r="H176" s="42">
        <f t="shared" ca="1" si="108"/>
        <v>162</v>
      </c>
      <c r="J176" s="43">
        <f t="shared" ca="1" si="2"/>
        <v>0.43448824648071838</v>
      </c>
      <c r="K176" s="8">
        <f t="shared" si="127"/>
        <v>0.74</v>
      </c>
      <c r="L176" s="42">
        <f t="shared" ca="1" si="109"/>
        <v>107</v>
      </c>
      <c r="N176" s="43">
        <f t="shared" ca="1" si="3"/>
        <v>0.20976082890783221</v>
      </c>
      <c r="O176" s="8">
        <f t="shared" si="128"/>
        <v>0.74</v>
      </c>
      <c r="P176" s="42">
        <f t="shared" ca="1" si="110"/>
        <v>134</v>
      </c>
      <c r="R176" s="43">
        <f t="shared" ca="1" si="4"/>
        <v>3.1672815642831198E-2</v>
      </c>
      <c r="S176" s="8">
        <f t="shared" si="129"/>
        <v>0.74</v>
      </c>
      <c r="T176" s="42">
        <f t="shared" ca="1" si="111"/>
        <v>52</v>
      </c>
      <c r="V176" s="43">
        <f t="shared" ca="1" si="5"/>
        <v>0.46682411309486482</v>
      </c>
      <c r="W176" s="8">
        <f t="shared" si="130"/>
        <v>0.74</v>
      </c>
      <c r="X176" s="42">
        <f t="shared" ca="1" si="112"/>
        <v>163</v>
      </c>
      <c r="Z176" s="43">
        <f t="shared" ca="1" si="6"/>
        <v>0.33122750788389255</v>
      </c>
      <c r="AA176" s="8">
        <f t="shared" si="131"/>
        <v>0.74</v>
      </c>
      <c r="AB176" s="42">
        <f t="shared" ca="1" si="113"/>
        <v>177</v>
      </c>
      <c r="AD176" s="43">
        <f t="shared" ca="1" si="7"/>
        <v>0.87939306619669877</v>
      </c>
      <c r="AE176" s="8">
        <f t="shared" si="132"/>
        <v>0.74</v>
      </c>
      <c r="AF176" s="42">
        <f t="shared" ca="1" si="114"/>
        <v>318</v>
      </c>
      <c r="AH176" s="43">
        <f t="shared" ca="1" si="8"/>
        <v>0.96771194244211467</v>
      </c>
      <c r="AI176" s="8">
        <f t="shared" si="133"/>
        <v>0.74</v>
      </c>
      <c r="AJ176" s="42">
        <f t="shared" ca="1" si="115"/>
        <v>189</v>
      </c>
      <c r="AL176" s="43">
        <f t="shared" ca="1" si="9"/>
        <v>0.10407060909443133</v>
      </c>
      <c r="AM176" s="8">
        <f t="shared" si="134"/>
        <v>0.74</v>
      </c>
      <c r="AN176" s="42">
        <f t="shared" ca="1" si="116"/>
        <v>115</v>
      </c>
      <c r="AP176" s="43">
        <f t="shared" ca="1" si="10"/>
        <v>0.42493947567685364</v>
      </c>
      <c r="AQ176" s="8">
        <f t="shared" si="135"/>
        <v>0.74</v>
      </c>
      <c r="AR176" s="42">
        <f t="shared" ca="1" si="117"/>
        <v>140</v>
      </c>
      <c r="AT176" s="43">
        <f t="shared" ca="1" si="11"/>
        <v>0.23977051617435718</v>
      </c>
      <c r="AU176" s="8">
        <f t="shared" si="136"/>
        <v>0.74</v>
      </c>
      <c r="AV176" s="42">
        <f t="shared" ca="1" si="118"/>
        <v>124</v>
      </c>
      <c r="AX176" s="43">
        <f t="shared" ca="1" si="12"/>
        <v>6.5513523907223759E-2</v>
      </c>
      <c r="AY176" s="8">
        <f t="shared" si="137"/>
        <v>0.74</v>
      </c>
      <c r="AZ176" s="42">
        <f t="shared" ca="1" si="119"/>
        <v>104</v>
      </c>
      <c r="BB176" s="43">
        <f t="shared" ca="1" si="13"/>
        <v>0.86853912701403868</v>
      </c>
      <c r="BC176" s="8">
        <f t="shared" si="138"/>
        <v>0.74</v>
      </c>
      <c r="BD176" s="42">
        <f t="shared" ca="1" si="120"/>
        <v>193</v>
      </c>
      <c r="BF176" s="43">
        <f t="shared" ca="1" si="14"/>
        <v>0.3765964713996115</v>
      </c>
      <c r="BG176" s="8">
        <f t="shared" si="139"/>
        <v>0.74</v>
      </c>
      <c r="BH176" s="42">
        <f t="shared" ca="1" si="121"/>
        <v>115</v>
      </c>
      <c r="BJ176" s="43">
        <f t="shared" ca="1" si="15"/>
        <v>0.79856614839226869</v>
      </c>
      <c r="BK176" s="8">
        <f t="shared" si="140"/>
        <v>0.74</v>
      </c>
      <c r="BL176" s="42">
        <f t="shared" ca="1" si="122"/>
        <v>196</v>
      </c>
      <c r="BN176" s="43">
        <f t="shared" ca="1" si="16"/>
        <v>8.1910097340319732E-3</v>
      </c>
      <c r="BO176" s="8">
        <f t="shared" si="141"/>
        <v>0.74</v>
      </c>
      <c r="BP176" s="42">
        <f t="shared" ca="1" si="123"/>
        <v>43</v>
      </c>
      <c r="BR176" s="43">
        <f t="shared" ca="1" si="17"/>
        <v>0.55369700250287446</v>
      </c>
      <c r="BS176" s="8">
        <f t="shared" si="142"/>
        <v>0.74</v>
      </c>
      <c r="BT176" s="42">
        <f t="shared" ca="1" si="124"/>
        <v>169</v>
      </c>
    </row>
    <row r="177" spans="1:72" x14ac:dyDescent="0.2">
      <c r="A177" s="22">
        <v>44724</v>
      </c>
      <c r="B177" s="43">
        <f t="shared" ca="1" si="0"/>
        <v>0.7674500204169955</v>
      </c>
      <c r="C177" s="8">
        <f t="shared" si="125"/>
        <v>0.74</v>
      </c>
      <c r="D177" s="42">
        <f t="shared" ca="1" si="107"/>
        <v>85</v>
      </c>
      <c r="F177" s="43">
        <f t="shared" ca="1" si="1"/>
        <v>0.7767683801328803</v>
      </c>
      <c r="G177" s="8">
        <f t="shared" si="126"/>
        <v>0.74</v>
      </c>
      <c r="H177" s="42">
        <f t="shared" ca="1" si="108"/>
        <v>192</v>
      </c>
      <c r="J177" s="43">
        <f t="shared" ca="1" si="2"/>
        <v>0.48602612129461764</v>
      </c>
      <c r="K177" s="8">
        <f t="shared" si="127"/>
        <v>0.74</v>
      </c>
      <c r="L177" s="42">
        <f t="shared" ca="1" si="109"/>
        <v>110</v>
      </c>
      <c r="N177" s="43">
        <f t="shared" ca="1" si="3"/>
        <v>6.0693029216337679E-2</v>
      </c>
      <c r="O177" s="8">
        <f t="shared" si="128"/>
        <v>0.74</v>
      </c>
      <c r="P177" s="42">
        <f t="shared" ca="1" si="110"/>
        <v>100</v>
      </c>
      <c r="R177" s="43">
        <f t="shared" ca="1" si="4"/>
        <v>0.8762146230702863</v>
      </c>
      <c r="S177" s="8">
        <f t="shared" si="129"/>
        <v>0.74</v>
      </c>
      <c r="T177" s="42">
        <f t="shared" ca="1" si="111"/>
        <v>135</v>
      </c>
      <c r="V177" s="43">
        <f t="shared" ca="1" si="5"/>
        <v>0.80407139321278476</v>
      </c>
      <c r="W177" s="8">
        <f t="shared" si="130"/>
        <v>0.74</v>
      </c>
      <c r="X177" s="42">
        <f t="shared" ca="1" si="112"/>
        <v>205</v>
      </c>
      <c r="Z177" s="43">
        <f t="shared" ca="1" si="6"/>
        <v>0.29218660346287861</v>
      </c>
      <c r="AA177" s="8">
        <f t="shared" si="131"/>
        <v>0.74</v>
      </c>
      <c r="AB177" s="42">
        <f t="shared" ca="1" si="113"/>
        <v>171</v>
      </c>
      <c r="AD177" s="43">
        <f t="shared" ca="1" si="7"/>
        <v>0.42977089106135236</v>
      </c>
      <c r="AE177" s="8">
        <f t="shared" si="132"/>
        <v>0.74</v>
      </c>
      <c r="AF177" s="42">
        <f t="shared" ca="1" si="114"/>
        <v>231</v>
      </c>
      <c r="AH177" s="43">
        <f t="shared" ca="1" si="8"/>
        <v>0.99004954806863121</v>
      </c>
      <c r="AI177" s="8">
        <f t="shared" si="133"/>
        <v>0.74</v>
      </c>
      <c r="AJ177" s="42">
        <f t="shared" ca="1" si="115"/>
        <v>205</v>
      </c>
      <c r="AL177" s="43">
        <f t="shared" ca="1" si="9"/>
        <v>0.10180611543285945</v>
      </c>
      <c r="AM177" s="8">
        <f t="shared" si="134"/>
        <v>0.74</v>
      </c>
      <c r="AN177" s="42">
        <f t="shared" ca="1" si="116"/>
        <v>114</v>
      </c>
      <c r="AP177" s="43">
        <f t="shared" ca="1" si="10"/>
        <v>0.90481449522476842</v>
      </c>
      <c r="AQ177" s="8">
        <f t="shared" si="135"/>
        <v>0.74</v>
      </c>
      <c r="AR177" s="42">
        <f t="shared" ca="1" si="117"/>
        <v>198</v>
      </c>
      <c r="AT177" s="43">
        <f t="shared" ca="1" si="11"/>
        <v>0.28803227237665552</v>
      </c>
      <c r="AU177" s="8">
        <f t="shared" si="136"/>
        <v>0.74</v>
      </c>
      <c r="AV177" s="42">
        <f t="shared" ca="1" si="118"/>
        <v>130</v>
      </c>
      <c r="AX177" s="43">
        <f t="shared" ca="1" si="12"/>
        <v>0.939664006460047</v>
      </c>
      <c r="AY177" s="8">
        <f t="shared" si="137"/>
        <v>0.74</v>
      </c>
      <c r="AZ177" s="42">
        <f t="shared" ca="1" si="119"/>
        <v>245</v>
      </c>
      <c r="BB177" s="43">
        <f t="shared" ca="1" si="13"/>
        <v>3.1341277869392892E-2</v>
      </c>
      <c r="BC177" s="8">
        <f t="shared" si="138"/>
        <v>0.74</v>
      </c>
      <c r="BD177" s="42">
        <f t="shared" ca="1" si="120"/>
        <v>75</v>
      </c>
      <c r="BF177" s="43">
        <f t="shared" ca="1" si="14"/>
        <v>8.2530717768131145E-3</v>
      </c>
      <c r="BG177" s="8">
        <f t="shared" si="139"/>
        <v>0.74</v>
      </c>
      <c r="BH177" s="42">
        <f t="shared" ca="1" si="121"/>
        <v>45</v>
      </c>
      <c r="BJ177" s="43">
        <f t="shared" ca="1" si="15"/>
        <v>0.44874697081125381</v>
      </c>
      <c r="BK177" s="8">
        <f t="shared" si="140"/>
        <v>0.74</v>
      </c>
      <c r="BL177" s="42">
        <f t="shared" ca="1" si="122"/>
        <v>155</v>
      </c>
      <c r="BN177" s="43">
        <f t="shared" ca="1" si="16"/>
        <v>0.68517287768709489</v>
      </c>
      <c r="BO177" s="8">
        <f t="shared" si="141"/>
        <v>0.74</v>
      </c>
      <c r="BP177" s="42">
        <f t="shared" ca="1" si="123"/>
        <v>135</v>
      </c>
      <c r="BR177" s="43">
        <f t="shared" ca="1" si="17"/>
        <v>0.10889271311245541</v>
      </c>
      <c r="BS177" s="8">
        <f t="shared" si="142"/>
        <v>0.74</v>
      </c>
      <c r="BT177" s="42">
        <f t="shared" ca="1" si="124"/>
        <v>109</v>
      </c>
    </row>
    <row r="178" spans="1:72" x14ac:dyDescent="0.2">
      <c r="A178" s="22">
        <v>44725</v>
      </c>
      <c r="B178" s="43">
        <f t="shared" ca="1" si="0"/>
        <v>0.26042411796895004</v>
      </c>
      <c r="C178" s="8">
        <f t="shared" si="125"/>
        <v>0.74</v>
      </c>
      <c r="D178" s="42">
        <f t="shared" ca="1" si="107"/>
        <v>65</v>
      </c>
      <c r="F178" s="43">
        <f t="shared" ca="1" si="1"/>
        <v>0.67737639532837435</v>
      </c>
      <c r="G178" s="8">
        <f t="shared" si="126"/>
        <v>0.74</v>
      </c>
      <c r="H178" s="42">
        <f t="shared" ca="1" si="108"/>
        <v>179</v>
      </c>
      <c r="J178" s="43">
        <f t="shared" ca="1" si="2"/>
        <v>0.45429515561716427</v>
      </c>
      <c r="K178" s="8">
        <f t="shared" si="127"/>
        <v>0.74</v>
      </c>
      <c r="L178" s="42">
        <f t="shared" ca="1" si="109"/>
        <v>108</v>
      </c>
      <c r="N178" s="43">
        <f t="shared" ca="1" si="3"/>
        <v>0.62549459250823514</v>
      </c>
      <c r="O178" s="8">
        <f t="shared" si="128"/>
        <v>0.74</v>
      </c>
      <c r="P178" s="42">
        <f t="shared" ca="1" si="110"/>
        <v>185</v>
      </c>
      <c r="R178" s="43">
        <f t="shared" ca="1" si="4"/>
        <v>0.42249254038581796</v>
      </c>
      <c r="S178" s="8">
        <f t="shared" si="129"/>
        <v>0.74</v>
      </c>
      <c r="T178" s="42">
        <f t="shared" ca="1" si="111"/>
        <v>98</v>
      </c>
      <c r="V178" s="43">
        <f t="shared" ca="1" si="5"/>
        <v>0.684382646152489</v>
      </c>
      <c r="W178" s="8">
        <f t="shared" si="130"/>
        <v>0.74</v>
      </c>
      <c r="X178" s="42">
        <f t="shared" ca="1" si="112"/>
        <v>188</v>
      </c>
      <c r="Z178" s="43">
        <f t="shared" ca="1" si="6"/>
        <v>4.7913466142647465E-2</v>
      </c>
      <c r="AA178" s="8">
        <f t="shared" si="131"/>
        <v>0.74</v>
      </c>
      <c r="AB178" s="42">
        <f t="shared" ca="1" si="113"/>
        <v>112</v>
      </c>
      <c r="AD178" s="43">
        <f t="shared" ca="1" si="7"/>
        <v>0.50239508537481725</v>
      </c>
      <c r="AE178" s="8">
        <f t="shared" si="132"/>
        <v>0.74</v>
      </c>
      <c r="AF178" s="42">
        <f t="shared" ca="1" si="114"/>
        <v>243</v>
      </c>
      <c r="AH178" s="43">
        <f t="shared" ca="1" si="8"/>
        <v>0.30697400526042562</v>
      </c>
      <c r="AI178" s="8">
        <f t="shared" si="133"/>
        <v>0.74</v>
      </c>
      <c r="AJ178" s="42">
        <f t="shared" ca="1" si="115"/>
        <v>110</v>
      </c>
      <c r="AL178" s="43">
        <f t="shared" ca="1" si="9"/>
        <v>0.47772912014378233</v>
      </c>
      <c r="AM178" s="8">
        <f t="shared" si="134"/>
        <v>0.74</v>
      </c>
      <c r="AN178" s="42">
        <f t="shared" ca="1" si="116"/>
        <v>170</v>
      </c>
      <c r="AP178" s="43">
        <f t="shared" ca="1" si="10"/>
        <v>0.50256492866906322</v>
      </c>
      <c r="AQ178" s="8">
        <f t="shared" si="135"/>
        <v>0.74</v>
      </c>
      <c r="AR178" s="42">
        <f t="shared" ca="1" si="117"/>
        <v>147</v>
      </c>
      <c r="AT178" s="43">
        <f t="shared" ca="1" si="11"/>
        <v>0.13289928573002108</v>
      </c>
      <c r="AU178" s="8">
        <f t="shared" si="136"/>
        <v>0.74</v>
      </c>
      <c r="AV178" s="42">
        <f t="shared" ca="1" si="118"/>
        <v>107</v>
      </c>
      <c r="AX178" s="43">
        <f t="shared" ca="1" si="12"/>
        <v>0.34397095477327533</v>
      </c>
      <c r="AY178" s="8">
        <f t="shared" si="137"/>
        <v>0.74</v>
      </c>
      <c r="AZ178" s="42">
        <f t="shared" ca="1" si="119"/>
        <v>155</v>
      </c>
      <c r="BB178" s="43">
        <f t="shared" ca="1" si="13"/>
        <v>0.73903631658295221</v>
      </c>
      <c r="BC178" s="8">
        <f t="shared" si="138"/>
        <v>0.74</v>
      </c>
      <c r="BD178" s="42">
        <f t="shared" ca="1" si="120"/>
        <v>174</v>
      </c>
      <c r="BF178" s="43">
        <f t="shared" ca="1" si="14"/>
        <v>1.3447885868784537E-2</v>
      </c>
      <c r="BG178" s="8">
        <f t="shared" si="139"/>
        <v>0.74</v>
      </c>
      <c r="BH178" s="42">
        <f t="shared" ca="1" si="121"/>
        <v>52</v>
      </c>
      <c r="BJ178" s="43">
        <f t="shared" ca="1" si="15"/>
        <v>0.9228307084796511</v>
      </c>
      <c r="BK178" s="8">
        <f t="shared" si="140"/>
        <v>0.74</v>
      </c>
      <c r="BL178" s="42">
        <f t="shared" ca="1" si="122"/>
        <v>221</v>
      </c>
      <c r="BN178" s="43">
        <f t="shared" ca="1" si="16"/>
        <v>0.20811639921114655</v>
      </c>
      <c r="BO178" s="8">
        <f t="shared" si="141"/>
        <v>0.74</v>
      </c>
      <c r="BP178" s="42">
        <f t="shared" ca="1" si="123"/>
        <v>94</v>
      </c>
      <c r="BR178" s="43">
        <f t="shared" ca="1" si="17"/>
        <v>0.43284221051401439</v>
      </c>
      <c r="BS178" s="8">
        <f t="shared" si="142"/>
        <v>0.74</v>
      </c>
      <c r="BT178" s="42">
        <f t="shared" ca="1" si="124"/>
        <v>155</v>
      </c>
    </row>
    <row r="179" spans="1:72" x14ac:dyDescent="0.2">
      <c r="A179" s="22">
        <v>44726</v>
      </c>
      <c r="B179" s="43">
        <f t="shared" ca="1" si="0"/>
        <v>0.78217695538030507</v>
      </c>
      <c r="C179" s="8">
        <f t="shared" si="125"/>
        <v>0.74</v>
      </c>
      <c r="D179" s="42">
        <f t="shared" ca="1" si="107"/>
        <v>86</v>
      </c>
      <c r="F179" s="43">
        <f t="shared" ca="1" si="1"/>
        <v>0.46049296619808144</v>
      </c>
      <c r="G179" s="8">
        <f t="shared" si="126"/>
        <v>0.74</v>
      </c>
      <c r="H179" s="42">
        <f t="shared" ca="1" si="108"/>
        <v>156</v>
      </c>
      <c r="J179" s="43">
        <f t="shared" ca="1" si="2"/>
        <v>0.45765009350393071</v>
      </c>
      <c r="K179" s="8">
        <f t="shared" si="127"/>
        <v>0.74</v>
      </c>
      <c r="L179" s="42">
        <f t="shared" ca="1" si="109"/>
        <v>108</v>
      </c>
      <c r="N179" s="43">
        <f t="shared" ca="1" si="3"/>
        <v>0.70959603750514388</v>
      </c>
      <c r="O179" s="8">
        <f t="shared" si="128"/>
        <v>0.74</v>
      </c>
      <c r="P179" s="42">
        <f t="shared" ca="1" si="110"/>
        <v>195</v>
      </c>
      <c r="R179" s="43">
        <f t="shared" ca="1" si="4"/>
        <v>0.20090924524625442</v>
      </c>
      <c r="S179" s="8">
        <f t="shared" si="129"/>
        <v>0.74</v>
      </c>
      <c r="T179" s="42">
        <f t="shared" ca="1" si="111"/>
        <v>80</v>
      </c>
      <c r="V179" s="43">
        <f t="shared" ca="1" si="5"/>
        <v>0.48825058068587135</v>
      </c>
      <c r="W179" s="8">
        <f t="shared" si="130"/>
        <v>0.74</v>
      </c>
      <c r="X179" s="42">
        <f t="shared" ca="1" si="112"/>
        <v>166</v>
      </c>
      <c r="Z179" s="43">
        <f t="shared" ca="1" si="6"/>
        <v>0.51092559698338913</v>
      </c>
      <c r="AA179" s="8">
        <f t="shared" si="131"/>
        <v>0.74</v>
      </c>
      <c r="AB179" s="42">
        <f t="shared" ca="1" si="113"/>
        <v>202</v>
      </c>
      <c r="AD179" s="43">
        <f t="shared" ca="1" si="7"/>
        <v>0.97876988713052093</v>
      </c>
      <c r="AE179" s="8">
        <f t="shared" si="132"/>
        <v>0.74</v>
      </c>
      <c r="AF179" s="42">
        <f t="shared" ca="1" si="114"/>
        <v>373</v>
      </c>
      <c r="AH179" s="43">
        <f t="shared" ca="1" si="8"/>
        <v>0.72631659987430086</v>
      </c>
      <c r="AI179" s="8">
        <f t="shared" si="133"/>
        <v>0.74</v>
      </c>
      <c r="AJ179" s="42">
        <f t="shared" ca="1" si="115"/>
        <v>147</v>
      </c>
      <c r="AL179" s="43">
        <f t="shared" ca="1" si="9"/>
        <v>0.45070743151667991</v>
      </c>
      <c r="AM179" s="8">
        <f t="shared" si="134"/>
        <v>0.74</v>
      </c>
      <c r="AN179" s="42">
        <f t="shared" ca="1" si="116"/>
        <v>167</v>
      </c>
      <c r="AP179" s="43">
        <f t="shared" ca="1" si="10"/>
        <v>0.67385784335575627</v>
      </c>
      <c r="AQ179" s="8">
        <f t="shared" si="135"/>
        <v>0.74</v>
      </c>
      <c r="AR179" s="42">
        <f t="shared" ca="1" si="117"/>
        <v>165</v>
      </c>
      <c r="AT179" s="43">
        <f t="shared" ca="1" si="11"/>
        <v>0.78794571259549073</v>
      </c>
      <c r="AU179" s="8">
        <f t="shared" si="136"/>
        <v>0.74</v>
      </c>
      <c r="AV179" s="42">
        <f t="shared" ca="1" si="118"/>
        <v>185</v>
      </c>
      <c r="AX179" s="43">
        <f t="shared" ca="1" si="12"/>
        <v>0.85645091038449694</v>
      </c>
      <c r="AY179" s="8">
        <f t="shared" si="137"/>
        <v>0.74</v>
      </c>
      <c r="AZ179" s="42">
        <f t="shared" ca="1" si="119"/>
        <v>222</v>
      </c>
      <c r="BB179" s="43">
        <f t="shared" ca="1" si="13"/>
        <v>0.76215851086417208</v>
      </c>
      <c r="BC179" s="8">
        <f t="shared" si="138"/>
        <v>0.74</v>
      </c>
      <c r="BD179" s="42">
        <f t="shared" ca="1" si="120"/>
        <v>177</v>
      </c>
      <c r="BF179" s="43">
        <f t="shared" ca="1" si="14"/>
        <v>0.83151689279948826</v>
      </c>
      <c r="BG179" s="8">
        <f t="shared" si="139"/>
        <v>0.74</v>
      </c>
      <c r="BH179" s="42">
        <f t="shared" ca="1" si="121"/>
        <v>157</v>
      </c>
      <c r="BJ179" s="43">
        <f t="shared" ca="1" si="15"/>
        <v>0.75873582106170934</v>
      </c>
      <c r="BK179" s="8">
        <f t="shared" si="140"/>
        <v>0.74</v>
      </c>
      <c r="BL179" s="42">
        <f t="shared" ca="1" si="122"/>
        <v>190</v>
      </c>
      <c r="BN179" s="43">
        <f t="shared" ca="1" si="16"/>
        <v>0.52252593528148272</v>
      </c>
      <c r="BO179" s="8">
        <f t="shared" si="141"/>
        <v>0.74</v>
      </c>
      <c r="BP179" s="42">
        <f t="shared" ca="1" si="123"/>
        <v>121</v>
      </c>
      <c r="BR179" s="43">
        <f t="shared" ca="1" si="17"/>
        <v>0.64051394286743502</v>
      </c>
      <c r="BS179" s="8">
        <f t="shared" si="142"/>
        <v>0.74</v>
      </c>
      <c r="BT179" s="42">
        <f t="shared" ca="1" si="124"/>
        <v>178</v>
      </c>
    </row>
    <row r="180" spans="1:72" x14ac:dyDescent="0.2">
      <c r="A180" s="22">
        <v>44727</v>
      </c>
      <c r="B180" s="43">
        <f t="shared" ca="1" si="0"/>
        <v>0.44669123965488111</v>
      </c>
      <c r="C180" s="8">
        <f t="shared" si="125"/>
        <v>0.74</v>
      </c>
      <c r="D180" s="42">
        <f t="shared" ca="1" si="107"/>
        <v>73</v>
      </c>
      <c r="F180" s="43">
        <f t="shared" ca="1" si="1"/>
        <v>0.95012360454599365</v>
      </c>
      <c r="G180" s="8">
        <f t="shared" si="126"/>
        <v>0.74</v>
      </c>
      <c r="H180" s="42">
        <f t="shared" ca="1" si="108"/>
        <v>230</v>
      </c>
      <c r="J180" s="43">
        <f t="shared" ca="1" si="2"/>
        <v>0.2775094526344446</v>
      </c>
      <c r="K180" s="8">
        <f t="shared" si="127"/>
        <v>0.74</v>
      </c>
      <c r="L180" s="42">
        <f t="shared" ca="1" si="109"/>
        <v>94</v>
      </c>
      <c r="N180" s="43">
        <f t="shared" ca="1" si="3"/>
        <v>5.8806625035760507E-2</v>
      </c>
      <c r="O180" s="8">
        <f t="shared" si="128"/>
        <v>0.74</v>
      </c>
      <c r="P180" s="42">
        <f t="shared" ca="1" si="110"/>
        <v>99</v>
      </c>
      <c r="R180" s="43">
        <f t="shared" ca="1" si="4"/>
        <v>0.2055374738857999</v>
      </c>
      <c r="S180" s="8">
        <f t="shared" si="129"/>
        <v>0.74</v>
      </c>
      <c r="T180" s="42">
        <f t="shared" ca="1" si="111"/>
        <v>81</v>
      </c>
      <c r="V180" s="43">
        <f t="shared" ca="1" si="5"/>
        <v>0.19164205396163458</v>
      </c>
      <c r="W180" s="8">
        <f t="shared" si="130"/>
        <v>0.74</v>
      </c>
      <c r="X180" s="42">
        <f t="shared" ca="1" si="112"/>
        <v>128</v>
      </c>
      <c r="Z180" s="43">
        <f t="shared" ca="1" si="6"/>
        <v>0.92071134667079702</v>
      </c>
      <c r="AA180" s="8">
        <f t="shared" si="131"/>
        <v>0.74</v>
      </c>
      <c r="AB180" s="42">
        <f t="shared" ca="1" si="113"/>
        <v>275</v>
      </c>
      <c r="AD180" s="43">
        <f t="shared" ca="1" si="7"/>
        <v>0.21403220294644498</v>
      </c>
      <c r="AE180" s="8">
        <f t="shared" si="132"/>
        <v>0.74</v>
      </c>
      <c r="AF180" s="42">
        <f t="shared" ca="1" si="114"/>
        <v>191</v>
      </c>
      <c r="AH180" s="43">
        <f t="shared" ca="1" si="8"/>
        <v>0.14604933177344714</v>
      </c>
      <c r="AI180" s="8">
        <f t="shared" si="133"/>
        <v>0.74</v>
      </c>
      <c r="AJ180" s="42">
        <f t="shared" ca="1" si="115"/>
        <v>91</v>
      </c>
      <c r="AL180" s="43">
        <f t="shared" ca="1" si="9"/>
        <v>0.92089937276491141</v>
      </c>
      <c r="AM180" s="8">
        <f t="shared" si="134"/>
        <v>0.74</v>
      </c>
      <c r="AN180" s="42">
        <f t="shared" ca="1" si="116"/>
        <v>237</v>
      </c>
      <c r="AP180" s="43">
        <f t="shared" ca="1" si="10"/>
        <v>0.97872922319223088</v>
      </c>
      <c r="AQ180" s="8">
        <f t="shared" si="135"/>
        <v>0.74</v>
      </c>
      <c r="AR180" s="42">
        <f t="shared" ca="1" si="117"/>
        <v>226</v>
      </c>
      <c r="AT180" s="43">
        <f t="shared" ca="1" si="11"/>
        <v>0.43997667559190823</v>
      </c>
      <c r="AU180" s="8">
        <f t="shared" si="136"/>
        <v>0.74</v>
      </c>
      <c r="AV180" s="42">
        <f t="shared" ca="1" si="118"/>
        <v>146</v>
      </c>
      <c r="AX180" s="43">
        <f t="shared" ca="1" si="12"/>
        <v>0.72960175898097268</v>
      </c>
      <c r="AY180" s="8">
        <f t="shared" si="137"/>
        <v>0.74</v>
      </c>
      <c r="AZ180" s="42">
        <f t="shared" ca="1" si="119"/>
        <v>202</v>
      </c>
      <c r="BB180" s="43">
        <f t="shared" ca="1" si="13"/>
        <v>0.99795733902306016</v>
      </c>
      <c r="BC180" s="8">
        <f t="shared" si="138"/>
        <v>0.74</v>
      </c>
      <c r="BD180" s="42">
        <f t="shared" ca="1" si="120"/>
        <v>263</v>
      </c>
      <c r="BF180" s="43">
        <f t="shared" ca="1" si="14"/>
        <v>0.97965543934597277</v>
      </c>
      <c r="BG180" s="8">
        <f t="shared" si="139"/>
        <v>0.74</v>
      </c>
      <c r="BH180" s="42">
        <f t="shared" ca="1" si="121"/>
        <v>193</v>
      </c>
      <c r="BJ180" s="43">
        <f t="shared" ca="1" si="15"/>
        <v>0.1615993966004019</v>
      </c>
      <c r="BK180" s="8">
        <f t="shared" si="140"/>
        <v>0.74</v>
      </c>
      <c r="BL180" s="42">
        <f t="shared" ca="1" si="122"/>
        <v>118</v>
      </c>
      <c r="BN180" s="43">
        <f t="shared" ca="1" si="16"/>
        <v>0.98404645127176515</v>
      </c>
      <c r="BO180" s="8">
        <f t="shared" si="141"/>
        <v>0.74</v>
      </c>
      <c r="BP180" s="42">
        <f t="shared" ca="1" si="123"/>
        <v>187</v>
      </c>
      <c r="BR180" s="43">
        <f t="shared" ca="1" si="17"/>
        <v>0.1336763928357193</v>
      </c>
      <c r="BS180" s="8">
        <f t="shared" si="142"/>
        <v>0.74</v>
      </c>
      <c r="BT180" s="42">
        <f t="shared" ca="1" si="124"/>
        <v>115</v>
      </c>
    </row>
    <row r="181" spans="1:72" x14ac:dyDescent="0.2">
      <c r="A181" s="22">
        <v>44728</v>
      </c>
      <c r="B181" s="43">
        <f t="shared" ca="1" si="0"/>
        <v>4.9896186778343843E-2</v>
      </c>
      <c r="C181" s="8">
        <f t="shared" si="125"/>
        <v>0.74</v>
      </c>
      <c r="D181" s="42">
        <f t="shared" ca="1" si="107"/>
        <v>50</v>
      </c>
      <c r="F181" s="43">
        <f t="shared" ca="1" si="1"/>
        <v>0.33953212952351775</v>
      </c>
      <c r="G181" s="8">
        <f t="shared" si="126"/>
        <v>0.74</v>
      </c>
      <c r="H181" s="42">
        <f t="shared" ca="1" si="108"/>
        <v>142</v>
      </c>
      <c r="J181" s="43">
        <f t="shared" ca="1" si="2"/>
        <v>0.17676228087883938</v>
      </c>
      <c r="K181" s="8">
        <f t="shared" si="127"/>
        <v>0.74</v>
      </c>
      <c r="L181" s="42">
        <f t="shared" ca="1" si="109"/>
        <v>84</v>
      </c>
      <c r="N181" s="43">
        <f t="shared" ca="1" si="3"/>
        <v>0.25535359473288766</v>
      </c>
      <c r="O181" s="8">
        <f t="shared" si="128"/>
        <v>0.74</v>
      </c>
      <c r="P181" s="42">
        <f t="shared" ca="1" si="110"/>
        <v>140</v>
      </c>
      <c r="R181" s="43">
        <f t="shared" ca="1" si="4"/>
        <v>0.23623843765148211</v>
      </c>
      <c r="S181" s="8">
        <f t="shared" si="129"/>
        <v>0.74</v>
      </c>
      <c r="T181" s="42">
        <f t="shared" ca="1" si="111"/>
        <v>84</v>
      </c>
      <c r="V181" s="43">
        <f t="shared" ca="1" si="5"/>
        <v>0.18511445601243248</v>
      </c>
      <c r="W181" s="8">
        <f t="shared" si="130"/>
        <v>0.74</v>
      </c>
      <c r="X181" s="42">
        <f t="shared" ca="1" si="112"/>
        <v>127</v>
      </c>
      <c r="Z181" s="43">
        <f t="shared" ca="1" si="6"/>
        <v>0.63066150061538384</v>
      </c>
      <c r="AA181" s="8">
        <f t="shared" si="131"/>
        <v>0.74</v>
      </c>
      <c r="AB181" s="42">
        <f t="shared" ca="1" si="113"/>
        <v>218</v>
      </c>
      <c r="AD181" s="43">
        <f t="shared" ca="1" si="7"/>
        <v>0.36155861734771055</v>
      </c>
      <c r="AE181" s="8">
        <f t="shared" si="132"/>
        <v>0.74</v>
      </c>
      <c r="AF181" s="42">
        <f t="shared" ca="1" si="114"/>
        <v>220</v>
      </c>
      <c r="AH181" s="43">
        <f t="shared" ca="1" si="8"/>
        <v>0.44593275485561901</v>
      </c>
      <c r="AI181" s="8">
        <f t="shared" si="133"/>
        <v>0.74</v>
      </c>
      <c r="AJ181" s="42">
        <f t="shared" ca="1" si="115"/>
        <v>122</v>
      </c>
      <c r="AL181" s="43">
        <f t="shared" ca="1" si="9"/>
        <v>0.30397241206102654</v>
      </c>
      <c r="AM181" s="8">
        <f t="shared" si="134"/>
        <v>0.74</v>
      </c>
      <c r="AN181" s="42">
        <f t="shared" ca="1" si="116"/>
        <v>149</v>
      </c>
      <c r="AP181" s="43">
        <f t="shared" ca="1" si="10"/>
        <v>0.48445727188952326</v>
      </c>
      <c r="AQ181" s="8">
        <f t="shared" si="135"/>
        <v>0.74</v>
      </c>
      <c r="AR181" s="42">
        <f t="shared" ca="1" si="117"/>
        <v>145</v>
      </c>
      <c r="AT181" s="43">
        <f t="shared" ca="1" si="11"/>
        <v>0.33916141752006557</v>
      </c>
      <c r="AU181" s="8">
        <f t="shared" si="136"/>
        <v>0.74</v>
      </c>
      <c r="AV181" s="42">
        <f t="shared" ca="1" si="118"/>
        <v>136</v>
      </c>
      <c r="AX181" s="43">
        <f t="shared" ca="1" si="12"/>
        <v>0.90004803273914058</v>
      </c>
      <c r="AY181" s="8">
        <f t="shared" si="137"/>
        <v>0.74</v>
      </c>
      <c r="AZ181" s="42">
        <f t="shared" ca="1" si="119"/>
        <v>232</v>
      </c>
      <c r="BB181" s="43">
        <f t="shared" ca="1" si="13"/>
        <v>0.72395244031580619</v>
      </c>
      <c r="BC181" s="8">
        <f t="shared" si="138"/>
        <v>0.74</v>
      </c>
      <c r="BD181" s="42">
        <f t="shared" ca="1" si="120"/>
        <v>172</v>
      </c>
      <c r="BF181" s="43">
        <f t="shared" ca="1" si="14"/>
        <v>0.91110874920152085</v>
      </c>
      <c r="BG181" s="8">
        <f t="shared" si="139"/>
        <v>0.74</v>
      </c>
      <c r="BH181" s="42">
        <f t="shared" ca="1" si="121"/>
        <v>170</v>
      </c>
      <c r="BJ181" s="43">
        <f t="shared" ca="1" si="15"/>
        <v>0.73018493219925962</v>
      </c>
      <c r="BK181" s="8">
        <f t="shared" si="140"/>
        <v>0.74</v>
      </c>
      <c r="BL181" s="42">
        <f t="shared" ca="1" si="122"/>
        <v>186</v>
      </c>
      <c r="BN181" s="43">
        <f t="shared" ca="1" si="16"/>
        <v>0.85758967144256759</v>
      </c>
      <c r="BO181" s="8">
        <f t="shared" si="141"/>
        <v>0.74</v>
      </c>
      <c r="BP181" s="42">
        <f t="shared" ca="1" si="123"/>
        <v>153</v>
      </c>
      <c r="BR181" s="43">
        <f t="shared" ca="1" si="17"/>
        <v>0.21133239420169414</v>
      </c>
      <c r="BS181" s="8">
        <f t="shared" si="142"/>
        <v>0.74</v>
      </c>
      <c r="BT181" s="42">
        <f t="shared" ca="1" si="124"/>
        <v>128</v>
      </c>
    </row>
    <row r="182" spans="1:72" x14ac:dyDescent="0.2">
      <c r="A182" s="22">
        <v>44729</v>
      </c>
      <c r="B182" s="43">
        <f t="shared" ca="1" si="0"/>
        <v>0.67907025426626288</v>
      </c>
      <c r="C182" s="8">
        <f t="shared" si="125"/>
        <v>0.74</v>
      </c>
      <c r="D182" s="42">
        <f t="shared" ca="1" si="107"/>
        <v>81</v>
      </c>
      <c r="F182" s="43">
        <f t="shared" ca="1" si="1"/>
        <v>0.72353584464043763</v>
      </c>
      <c r="G182" s="8">
        <f t="shared" si="126"/>
        <v>0.74</v>
      </c>
      <c r="H182" s="42">
        <f t="shared" ca="1" si="108"/>
        <v>185</v>
      </c>
      <c r="J182" s="43">
        <f t="shared" ca="1" si="2"/>
        <v>0.82058795876940527</v>
      </c>
      <c r="K182" s="8">
        <f t="shared" si="127"/>
        <v>0.74</v>
      </c>
      <c r="L182" s="42">
        <f t="shared" ca="1" si="109"/>
        <v>139</v>
      </c>
      <c r="N182" s="43">
        <f t="shared" ca="1" si="3"/>
        <v>0.24674838259429444</v>
      </c>
      <c r="O182" s="8">
        <f t="shared" si="128"/>
        <v>0.74</v>
      </c>
      <c r="P182" s="42">
        <f t="shared" ca="1" si="110"/>
        <v>139</v>
      </c>
      <c r="R182" s="43">
        <f t="shared" ca="1" si="4"/>
        <v>7.6324242945479237E-2</v>
      </c>
      <c r="S182" s="8">
        <f t="shared" si="129"/>
        <v>0.74</v>
      </c>
      <c r="T182" s="42">
        <f t="shared" ca="1" si="111"/>
        <v>64</v>
      </c>
      <c r="V182" s="43">
        <f t="shared" ca="1" si="5"/>
        <v>0.67321807803268807</v>
      </c>
      <c r="W182" s="8">
        <f t="shared" si="130"/>
        <v>0.74</v>
      </c>
      <c r="X182" s="42">
        <f t="shared" ca="1" si="112"/>
        <v>187</v>
      </c>
      <c r="Z182" s="43">
        <f t="shared" ca="1" si="6"/>
        <v>0.17357687479483885</v>
      </c>
      <c r="AA182" s="8">
        <f t="shared" si="131"/>
        <v>0.74</v>
      </c>
      <c r="AB182" s="42">
        <f t="shared" ca="1" si="113"/>
        <v>150</v>
      </c>
      <c r="AD182" s="43">
        <f t="shared" ca="1" si="7"/>
        <v>0.73788168152827738</v>
      </c>
      <c r="AE182" s="8">
        <f t="shared" si="132"/>
        <v>0.74</v>
      </c>
      <c r="AF182" s="42">
        <f t="shared" ca="1" si="114"/>
        <v>284</v>
      </c>
      <c r="AH182" s="43">
        <f t="shared" ca="1" si="8"/>
        <v>0.7790273223195382</v>
      </c>
      <c r="AI182" s="8">
        <f t="shared" si="133"/>
        <v>0.74</v>
      </c>
      <c r="AJ182" s="42">
        <f t="shared" ca="1" si="115"/>
        <v>152</v>
      </c>
      <c r="AL182" s="43">
        <f t="shared" ca="1" si="9"/>
        <v>0.41532389032706463</v>
      </c>
      <c r="AM182" s="8">
        <f t="shared" si="134"/>
        <v>0.74</v>
      </c>
      <c r="AN182" s="42">
        <f t="shared" ca="1" si="116"/>
        <v>162</v>
      </c>
      <c r="AP182" s="43">
        <f t="shared" ca="1" si="10"/>
        <v>0.83728750383702244</v>
      </c>
      <c r="AQ182" s="8">
        <f t="shared" si="135"/>
        <v>0.74</v>
      </c>
      <c r="AR182" s="42">
        <f t="shared" ca="1" si="117"/>
        <v>185</v>
      </c>
      <c r="AT182" s="43">
        <f t="shared" ca="1" si="11"/>
        <v>0.82014154796584449</v>
      </c>
      <c r="AU182" s="8">
        <f t="shared" si="136"/>
        <v>0.74</v>
      </c>
      <c r="AV182" s="42">
        <f t="shared" ca="1" si="118"/>
        <v>190</v>
      </c>
      <c r="AX182" s="43">
        <f t="shared" ca="1" si="12"/>
        <v>0.50705090595998403</v>
      </c>
      <c r="AY182" s="8">
        <f t="shared" si="137"/>
        <v>0.74</v>
      </c>
      <c r="AZ182" s="42">
        <f t="shared" ca="1" si="119"/>
        <v>174</v>
      </c>
      <c r="BB182" s="43">
        <f t="shared" ca="1" si="13"/>
        <v>0.16227672728281239</v>
      </c>
      <c r="BC182" s="8">
        <f t="shared" si="138"/>
        <v>0.74</v>
      </c>
      <c r="BD182" s="42">
        <f t="shared" ca="1" si="120"/>
        <v>110</v>
      </c>
      <c r="BF182" s="43">
        <f t="shared" ca="1" si="14"/>
        <v>0.29636586086935246</v>
      </c>
      <c r="BG182" s="8">
        <f t="shared" si="139"/>
        <v>0.74</v>
      </c>
      <c r="BH182" s="42">
        <f t="shared" ca="1" si="121"/>
        <v>107</v>
      </c>
      <c r="BJ182" s="43">
        <f t="shared" ca="1" si="15"/>
        <v>0.40065037022445438</v>
      </c>
      <c r="BK182" s="8">
        <f t="shared" si="140"/>
        <v>0.74</v>
      </c>
      <c r="BL182" s="42">
        <f t="shared" ca="1" si="122"/>
        <v>149</v>
      </c>
      <c r="BN182" s="43">
        <f t="shared" ca="1" si="16"/>
        <v>0.206483050685762</v>
      </c>
      <c r="BO182" s="8">
        <f t="shared" si="141"/>
        <v>0.74</v>
      </c>
      <c r="BP182" s="42">
        <f t="shared" ca="1" si="123"/>
        <v>93</v>
      </c>
      <c r="BR182" s="43">
        <f t="shared" ca="1" si="17"/>
        <v>8.2266604306615587E-2</v>
      </c>
      <c r="BS182" s="8">
        <f t="shared" si="142"/>
        <v>0.74</v>
      </c>
      <c r="BT182" s="42">
        <f t="shared" ca="1" si="124"/>
        <v>103</v>
      </c>
    </row>
    <row r="183" spans="1:72" x14ac:dyDescent="0.2">
      <c r="A183" s="22">
        <v>44730</v>
      </c>
      <c r="B183" s="43">
        <f t="shared" ca="1" si="0"/>
        <v>0.42417688612981075</v>
      </c>
      <c r="C183" s="8">
        <f t="shared" si="125"/>
        <v>0.74</v>
      </c>
      <c r="D183" s="42">
        <f t="shared" ca="1" si="107"/>
        <v>72</v>
      </c>
      <c r="F183" s="43">
        <f t="shared" ca="1" si="1"/>
        <v>0.43945714249699075</v>
      </c>
      <c r="G183" s="8">
        <f t="shared" si="126"/>
        <v>0.74</v>
      </c>
      <c r="H183" s="42">
        <f t="shared" ca="1" si="108"/>
        <v>153</v>
      </c>
      <c r="J183" s="43">
        <f t="shared" ca="1" si="2"/>
        <v>0.73372449018961916</v>
      </c>
      <c r="K183" s="8">
        <f t="shared" si="127"/>
        <v>0.74</v>
      </c>
      <c r="L183" s="42">
        <f t="shared" ca="1" si="109"/>
        <v>130</v>
      </c>
      <c r="N183" s="43">
        <f t="shared" ca="1" si="3"/>
        <v>3.9358669635602417E-2</v>
      </c>
      <c r="O183" s="8">
        <f t="shared" si="128"/>
        <v>0.74</v>
      </c>
      <c r="P183" s="42">
        <f t="shared" ca="1" si="110"/>
        <v>91</v>
      </c>
      <c r="R183" s="43">
        <f t="shared" ca="1" si="4"/>
        <v>0.51620890466926128</v>
      </c>
      <c r="S183" s="8">
        <f t="shared" si="129"/>
        <v>0.74</v>
      </c>
      <c r="T183" s="42">
        <f t="shared" ca="1" si="111"/>
        <v>104</v>
      </c>
      <c r="V183" s="43">
        <f t="shared" ca="1" si="5"/>
        <v>0.51432337673379713</v>
      </c>
      <c r="W183" s="8">
        <f t="shared" si="130"/>
        <v>0.74</v>
      </c>
      <c r="X183" s="42">
        <f t="shared" ca="1" si="112"/>
        <v>169</v>
      </c>
      <c r="Z183" s="43">
        <f t="shared" ca="1" si="6"/>
        <v>0.34487912236467133</v>
      </c>
      <c r="AA183" s="8">
        <f t="shared" si="131"/>
        <v>0.74</v>
      </c>
      <c r="AB183" s="42">
        <f t="shared" ca="1" si="113"/>
        <v>179</v>
      </c>
      <c r="AD183" s="43">
        <f t="shared" ca="1" si="7"/>
        <v>0.19612542596911631</v>
      </c>
      <c r="AE183" s="8">
        <f t="shared" si="132"/>
        <v>0.74</v>
      </c>
      <c r="AF183" s="42">
        <f t="shared" ca="1" si="114"/>
        <v>187</v>
      </c>
      <c r="AH183" s="43">
        <f t="shared" ca="1" si="8"/>
        <v>0.43795578143878422</v>
      </c>
      <c r="AI183" s="8">
        <f t="shared" si="133"/>
        <v>0.74</v>
      </c>
      <c r="AJ183" s="42">
        <f t="shared" ca="1" si="115"/>
        <v>121</v>
      </c>
      <c r="AL183" s="43">
        <f t="shared" ca="1" si="9"/>
        <v>0.51230774219079667</v>
      </c>
      <c r="AM183" s="8">
        <f t="shared" si="134"/>
        <v>0.74</v>
      </c>
      <c r="AN183" s="42">
        <f t="shared" ca="1" si="116"/>
        <v>174</v>
      </c>
      <c r="AP183" s="43">
        <f t="shared" ca="1" si="10"/>
        <v>0.48119707698396841</v>
      </c>
      <c r="AQ183" s="8">
        <f t="shared" si="135"/>
        <v>0.74</v>
      </c>
      <c r="AR183" s="42">
        <f t="shared" ca="1" si="117"/>
        <v>145</v>
      </c>
      <c r="AT183" s="43">
        <f t="shared" ca="1" si="11"/>
        <v>0.43658003421237901</v>
      </c>
      <c r="AU183" s="8">
        <f t="shared" si="136"/>
        <v>0.74</v>
      </c>
      <c r="AV183" s="42">
        <f t="shared" ca="1" si="118"/>
        <v>146</v>
      </c>
      <c r="AX183" s="43">
        <f t="shared" ca="1" si="12"/>
        <v>0.58218324121443643</v>
      </c>
      <c r="AY183" s="8">
        <f t="shared" si="137"/>
        <v>0.74</v>
      </c>
      <c r="AZ183" s="42">
        <f t="shared" ca="1" si="119"/>
        <v>183</v>
      </c>
      <c r="BB183" s="43">
        <f t="shared" ca="1" si="13"/>
        <v>0.60011181033730499</v>
      </c>
      <c r="BC183" s="8">
        <f t="shared" si="138"/>
        <v>0.74</v>
      </c>
      <c r="BD183" s="42">
        <f t="shared" ca="1" si="120"/>
        <v>159</v>
      </c>
      <c r="BF183" s="43">
        <f t="shared" ca="1" si="14"/>
        <v>0.45665546053920414</v>
      </c>
      <c r="BG183" s="8">
        <f t="shared" si="139"/>
        <v>0.74</v>
      </c>
      <c r="BH183" s="42">
        <f t="shared" ca="1" si="121"/>
        <v>122</v>
      </c>
      <c r="BJ183" s="43">
        <f t="shared" ca="1" si="15"/>
        <v>0.3096119637754644</v>
      </c>
      <c r="BK183" s="8">
        <f t="shared" si="140"/>
        <v>0.74</v>
      </c>
      <c r="BL183" s="42">
        <f t="shared" ca="1" si="122"/>
        <v>139</v>
      </c>
      <c r="BN183" s="43">
        <f t="shared" ca="1" si="16"/>
        <v>0.6085345108643232</v>
      </c>
      <c r="BO183" s="8">
        <f t="shared" si="141"/>
        <v>0.74</v>
      </c>
      <c r="BP183" s="42">
        <f t="shared" ca="1" si="123"/>
        <v>128</v>
      </c>
      <c r="BR183" s="43">
        <f t="shared" ca="1" si="17"/>
        <v>0.70740231391877217</v>
      </c>
      <c r="BS183" s="8">
        <f t="shared" si="142"/>
        <v>0.74</v>
      </c>
      <c r="BT183" s="42">
        <f t="shared" ca="1" si="124"/>
        <v>186</v>
      </c>
    </row>
    <row r="184" spans="1:72" x14ac:dyDescent="0.2">
      <c r="A184" s="22">
        <v>44731</v>
      </c>
      <c r="B184" s="43">
        <f t="shared" ca="1" si="0"/>
        <v>5.6995587981685025E-2</v>
      </c>
      <c r="C184" s="8">
        <f t="shared" si="125"/>
        <v>0.74</v>
      </c>
      <c r="D184" s="42">
        <f t="shared" ca="1" si="107"/>
        <v>51</v>
      </c>
      <c r="F184" s="43">
        <f t="shared" ca="1" si="1"/>
        <v>0.75105873596819295</v>
      </c>
      <c r="G184" s="8">
        <f t="shared" si="126"/>
        <v>0.74</v>
      </c>
      <c r="H184" s="42">
        <f t="shared" ca="1" si="108"/>
        <v>189</v>
      </c>
      <c r="J184" s="43">
        <f t="shared" ca="1" si="2"/>
        <v>0.90923605453829237</v>
      </c>
      <c r="K184" s="8">
        <f t="shared" si="127"/>
        <v>0.74</v>
      </c>
      <c r="L184" s="42">
        <f t="shared" ca="1" si="109"/>
        <v>151</v>
      </c>
      <c r="N184" s="43">
        <f t="shared" ca="1" si="3"/>
        <v>0.87066954738550295</v>
      </c>
      <c r="O184" s="8">
        <f t="shared" si="128"/>
        <v>0.74</v>
      </c>
      <c r="P184" s="42">
        <f t="shared" ca="1" si="110"/>
        <v>221</v>
      </c>
      <c r="R184" s="43">
        <f t="shared" ca="1" si="4"/>
        <v>0.35136860564649419</v>
      </c>
      <c r="S184" s="8">
        <f t="shared" si="129"/>
        <v>0.74</v>
      </c>
      <c r="T184" s="42">
        <f t="shared" ca="1" si="111"/>
        <v>93</v>
      </c>
      <c r="V184" s="43">
        <f t="shared" ca="1" si="5"/>
        <v>0.22730619807898511</v>
      </c>
      <c r="W184" s="8">
        <f t="shared" si="130"/>
        <v>0.74</v>
      </c>
      <c r="X184" s="42">
        <f t="shared" ca="1" si="112"/>
        <v>134</v>
      </c>
      <c r="Z184" s="43">
        <f t="shared" ca="1" si="6"/>
        <v>0.89800703847899366</v>
      </c>
      <c r="AA184" s="8">
        <f t="shared" si="131"/>
        <v>0.74</v>
      </c>
      <c r="AB184" s="42">
        <f t="shared" ca="1" si="113"/>
        <v>268</v>
      </c>
      <c r="AD184" s="43">
        <f t="shared" ca="1" si="7"/>
        <v>0.86697357894609473</v>
      </c>
      <c r="AE184" s="8">
        <f t="shared" si="132"/>
        <v>0.74</v>
      </c>
      <c r="AF184" s="42">
        <f t="shared" ca="1" si="114"/>
        <v>314</v>
      </c>
      <c r="AH184" s="43">
        <f t="shared" ca="1" si="8"/>
        <v>0.95072789350344722</v>
      </c>
      <c r="AI184" s="8">
        <f t="shared" si="133"/>
        <v>0.74</v>
      </c>
      <c r="AJ184" s="42">
        <f t="shared" ca="1" si="115"/>
        <v>182</v>
      </c>
      <c r="AL184" s="43">
        <f t="shared" ca="1" si="9"/>
        <v>0.22619526856212568</v>
      </c>
      <c r="AM184" s="8">
        <f t="shared" si="134"/>
        <v>0.74</v>
      </c>
      <c r="AN184" s="42">
        <f t="shared" ca="1" si="116"/>
        <v>138</v>
      </c>
      <c r="AP184" s="43">
        <f t="shared" ca="1" si="10"/>
        <v>0.16521607727951459</v>
      </c>
      <c r="AQ184" s="8">
        <f t="shared" si="135"/>
        <v>0.74</v>
      </c>
      <c r="AR184" s="42">
        <f t="shared" ca="1" si="117"/>
        <v>109</v>
      </c>
      <c r="AT184" s="43">
        <f t="shared" ca="1" si="11"/>
        <v>0.89250103895785537</v>
      </c>
      <c r="AU184" s="8">
        <f t="shared" si="136"/>
        <v>0.74</v>
      </c>
      <c r="AV184" s="42">
        <f t="shared" ca="1" si="118"/>
        <v>203</v>
      </c>
      <c r="AX184" s="43">
        <f t="shared" ca="1" si="12"/>
        <v>0.87784296231542347</v>
      </c>
      <c r="AY184" s="8">
        <f t="shared" si="137"/>
        <v>0.74</v>
      </c>
      <c r="AZ184" s="42">
        <f t="shared" ca="1" si="119"/>
        <v>227</v>
      </c>
      <c r="BB184" s="43">
        <f t="shared" ca="1" si="13"/>
        <v>0.83945107567418886</v>
      </c>
      <c r="BC184" s="8">
        <f t="shared" si="138"/>
        <v>0.74</v>
      </c>
      <c r="BD184" s="42">
        <f t="shared" ca="1" si="120"/>
        <v>188</v>
      </c>
      <c r="BF184" s="43">
        <f t="shared" ca="1" si="14"/>
        <v>0.75910959806373668</v>
      </c>
      <c r="BG184" s="8">
        <f t="shared" si="139"/>
        <v>0.74</v>
      </c>
      <c r="BH184" s="42">
        <f t="shared" ca="1" si="121"/>
        <v>149</v>
      </c>
      <c r="BJ184" s="43">
        <f t="shared" ca="1" si="15"/>
        <v>0.68505709730914321</v>
      </c>
      <c r="BK184" s="8">
        <f t="shared" si="140"/>
        <v>0.74</v>
      </c>
      <c r="BL184" s="42">
        <f t="shared" ca="1" si="122"/>
        <v>181</v>
      </c>
      <c r="BN184" s="43">
        <f t="shared" ca="1" si="16"/>
        <v>0.6207192381639377</v>
      </c>
      <c r="BO184" s="8">
        <f t="shared" si="141"/>
        <v>0.74</v>
      </c>
      <c r="BP184" s="42">
        <f t="shared" ca="1" si="123"/>
        <v>129</v>
      </c>
      <c r="BR184" s="43">
        <f t="shared" ca="1" si="17"/>
        <v>0.91724847304121837</v>
      </c>
      <c r="BS184" s="8">
        <f t="shared" si="142"/>
        <v>0.74</v>
      </c>
      <c r="BT184" s="42">
        <f t="shared" ca="1" si="124"/>
        <v>223</v>
      </c>
    </row>
    <row r="185" spans="1:72" x14ac:dyDescent="0.2">
      <c r="A185" s="22">
        <v>44732</v>
      </c>
      <c r="B185" s="43">
        <f t="shared" ca="1" si="0"/>
        <v>0.76639085359675374</v>
      </c>
      <c r="C185" s="8">
        <f t="shared" si="125"/>
        <v>0.74</v>
      </c>
      <c r="D185" s="42">
        <f t="shared" ca="1" si="107"/>
        <v>85</v>
      </c>
      <c r="F185" s="43">
        <f t="shared" ca="1" si="1"/>
        <v>0.35130019025288295</v>
      </c>
      <c r="G185" s="8">
        <f t="shared" si="126"/>
        <v>0.74</v>
      </c>
      <c r="H185" s="42">
        <f t="shared" ca="1" si="108"/>
        <v>144</v>
      </c>
      <c r="J185" s="43">
        <f t="shared" ca="1" si="2"/>
        <v>0.31166914151842984</v>
      </c>
      <c r="K185" s="8">
        <f t="shared" si="127"/>
        <v>0.74</v>
      </c>
      <c r="L185" s="42">
        <f t="shared" ca="1" si="109"/>
        <v>97</v>
      </c>
      <c r="N185" s="43">
        <f t="shared" ca="1" si="3"/>
        <v>0.75743176853062477</v>
      </c>
      <c r="O185" s="8">
        <f t="shared" si="128"/>
        <v>0.74</v>
      </c>
      <c r="P185" s="42">
        <f t="shared" ca="1" si="110"/>
        <v>202</v>
      </c>
      <c r="R185" s="43">
        <f t="shared" ca="1" si="4"/>
        <v>2.6057847843580229E-3</v>
      </c>
      <c r="S185" s="8">
        <f t="shared" si="129"/>
        <v>0.74</v>
      </c>
      <c r="T185" s="42">
        <f t="shared" ca="1" si="111"/>
        <v>27</v>
      </c>
      <c r="V185" s="43">
        <f t="shared" ca="1" si="5"/>
        <v>0.36466582323283503</v>
      </c>
      <c r="W185" s="8">
        <f t="shared" si="130"/>
        <v>0.74</v>
      </c>
      <c r="X185" s="42">
        <f t="shared" ca="1" si="112"/>
        <v>152</v>
      </c>
      <c r="Z185" s="43">
        <f t="shared" ca="1" si="6"/>
        <v>0.86376128388427476</v>
      </c>
      <c r="AA185" s="8">
        <f t="shared" si="131"/>
        <v>0.74</v>
      </c>
      <c r="AB185" s="42">
        <f t="shared" ca="1" si="113"/>
        <v>259</v>
      </c>
      <c r="AD185" s="43">
        <f t="shared" ca="1" si="7"/>
        <v>0.91864764879237182</v>
      </c>
      <c r="AE185" s="8">
        <f t="shared" si="132"/>
        <v>0.74</v>
      </c>
      <c r="AF185" s="42">
        <f t="shared" ca="1" si="114"/>
        <v>333</v>
      </c>
      <c r="AH185" s="43">
        <f t="shared" ca="1" si="8"/>
        <v>0.20564431764997626</v>
      </c>
      <c r="AI185" s="8">
        <f t="shared" si="133"/>
        <v>0.74</v>
      </c>
      <c r="AJ185" s="42">
        <f t="shared" ca="1" si="115"/>
        <v>99</v>
      </c>
      <c r="AL185" s="43">
        <f t="shared" ca="1" si="9"/>
        <v>0.83439939821483167</v>
      </c>
      <c r="AM185" s="8">
        <f t="shared" si="134"/>
        <v>0.74</v>
      </c>
      <c r="AN185" s="42">
        <f t="shared" ca="1" si="116"/>
        <v>217</v>
      </c>
      <c r="AP185" s="43">
        <f t="shared" ca="1" si="10"/>
        <v>0.67914757893353017</v>
      </c>
      <c r="AQ185" s="8">
        <f t="shared" si="135"/>
        <v>0.74</v>
      </c>
      <c r="AR185" s="42">
        <f t="shared" ca="1" si="117"/>
        <v>165</v>
      </c>
      <c r="AT185" s="43">
        <f t="shared" ca="1" si="11"/>
        <v>0.44017169677031009</v>
      </c>
      <c r="AU185" s="8">
        <f t="shared" si="136"/>
        <v>0.74</v>
      </c>
      <c r="AV185" s="42">
        <f t="shared" ca="1" si="118"/>
        <v>146</v>
      </c>
      <c r="AX185" s="43">
        <f t="shared" ca="1" si="12"/>
        <v>0.50500705460913031</v>
      </c>
      <c r="AY185" s="8">
        <f t="shared" si="137"/>
        <v>0.74</v>
      </c>
      <c r="AZ185" s="42">
        <f t="shared" ca="1" si="119"/>
        <v>174</v>
      </c>
      <c r="BB185" s="43">
        <f t="shared" ca="1" si="13"/>
        <v>0.8225868020008188</v>
      </c>
      <c r="BC185" s="8">
        <f t="shared" si="138"/>
        <v>0.74</v>
      </c>
      <c r="BD185" s="42">
        <f t="shared" ca="1" si="120"/>
        <v>186</v>
      </c>
      <c r="BF185" s="43">
        <f t="shared" ca="1" si="14"/>
        <v>0.58836366983280408</v>
      </c>
      <c r="BG185" s="8">
        <f t="shared" si="139"/>
        <v>0.74</v>
      </c>
      <c r="BH185" s="42">
        <f t="shared" ca="1" si="121"/>
        <v>133</v>
      </c>
      <c r="BJ185" s="43">
        <f t="shared" ca="1" si="15"/>
        <v>0.99023303169614985</v>
      </c>
      <c r="BK185" s="8">
        <f t="shared" si="140"/>
        <v>0.74</v>
      </c>
      <c r="BL185" s="42">
        <f t="shared" ca="1" si="122"/>
        <v>260</v>
      </c>
      <c r="BN185" s="43">
        <f t="shared" ca="1" si="16"/>
        <v>0.9068973294544056</v>
      </c>
      <c r="BO185" s="8">
        <f t="shared" si="141"/>
        <v>0.74</v>
      </c>
      <c r="BP185" s="42">
        <f t="shared" ca="1" si="123"/>
        <v>161</v>
      </c>
      <c r="BR185" s="43">
        <f t="shared" ca="1" si="17"/>
        <v>0.1237216347449448</v>
      </c>
      <c r="BS185" s="8">
        <f t="shared" si="142"/>
        <v>0.74</v>
      </c>
      <c r="BT185" s="42">
        <f t="shared" ca="1" si="124"/>
        <v>113</v>
      </c>
    </row>
    <row r="186" spans="1:72" x14ac:dyDescent="0.2">
      <c r="A186" s="22">
        <v>44733</v>
      </c>
      <c r="B186" s="43">
        <f t="shared" ca="1" si="0"/>
        <v>0.58893989706255578</v>
      </c>
      <c r="C186" s="8">
        <f t="shared" si="125"/>
        <v>0.74</v>
      </c>
      <c r="D186" s="42">
        <f t="shared" ca="1" si="107"/>
        <v>78</v>
      </c>
      <c r="F186" s="43">
        <f t="shared" ca="1" si="1"/>
        <v>0.14145992245142014</v>
      </c>
      <c r="G186" s="8">
        <f t="shared" si="126"/>
        <v>0.74</v>
      </c>
      <c r="H186" s="42">
        <f t="shared" ca="1" si="108"/>
        <v>114</v>
      </c>
      <c r="J186" s="43">
        <f t="shared" ca="1" si="2"/>
        <v>0.92518307024590241</v>
      </c>
      <c r="K186" s="8">
        <f t="shared" si="127"/>
        <v>0.74</v>
      </c>
      <c r="L186" s="42">
        <f t="shared" ca="1" si="109"/>
        <v>154</v>
      </c>
      <c r="N186" s="43">
        <f t="shared" ca="1" si="3"/>
        <v>0.11287428828420643</v>
      </c>
      <c r="O186" s="8">
        <f t="shared" si="128"/>
        <v>0.74</v>
      </c>
      <c r="P186" s="42">
        <f t="shared" ca="1" si="110"/>
        <v>115</v>
      </c>
      <c r="R186" s="43">
        <f t="shared" ca="1" si="4"/>
        <v>2.0299886520351973E-2</v>
      </c>
      <c r="S186" s="8">
        <f t="shared" si="129"/>
        <v>0.74</v>
      </c>
      <c r="T186" s="42">
        <f t="shared" ca="1" si="111"/>
        <v>47</v>
      </c>
      <c r="V186" s="43">
        <f t="shared" ca="1" si="5"/>
        <v>0.34850663004978577</v>
      </c>
      <c r="W186" s="8">
        <f t="shared" si="130"/>
        <v>0.74</v>
      </c>
      <c r="X186" s="42">
        <f t="shared" ca="1" si="112"/>
        <v>150</v>
      </c>
      <c r="Z186" s="43">
        <f t="shared" ca="1" si="6"/>
        <v>0.88230730663462742</v>
      </c>
      <c r="AA186" s="8">
        <f t="shared" si="131"/>
        <v>0.74</v>
      </c>
      <c r="AB186" s="42">
        <f t="shared" ca="1" si="113"/>
        <v>264</v>
      </c>
      <c r="AD186" s="43">
        <f t="shared" ca="1" si="7"/>
        <v>0.51087715298582403</v>
      </c>
      <c r="AE186" s="8">
        <f t="shared" si="132"/>
        <v>0.74</v>
      </c>
      <c r="AF186" s="42">
        <f t="shared" ca="1" si="114"/>
        <v>244</v>
      </c>
      <c r="AH186" s="43">
        <f t="shared" ca="1" si="8"/>
        <v>4.8425313743460596E-2</v>
      </c>
      <c r="AI186" s="8">
        <f t="shared" si="133"/>
        <v>0.74</v>
      </c>
      <c r="AJ186" s="42">
        <f t="shared" ca="1" si="115"/>
        <v>71</v>
      </c>
      <c r="AL186" s="43">
        <f t="shared" ca="1" si="9"/>
        <v>0.68275878540288404</v>
      </c>
      <c r="AM186" s="8">
        <f t="shared" si="134"/>
        <v>0.74</v>
      </c>
      <c r="AN186" s="42">
        <f t="shared" ca="1" si="116"/>
        <v>194</v>
      </c>
      <c r="AP186" s="43">
        <f t="shared" ca="1" si="10"/>
        <v>0.29633487120256274</v>
      </c>
      <c r="AQ186" s="8">
        <f t="shared" si="135"/>
        <v>0.74</v>
      </c>
      <c r="AR186" s="42">
        <f t="shared" ca="1" si="117"/>
        <v>126</v>
      </c>
      <c r="AT186" s="43">
        <f t="shared" ca="1" si="11"/>
        <v>0.39576158605572154</v>
      </c>
      <c r="AU186" s="8">
        <f t="shared" si="136"/>
        <v>0.74</v>
      </c>
      <c r="AV186" s="42">
        <f t="shared" ca="1" si="118"/>
        <v>142</v>
      </c>
      <c r="AX186" s="43">
        <f t="shared" ca="1" si="12"/>
        <v>0.61123983368035828</v>
      </c>
      <c r="AY186" s="8">
        <f t="shared" si="137"/>
        <v>0.74</v>
      </c>
      <c r="AZ186" s="42">
        <f t="shared" ca="1" si="119"/>
        <v>186</v>
      </c>
      <c r="BB186" s="43">
        <f t="shared" ca="1" si="13"/>
        <v>0.11977202161388256</v>
      </c>
      <c r="BC186" s="8">
        <f t="shared" si="138"/>
        <v>0.74</v>
      </c>
      <c r="BD186" s="42">
        <f t="shared" ca="1" si="120"/>
        <v>102</v>
      </c>
      <c r="BF186" s="43">
        <f t="shared" ca="1" si="14"/>
        <v>0.12509017103526476</v>
      </c>
      <c r="BG186" s="8">
        <f t="shared" si="139"/>
        <v>0.74</v>
      </c>
      <c r="BH186" s="42">
        <f t="shared" ca="1" si="121"/>
        <v>87</v>
      </c>
      <c r="BJ186" s="43">
        <f t="shared" ca="1" si="15"/>
        <v>0.83981272550435171</v>
      </c>
      <c r="BK186" s="8">
        <f t="shared" si="140"/>
        <v>0.74</v>
      </c>
      <c r="BL186" s="42">
        <f t="shared" ca="1" si="122"/>
        <v>202</v>
      </c>
      <c r="BN186" s="43">
        <f t="shared" ca="1" si="16"/>
        <v>0.9316677714544277</v>
      </c>
      <c r="BO186" s="8">
        <f t="shared" si="141"/>
        <v>0.74</v>
      </c>
      <c r="BP186" s="42">
        <f t="shared" ca="1" si="123"/>
        <v>167</v>
      </c>
      <c r="BR186" s="43">
        <f t="shared" ca="1" si="17"/>
        <v>0.6514551813130075</v>
      </c>
      <c r="BS186" s="8">
        <f t="shared" si="142"/>
        <v>0.74</v>
      </c>
      <c r="BT186" s="42">
        <f t="shared" ca="1" si="124"/>
        <v>180</v>
      </c>
    </row>
    <row r="187" spans="1:72" x14ac:dyDescent="0.2">
      <c r="A187" s="22">
        <v>44734</v>
      </c>
      <c r="B187" s="43">
        <f t="shared" ca="1" si="0"/>
        <v>0.57458393325782908</v>
      </c>
      <c r="C187" s="8">
        <f t="shared" si="125"/>
        <v>0.74</v>
      </c>
      <c r="D187" s="42">
        <f t="shared" ref="D187:D201" ca="1" si="143">ROUNDUP(_xlfn.NORM.INV(B187,C$4*C187,C$6*C187),0)</f>
        <v>77</v>
      </c>
      <c r="F187" s="43">
        <f t="shared" ca="1" si="1"/>
        <v>0.63998938928350269</v>
      </c>
      <c r="G187" s="8">
        <f t="shared" si="126"/>
        <v>0.74</v>
      </c>
      <c r="H187" s="42">
        <f t="shared" ref="H187:H201" ca="1" si="144">ROUNDUP(_xlfn.NORM.INV(F187,G$4*G187,G$6*G187),0)</f>
        <v>175</v>
      </c>
      <c r="J187" s="43">
        <f t="shared" ca="1" si="2"/>
        <v>9.8664942916205534E-2</v>
      </c>
      <c r="K187" s="8">
        <f t="shared" si="127"/>
        <v>0.74</v>
      </c>
      <c r="L187" s="42">
        <f t="shared" ref="L187:L201" ca="1" si="145">ROUNDUP(_xlfn.NORM.INV(J187,K$4*K187,K$6*K187),0)</f>
        <v>73</v>
      </c>
      <c r="N187" s="43">
        <f t="shared" ca="1" si="3"/>
        <v>0.15300151099949899</v>
      </c>
      <c r="O187" s="8">
        <f t="shared" si="128"/>
        <v>0.74</v>
      </c>
      <c r="P187" s="42">
        <f t="shared" ref="P187:P201" ca="1" si="146">ROUNDUP(_xlfn.NORM.INV(N187,O$4*O187,O$6*O187),0)</f>
        <v>124</v>
      </c>
      <c r="R187" s="43">
        <f t="shared" ca="1" si="4"/>
        <v>0.19577005690190907</v>
      </c>
      <c r="S187" s="8">
        <f t="shared" si="129"/>
        <v>0.74</v>
      </c>
      <c r="T187" s="42">
        <f t="shared" ref="T187:T201" ca="1" si="147">ROUNDUP(_xlfn.NORM.INV(R187,S$4*S187,S$6*S187),0)</f>
        <v>80</v>
      </c>
      <c r="V187" s="43">
        <f t="shared" ca="1" si="5"/>
        <v>0.50739882577779094</v>
      </c>
      <c r="W187" s="8">
        <f t="shared" si="130"/>
        <v>0.74</v>
      </c>
      <c r="X187" s="42">
        <f t="shared" ref="X187:X201" ca="1" si="148">ROUNDUP(_xlfn.NORM.INV(V187,W$4*W187,W$6*W187),0)</f>
        <v>168</v>
      </c>
      <c r="Z187" s="43">
        <f t="shared" ca="1" si="6"/>
        <v>0.27532277557169604</v>
      </c>
      <c r="AA187" s="8">
        <f t="shared" si="131"/>
        <v>0.74</v>
      </c>
      <c r="AB187" s="42">
        <f t="shared" ref="AB187:AB201" ca="1" si="149">ROUNDUP(_xlfn.NORM.INV(Z187,AA$4*AA187,AA$6*AA187),0)</f>
        <v>169</v>
      </c>
      <c r="AD187" s="43">
        <f t="shared" ca="1" si="7"/>
        <v>0.36088334019305413</v>
      </c>
      <c r="AE187" s="8">
        <f t="shared" si="132"/>
        <v>0.74</v>
      </c>
      <c r="AF187" s="42">
        <f t="shared" ref="AF187:AF201" ca="1" si="150">ROUNDUP(_xlfn.NORM.INV(AD187,AE$4*AE187,AE$6*AE187),0)</f>
        <v>220</v>
      </c>
      <c r="AH187" s="43">
        <f t="shared" ca="1" si="8"/>
        <v>0.19802033660096841</v>
      </c>
      <c r="AI187" s="8">
        <f t="shared" si="133"/>
        <v>0.74</v>
      </c>
      <c r="AJ187" s="42">
        <f t="shared" ref="AJ187:AJ201" ca="1" si="151">ROUNDUP(_xlfn.NORM.INV(AH187,AI$4*AI187,AI$6*AI187),0)</f>
        <v>98</v>
      </c>
      <c r="AL187" s="43">
        <f t="shared" ca="1" si="9"/>
        <v>0.89024094712765933</v>
      </c>
      <c r="AM187" s="8">
        <f t="shared" si="134"/>
        <v>0.74</v>
      </c>
      <c r="AN187" s="42">
        <f t="shared" ref="AN187:AN201" ca="1" si="152">ROUNDUP(_xlfn.NORM.INV(AL187,AM$4*AM187,AM$6*AM187),0)</f>
        <v>228</v>
      </c>
      <c r="AP187" s="43">
        <f t="shared" ca="1" si="10"/>
        <v>0.14650140422198066</v>
      </c>
      <c r="AQ187" s="8">
        <f t="shared" si="135"/>
        <v>0.74</v>
      </c>
      <c r="AR187" s="42">
        <f t="shared" ref="AR187:AR201" ca="1" si="153">ROUNDUP(_xlfn.NORM.INV(AP187,AQ$4*AQ187,AQ$6*AQ187),0)</f>
        <v>106</v>
      </c>
      <c r="AT187" s="43">
        <f t="shared" ca="1" si="11"/>
        <v>0.4755784808286444</v>
      </c>
      <c r="AU187" s="8">
        <f t="shared" si="136"/>
        <v>0.74</v>
      </c>
      <c r="AV187" s="42">
        <f t="shared" ref="AV187:AV201" ca="1" si="154">ROUNDUP(_xlfn.NORM.INV(AT187,AU$4*AU187,AU$6*AU187),0)</f>
        <v>150</v>
      </c>
      <c r="AX187" s="43">
        <f t="shared" ca="1" si="12"/>
        <v>2.1705827574837189E-3</v>
      </c>
      <c r="AY187" s="8">
        <f t="shared" si="137"/>
        <v>0.74</v>
      </c>
      <c r="AZ187" s="42">
        <f t="shared" ref="AZ187:AZ201" ca="1" si="155">ROUNDUP(_xlfn.NORM.INV(AX187,AY$4*AY187,AY$6*AY187),0)</f>
        <v>42</v>
      </c>
      <c r="BB187" s="43">
        <f t="shared" ca="1" si="13"/>
        <v>0.1653195401033879</v>
      </c>
      <c r="BC187" s="8">
        <f t="shared" si="138"/>
        <v>0.74</v>
      </c>
      <c r="BD187" s="42">
        <f t="shared" ref="BD187:BD201" ca="1" si="156">ROUNDUP(_xlfn.NORM.INV(BB187,BC$4*BC187,BC$6*BC187),0)</f>
        <v>110</v>
      </c>
      <c r="BF187" s="43">
        <f t="shared" ca="1" si="14"/>
        <v>0.33072712074799848</v>
      </c>
      <c r="BG187" s="8">
        <f t="shared" si="139"/>
        <v>0.74</v>
      </c>
      <c r="BH187" s="42">
        <f t="shared" ref="BH187:BH201" ca="1" si="157">ROUNDUP(_xlfn.NORM.INV(BF187,BG$4*BG187,BG$6*BG187),0)</f>
        <v>111</v>
      </c>
      <c r="BJ187" s="43">
        <f t="shared" ca="1" si="15"/>
        <v>0.98353498434484765</v>
      </c>
      <c r="BK187" s="8">
        <f t="shared" si="140"/>
        <v>0.74</v>
      </c>
      <c r="BL187" s="42">
        <f t="shared" ref="BL187:BL201" ca="1" si="158">ROUNDUP(_xlfn.NORM.INV(BJ187,BK$4*BK187,BK$6*BK187),0)</f>
        <v>251</v>
      </c>
      <c r="BN187" s="43">
        <f t="shared" ca="1" si="16"/>
        <v>0.96952471721975075</v>
      </c>
      <c r="BO187" s="8">
        <f t="shared" si="141"/>
        <v>0.74</v>
      </c>
      <c r="BP187" s="42">
        <f t="shared" ref="BP187:BP201" ca="1" si="159">ROUNDUP(_xlfn.NORM.INV(BN187,BO$4*BO187,BO$6*BO187),0)</f>
        <v>179</v>
      </c>
      <c r="BR187" s="43">
        <f t="shared" ca="1" si="17"/>
        <v>0.98679255334631566</v>
      </c>
      <c r="BS187" s="8">
        <f t="shared" si="142"/>
        <v>0.74</v>
      </c>
      <c r="BT187" s="42">
        <f t="shared" ref="BT187:BT201" ca="1" si="160">ROUNDUP(_xlfn.NORM.INV(BR187,BS$4*BS187,BS$6*BS187),0)</f>
        <v>259</v>
      </c>
    </row>
    <row r="188" spans="1:72" x14ac:dyDescent="0.2">
      <c r="A188" s="22">
        <v>44735</v>
      </c>
      <c r="B188" s="43">
        <f t="shared" ca="1" si="0"/>
        <v>0.27970773126557991</v>
      </c>
      <c r="C188" s="8">
        <f t="shared" si="125"/>
        <v>0.74</v>
      </c>
      <c r="D188" s="42">
        <f t="shared" ca="1" si="143"/>
        <v>66</v>
      </c>
      <c r="F188" s="43">
        <f t="shared" ca="1" si="1"/>
        <v>0.94772364596994019</v>
      </c>
      <c r="G188" s="8">
        <f t="shared" si="126"/>
        <v>0.74</v>
      </c>
      <c r="H188" s="42">
        <f t="shared" ca="1" si="144"/>
        <v>229</v>
      </c>
      <c r="J188" s="43">
        <f t="shared" ca="1" si="2"/>
        <v>0.31529887190929706</v>
      </c>
      <c r="K188" s="8">
        <f t="shared" si="127"/>
        <v>0.74</v>
      </c>
      <c r="L188" s="42">
        <f t="shared" ca="1" si="145"/>
        <v>97</v>
      </c>
      <c r="N188" s="43">
        <f t="shared" ca="1" si="3"/>
        <v>0.38322552665351561</v>
      </c>
      <c r="O188" s="8">
        <f t="shared" si="128"/>
        <v>0.74</v>
      </c>
      <c r="P188" s="42">
        <f t="shared" ca="1" si="146"/>
        <v>157</v>
      </c>
      <c r="R188" s="43">
        <f t="shared" ca="1" si="4"/>
        <v>0.94249225787040714</v>
      </c>
      <c r="S188" s="8">
        <f t="shared" si="129"/>
        <v>0.74</v>
      </c>
      <c r="T188" s="42">
        <f t="shared" ca="1" si="147"/>
        <v>146</v>
      </c>
      <c r="V188" s="43">
        <f t="shared" ca="1" si="5"/>
        <v>0.1724175258863142</v>
      </c>
      <c r="W188" s="8">
        <f t="shared" si="130"/>
        <v>0.74</v>
      </c>
      <c r="X188" s="42">
        <f t="shared" ca="1" si="148"/>
        <v>125</v>
      </c>
      <c r="Z188" s="43">
        <f t="shared" ca="1" si="6"/>
        <v>0.46260974332094207</v>
      </c>
      <c r="AA188" s="8">
        <f t="shared" si="131"/>
        <v>0.74</v>
      </c>
      <c r="AB188" s="42">
        <f t="shared" ca="1" si="149"/>
        <v>195</v>
      </c>
      <c r="AD188" s="43">
        <f t="shared" ca="1" si="7"/>
        <v>0.48449903769310654</v>
      </c>
      <c r="AE188" s="8">
        <f t="shared" si="132"/>
        <v>0.74</v>
      </c>
      <c r="AF188" s="42">
        <f t="shared" ca="1" si="150"/>
        <v>240</v>
      </c>
      <c r="AH188" s="43">
        <f t="shared" ca="1" si="8"/>
        <v>0.80189549299190221</v>
      </c>
      <c r="AI188" s="8">
        <f t="shared" si="133"/>
        <v>0.74</v>
      </c>
      <c r="AJ188" s="42">
        <f t="shared" ca="1" si="151"/>
        <v>155</v>
      </c>
      <c r="AL188" s="43">
        <f t="shared" ca="1" si="9"/>
        <v>0.45831149943361682</v>
      </c>
      <c r="AM188" s="8">
        <f t="shared" si="134"/>
        <v>0.74</v>
      </c>
      <c r="AN188" s="42">
        <f t="shared" ca="1" si="152"/>
        <v>167</v>
      </c>
      <c r="AP188" s="43">
        <f t="shared" ca="1" si="10"/>
        <v>0.34793692564471101</v>
      </c>
      <c r="AQ188" s="8">
        <f t="shared" si="135"/>
        <v>0.74</v>
      </c>
      <c r="AR188" s="42">
        <f t="shared" ca="1" si="153"/>
        <v>132</v>
      </c>
      <c r="AT188" s="43">
        <f t="shared" ca="1" si="11"/>
        <v>1.6881100433281171E-2</v>
      </c>
      <c r="AU188" s="8">
        <f t="shared" si="136"/>
        <v>0.74</v>
      </c>
      <c r="AV188" s="42">
        <f t="shared" ca="1" si="154"/>
        <v>66</v>
      </c>
      <c r="AX188" s="43">
        <f t="shared" ca="1" si="12"/>
        <v>0.99080921831514945</v>
      </c>
      <c r="AY188" s="8">
        <f t="shared" si="137"/>
        <v>0.74</v>
      </c>
      <c r="AZ188" s="42">
        <f t="shared" ca="1" si="155"/>
        <v>282</v>
      </c>
      <c r="BB188" s="43">
        <f t="shared" ca="1" si="13"/>
        <v>0.13446169926526952</v>
      </c>
      <c r="BC188" s="8">
        <f t="shared" si="138"/>
        <v>0.74</v>
      </c>
      <c r="BD188" s="42">
        <f t="shared" ca="1" si="156"/>
        <v>105</v>
      </c>
      <c r="BF188" s="43">
        <f t="shared" ca="1" si="14"/>
        <v>0.4068091658259323</v>
      </c>
      <c r="BG188" s="8">
        <f t="shared" si="139"/>
        <v>0.74</v>
      </c>
      <c r="BH188" s="42">
        <f t="shared" ca="1" si="157"/>
        <v>117</v>
      </c>
      <c r="BJ188" s="43">
        <f t="shared" ca="1" si="15"/>
        <v>0.38045516975082938</v>
      </c>
      <c r="BK188" s="8">
        <f t="shared" si="140"/>
        <v>0.74</v>
      </c>
      <c r="BL188" s="42">
        <f t="shared" ca="1" si="158"/>
        <v>147</v>
      </c>
      <c r="BN188" s="43">
        <f t="shared" ca="1" si="16"/>
        <v>0.20684894478152394</v>
      </c>
      <c r="BO188" s="8">
        <f t="shared" si="141"/>
        <v>0.74</v>
      </c>
      <c r="BP188" s="42">
        <f t="shared" ca="1" si="159"/>
        <v>93</v>
      </c>
      <c r="BR188" s="43">
        <f t="shared" ca="1" si="17"/>
        <v>0.49494245537378478</v>
      </c>
      <c r="BS188" s="8">
        <f t="shared" si="142"/>
        <v>0.74</v>
      </c>
      <c r="BT188" s="42">
        <f t="shared" ca="1" si="160"/>
        <v>162</v>
      </c>
    </row>
    <row r="189" spans="1:72" x14ac:dyDescent="0.2">
      <c r="A189" s="22">
        <v>44736</v>
      </c>
      <c r="B189" s="43">
        <f t="shared" ca="1" si="0"/>
        <v>0.11170398258506509</v>
      </c>
      <c r="C189" s="8">
        <f t="shared" si="125"/>
        <v>0.74</v>
      </c>
      <c r="D189" s="42">
        <f t="shared" ca="1" si="143"/>
        <v>56</v>
      </c>
      <c r="F189" s="43">
        <f t="shared" ca="1" si="1"/>
        <v>0.23055893619840317</v>
      </c>
      <c r="G189" s="8">
        <f t="shared" si="126"/>
        <v>0.74</v>
      </c>
      <c r="H189" s="42">
        <f t="shared" ca="1" si="144"/>
        <v>129</v>
      </c>
      <c r="J189" s="43">
        <f t="shared" ca="1" si="2"/>
        <v>0.17076532649289566</v>
      </c>
      <c r="K189" s="8">
        <f t="shared" si="127"/>
        <v>0.74</v>
      </c>
      <c r="L189" s="42">
        <f t="shared" ca="1" si="145"/>
        <v>83</v>
      </c>
      <c r="N189" s="43">
        <f t="shared" ca="1" si="3"/>
        <v>0.23811986884903535</v>
      </c>
      <c r="O189" s="8">
        <f t="shared" si="128"/>
        <v>0.74</v>
      </c>
      <c r="P189" s="42">
        <f t="shared" ca="1" si="146"/>
        <v>138</v>
      </c>
      <c r="R189" s="43">
        <f t="shared" ca="1" si="4"/>
        <v>0.73787502844242447</v>
      </c>
      <c r="S189" s="8">
        <f t="shared" si="129"/>
        <v>0.74</v>
      </c>
      <c r="T189" s="42">
        <f t="shared" ca="1" si="147"/>
        <v>121</v>
      </c>
      <c r="V189" s="43">
        <f t="shared" ca="1" si="5"/>
        <v>0.44541801299894923</v>
      </c>
      <c r="W189" s="8">
        <f t="shared" si="130"/>
        <v>0.74</v>
      </c>
      <c r="X189" s="42">
        <f t="shared" ca="1" si="148"/>
        <v>161</v>
      </c>
      <c r="Z189" s="43">
        <f t="shared" ca="1" si="6"/>
        <v>0.81152742504048403</v>
      </c>
      <c r="AA189" s="8">
        <f t="shared" si="131"/>
        <v>0.74</v>
      </c>
      <c r="AB189" s="42">
        <f t="shared" ca="1" si="149"/>
        <v>247</v>
      </c>
      <c r="AD189" s="43">
        <f t="shared" ca="1" si="7"/>
        <v>0.55738138456152575</v>
      </c>
      <c r="AE189" s="8">
        <f t="shared" si="132"/>
        <v>0.74</v>
      </c>
      <c r="AF189" s="42">
        <f t="shared" ca="1" si="150"/>
        <v>252</v>
      </c>
      <c r="AH189" s="43">
        <f t="shared" ca="1" si="8"/>
        <v>0.39856232527884083</v>
      </c>
      <c r="AI189" s="8">
        <f t="shared" si="133"/>
        <v>0.74</v>
      </c>
      <c r="AJ189" s="42">
        <f t="shared" ca="1" si="151"/>
        <v>118</v>
      </c>
      <c r="AL189" s="43">
        <f t="shared" ca="1" si="9"/>
        <v>0.30928621757549479</v>
      </c>
      <c r="AM189" s="8">
        <f t="shared" si="134"/>
        <v>0.74</v>
      </c>
      <c r="AN189" s="42">
        <f t="shared" ca="1" si="152"/>
        <v>149</v>
      </c>
      <c r="AP189" s="43">
        <f t="shared" ca="1" si="10"/>
        <v>0.87166701677478575</v>
      </c>
      <c r="AQ189" s="8">
        <f t="shared" si="135"/>
        <v>0.74</v>
      </c>
      <c r="AR189" s="42">
        <f t="shared" ca="1" si="153"/>
        <v>191</v>
      </c>
      <c r="AT189" s="43">
        <f t="shared" ca="1" si="11"/>
        <v>0.12933872627396703</v>
      </c>
      <c r="AU189" s="8">
        <f t="shared" si="136"/>
        <v>0.74</v>
      </c>
      <c r="AV189" s="42">
        <f t="shared" ca="1" si="154"/>
        <v>107</v>
      </c>
      <c r="AX189" s="43">
        <f t="shared" ca="1" si="12"/>
        <v>0.87175647356853436</v>
      </c>
      <c r="AY189" s="8">
        <f t="shared" si="137"/>
        <v>0.74</v>
      </c>
      <c r="AZ189" s="42">
        <f t="shared" ca="1" si="155"/>
        <v>226</v>
      </c>
      <c r="BB189" s="43">
        <f t="shared" ca="1" si="13"/>
        <v>0.11117392302490914</v>
      </c>
      <c r="BC189" s="8">
        <f t="shared" si="138"/>
        <v>0.74</v>
      </c>
      <c r="BD189" s="42">
        <f t="shared" ca="1" si="156"/>
        <v>101</v>
      </c>
      <c r="BF189" s="43">
        <f t="shared" ca="1" si="14"/>
        <v>0.97251594183025147</v>
      </c>
      <c r="BG189" s="8">
        <f t="shared" si="139"/>
        <v>0.74</v>
      </c>
      <c r="BH189" s="42">
        <f t="shared" ca="1" si="157"/>
        <v>189</v>
      </c>
      <c r="BJ189" s="43">
        <f t="shared" ca="1" si="15"/>
        <v>0.5915317916345495</v>
      </c>
      <c r="BK189" s="8">
        <f t="shared" si="140"/>
        <v>0.74</v>
      </c>
      <c r="BL189" s="42">
        <f t="shared" ca="1" si="158"/>
        <v>170</v>
      </c>
      <c r="BN189" s="43">
        <f t="shared" ca="1" si="16"/>
        <v>0.46612259690066682</v>
      </c>
      <c r="BO189" s="8">
        <f t="shared" si="141"/>
        <v>0.74</v>
      </c>
      <c r="BP189" s="42">
        <f t="shared" ca="1" si="159"/>
        <v>117</v>
      </c>
      <c r="BR189" s="43">
        <f t="shared" ca="1" si="17"/>
        <v>9.6495032888096355E-2</v>
      </c>
      <c r="BS189" s="8">
        <f t="shared" si="142"/>
        <v>0.74</v>
      </c>
      <c r="BT189" s="42">
        <f t="shared" ca="1" si="160"/>
        <v>106</v>
      </c>
    </row>
    <row r="190" spans="1:72" x14ac:dyDescent="0.2">
      <c r="A190" s="22">
        <v>44737</v>
      </c>
      <c r="B190" s="43">
        <f t="shared" ca="1" si="0"/>
        <v>0.19632183485553034</v>
      </c>
      <c r="C190" s="8">
        <f t="shared" si="125"/>
        <v>0.74</v>
      </c>
      <c r="D190" s="42">
        <f t="shared" ca="1" si="143"/>
        <v>62</v>
      </c>
      <c r="F190" s="43">
        <f t="shared" ca="1" si="1"/>
        <v>0.55312040302107313</v>
      </c>
      <c r="G190" s="8">
        <f t="shared" si="126"/>
        <v>0.74</v>
      </c>
      <c r="H190" s="42">
        <f t="shared" ca="1" si="144"/>
        <v>166</v>
      </c>
      <c r="J190" s="43">
        <f t="shared" ca="1" si="2"/>
        <v>0.84548544541874437</v>
      </c>
      <c r="K190" s="8">
        <f t="shared" si="127"/>
        <v>0.74</v>
      </c>
      <c r="L190" s="42">
        <f t="shared" ca="1" si="145"/>
        <v>142</v>
      </c>
      <c r="N190" s="43">
        <f t="shared" ca="1" si="3"/>
        <v>0.62045305460549427</v>
      </c>
      <c r="O190" s="8">
        <f t="shared" si="128"/>
        <v>0.74</v>
      </c>
      <c r="P190" s="42">
        <f t="shared" ca="1" si="146"/>
        <v>184</v>
      </c>
      <c r="R190" s="43">
        <f t="shared" ca="1" si="4"/>
        <v>1.4393429683321912E-2</v>
      </c>
      <c r="S190" s="8">
        <f t="shared" si="129"/>
        <v>0.74</v>
      </c>
      <c r="T190" s="42">
        <f t="shared" ca="1" si="147"/>
        <v>43</v>
      </c>
      <c r="V190" s="43">
        <f t="shared" ca="1" si="5"/>
        <v>0.27279261492179208</v>
      </c>
      <c r="W190" s="8">
        <f t="shared" si="130"/>
        <v>0.74</v>
      </c>
      <c r="X190" s="42">
        <f t="shared" ca="1" si="148"/>
        <v>140</v>
      </c>
      <c r="Z190" s="43">
        <f t="shared" ca="1" si="6"/>
        <v>0.88694532719353081</v>
      </c>
      <c r="AA190" s="8">
        <f t="shared" si="131"/>
        <v>0.74</v>
      </c>
      <c r="AB190" s="42">
        <f t="shared" ca="1" si="149"/>
        <v>265</v>
      </c>
      <c r="AD190" s="43">
        <f t="shared" ca="1" si="7"/>
        <v>0.42529556301682769</v>
      </c>
      <c r="AE190" s="8">
        <f t="shared" si="132"/>
        <v>0.74</v>
      </c>
      <c r="AF190" s="42">
        <f t="shared" ca="1" si="150"/>
        <v>230</v>
      </c>
      <c r="AH190" s="43">
        <f t="shared" ca="1" si="8"/>
        <v>0.26907875608631093</v>
      </c>
      <c r="AI190" s="8">
        <f t="shared" si="133"/>
        <v>0.74</v>
      </c>
      <c r="AJ190" s="42">
        <f t="shared" ca="1" si="151"/>
        <v>106</v>
      </c>
      <c r="AL190" s="43">
        <f t="shared" ca="1" si="9"/>
        <v>0.91303223848593251</v>
      </c>
      <c r="AM190" s="8">
        <f t="shared" si="134"/>
        <v>0.74</v>
      </c>
      <c r="AN190" s="42">
        <f t="shared" ca="1" si="152"/>
        <v>234</v>
      </c>
      <c r="AP190" s="43">
        <f t="shared" ca="1" si="10"/>
        <v>9.6750308907131655E-2</v>
      </c>
      <c r="AQ190" s="8">
        <f t="shared" si="135"/>
        <v>0.74</v>
      </c>
      <c r="AR190" s="42">
        <f t="shared" ca="1" si="153"/>
        <v>96</v>
      </c>
      <c r="AT190" s="43">
        <f t="shared" ca="1" si="11"/>
        <v>0.49671275732354558</v>
      </c>
      <c r="AU190" s="8">
        <f t="shared" si="136"/>
        <v>0.74</v>
      </c>
      <c r="AV190" s="42">
        <f t="shared" ca="1" si="154"/>
        <v>152</v>
      </c>
      <c r="AX190" s="43">
        <f t="shared" ca="1" si="12"/>
        <v>0.55517476298210799</v>
      </c>
      <c r="AY190" s="8">
        <f t="shared" si="137"/>
        <v>0.74</v>
      </c>
      <c r="AZ190" s="42">
        <f t="shared" ca="1" si="155"/>
        <v>180</v>
      </c>
      <c r="BB190" s="43">
        <f t="shared" ca="1" si="13"/>
        <v>0.60365945264308252</v>
      </c>
      <c r="BC190" s="8">
        <f t="shared" si="138"/>
        <v>0.74</v>
      </c>
      <c r="BD190" s="42">
        <f t="shared" ca="1" si="156"/>
        <v>159</v>
      </c>
      <c r="BF190" s="43">
        <f t="shared" ca="1" si="14"/>
        <v>0.46664675061316541</v>
      </c>
      <c r="BG190" s="8">
        <f t="shared" si="139"/>
        <v>0.74</v>
      </c>
      <c r="BH190" s="42">
        <f t="shared" ca="1" si="157"/>
        <v>122</v>
      </c>
      <c r="BJ190" s="43">
        <f t="shared" ca="1" si="15"/>
        <v>0.57112165439847096</v>
      </c>
      <c r="BK190" s="8">
        <f t="shared" si="140"/>
        <v>0.74</v>
      </c>
      <c r="BL190" s="42">
        <f t="shared" ca="1" si="158"/>
        <v>168</v>
      </c>
      <c r="BN190" s="43">
        <f t="shared" ca="1" si="16"/>
        <v>0.97911458258999795</v>
      </c>
      <c r="BO190" s="8">
        <f t="shared" si="141"/>
        <v>0.74</v>
      </c>
      <c r="BP190" s="42">
        <f t="shared" ca="1" si="159"/>
        <v>184</v>
      </c>
      <c r="BR190" s="43">
        <f t="shared" ca="1" si="17"/>
        <v>0.97371977876837923</v>
      </c>
      <c r="BS190" s="8">
        <f t="shared" si="142"/>
        <v>0.74</v>
      </c>
      <c r="BT190" s="42">
        <f t="shared" ca="1" si="160"/>
        <v>247</v>
      </c>
    </row>
    <row r="191" spans="1:72" x14ac:dyDescent="0.2">
      <c r="A191" s="22">
        <v>44738</v>
      </c>
      <c r="B191" s="43">
        <f t="shared" ca="1" si="0"/>
        <v>0.7658820591649993</v>
      </c>
      <c r="C191" s="8">
        <f t="shared" si="125"/>
        <v>0.74</v>
      </c>
      <c r="D191" s="42">
        <f t="shared" ca="1" si="143"/>
        <v>85</v>
      </c>
      <c r="F191" s="43">
        <f t="shared" ca="1" si="1"/>
        <v>4.1212804864199981E-2</v>
      </c>
      <c r="G191" s="8">
        <f t="shared" si="126"/>
        <v>0.74</v>
      </c>
      <c r="H191" s="42">
        <f t="shared" ca="1" si="144"/>
        <v>86</v>
      </c>
      <c r="J191" s="43">
        <f t="shared" ca="1" si="2"/>
        <v>0.95550753464989224</v>
      </c>
      <c r="K191" s="8">
        <f t="shared" si="127"/>
        <v>0.74</v>
      </c>
      <c r="L191" s="42">
        <f t="shared" ca="1" si="145"/>
        <v>162</v>
      </c>
      <c r="N191" s="43">
        <f t="shared" ca="1" si="3"/>
        <v>0.60633051791674131</v>
      </c>
      <c r="O191" s="8">
        <f t="shared" si="128"/>
        <v>0.74</v>
      </c>
      <c r="P191" s="42">
        <f t="shared" ca="1" si="146"/>
        <v>182</v>
      </c>
      <c r="R191" s="43">
        <f t="shared" ca="1" si="4"/>
        <v>0.56617381466369199</v>
      </c>
      <c r="S191" s="8">
        <f t="shared" si="129"/>
        <v>0.74</v>
      </c>
      <c r="T191" s="42">
        <f t="shared" ca="1" si="147"/>
        <v>108</v>
      </c>
      <c r="V191" s="43">
        <f t="shared" ca="1" si="5"/>
        <v>0.39506031539752107</v>
      </c>
      <c r="W191" s="8">
        <f t="shared" si="130"/>
        <v>0.74</v>
      </c>
      <c r="X191" s="42">
        <f t="shared" ca="1" si="148"/>
        <v>155</v>
      </c>
      <c r="Z191" s="43">
        <f t="shared" ca="1" si="6"/>
        <v>0.79738873872483829</v>
      </c>
      <c r="AA191" s="8">
        <f t="shared" si="131"/>
        <v>0.74</v>
      </c>
      <c r="AB191" s="42">
        <f t="shared" ca="1" si="149"/>
        <v>245</v>
      </c>
      <c r="AD191" s="43">
        <f t="shared" ca="1" si="7"/>
        <v>0.49796939875445045</v>
      </c>
      <c r="AE191" s="8">
        <f t="shared" si="132"/>
        <v>0.74</v>
      </c>
      <c r="AF191" s="42">
        <f t="shared" ca="1" si="150"/>
        <v>242</v>
      </c>
      <c r="AH191" s="43">
        <f t="shared" ca="1" si="8"/>
        <v>0.39967071350130545</v>
      </c>
      <c r="AI191" s="8">
        <f t="shared" si="133"/>
        <v>0.74</v>
      </c>
      <c r="AJ191" s="42">
        <f t="shared" ca="1" si="151"/>
        <v>118</v>
      </c>
      <c r="AL191" s="43">
        <f t="shared" ca="1" si="9"/>
        <v>0.39349005510765356</v>
      </c>
      <c r="AM191" s="8">
        <f t="shared" si="134"/>
        <v>0.74</v>
      </c>
      <c r="AN191" s="42">
        <f t="shared" ca="1" si="152"/>
        <v>160</v>
      </c>
      <c r="AP191" s="43">
        <f t="shared" ca="1" si="10"/>
        <v>0.22126346509901285</v>
      </c>
      <c r="AQ191" s="8">
        <f t="shared" si="135"/>
        <v>0.74</v>
      </c>
      <c r="AR191" s="42">
        <f t="shared" ca="1" si="153"/>
        <v>117</v>
      </c>
      <c r="AT191" s="43">
        <f t="shared" ca="1" si="11"/>
        <v>0.46494449858437925</v>
      </c>
      <c r="AU191" s="8">
        <f t="shared" si="136"/>
        <v>0.74</v>
      </c>
      <c r="AV191" s="42">
        <f t="shared" ca="1" si="154"/>
        <v>149</v>
      </c>
      <c r="AX191" s="43">
        <f t="shared" ca="1" si="12"/>
        <v>0.60150881940866519</v>
      </c>
      <c r="AY191" s="8">
        <f t="shared" si="137"/>
        <v>0.74</v>
      </c>
      <c r="AZ191" s="42">
        <f t="shared" ca="1" si="155"/>
        <v>185</v>
      </c>
      <c r="BB191" s="43">
        <f t="shared" ca="1" si="13"/>
        <v>0.41845472386286298</v>
      </c>
      <c r="BC191" s="8">
        <f t="shared" si="138"/>
        <v>0.74</v>
      </c>
      <c r="BD191" s="42">
        <f t="shared" ca="1" si="156"/>
        <v>141</v>
      </c>
      <c r="BF191" s="43">
        <f t="shared" ca="1" si="14"/>
        <v>0.2673989596274845</v>
      </c>
      <c r="BG191" s="8">
        <f t="shared" si="139"/>
        <v>0.74</v>
      </c>
      <c r="BH191" s="42">
        <f t="shared" ca="1" si="157"/>
        <v>105</v>
      </c>
      <c r="BJ191" s="43">
        <f t="shared" ca="1" si="15"/>
        <v>0.18007581479978485</v>
      </c>
      <c r="BK191" s="8">
        <f t="shared" si="140"/>
        <v>0.74</v>
      </c>
      <c r="BL191" s="42">
        <f t="shared" ca="1" si="158"/>
        <v>121</v>
      </c>
      <c r="BN191" s="43">
        <f t="shared" ca="1" si="16"/>
        <v>0.80276813014346138</v>
      </c>
      <c r="BO191" s="8">
        <f t="shared" si="141"/>
        <v>0.74</v>
      </c>
      <c r="BP191" s="42">
        <f t="shared" ca="1" si="159"/>
        <v>146</v>
      </c>
      <c r="BR191" s="43">
        <f t="shared" ca="1" si="17"/>
        <v>0.42223785103499623</v>
      </c>
      <c r="BS191" s="8">
        <f t="shared" si="142"/>
        <v>0.74</v>
      </c>
      <c r="BT191" s="42">
        <f t="shared" ca="1" si="160"/>
        <v>154</v>
      </c>
    </row>
    <row r="192" spans="1:72" x14ac:dyDescent="0.2">
      <c r="A192" s="22">
        <v>44739</v>
      </c>
      <c r="B192" s="43">
        <f t="shared" ca="1" si="0"/>
        <v>1.9922905052423445E-2</v>
      </c>
      <c r="C192" s="8">
        <f t="shared" si="125"/>
        <v>0.74</v>
      </c>
      <c r="D192" s="42">
        <f t="shared" ca="1" si="143"/>
        <v>44</v>
      </c>
      <c r="F192" s="43">
        <f t="shared" ca="1" si="1"/>
        <v>0.98427336775700613</v>
      </c>
      <c r="G192" s="8">
        <f t="shared" si="126"/>
        <v>0.74</v>
      </c>
      <c r="H192" s="42">
        <f t="shared" ca="1" si="144"/>
        <v>251</v>
      </c>
      <c r="J192" s="43">
        <f t="shared" ca="1" si="2"/>
        <v>0.71764464792218152</v>
      </c>
      <c r="K192" s="8">
        <f t="shared" si="127"/>
        <v>0.74</v>
      </c>
      <c r="L192" s="42">
        <f t="shared" ca="1" si="145"/>
        <v>129</v>
      </c>
      <c r="N192" s="43">
        <f t="shared" ca="1" si="3"/>
        <v>0.79974394491220802</v>
      </c>
      <c r="O192" s="8">
        <f t="shared" si="128"/>
        <v>0.74</v>
      </c>
      <c r="P192" s="42">
        <f t="shared" ca="1" si="146"/>
        <v>208</v>
      </c>
      <c r="R192" s="43">
        <f t="shared" ca="1" si="4"/>
        <v>0.94113659989978937</v>
      </c>
      <c r="S192" s="8">
        <f t="shared" si="129"/>
        <v>0.74</v>
      </c>
      <c r="T192" s="42">
        <f t="shared" ca="1" si="147"/>
        <v>146</v>
      </c>
      <c r="V192" s="43">
        <f t="shared" ca="1" si="5"/>
        <v>0.11007070549176812</v>
      </c>
      <c r="W192" s="8">
        <f t="shared" si="130"/>
        <v>0.74</v>
      </c>
      <c r="X192" s="42">
        <f t="shared" ca="1" si="148"/>
        <v>113</v>
      </c>
      <c r="Z192" s="43">
        <f t="shared" ca="1" si="6"/>
        <v>0.24197489230297886</v>
      </c>
      <c r="AA192" s="8">
        <f t="shared" si="131"/>
        <v>0.74</v>
      </c>
      <c r="AB192" s="42">
        <f t="shared" ca="1" si="149"/>
        <v>163</v>
      </c>
      <c r="AD192" s="43">
        <f t="shared" ca="1" si="7"/>
        <v>8.1386243955409165E-2</v>
      </c>
      <c r="AE192" s="8">
        <f t="shared" si="132"/>
        <v>0.74</v>
      </c>
      <c r="AF192" s="42">
        <f t="shared" ca="1" si="150"/>
        <v>152</v>
      </c>
      <c r="AH192" s="43">
        <f t="shared" ca="1" si="8"/>
        <v>0.81108883695832945</v>
      </c>
      <c r="AI192" s="8">
        <f t="shared" si="133"/>
        <v>0.74</v>
      </c>
      <c r="AJ192" s="42">
        <f t="shared" ca="1" si="151"/>
        <v>156</v>
      </c>
      <c r="AL192" s="43">
        <f t="shared" ca="1" si="9"/>
        <v>0.60279976288267978</v>
      </c>
      <c r="AM192" s="8">
        <f t="shared" si="134"/>
        <v>0.74</v>
      </c>
      <c r="AN192" s="42">
        <f t="shared" ca="1" si="152"/>
        <v>184</v>
      </c>
      <c r="AP192" s="43">
        <f t="shared" ca="1" si="10"/>
        <v>0.7378567285228701</v>
      </c>
      <c r="AQ192" s="8">
        <f t="shared" si="135"/>
        <v>0.74</v>
      </c>
      <c r="AR192" s="42">
        <f t="shared" ca="1" si="153"/>
        <v>172</v>
      </c>
      <c r="AT192" s="43">
        <f t="shared" ca="1" si="11"/>
        <v>0.62128385429748556</v>
      </c>
      <c r="AU192" s="8">
        <f t="shared" si="136"/>
        <v>0.74</v>
      </c>
      <c r="AV192" s="42">
        <f t="shared" ca="1" si="154"/>
        <v>165</v>
      </c>
      <c r="AX192" s="43">
        <f t="shared" ca="1" si="12"/>
        <v>0.60217611490401379</v>
      </c>
      <c r="AY192" s="8">
        <f t="shared" si="137"/>
        <v>0.74</v>
      </c>
      <c r="AZ192" s="42">
        <f t="shared" ca="1" si="155"/>
        <v>185</v>
      </c>
      <c r="BB192" s="43">
        <f t="shared" ca="1" si="13"/>
        <v>0.3592911904731042</v>
      </c>
      <c r="BC192" s="8">
        <f t="shared" si="138"/>
        <v>0.74</v>
      </c>
      <c r="BD192" s="42">
        <f t="shared" ca="1" si="156"/>
        <v>135</v>
      </c>
      <c r="BF192" s="43">
        <f t="shared" ca="1" si="14"/>
        <v>9.7119792473543187E-2</v>
      </c>
      <c r="BG192" s="8">
        <f t="shared" si="139"/>
        <v>0.74</v>
      </c>
      <c r="BH192" s="42">
        <f t="shared" ca="1" si="157"/>
        <v>82</v>
      </c>
      <c r="BJ192" s="43">
        <f t="shared" ca="1" si="15"/>
        <v>0.77311132298145824</v>
      </c>
      <c r="BK192" s="8">
        <f t="shared" si="140"/>
        <v>0.74</v>
      </c>
      <c r="BL192" s="42">
        <f t="shared" ca="1" si="158"/>
        <v>192</v>
      </c>
      <c r="BN192" s="43">
        <f t="shared" ca="1" si="16"/>
        <v>0.47934118844149431</v>
      </c>
      <c r="BO192" s="8">
        <f t="shared" si="141"/>
        <v>0.74</v>
      </c>
      <c r="BP192" s="42">
        <f t="shared" ca="1" si="159"/>
        <v>118</v>
      </c>
      <c r="BR192" s="43">
        <f t="shared" ca="1" si="17"/>
        <v>0.21244127943059909</v>
      </c>
      <c r="BS192" s="8">
        <f t="shared" si="142"/>
        <v>0.74</v>
      </c>
      <c r="BT192" s="42">
        <f t="shared" ca="1" si="160"/>
        <v>128</v>
      </c>
    </row>
    <row r="193" spans="1:72" x14ac:dyDescent="0.2">
      <c r="A193" s="22">
        <v>44740</v>
      </c>
      <c r="B193" s="43">
        <f t="shared" ca="1" si="0"/>
        <v>7.6918555941683953E-2</v>
      </c>
      <c r="C193" s="8">
        <f t="shared" si="125"/>
        <v>0.74</v>
      </c>
      <c r="D193" s="42">
        <f t="shared" ca="1" si="143"/>
        <v>53</v>
      </c>
      <c r="F193" s="43">
        <f t="shared" ca="1" si="1"/>
        <v>0.74214088367547193</v>
      </c>
      <c r="G193" s="8">
        <f t="shared" si="126"/>
        <v>0.74</v>
      </c>
      <c r="H193" s="42">
        <f t="shared" ca="1" si="144"/>
        <v>188</v>
      </c>
      <c r="J193" s="43">
        <f t="shared" ca="1" si="2"/>
        <v>0.79671238311555503</v>
      </c>
      <c r="K193" s="8">
        <f t="shared" si="127"/>
        <v>0.74</v>
      </c>
      <c r="L193" s="42">
        <f t="shared" ca="1" si="145"/>
        <v>136</v>
      </c>
      <c r="N193" s="43">
        <f t="shared" ca="1" si="3"/>
        <v>0.86509656865327844</v>
      </c>
      <c r="O193" s="8">
        <f t="shared" si="128"/>
        <v>0.74</v>
      </c>
      <c r="P193" s="42">
        <f t="shared" ca="1" si="146"/>
        <v>220</v>
      </c>
      <c r="R193" s="43">
        <f t="shared" ca="1" si="4"/>
        <v>0.37451570604446194</v>
      </c>
      <c r="S193" s="8">
        <f t="shared" si="129"/>
        <v>0.74</v>
      </c>
      <c r="T193" s="42">
        <f t="shared" ca="1" si="147"/>
        <v>94</v>
      </c>
      <c r="V193" s="43">
        <f t="shared" ca="1" si="5"/>
        <v>0.68313622538301311</v>
      </c>
      <c r="W193" s="8">
        <f t="shared" si="130"/>
        <v>0.74</v>
      </c>
      <c r="X193" s="42">
        <f t="shared" ca="1" si="148"/>
        <v>188</v>
      </c>
      <c r="Z193" s="43">
        <f t="shared" ca="1" si="6"/>
        <v>0.69630012000285968</v>
      </c>
      <c r="AA193" s="8">
        <f t="shared" si="131"/>
        <v>0.74</v>
      </c>
      <c r="AB193" s="42">
        <f t="shared" ca="1" si="149"/>
        <v>228</v>
      </c>
      <c r="AD193" s="43">
        <f t="shared" ca="1" si="7"/>
        <v>0.58333854407421148</v>
      </c>
      <c r="AE193" s="8">
        <f t="shared" si="132"/>
        <v>0.74</v>
      </c>
      <c r="AF193" s="42">
        <f t="shared" ca="1" si="150"/>
        <v>256</v>
      </c>
      <c r="AH193" s="43">
        <f t="shared" ca="1" si="8"/>
        <v>0.88816612338167999</v>
      </c>
      <c r="AI193" s="8">
        <f t="shared" si="133"/>
        <v>0.74</v>
      </c>
      <c r="AJ193" s="42">
        <f t="shared" ca="1" si="151"/>
        <v>168</v>
      </c>
      <c r="AL193" s="43">
        <f t="shared" ca="1" si="9"/>
        <v>0.36203500359694862</v>
      </c>
      <c r="AM193" s="8">
        <f t="shared" si="134"/>
        <v>0.74</v>
      </c>
      <c r="AN193" s="42">
        <f t="shared" ca="1" si="152"/>
        <v>156</v>
      </c>
      <c r="AP193" s="43">
        <f t="shared" ca="1" si="10"/>
        <v>0.76436200846515223</v>
      </c>
      <c r="AQ193" s="8">
        <f t="shared" si="135"/>
        <v>0.74</v>
      </c>
      <c r="AR193" s="42">
        <f t="shared" ca="1" si="153"/>
        <v>175</v>
      </c>
      <c r="AT193" s="43">
        <f t="shared" ca="1" si="11"/>
        <v>0.3029093852532706</v>
      </c>
      <c r="AU193" s="8">
        <f t="shared" si="136"/>
        <v>0.74</v>
      </c>
      <c r="AV193" s="42">
        <f t="shared" ca="1" si="154"/>
        <v>132</v>
      </c>
      <c r="AX193" s="43">
        <f t="shared" ca="1" si="12"/>
        <v>0.45557724951320699</v>
      </c>
      <c r="AY193" s="8">
        <f t="shared" si="137"/>
        <v>0.74</v>
      </c>
      <c r="AZ193" s="42">
        <f t="shared" ca="1" si="155"/>
        <v>168</v>
      </c>
      <c r="BB193" s="43">
        <f t="shared" ca="1" si="13"/>
        <v>0.93825948018080407</v>
      </c>
      <c r="BC193" s="8">
        <f t="shared" si="138"/>
        <v>0.74</v>
      </c>
      <c r="BD193" s="42">
        <f t="shared" ca="1" si="156"/>
        <v>210</v>
      </c>
      <c r="BF193" s="43">
        <f t="shared" ca="1" si="14"/>
        <v>0.71116661236298961</v>
      </c>
      <c r="BG193" s="8">
        <f t="shared" si="139"/>
        <v>0.74</v>
      </c>
      <c r="BH193" s="42">
        <f t="shared" ca="1" si="157"/>
        <v>144</v>
      </c>
      <c r="BJ193" s="43">
        <f t="shared" ca="1" si="15"/>
        <v>6.0462447472262149E-2</v>
      </c>
      <c r="BK193" s="8">
        <f t="shared" si="140"/>
        <v>0.74</v>
      </c>
      <c r="BL193" s="42">
        <f t="shared" ca="1" si="158"/>
        <v>94</v>
      </c>
      <c r="BN193" s="43">
        <f t="shared" ca="1" si="16"/>
        <v>0.2064709129258443</v>
      </c>
      <c r="BO193" s="8">
        <f t="shared" si="141"/>
        <v>0.74</v>
      </c>
      <c r="BP193" s="42">
        <f t="shared" ca="1" si="159"/>
        <v>93</v>
      </c>
      <c r="BR193" s="43">
        <f t="shared" ca="1" si="17"/>
        <v>0.48748474530107799</v>
      </c>
      <c r="BS193" s="8">
        <f t="shared" si="142"/>
        <v>0.74</v>
      </c>
      <c r="BT193" s="42">
        <f t="shared" ca="1" si="160"/>
        <v>161</v>
      </c>
    </row>
    <row r="194" spans="1:72" x14ac:dyDescent="0.2">
      <c r="A194" s="22">
        <v>44741</v>
      </c>
      <c r="B194" s="43">
        <f t="shared" ca="1" si="0"/>
        <v>0.64802164133095363</v>
      </c>
      <c r="C194" s="8">
        <f t="shared" si="125"/>
        <v>0.74</v>
      </c>
      <c r="D194" s="42">
        <f t="shared" ca="1" si="143"/>
        <v>80</v>
      </c>
      <c r="F194" s="43">
        <f t="shared" ca="1" si="1"/>
        <v>0.31951320139807937</v>
      </c>
      <c r="G194" s="8">
        <f t="shared" si="126"/>
        <v>0.74</v>
      </c>
      <c r="H194" s="42">
        <f t="shared" ca="1" si="144"/>
        <v>140</v>
      </c>
      <c r="J194" s="43">
        <f t="shared" ca="1" si="2"/>
        <v>0.87048041658687736</v>
      </c>
      <c r="K194" s="8">
        <f t="shared" si="127"/>
        <v>0.74</v>
      </c>
      <c r="L194" s="42">
        <f t="shared" ca="1" si="145"/>
        <v>145</v>
      </c>
      <c r="N194" s="43">
        <f t="shared" ca="1" si="3"/>
        <v>0.23034434571863194</v>
      </c>
      <c r="O194" s="8">
        <f t="shared" si="128"/>
        <v>0.74</v>
      </c>
      <c r="P194" s="42">
        <f t="shared" ca="1" si="146"/>
        <v>137</v>
      </c>
      <c r="R194" s="43">
        <f t="shared" ca="1" si="4"/>
        <v>0.53028603170893274</v>
      </c>
      <c r="S194" s="8">
        <f t="shared" si="129"/>
        <v>0.74</v>
      </c>
      <c r="T194" s="42">
        <f t="shared" ca="1" si="147"/>
        <v>105</v>
      </c>
      <c r="V194" s="43">
        <f t="shared" ca="1" si="5"/>
        <v>0.60985842896326981</v>
      </c>
      <c r="W194" s="8">
        <f t="shared" si="130"/>
        <v>0.74</v>
      </c>
      <c r="X194" s="42">
        <f t="shared" ca="1" si="148"/>
        <v>179</v>
      </c>
      <c r="Z194" s="43">
        <f t="shared" ca="1" si="6"/>
        <v>0.19870543371805238</v>
      </c>
      <c r="AA194" s="8">
        <f t="shared" si="131"/>
        <v>0.74</v>
      </c>
      <c r="AB194" s="42">
        <f t="shared" ca="1" si="149"/>
        <v>155</v>
      </c>
      <c r="AD194" s="43">
        <f t="shared" ca="1" si="7"/>
        <v>0.93374402562553593</v>
      </c>
      <c r="AE194" s="8">
        <f t="shared" si="132"/>
        <v>0.74</v>
      </c>
      <c r="AF194" s="42">
        <f t="shared" ca="1" si="150"/>
        <v>340</v>
      </c>
      <c r="AH194" s="43">
        <f t="shared" ca="1" si="8"/>
        <v>0.59035821476336092</v>
      </c>
      <c r="AI194" s="8">
        <f t="shared" si="133"/>
        <v>0.74</v>
      </c>
      <c r="AJ194" s="42">
        <f t="shared" ca="1" si="151"/>
        <v>134</v>
      </c>
      <c r="AL194" s="43">
        <f t="shared" ca="1" si="9"/>
        <v>3.3611191400295115E-2</v>
      </c>
      <c r="AM194" s="8">
        <f t="shared" si="134"/>
        <v>0.74</v>
      </c>
      <c r="AN194" s="42">
        <f t="shared" ca="1" si="152"/>
        <v>88</v>
      </c>
      <c r="AP194" s="43">
        <f t="shared" ca="1" si="10"/>
        <v>0.13979554976251196</v>
      </c>
      <c r="AQ194" s="8">
        <f t="shared" si="135"/>
        <v>0.74</v>
      </c>
      <c r="AR194" s="42">
        <f t="shared" ca="1" si="153"/>
        <v>105</v>
      </c>
      <c r="AT194" s="43">
        <f t="shared" ca="1" si="11"/>
        <v>3.9400335234670236E-2</v>
      </c>
      <c r="AU194" s="8">
        <f t="shared" si="136"/>
        <v>0.74</v>
      </c>
      <c r="AV194" s="42">
        <f t="shared" ca="1" si="154"/>
        <v>81</v>
      </c>
      <c r="AX194" s="43">
        <f t="shared" ca="1" si="12"/>
        <v>0.43169823214485104</v>
      </c>
      <c r="AY194" s="8">
        <f t="shared" si="137"/>
        <v>0.74</v>
      </c>
      <c r="AZ194" s="42">
        <f t="shared" ca="1" si="155"/>
        <v>165</v>
      </c>
      <c r="BB194" s="43">
        <f t="shared" ca="1" si="13"/>
        <v>0.18238720564741229</v>
      </c>
      <c r="BC194" s="8">
        <f t="shared" si="138"/>
        <v>0.74</v>
      </c>
      <c r="BD194" s="42">
        <f t="shared" ca="1" si="156"/>
        <v>113</v>
      </c>
      <c r="BF194" s="43">
        <f t="shared" ca="1" si="14"/>
        <v>0.78865806591259768</v>
      </c>
      <c r="BG194" s="8">
        <f t="shared" si="139"/>
        <v>0.74</v>
      </c>
      <c r="BH194" s="42">
        <f t="shared" ca="1" si="157"/>
        <v>152</v>
      </c>
      <c r="BJ194" s="43">
        <f t="shared" ca="1" si="15"/>
        <v>0.77095139987981609</v>
      </c>
      <c r="BK194" s="8">
        <f t="shared" si="140"/>
        <v>0.74</v>
      </c>
      <c r="BL194" s="42">
        <f t="shared" ca="1" si="158"/>
        <v>192</v>
      </c>
      <c r="BN194" s="43">
        <f t="shared" ca="1" si="16"/>
        <v>0.88497270396703143</v>
      </c>
      <c r="BO194" s="8">
        <f t="shared" si="141"/>
        <v>0.74</v>
      </c>
      <c r="BP194" s="42">
        <f t="shared" ca="1" si="159"/>
        <v>157</v>
      </c>
      <c r="BR194" s="43">
        <f t="shared" ca="1" si="17"/>
        <v>0.25242029488096007</v>
      </c>
      <c r="BS194" s="8">
        <f t="shared" si="142"/>
        <v>0.74</v>
      </c>
      <c r="BT194" s="42">
        <f t="shared" ca="1" si="160"/>
        <v>134</v>
      </c>
    </row>
    <row r="195" spans="1:72" x14ac:dyDescent="0.2">
      <c r="A195" s="22">
        <v>44742</v>
      </c>
      <c r="B195" s="43">
        <f t="shared" ca="1" si="0"/>
        <v>0.94376794314752843</v>
      </c>
      <c r="C195" s="8">
        <f t="shared" si="125"/>
        <v>0.74</v>
      </c>
      <c r="D195" s="42">
        <f t="shared" ca="1" si="143"/>
        <v>98</v>
      </c>
      <c r="F195" s="43">
        <f t="shared" ca="1" si="1"/>
        <v>0.15133160728862272</v>
      </c>
      <c r="G195" s="8">
        <f t="shared" si="126"/>
        <v>0.74</v>
      </c>
      <c r="H195" s="42">
        <f t="shared" ca="1" si="144"/>
        <v>116</v>
      </c>
      <c r="J195" s="43">
        <f t="shared" ca="1" si="2"/>
        <v>0.21022510473550993</v>
      </c>
      <c r="K195" s="8">
        <f t="shared" si="127"/>
        <v>0.74</v>
      </c>
      <c r="L195" s="42">
        <f t="shared" ca="1" si="145"/>
        <v>88</v>
      </c>
      <c r="N195" s="43">
        <f t="shared" ca="1" si="3"/>
        <v>0.48141251927976692</v>
      </c>
      <c r="O195" s="8">
        <f t="shared" si="128"/>
        <v>0.74</v>
      </c>
      <c r="P195" s="42">
        <f t="shared" ca="1" si="146"/>
        <v>168</v>
      </c>
      <c r="R195" s="43">
        <f t="shared" ca="1" si="4"/>
        <v>0.67361167865202687</v>
      </c>
      <c r="S195" s="8">
        <f t="shared" si="129"/>
        <v>0.74</v>
      </c>
      <c r="T195" s="42">
        <f t="shared" ca="1" si="147"/>
        <v>115</v>
      </c>
      <c r="V195" s="43">
        <f t="shared" ca="1" si="5"/>
        <v>0.27635341036110217</v>
      </c>
      <c r="W195" s="8">
        <f t="shared" si="130"/>
        <v>0.74</v>
      </c>
      <c r="X195" s="42">
        <f t="shared" ca="1" si="148"/>
        <v>141</v>
      </c>
      <c r="Z195" s="43">
        <f t="shared" ca="1" si="6"/>
        <v>0.24595151697758</v>
      </c>
      <c r="AA195" s="8">
        <f t="shared" si="131"/>
        <v>0.74</v>
      </c>
      <c r="AB195" s="42">
        <f t="shared" ca="1" si="149"/>
        <v>164</v>
      </c>
      <c r="AD195" s="43">
        <f t="shared" ca="1" si="7"/>
        <v>0.96670094071823087</v>
      </c>
      <c r="AE195" s="8">
        <f t="shared" si="132"/>
        <v>0.74</v>
      </c>
      <c r="AF195" s="42">
        <f t="shared" ca="1" si="150"/>
        <v>361</v>
      </c>
      <c r="AH195" s="43">
        <f t="shared" ca="1" si="8"/>
        <v>0.9150318887850758</v>
      </c>
      <c r="AI195" s="8">
        <f t="shared" si="133"/>
        <v>0.74</v>
      </c>
      <c r="AJ195" s="42">
        <f t="shared" ca="1" si="151"/>
        <v>173</v>
      </c>
      <c r="AL195" s="43">
        <f t="shared" ca="1" si="9"/>
        <v>0.3653472401808523</v>
      </c>
      <c r="AM195" s="8">
        <f t="shared" si="134"/>
        <v>0.74</v>
      </c>
      <c r="AN195" s="42">
        <f t="shared" ca="1" si="152"/>
        <v>156</v>
      </c>
      <c r="AP195" s="43">
        <f t="shared" ca="1" si="10"/>
        <v>0.14303902123578394</v>
      </c>
      <c r="AQ195" s="8">
        <f t="shared" si="135"/>
        <v>0.74</v>
      </c>
      <c r="AR195" s="42">
        <f t="shared" ca="1" si="153"/>
        <v>105</v>
      </c>
      <c r="AT195" s="43">
        <f t="shared" ca="1" si="11"/>
        <v>0.62081921865961665</v>
      </c>
      <c r="AU195" s="8">
        <f t="shared" si="136"/>
        <v>0.74</v>
      </c>
      <c r="AV195" s="42">
        <f t="shared" ca="1" si="154"/>
        <v>165</v>
      </c>
      <c r="AX195" s="43">
        <f t="shared" ca="1" si="12"/>
        <v>0.51477783185057346</v>
      </c>
      <c r="AY195" s="8">
        <f t="shared" si="137"/>
        <v>0.74</v>
      </c>
      <c r="AZ195" s="42">
        <f t="shared" ca="1" si="155"/>
        <v>175</v>
      </c>
      <c r="BB195" s="43">
        <f t="shared" ca="1" si="13"/>
        <v>0.49659384504358961</v>
      </c>
      <c r="BC195" s="8">
        <f t="shared" si="138"/>
        <v>0.74</v>
      </c>
      <c r="BD195" s="42">
        <f t="shared" ca="1" si="156"/>
        <v>149</v>
      </c>
      <c r="BF195" s="43">
        <f t="shared" ca="1" si="14"/>
        <v>0.77394178441410699</v>
      </c>
      <c r="BG195" s="8">
        <f t="shared" si="139"/>
        <v>0.74</v>
      </c>
      <c r="BH195" s="42">
        <f t="shared" ca="1" si="157"/>
        <v>150</v>
      </c>
      <c r="BJ195" s="43">
        <f t="shared" ca="1" si="15"/>
        <v>0.65939377351145279</v>
      </c>
      <c r="BK195" s="8">
        <f t="shared" si="140"/>
        <v>0.74</v>
      </c>
      <c r="BL195" s="42">
        <f t="shared" ca="1" si="158"/>
        <v>178</v>
      </c>
      <c r="BN195" s="43">
        <f t="shared" ca="1" si="16"/>
        <v>0.37310769153120382</v>
      </c>
      <c r="BO195" s="8">
        <f t="shared" si="141"/>
        <v>0.74</v>
      </c>
      <c r="BP195" s="42">
        <f t="shared" ca="1" si="159"/>
        <v>109</v>
      </c>
      <c r="BR195" s="43">
        <f t="shared" ca="1" si="17"/>
        <v>0.77175100110578299</v>
      </c>
      <c r="BS195" s="8">
        <f t="shared" si="142"/>
        <v>0.74</v>
      </c>
      <c r="BT195" s="42">
        <f t="shared" ca="1" si="160"/>
        <v>195</v>
      </c>
    </row>
    <row r="196" spans="1:72" x14ac:dyDescent="0.2">
      <c r="A196" s="22">
        <v>44743</v>
      </c>
      <c r="B196" s="43">
        <f t="shared" ca="1" si="0"/>
        <v>0.54652826492753703</v>
      </c>
      <c r="C196" s="8">
        <f t="shared" si="125"/>
        <v>0.74</v>
      </c>
      <c r="D196" s="42">
        <f t="shared" ca="1" si="143"/>
        <v>76</v>
      </c>
      <c r="F196" s="43">
        <f t="shared" ca="1" si="1"/>
        <v>0.6507614347346139</v>
      </c>
      <c r="G196" s="8">
        <f t="shared" si="126"/>
        <v>0.74</v>
      </c>
      <c r="H196" s="42">
        <f t="shared" ca="1" si="144"/>
        <v>176</v>
      </c>
      <c r="J196" s="43">
        <f t="shared" ca="1" si="2"/>
        <v>0.92774054207952539</v>
      </c>
      <c r="K196" s="8">
        <f t="shared" si="127"/>
        <v>0.74</v>
      </c>
      <c r="L196" s="42">
        <f t="shared" ca="1" si="145"/>
        <v>155</v>
      </c>
      <c r="N196" s="43">
        <f t="shared" ca="1" si="3"/>
        <v>0.79537564040893771</v>
      </c>
      <c r="O196" s="8">
        <f t="shared" si="128"/>
        <v>0.74</v>
      </c>
      <c r="P196" s="42">
        <f t="shared" ca="1" si="146"/>
        <v>208</v>
      </c>
      <c r="R196" s="43">
        <f t="shared" ca="1" si="4"/>
        <v>0.62432250932539479</v>
      </c>
      <c r="S196" s="8">
        <f t="shared" si="129"/>
        <v>0.74</v>
      </c>
      <c r="T196" s="42">
        <f t="shared" ca="1" si="147"/>
        <v>112</v>
      </c>
      <c r="V196" s="43">
        <f t="shared" ca="1" si="5"/>
        <v>0.50829868955348767</v>
      </c>
      <c r="W196" s="8">
        <f t="shared" si="130"/>
        <v>0.74</v>
      </c>
      <c r="X196" s="42">
        <f t="shared" ca="1" si="148"/>
        <v>168</v>
      </c>
      <c r="Z196" s="43">
        <f t="shared" ca="1" si="6"/>
        <v>0.21937059224820243</v>
      </c>
      <c r="AA196" s="8">
        <f t="shared" si="131"/>
        <v>0.74</v>
      </c>
      <c r="AB196" s="42">
        <f t="shared" ca="1" si="149"/>
        <v>159</v>
      </c>
      <c r="AD196" s="43">
        <f t="shared" ca="1" si="7"/>
        <v>0.98870806531463673</v>
      </c>
      <c r="AE196" s="8">
        <f t="shared" si="132"/>
        <v>0.74</v>
      </c>
      <c r="AF196" s="42">
        <f t="shared" ca="1" si="150"/>
        <v>390</v>
      </c>
      <c r="AH196" s="43">
        <f t="shared" ca="1" si="8"/>
        <v>0.86722493332104622</v>
      </c>
      <c r="AI196" s="8">
        <f t="shared" si="133"/>
        <v>0.74</v>
      </c>
      <c r="AJ196" s="42">
        <f t="shared" ca="1" si="151"/>
        <v>164</v>
      </c>
      <c r="AL196" s="43">
        <f t="shared" ca="1" si="9"/>
        <v>0.38091619519078002</v>
      </c>
      <c r="AM196" s="8">
        <f t="shared" si="134"/>
        <v>0.74</v>
      </c>
      <c r="AN196" s="42">
        <f t="shared" ca="1" si="152"/>
        <v>158</v>
      </c>
      <c r="AP196" s="43">
        <f t="shared" ca="1" si="10"/>
        <v>0.30254460375279868</v>
      </c>
      <c r="AQ196" s="8">
        <f t="shared" si="135"/>
        <v>0.74</v>
      </c>
      <c r="AR196" s="42">
        <f t="shared" ca="1" si="153"/>
        <v>127</v>
      </c>
      <c r="AT196" s="43">
        <f t="shared" ca="1" si="11"/>
        <v>0.50780442072796605</v>
      </c>
      <c r="AU196" s="8">
        <f t="shared" si="136"/>
        <v>0.74</v>
      </c>
      <c r="AV196" s="42">
        <f t="shared" ca="1" si="154"/>
        <v>153</v>
      </c>
      <c r="AX196" s="43">
        <f t="shared" ca="1" si="12"/>
        <v>0.66507406401420888</v>
      </c>
      <c r="AY196" s="8">
        <f t="shared" si="137"/>
        <v>0.74</v>
      </c>
      <c r="AZ196" s="42">
        <f t="shared" ca="1" si="155"/>
        <v>193</v>
      </c>
      <c r="BB196" s="43">
        <f t="shared" ca="1" si="13"/>
        <v>0.91903011077494656</v>
      </c>
      <c r="BC196" s="8">
        <f t="shared" si="138"/>
        <v>0.74</v>
      </c>
      <c r="BD196" s="42">
        <f t="shared" ca="1" si="156"/>
        <v>204</v>
      </c>
      <c r="BF196" s="43">
        <f t="shared" ca="1" si="14"/>
        <v>0.59514738670826539</v>
      </c>
      <c r="BG196" s="8">
        <f t="shared" si="139"/>
        <v>0.74</v>
      </c>
      <c r="BH196" s="42">
        <f t="shared" ca="1" si="157"/>
        <v>133</v>
      </c>
      <c r="BJ196" s="43">
        <f t="shared" ca="1" si="15"/>
        <v>4.7730925326077478E-2</v>
      </c>
      <c r="BK196" s="8">
        <f t="shared" si="140"/>
        <v>0.74</v>
      </c>
      <c r="BL196" s="42">
        <f t="shared" ca="1" si="158"/>
        <v>89</v>
      </c>
      <c r="BN196" s="43">
        <f t="shared" ca="1" si="16"/>
        <v>0.81632956820092972</v>
      </c>
      <c r="BO196" s="8">
        <f t="shared" si="141"/>
        <v>0.74</v>
      </c>
      <c r="BP196" s="42">
        <f t="shared" ca="1" si="159"/>
        <v>148</v>
      </c>
      <c r="BR196" s="43">
        <f t="shared" ca="1" si="17"/>
        <v>0.5332708974438819</v>
      </c>
      <c r="BS196" s="8">
        <f t="shared" si="142"/>
        <v>0.74</v>
      </c>
      <c r="BT196" s="42">
        <f t="shared" ca="1" si="160"/>
        <v>166</v>
      </c>
    </row>
    <row r="197" spans="1:72" x14ac:dyDescent="0.2">
      <c r="A197" s="22">
        <v>44744</v>
      </c>
      <c r="B197" s="43">
        <f t="shared" ca="1" si="0"/>
        <v>0.74058583604628025</v>
      </c>
      <c r="C197" s="8">
        <f t="shared" si="125"/>
        <v>0.74</v>
      </c>
      <c r="D197" s="42">
        <f t="shared" ca="1" si="143"/>
        <v>84</v>
      </c>
      <c r="F197" s="43">
        <f t="shared" ca="1" si="1"/>
        <v>0.4634414937545468</v>
      </c>
      <c r="G197" s="8">
        <f t="shared" si="126"/>
        <v>0.74</v>
      </c>
      <c r="H197" s="42">
        <f t="shared" ca="1" si="144"/>
        <v>156</v>
      </c>
      <c r="J197" s="43">
        <f t="shared" ca="1" si="2"/>
        <v>0.86487874195928471</v>
      </c>
      <c r="K197" s="8">
        <f t="shared" si="127"/>
        <v>0.74</v>
      </c>
      <c r="L197" s="42">
        <f t="shared" ca="1" si="145"/>
        <v>144</v>
      </c>
      <c r="N197" s="43">
        <f t="shared" ca="1" si="3"/>
        <v>0.55711225246330232</v>
      </c>
      <c r="O197" s="8">
        <f t="shared" si="128"/>
        <v>0.74</v>
      </c>
      <c r="P197" s="42">
        <f t="shared" ca="1" si="146"/>
        <v>177</v>
      </c>
      <c r="R197" s="43">
        <f t="shared" ca="1" si="4"/>
        <v>2.9808485419538178E-2</v>
      </c>
      <c r="S197" s="8">
        <f t="shared" si="129"/>
        <v>0.74</v>
      </c>
      <c r="T197" s="42">
        <f t="shared" ca="1" si="147"/>
        <v>52</v>
      </c>
      <c r="V197" s="43">
        <f t="shared" ca="1" si="5"/>
        <v>0.52627410629243998</v>
      </c>
      <c r="W197" s="8">
        <f t="shared" si="130"/>
        <v>0.74</v>
      </c>
      <c r="X197" s="42">
        <f t="shared" ca="1" si="148"/>
        <v>170</v>
      </c>
      <c r="Z197" s="43">
        <f t="shared" ca="1" si="6"/>
        <v>0.29838265686151677</v>
      </c>
      <c r="AA197" s="8">
        <f t="shared" si="131"/>
        <v>0.74</v>
      </c>
      <c r="AB197" s="42">
        <f t="shared" ca="1" si="149"/>
        <v>172</v>
      </c>
      <c r="AD197" s="43">
        <f t="shared" ca="1" si="7"/>
        <v>0.64263534600800987</v>
      </c>
      <c r="AE197" s="8">
        <f t="shared" si="132"/>
        <v>0.74</v>
      </c>
      <c r="AF197" s="42">
        <f t="shared" ca="1" si="150"/>
        <v>266</v>
      </c>
      <c r="AH197" s="43">
        <f t="shared" ca="1" si="8"/>
        <v>0.91071005561468732</v>
      </c>
      <c r="AI197" s="8">
        <f t="shared" si="133"/>
        <v>0.74</v>
      </c>
      <c r="AJ197" s="42">
        <f t="shared" ca="1" si="151"/>
        <v>172</v>
      </c>
      <c r="AL197" s="43">
        <f t="shared" ca="1" si="9"/>
        <v>7.7580564422453646E-3</v>
      </c>
      <c r="AM197" s="8">
        <f t="shared" si="134"/>
        <v>0.74</v>
      </c>
      <c r="AN197" s="42">
        <f t="shared" ca="1" si="152"/>
        <v>61</v>
      </c>
      <c r="AP197" s="43">
        <f t="shared" ca="1" si="10"/>
        <v>0.84897240145710173</v>
      </c>
      <c r="AQ197" s="8">
        <f t="shared" si="135"/>
        <v>0.74</v>
      </c>
      <c r="AR197" s="42">
        <f t="shared" ca="1" si="153"/>
        <v>187</v>
      </c>
      <c r="AT197" s="43">
        <f t="shared" ca="1" si="11"/>
        <v>0.57997009766176633</v>
      </c>
      <c r="AU197" s="8">
        <f t="shared" si="136"/>
        <v>0.74</v>
      </c>
      <c r="AV197" s="42">
        <f t="shared" ca="1" si="154"/>
        <v>161</v>
      </c>
      <c r="AX197" s="43">
        <f t="shared" ca="1" si="12"/>
        <v>5.0142757224850398E-2</v>
      </c>
      <c r="AY197" s="8">
        <f t="shared" si="137"/>
        <v>0.74</v>
      </c>
      <c r="AZ197" s="42">
        <f t="shared" ca="1" si="155"/>
        <v>98</v>
      </c>
      <c r="BB197" s="43">
        <f t="shared" ca="1" si="13"/>
        <v>0.55922210059031319</v>
      </c>
      <c r="BC197" s="8">
        <f t="shared" si="138"/>
        <v>0.74</v>
      </c>
      <c r="BD197" s="42">
        <f t="shared" ca="1" si="156"/>
        <v>155</v>
      </c>
      <c r="BF197" s="43">
        <f t="shared" ca="1" si="14"/>
        <v>0.87622005306760153</v>
      </c>
      <c r="BG197" s="8">
        <f t="shared" si="139"/>
        <v>0.74</v>
      </c>
      <c r="BH197" s="42">
        <f t="shared" ca="1" si="157"/>
        <v>164</v>
      </c>
      <c r="BJ197" s="43">
        <f t="shared" ca="1" si="15"/>
        <v>0.82201895527222368</v>
      </c>
      <c r="BK197" s="8">
        <f t="shared" si="140"/>
        <v>0.74</v>
      </c>
      <c r="BL197" s="42">
        <f t="shared" ca="1" si="158"/>
        <v>199</v>
      </c>
      <c r="BN197" s="43">
        <f t="shared" ca="1" si="16"/>
        <v>0.60992637435940666</v>
      </c>
      <c r="BO197" s="8">
        <f t="shared" si="141"/>
        <v>0.74</v>
      </c>
      <c r="BP197" s="42">
        <f t="shared" ca="1" si="159"/>
        <v>128</v>
      </c>
      <c r="BR197" s="43">
        <f t="shared" ca="1" si="17"/>
        <v>0.69468618034565477</v>
      </c>
      <c r="BS197" s="8">
        <f t="shared" si="142"/>
        <v>0.74</v>
      </c>
      <c r="BT197" s="42">
        <f t="shared" ca="1" si="160"/>
        <v>185</v>
      </c>
    </row>
    <row r="198" spans="1:72" x14ac:dyDescent="0.2">
      <c r="A198" s="22">
        <v>44745</v>
      </c>
      <c r="B198" s="43">
        <f t="shared" ca="1" si="0"/>
        <v>0.10472478699408472</v>
      </c>
      <c r="C198" s="8">
        <f t="shared" si="125"/>
        <v>0.74</v>
      </c>
      <c r="D198" s="42">
        <f t="shared" ca="1" si="143"/>
        <v>56</v>
      </c>
      <c r="F198" s="43">
        <f t="shared" ca="1" si="1"/>
        <v>0.97747305524403738</v>
      </c>
      <c r="G198" s="8">
        <f t="shared" si="126"/>
        <v>0.74</v>
      </c>
      <c r="H198" s="42">
        <f t="shared" ca="1" si="144"/>
        <v>245</v>
      </c>
      <c r="J198" s="43">
        <f t="shared" ca="1" si="2"/>
        <v>0.20749118167380398</v>
      </c>
      <c r="K198" s="8">
        <f t="shared" si="127"/>
        <v>0.74</v>
      </c>
      <c r="L198" s="42">
        <f t="shared" ca="1" si="145"/>
        <v>87</v>
      </c>
      <c r="N198" s="43">
        <f t="shared" ca="1" si="3"/>
        <v>0.87563020442254325</v>
      </c>
      <c r="O198" s="8">
        <f t="shared" si="128"/>
        <v>0.74</v>
      </c>
      <c r="P198" s="42">
        <f t="shared" ca="1" si="146"/>
        <v>222</v>
      </c>
      <c r="R198" s="43">
        <f t="shared" ca="1" si="4"/>
        <v>0.44403839126019129</v>
      </c>
      <c r="S198" s="8">
        <f t="shared" si="129"/>
        <v>0.74</v>
      </c>
      <c r="T198" s="42">
        <f t="shared" ca="1" si="147"/>
        <v>99</v>
      </c>
      <c r="V198" s="43">
        <f t="shared" ca="1" si="5"/>
        <v>0.50171037729158396</v>
      </c>
      <c r="W198" s="8">
        <f t="shared" si="130"/>
        <v>0.74</v>
      </c>
      <c r="X198" s="42">
        <f t="shared" ca="1" si="148"/>
        <v>167</v>
      </c>
      <c r="Z198" s="43">
        <f t="shared" ca="1" si="6"/>
        <v>0.61809399785364927</v>
      </c>
      <c r="AA198" s="8">
        <f t="shared" si="131"/>
        <v>0.74</v>
      </c>
      <c r="AB198" s="42">
        <f t="shared" ca="1" si="149"/>
        <v>216</v>
      </c>
      <c r="AD198" s="43">
        <f t="shared" ca="1" si="7"/>
        <v>0.71096885510326591</v>
      </c>
      <c r="AE198" s="8">
        <f t="shared" si="132"/>
        <v>0.74</v>
      </c>
      <c r="AF198" s="42">
        <f t="shared" ca="1" si="150"/>
        <v>278</v>
      </c>
      <c r="AH198" s="43">
        <f t="shared" ca="1" si="8"/>
        <v>0.18895288235904939</v>
      </c>
      <c r="AI198" s="8">
        <f t="shared" si="133"/>
        <v>0.74</v>
      </c>
      <c r="AJ198" s="42">
        <f t="shared" ca="1" si="151"/>
        <v>97</v>
      </c>
      <c r="AL198" s="43">
        <f t="shared" ca="1" si="9"/>
        <v>0.50240372784120901</v>
      </c>
      <c r="AM198" s="8">
        <f t="shared" si="134"/>
        <v>0.74</v>
      </c>
      <c r="AN198" s="42">
        <f t="shared" ca="1" si="152"/>
        <v>172</v>
      </c>
      <c r="AP198" s="43">
        <f t="shared" ca="1" si="10"/>
        <v>0.44224922833101743</v>
      </c>
      <c r="AQ198" s="8">
        <f t="shared" si="135"/>
        <v>0.74</v>
      </c>
      <c r="AR198" s="42">
        <f t="shared" ca="1" si="153"/>
        <v>141</v>
      </c>
      <c r="AT198" s="43">
        <f t="shared" ca="1" si="11"/>
        <v>0.673836371797228</v>
      </c>
      <c r="AU198" s="8">
        <f t="shared" si="136"/>
        <v>0.74</v>
      </c>
      <c r="AV198" s="42">
        <f t="shared" ca="1" si="154"/>
        <v>171</v>
      </c>
      <c r="AX198" s="43">
        <f t="shared" ca="1" si="12"/>
        <v>0.95895111098438002</v>
      </c>
      <c r="AY198" s="8">
        <f t="shared" si="137"/>
        <v>0.74</v>
      </c>
      <c r="AZ198" s="42">
        <f t="shared" ca="1" si="155"/>
        <v>253</v>
      </c>
      <c r="BB198" s="43">
        <f t="shared" ca="1" si="13"/>
        <v>0.33184440986847985</v>
      </c>
      <c r="BC198" s="8">
        <f t="shared" si="138"/>
        <v>0.74</v>
      </c>
      <c r="BD198" s="42">
        <f t="shared" ca="1" si="156"/>
        <v>132</v>
      </c>
      <c r="BF198" s="43">
        <f t="shared" ca="1" si="14"/>
        <v>0.47102535448823657</v>
      </c>
      <c r="BG198" s="8">
        <f t="shared" si="139"/>
        <v>0.74</v>
      </c>
      <c r="BH198" s="42">
        <f t="shared" ca="1" si="157"/>
        <v>123</v>
      </c>
      <c r="BJ198" s="43">
        <f t="shared" ca="1" si="15"/>
        <v>0.75907600430828304</v>
      </c>
      <c r="BK198" s="8">
        <f t="shared" si="140"/>
        <v>0.74</v>
      </c>
      <c r="BL198" s="42">
        <f t="shared" ca="1" si="158"/>
        <v>190</v>
      </c>
      <c r="BN198" s="43">
        <f t="shared" ca="1" si="16"/>
        <v>0.43792356174035751</v>
      </c>
      <c r="BO198" s="8">
        <f t="shared" si="141"/>
        <v>0.74</v>
      </c>
      <c r="BP198" s="42">
        <f t="shared" ca="1" si="159"/>
        <v>114</v>
      </c>
      <c r="BR198" s="43">
        <f t="shared" ca="1" si="17"/>
        <v>0.4550435946046798</v>
      </c>
      <c r="BS198" s="8">
        <f t="shared" si="142"/>
        <v>0.74</v>
      </c>
      <c r="BT198" s="42">
        <f t="shared" ca="1" si="160"/>
        <v>158</v>
      </c>
    </row>
    <row r="199" spans="1:72" x14ac:dyDescent="0.2">
      <c r="A199" s="22">
        <v>44746</v>
      </c>
      <c r="B199" s="43">
        <f t="shared" ca="1" si="0"/>
        <v>0.45972285188829398</v>
      </c>
      <c r="C199" s="8">
        <f t="shared" si="125"/>
        <v>0.74</v>
      </c>
      <c r="D199" s="42">
        <f t="shared" ca="1" si="143"/>
        <v>73</v>
      </c>
      <c r="F199" s="43">
        <f t="shared" ca="1" si="1"/>
        <v>0.82690611000275049</v>
      </c>
      <c r="G199" s="8">
        <f t="shared" si="126"/>
        <v>0.74</v>
      </c>
      <c r="H199" s="42">
        <f t="shared" ca="1" si="144"/>
        <v>200</v>
      </c>
      <c r="J199" s="43">
        <f t="shared" ca="1" si="2"/>
        <v>0.10948111133790606</v>
      </c>
      <c r="K199" s="8">
        <f t="shared" si="127"/>
        <v>0.74</v>
      </c>
      <c r="L199" s="42">
        <f t="shared" ca="1" si="145"/>
        <v>75</v>
      </c>
      <c r="N199" s="43">
        <f t="shared" ca="1" si="3"/>
        <v>0.96404477406026357</v>
      </c>
      <c r="O199" s="8">
        <f t="shared" si="128"/>
        <v>0.74</v>
      </c>
      <c r="P199" s="42">
        <f t="shared" ca="1" si="146"/>
        <v>252</v>
      </c>
      <c r="R199" s="43">
        <f t="shared" ca="1" si="4"/>
        <v>0.21843992443575744</v>
      </c>
      <c r="S199" s="8">
        <f t="shared" si="129"/>
        <v>0.74</v>
      </c>
      <c r="T199" s="42">
        <f t="shared" ca="1" si="147"/>
        <v>82</v>
      </c>
      <c r="V199" s="43">
        <f t="shared" ca="1" si="5"/>
        <v>0.65886809777849709</v>
      </c>
      <c r="W199" s="8">
        <f t="shared" si="130"/>
        <v>0.74</v>
      </c>
      <c r="X199" s="42">
        <f t="shared" ca="1" si="148"/>
        <v>185</v>
      </c>
      <c r="Z199" s="43">
        <f t="shared" ca="1" si="6"/>
        <v>0.74821839698249637</v>
      </c>
      <c r="AA199" s="8">
        <f t="shared" si="131"/>
        <v>0.74</v>
      </c>
      <c r="AB199" s="42">
        <f t="shared" ca="1" si="149"/>
        <v>236</v>
      </c>
      <c r="AD199" s="43">
        <f t="shared" ca="1" si="7"/>
        <v>0.48024690159255656</v>
      </c>
      <c r="AE199" s="8">
        <f t="shared" si="132"/>
        <v>0.74</v>
      </c>
      <c r="AF199" s="42">
        <f t="shared" ca="1" si="150"/>
        <v>239</v>
      </c>
      <c r="AH199" s="43">
        <f t="shared" ca="1" si="8"/>
        <v>0.46958024745602189</v>
      </c>
      <c r="AI199" s="8">
        <f t="shared" si="133"/>
        <v>0.74</v>
      </c>
      <c r="AJ199" s="42">
        <f t="shared" ca="1" si="151"/>
        <v>124</v>
      </c>
      <c r="AL199" s="43">
        <f t="shared" ca="1" si="9"/>
        <v>0.85788707821319743</v>
      </c>
      <c r="AM199" s="8">
        <f t="shared" si="134"/>
        <v>0.74</v>
      </c>
      <c r="AN199" s="42">
        <f t="shared" ca="1" si="152"/>
        <v>221</v>
      </c>
      <c r="AP199" s="43">
        <f t="shared" ca="1" si="10"/>
        <v>0.22581657851846049</v>
      </c>
      <c r="AQ199" s="8">
        <f t="shared" si="135"/>
        <v>0.74</v>
      </c>
      <c r="AR199" s="42">
        <f t="shared" ca="1" si="153"/>
        <v>118</v>
      </c>
      <c r="AT199" s="43">
        <f t="shared" ca="1" si="11"/>
        <v>0.78758957397599072</v>
      </c>
      <c r="AU199" s="8">
        <f t="shared" si="136"/>
        <v>0.74</v>
      </c>
      <c r="AV199" s="42">
        <f t="shared" ca="1" si="154"/>
        <v>185</v>
      </c>
      <c r="AX199" s="43">
        <f t="shared" ca="1" si="12"/>
        <v>1.4155317850210736E-2</v>
      </c>
      <c r="AY199" s="8">
        <f t="shared" si="137"/>
        <v>0.74</v>
      </c>
      <c r="AZ199" s="42">
        <f t="shared" ca="1" si="155"/>
        <v>72</v>
      </c>
      <c r="BB199" s="43">
        <f t="shared" ca="1" si="13"/>
        <v>0.49872937861080813</v>
      </c>
      <c r="BC199" s="8">
        <f t="shared" si="138"/>
        <v>0.74</v>
      </c>
      <c r="BD199" s="42">
        <f t="shared" ca="1" si="156"/>
        <v>149</v>
      </c>
      <c r="BF199" s="43">
        <f t="shared" ca="1" si="14"/>
        <v>0.63843785071677051</v>
      </c>
      <c r="BG199" s="8">
        <f t="shared" si="139"/>
        <v>0.74</v>
      </c>
      <c r="BH199" s="42">
        <f t="shared" ca="1" si="157"/>
        <v>137</v>
      </c>
      <c r="BJ199" s="43">
        <f t="shared" ca="1" si="15"/>
        <v>0.9292267069747131</v>
      </c>
      <c r="BK199" s="8">
        <f t="shared" si="140"/>
        <v>0.74</v>
      </c>
      <c r="BL199" s="42">
        <f t="shared" ca="1" si="158"/>
        <v>223</v>
      </c>
      <c r="BN199" s="43">
        <f t="shared" ca="1" si="16"/>
        <v>0.70604776651114398</v>
      </c>
      <c r="BO199" s="8">
        <f t="shared" si="141"/>
        <v>0.74</v>
      </c>
      <c r="BP199" s="42">
        <f t="shared" ca="1" si="159"/>
        <v>137</v>
      </c>
      <c r="BR199" s="43">
        <f t="shared" ca="1" si="17"/>
        <v>0.65278367032240314</v>
      </c>
      <c r="BS199" s="8">
        <f t="shared" si="142"/>
        <v>0.74</v>
      </c>
      <c r="BT199" s="42">
        <f t="shared" ca="1" si="160"/>
        <v>180</v>
      </c>
    </row>
    <row r="200" spans="1:72" x14ac:dyDescent="0.2">
      <c r="A200" s="22">
        <v>44747</v>
      </c>
      <c r="B200" s="43">
        <f t="shared" ca="1" si="0"/>
        <v>0.76982501133993542</v>
      </c>
      <c r="C200" s="8">
        <f t="shared" si="125"/>
        <v>0.74</v>
      </c>
      <c r="D200" s="42">
        <f t="shared" ca="1" si="143"/>
        <v>85</v>
      </c>
      <c r="F200" s="43">
        <f t="shared" ca="1" si="1"/>
        <v>0.56842287339482034</v>
      </c>
      <c r="G200" s="8">
        <f t="shared" si="126"/>
        <v>0.74</v>
      </c>
      <c r="H200" s="42">
        <f t="shared" ca="1" si="144"/>
        <v>167</v>
      </c>
      <c r="J200" s="43">
        <f t="shared" ca="1" si="2"/>
        <v>8.9519187053873961E-2</v>
      </c>
      <c r="K200" s="8">
        <f t="shared" si="127"/>
        <v>0.74</v>
      </c>
      <c r="L200" s="42">
        <f t="shared" ca="1" si="145"/>
        <v>72</v>
      </c>
      <c r="N200" s="43">
        <f t="shared" ca="1" si="3"/>
        <v>0.95170366945473039</v>
      </c>
      <c r="O200" s="8">
        <f t="shared" si="128"/>
        <v>0.74</v>
      </c>
      <c r="P200" s="42">
        <f t="shared" ca="1" si="146"/>
        <v>245</v>
      </c>
      <c r="R200" s="43">
        <f t="shared" ca="1" si="4"/>
        <v>0.74202796482278055</v>
      </c>
      <c r="S200" s="8">
        <f t="shared" si="129"/>
        <v>0.74</v>
      </c>
      <c r="T200" s="42">
        <f t="shared" ca="1" si="147"/>
        <v>121</v>
      </c>
      <c r="V200" s="43">
        <f t="shared" ca="1" si="5"/>
        <v>0.89685486079361099</v>
      </c>
      <c r="W200" s="8">
        <f t="shared" si="130"/>
        <v>0.74</v>
      </c>
      <c r="X200" s="42">
        <f t="shared" ca="1" si="148"/>
        <v>223</v>
      </c>
      <c r="Z200" s="43">
        <f t="shared" ca="1" si="6"/>
        <v>0.68953447524089395</v>
      </c>
      <c r="AA200" s="8">
        <f t="shared" si="131"/>
        <v>0.74</v>
      </c>
      <c r="AB200" s="42">
        <f t="shared" ca="1" si="149"/>
        <v>227</v>
      </c>
      <c r="AD200" s="43">
        <f t="shared" ca="1" si="7"/>
        <v>0.2548097508035454</v>
      </c>
      <c r="AE200" s="8">
        <f t="shared" si="132"/>
        <v>0.74</v>
      </c>
      <c r="AF200" s="42">
        <f t="shared" ca="1" si="150"/>
        <v>200</v>
      </c>
      <c r="AH200" s="43">
        <f t="shared" ca="1" si="8"/>
        <v>0.90072504150775368</v>
      </c>
      <c r="AI200" s="8">
        <f t="shared" si="133"/>
        <v>0.74</v>
      </c>
      <c r="AJ200" s="42">
        <f t="shared" ca="1" si="151"/>
        <v>170</v>
      </c>
      <c r="AL200" s="43">
        <f t="shared" ca="1" si="9"/>
        <v>0.69407126236850147</v>
      </c>
      <c r="AM200" s="8">
        <f t="shared" si="134"/>
        <v>0.74</v>
      </c>
      <c r="AN200" s="42">
        <f t="shared" ca="1" si="152"/>
        <v>195</v>
      </c>
      <c r="AP200" s="43">
        <f t="shared" ca="1" si="10"/>
        <v>0.95559439904275312</v>
      </c>
      <c r="AQ200" s="8">
        <f t="shared" si="135"/>
        <v>0.74</v>
      </c>
      <c r="AR200" s="42">
        <f t="shared" ca="1" si="153"/>
        <v>214</v>
      </c>
      <c r="AT200" s="43">
        <f t="shared" ca="1" si="11"/>
        <v>0.84088169459087525</v>
      </c>
      <c r="AU200" s="8">
        <f t="shared" si="136"/>
        <v>0.74</v>
      </c>
      <c r="AV200" s="42">
        <f t="shared" ca="1" si="154"/>
        <v>193</v>
      </c>
      <c r="AX200" s="43">
        <f t="shared" ca="1" si="12"/>
        <v>0.80744258735341823</v>
      </c>
      <c r="AY200" s="8">
        <f t="shared" si="137"/>
        <v>0.74</v>
      </c>
      <c r="AZ200" s="42">
        <f t="shared" ca="1" si="155"/>
        <v>213</v>
      </c>
      <c r="BB200" s="43">
        <f t="shared" ca="1" si="13"/>
        <v>0.89197431503135527</v>
      </c>
      <c r="BC200" s="8">
        <f t="shared" si="138"/>
        <v>0.74</v>
      </c>
      <c r="BD200" s="42">
        <f t="shared" ca="1" si="156"/>
        <v>198</v>
      </c>
      <c r="BF200" s="43">
        <f t="shared" ca="1" si="14"/>
        <v>0.72271968489062466</v>
      </c>
      <c r="BG200" s="8">
        <f t="shared" si="139"/>
        <v>0.74</v>
      </c>
      <c r="BH200" s="42">
        <f t="shared" ca="1" si="157"/>
        <v>145</v>
      </c>
      <c r="BJ200" s="43">
        <f t="shared" ca="1" si="15"/>
        <v>0.35220697702666026</v>
      </c>
      <c r="BK200" s="8">
        <f t="shared" si="140"/>
        <v>0.74</v>
      </c>
      <c r="BL200" s="42">
        <f t="shared" ca="1" si="158"/>
        <v>144</v>
      </c>
      <c r="BN200" s="43">
        <f t="shared" ca="1" si="16"/>
        <v>0.54195840451112742</v>
      </c>
      <c r="BO200" s="8">
        <f t="shared" si="141"/>
        <v>0.74</v>
      </c>
      <c r="BP200" s="42">
        <f t="shared" ca="1" si="159"/>
        <v>123</v>
      </c>
      <c r="BR200" s="43">
        <f t="shared" ca="1" si="17"/>
        <v>0.20579459029892344</v>
      </c>
      <c r="BS200" s="8">
        <f t="shared" si="142"/>
        <v>0.74</v>
      </c>
      <c r="BT200" s="42">
        <f t="shared" ca="1" si="160"/>
        <v>127</v>
      </c>
    </row>
    <row r="201" spans="1:72" x14ac:dyDescent="0.2">
      <c r="A201" s="22">
        <v>44748</v>
      </c>
      <c r="B201" s="43">
        <f t="shared" ca="1" si="0"/>
        <v>0.34264496580287362</v>
      </c>
      <c r="C201" s="8">
        <f t="shared" si="125"/>
        <v>0.74</v>
      </c>
      <c r="D201" s="42">
        <f t="shared" ca="1" si="143"/>
        <v>69</v>
      </c>
      <c r="F201" s="43">
        <f t="shared" ca="1" si="1"/>
        <v>0.69832525762863029</v>
      </c>
      <c r="G201" s="8">
        <f t="shared" si="126"/>
        <v>0.74</v>
      </c>
      <c r="H201" s="42">
        <f t="shared" ca="1" si="144"/>
        <v>182</v>
      </c>
      <c r="J201" s="43">
        <f t="shared" ca="1" si="2"/>
        <v>0.22751860138298485</v>
      </c>
      <c r="K201" s="8">
        <f t="shared" si="127"/>
        <v>0.74</v>
      </c>
      <c r="L201" s="42">
        <f t="shared" ca="1" si="145"/>
        <v>89</v>
      </c>
      <c r="N201" s="43">
        <f t="shared" ca="1" si="3"/>
        <v>0.99171010490448885</v>
      </c>
      <c r="O201" s="8">
        <f t="shared" si="128"/>
        <v>0.74</v>
      </c>
      <c r="P201" s="42">
        <f t="shared" ca="1" si="146"/>
        <v>279</v>
      </c>
      <c r="R201" s="43">
        <f t="shared" ca="1" si="4"/>
        <v>0.97187467482364598</v>
      </c>
      <c r="S201" s="8">
        <f t="shared" si="129"/>
        <v>0.74</v>
      </c>
      <c r="T201" s="42">
        <f t="shared" ca="1" si="147"/>
        <v>155</v>
      </c>
      <c r="V201" s="43">
        <f t="shared" ca="1" si="5"/>
        <v>4.4249421825102053E-2</v>
      </c>
      <c r="W201" s="8">
        <f t="shared" si="130"/>
        <v>0.74</v>
      </c>
      <c r="X201" s="42">
        <f t="shared" ca="1" si="148"/>
        <v>91</v>
      </c>
      <c r="Z201" s="43">
        <f t="shared" ca="1" si="6"/>
        <v>0.41568712473573044</v>
      </c>
      <c r="AA201" s="8">
        <f t="shared" si="131"/>
        <v>0.74</v>
      </c>
      <c r="AB201" s="42">
        <f t="shared" ca="1" si="149"/>
        <v>189</v>
      </c>
      <c r="AD201" s="43">
        <f t="shared" ca="1" si="7"/>
        <v>5.1487580191426074E-2</v>
      </c>
      <c r="AE201" s="8">
        <f t="shared" si="132"/>
        <v>0.74</v>
      </c>
      <c r="AF201" s="42">
        <f t="shared" ca="1" si="150"/>
        <v>137</v>
      </c>
      <c r="AH201" s="43">
        <f t="shared" ca="1" si="8"/>
        <v>0.7148603326703391</v>
      </c>
      <c r="AI201" s="8">
        <f t="shared" si="133"/>
        <v>0.74</v>
      </c>
      <c r="AJ201" s="42">
        <f t="shared" ca="1" si="151"/>
        <v>146</v>
      </c>
      <c r="AL201" s="43">
        <f t="shared" ca="1" si="9"/>
        <v>0.33948143501900352</v>
      </c>
      <c r="AM201" s="8">
        <f t="shared" si="134"/>
        <v>0.74</v>
      </c>
      <c r="AN201" s="42">
        <f t="shared" ca="1" si="152"/>
        <v>153</v>
      </c>
      <c r="AP201" s="43">
        <f t="shared" ca="1" si="10"/>
        <v>0.92658010452989736</v>
      </c>
      <c r="AQ201" s="8">
        <f t="shared" si="135"/>
        <v>0.74</v>
      </c>
      <c r="AR201" s="42">
        <f t="shared" ca="1" si="153"/>
        <v>204</v>
      </c>
      <c r="AT201" s="43">
        <f t="shared" ca="1" si="11"/>
        <v>0.3472125451902085</v>
      </c>
      <c r="AU201" s="8">
        <f t="shared" si="136"/>
        <v>0.74</v>
      </c>
      <c r="AV201" s="42">
        <f t="shared" ca="1" si="154"/>
        <v>137</v>
      </c>
      <c r="AX201" s="43">
        <f t="shared" ca="1" si="12"/>
        <v>0.81800579629874126</v>
      </c>
      <c r="AY201" s="8">
        <f t="shared" si="137"/>
        <v>0.74</v>
      </c>
      <c r="AZ201" s="42">
        <f t="shared" ca="1" si="155"/>
        <v>215</v>
      </c>
      <c r="BB201" s="43">
        <f t="shared" ca="1" si="13"/>
        <v>0.86249487337235808</v>
      </c>
      <c r="BC201" s="8">
        <f t="shared" si="138"/>
        <v>0.74</v>
      </c>
      <c r="BD201" s="42">
        <f t="shared" ca="1" si="156"/>
        <v>192</v>
      </c>
      <c r="BF201" s="43">
        <f t="shared" ca="1" si="14"/>
        <v>7.4851443362503933E-2</v>
      </c>
      <c r="BG201" s="8">
        <f t="shared" si="139"/>
        <v>0.74</v>
      </c>
      <c r="BH201" s="42">
        <f t="shared" ca="1" si="157"/>
        <v>77</v>
      </c>
      <c r="BJ201" s="43">
        <f t="shared" ca="1" si="15"/>
        <v>0.42124054952380963</v>
      </c>
      <c r="BK201" s="8">
        <f t="shared" si="140"/>
        <v>0.74</v>
      </c>
      <c r="BL201" s="42">
        <f t="shared" ca="1" si="158"/>
        <v>152</v>
      </c>
      <c r="BN201" s="43">
        <f t="shared" ca="1" si="16"/>
        <v>9.8233088246418299E-2</v>
      </c>
      <c r="BO201" s="8">
        <f t="shared" si="141"/>
        <v>0.74</v>
      </c>
      <c r="BP201" s="42">
        <f t="shared" ca="1" si="159"/>
        <v>78</v>
      </c>
      <c r="BR201" s="43">
        <f t="shared" ca="1" si="17"/>
        <v>0.50653757758452</v>
      </c>
      <c r="BS201" s="8">
        <f t="shared" si="142"/>
        <v>0.74</v>
      </c>
      <c r="BT201" s="42">
        <f t="shared" ca="1" si="160"/>
        <v>163</v>
      </c>
    </row>
    <row r="202" spans="1:72" x14ac:dyDescent="0.2">
      <c r="A202" s="22">
        <v>44749</v>
      </c>
      <c r="B202" s="43">
        <f t="shared" ca="1" si="0"/>
        <v>0.904096855763449</v>
      </c>
      <c r="C202" s="8">
        <v>1</v>
      </c>
      <c r="D202" s="42">
        <v>0</v>
      </c>
      <c r="F202" s="43">
        <f t="shared" ca="1" si="1"/>
        <v>0.61529666742998501</v>
      </c>
      <c r="G202" s="8">
        <v>1</v>
      </c>
      <c r="H202" s="42">
        <v>0</v>
      </c>
      <c r="J202" s="43">
        <f t="shared" ca="1" si="2"/>
        <v>0.40299345022728106</v>
      </c>
      <c r="K202" s="8">
        <v>1</v>
      </c>
      <c r="L202" s="42">
        <v>0</v>
      </c>
      <c r="N202" s="43">
        <f t="shared" ca="1" si="3"/>
        <v>0.75317385610510879</v>
      </c>
      <c r="O202" s="8">
        <v>1</v>
      </c>
      <c r="P202" s="42">
        <v>0</v>
      </c>
      <c r="R202" s="43">
        <f t="shared" ca="1" si="4"/>
        <v>0.24311113210607382</v>
      </c>
      <c r="S202" s="8">
        <v>1</v>
      </c>
      <c r="T202" s="42">
        <v>0</v>
      </c>
      <c r="V202" s="43">
        <f t="shared" ca="1" si="5"/>
        <v>0.93790248759459527</v>
      </c>
      <c r="W202" s="8">
        <v>1</v>
      </c>
      <c r="X202" s="42">
        <v>0</v>
      </c>
      <c r="Z202" s="43">
        <f t="shared" ca="1" si="6"/>
        <v>0.51484423435900917</v>
      </c>
      <c r="AA202" s="8">
        <v>1</v>
      </c>
      <c r="AB202" s="42">
        <v>0</v>
      </c>
      <c r="AD202" s="43">
        <f t="shared" ca="1" si="7"/>
        <v>0.21722362014815477</v>
      </c>
      <c r="AE202" s="8">
        <v>1</v>
      </c>
      <c r="AF202" s="42">
        <v>0</v>
      </c>
      <c r="AH202" s="43">
        <f t="shared" ca="1" si="8"/>
        <v>0.56721685466047078</v>
      </c>
      <c r="AI202" s="8">
        <v>1</v>
      </c>
      <c r="AJ202" s="42">
        <v>0</v>
      </c>
      <c r="AL202" s="43">
        <f t="shared" ca="1" si="9"/>
        <v>0.77560446680491857</v>
      </c>
      <c r="AM202" s="8">
        <v>1</v>
      </c>
      <c r="AN202" s="42">
        <v>0</v>
      </c>
      <c r="AP202" s="43">
        <f t="shared" ca="1" si="10"/>
        <v>0.98134243319757875</v>
      </c>
      <c r="AQ202" s="8">
        <v>1</v>
      </c>
      <c r="AR202" s="42">
        <v>0</v>
      </c>
      <c r="AT202" s="43">
        <f t="shared" ca="1" si="11"/>
        <v>0.98662752837968126</v>
      </c>
      <c r="AU202" s="8">
        <v>1</v>
      </c>
      <c r="AV202" s="42">
        <v>0</v>
      </c>
      <c r="AX202" s="43">
        <f t="shared" ca="1" si="12"/>
        <v>0.4783837597803583</v>
      </c>
      <c r="AY202" s="8">
        <v>1</v>
      </c>
      <c r="AZ202" s="42">
        <v>0</v>
      </c>
      <c r="BB202" s="43">
        <f t="shared" ca="1" si="13"/>
        <v>0.67764499949238888</v>
      </c>
      <c r="BC202" s="8">
        <v>1</v>
      </c>
      <c r="BD202" s="42">
        <v>0</v>
      </c>
      <c r="BF202" s="43">
        <f t="shared" ca="1" si="14"/>
        <v>0.1053549555852491</v>
      </c>
      <c r="BG202" s="8">
        <v>1</v>
      </c>
      <c r="BH202" s="42">
        <v>0</v>
      </c>
      <c r="BJ202" s="43">
        <f t="shared" ca="1" si="15"/>
        <v>0.41305251833732159</v>
      </c>
      <c r="BK202" s="8">
        <v>1</v>
      </c>
      <c r="BL202" s="42">
        <v>0</v>
      </c>
      <c r="BN202" s="43">
        <f t="shared" ca="1" si="16"/>
        <v>0.36499826643575017</v>
      </c>
      <c r="BO202" s="8">
        <v>1</v>
      </c>
      <c r="BP202" s="42">
        <v>0</v>
      </c>
      <c r="BR202" s="43">
        <f t="shared" ca="1" si="17"/>
        <v>0.42592497035185994</v>
      </c>
      <c r="BS202" s="8">
        <v>1</v>
      </c>
      <c r="BT202" s="42">
        <v>0</v>
      </c>
    </row>
    <row r="203" spans="1:72" x14ac:dyDescent="0.2">
      <c r="A203" s="22">
        <v>44750</v>
      </c>
      <c r="B203" s="43">
        <f t="shared" ca="1" si="0"/>
        <v>0.75902131309522269</v>
      </c>
      <c r="C203" s="8">
        <v>1</v>
      </c>
      <c r="D203" s="42">
        <v>0</v>
      </c>
      <c r="F203" s="43">
        <f t="shared" ca="1" si="1"/>
        <v>0.64043850059525687</v>
      </c>
      <c r="G203" s="8">
        <v>1</v>
      </c>
      <c r="H203" s="42">
        <v>0</v>
      </c>
      <c r="J203" s="43">
        <f t="shared" ca="1" si="2"/>
        <v>0.86862797944813652</v>
      </c>
      <c r="K203" s="8">
        <v>1</v>
      </c>
      <c r="L203" s="42">
        <v>0</v>
      </c>
      <c r="N203" s="43">
        <f t="shared" ca="1" si="3"/>
        <v>0.51022547138070995</v>
      </c>
      <c r="O203" s="8">
        <v>1</v>
      </c>
      <c r="P203" s="42">
        <v>0</v>
      </c>
      <c r="R203" s="43">
        <f t="shared" ca="1" si="4"/>
        <v>0.12557051129747887</v>
      </c>
      <c r="S203" s="8">
        <v>1</v>
      </c>
      <c r="T203" s="42">
        <v>0</v>
      </c>
      <c r="V203" s="43">
        <f t="shared" ca="1" si="5"/>
        <v>0.41900249444895166</v>
      </c>
      <c r="W203" s="8">
        <v>1</v>
      </c>
      <c r="X203" s="42">
        <v>0</v>
      </c>
      <c r="Z203" s="43">
        <f t="shared" ca="1" si="6"/>
        <v>0.58352402187308061</v>
      </c>
      <c r="AA203" s="8">
        <v>1</v>
      </c>
      <c r="AB203" s="42">
        <v>0</v>
      </c>
      <c r="AD203" s="43">
        <f t="shared" ca="1" si="7"/>
        <v>0.7136925440287899</v>
      </c>
      <c r="AE203" s="8">
        <v>1</v>
      </c>
      <c r="AF203" s="42">
        <v>0</v>
      </c>
      <c r="AH203" s="43">
        <f t="shared" ca="1" si="8"/>
        <v>0.35270379564192378</v>
      </c>
      <c r="AI203" s="8">
        <v>1</v>
      </c>
      <c r="AJ203" s="42">
        <v>0</v>
      </c>
      <c r="AL203" s="43">
        <f t="shared" ca="1" si="9"/>
        <v>0.25294546744012891</v>
      </c>
      <c r="AM203" s="8">
        <v>1</v>
      </c>
      <c r="AN203" s="42">
        <v>0</v>
      </c>
      <c r="AP203" s="43">
        <f t="shared" ca="1" si="10"/>
        <v>5.3223196070810608E-2</v>
      </c>
      <c r="AQ203" s="8">
        <v>1</v>
      </c>
      <c r="AR203" s="42">
        <v>0</v>
      </c>
      <c r="AT203" s="43">
        <f t="shared" ca="1" si="11"/>
        <v>0.53053525381468303</v>
      </c>
      <c r="AU203" s="8">
        <v>1</v>
      </c>
      <c r="AV203" s="42">
        <v>0</v>
      </c>
      <c r="AX203" s="43">
        <f t="shared" ca="1" si="12"/>
        <v>0.66715699260286954</v>
      </c>
      <c r="AY203" s="8">
        <v>1</v>
      </c>
      <c r="AZ203" s="42">
        <v>0</v>
      </c>
      <c r="BB203" s="43">
        <f t="shared" ca="1" si="13"/>
        <v>7.0623485978215661E-2</v>
      </c>
      <c r="BC203" s="8">
        <v>1</v>
      </c>
      <c r="BD203" s="42">
        <v>0</v>
      </c>
      <c r="BF203" s="43">
        <f t="shared" ca="1" si="14"/>
        <v>0.9431891995888898</v>
      </c>
      <c r="BG203" s="8">
        <v>1</v>
      </c>
      <c r="BH203" s="42">
        <v>0</v>
      </c>
      <c r="BJ203" s="43">
        <f t="shared" ca="1" si="15"/>
        <v>0.96666206542166955</v>
      </c>
      <c r="BK203" s="8">
        <v>1</v>
      </c>
      <c r="BL203" s="42">
        <v>0</v>
      </c>
      <c r="BN203" s="43">
        <f t="shared" ca="1" si="16"/>
        <v>0.51809163112727874</v>
      </c>
      <c r="BO203" s="8">
        <v>1</v>
      </c>
      <c r="BP203" s="42">
        <v>0</v>
      </c>
      <c r="BR203" s="43">
        <f t="shared" ca="1" si="17"/>
        <v>0.98581854423011706</v>
      </c>
      <c r="BS203" s="8">
        <v>1</v>
      </c>
      <c r="BT203" s="42">
        <v>0</v>
      </c>
    </row>
    <row r="204" spans="1:72" x14ac:dyDescent="0.2">
      <c r="A204" s="22">
        <v>44751</v>
      </c>
      <c r="B204" s="43">
        <f t="shared" ca="1" si="0"/>
        <v>0.59577768786724739</v>
      </c>
      <c r="C204" s="8">
        <v>1</v>
      </c>
      <c r="D204" s="42">
        <v>0</v>
      </c>
      <c r="F204" s="43">
        <f t="shared" ca="1" si="1"/>
        <v>0.69003215095988868</v>
      </c>
      <c r="G204" s="8">
        <v>1</v>
      </c>
      <c r="H204" s="42">
        <v>0</v>
      </c>
      <c r="J204" s="43">
        <f t="shared" ca="1" si="2"/>
        <v>0.9740065377389131</v>
      </c>
      <c r="K204" s="8">
        <v>1</v>
      </c>
      <c r="L204" s="42">
        <v>0</v>
      </c>
      <c r="N204" s="43">
        <f t="shared" ca="1" si="3"/>
        <v>9.9406480768534089E-2</v>
      </c>
      <c r="O204" s="8">
        <v>1</v>
      </c>
      <c r="P204" s="42">
        <v>0</v>
      </c>
      <c r="R204" s="43">
        <f t="shared" ca="1" si="4"/>
        <v>0.92490253834462099</v>
      </c>
      <c r="S204" s="8">
        <v>1</v>
      </c>
      <c r="T204" s="42">
        <v>0</v>
      </c>
      <c r="V204" s="43">
        <f t="shared" ca="1" si="5"/>
        <v>0.16910584751243363</v>
      </c>
      <c r="W204" s="8">
        <v>1</v>
      </c>
      <c r="X204" s="42">
        <v>0</v>
      </c>
      <c r="Z204" s="43">
        <f t="shared" ca="1" si="6"/>
        <v>0.80936444935578356</v>
      </c>
      <c r="AA204" s="8">
        <v>1</v>
      </c>
      <c r="AB204" s="42">
        <v>0</v>
      </c>
      <c r="AD204" s="43">
        <f t="shared" ca="1" si="7"/>
        <v>0.99278738137666589</v>
      </c>
      <c r="AE204" s="8">
        <v>1</v>
      </c>
      <c r="AF204" s="42">
        <v>0</v>
      </c>
      <c r="AH204" s="43">
        <f t="shared" ca="1" si="8"/>
        <v>0.2254665200838688</v>
      </c>
      <c r="AI204" s="8">
        <v>1</v>
      </c>
      <c r="AJ204" s="42">
        <v>0</v>
      </c>
      <c r="AL204" s="43">
        <f t="shared" ca="1" si="9"/>
        <v>0.51650954375307534</v>
      </c>
      <c r="AM204" s="8">
        <v>1</v>
      </c>
      <c r="AN204" s="42">
        <v>0</v>
      </c>
      <c r="AP204" s="43">
        <f t="shared" ca="1" si="10"/>
        <v>0.68307304120182888</v>
      </c>
      <c r="AQ204" s="8">
        <v>1</v>
      </c>
      <c r="AR204" s="42">
        <v>0</v>
      </c>
      <c r="AT204" s="43">
        <f t="shared" ca="1" si="11"/>
        <v>0.9659332675758262</v>
      </c>
      <c r="AU204" s="8">
        <v>1</v>
      </c>
      <c r="AV204" s="42">
        <v>0</v>
      </c>
      <c r="AX204" s="43">
        <f t="shared" ca="1" si="12"/>
        <v>0.19378041163830761</v>
      </c>
      <c r="AY204" s="8">
        <v>1</v>
      </c>
      <c r="AZ204" s="42">
        <v>0</v>
      </c>
      <c r="BB204" s="43">
        <f t="shared" ca="1" si="13"/>
        <v>0.77762192415223996</v>
      </c>
      <c r="BC204" s="8">
        <v>1</v>
      </c>
      <c r="BD204" s="42">
        <v>0</v>
      </c>
      <c r="BF204" s="43">
        <f t="shared" ca="1" si="14"/>
        <v>0.87886979766369322</v>
      </c>
      <c r="BG204" s="8">
        <v>1</v>
      </c>
      <c r="BH204" s="42">
        <v>0</v>
      </c>
      <c r="BJ204" s="43">
        <f t="shared" ca="1" si="15"/>
        <v>0.90839512579837056</v>
      </c>
      <c r="BK204" s="8">
        <v>1</v>
      </c>
      <c r="BL204" s="42">
        <v>0</v>
      </c>
      <c r="BN204" s="43">
        <f t="shared" ca="1" si="16"/>
        <v>0.25483859321038671</v>
      </c>
      <c r="BO204" s="8">
        <v>1</v>
      </c>
      <c r="BP204" s="42">
        <v>0</v>
      </c>
      <c r="BR204" s="43">
        <f t="shared" ca="1" si="17"/>
        <v>0.14427914178792811</v>
      </c>
      <c r="BS204" s="8">
        <v>1</v>
      </c>
      <c r="BT204" s="42">
        <v>0</v>
      </c>
    </row>
    <row r="205" spans="1:72" x14ac:dyDescent="0.2">
      <c r="A205" s="22">
        <v>44752</v>
      </c>
      <c r="B205" s="43">
        <f t="shared" ca="1" si="0"/>
        <v>0.94523795059685978</v>
      </c>
      <c r="C205" s="8">
        <v>1</v>
      </c>
      <c r="D205" s="42">
        <v>0</v>
      </c>
      <c r="F205" s="43">
        <f t="shared" ca="1" si="1"/>
        <v>0.45622859942128957</v>
      </c>
      <c r="G205" s="8">
        <v>1</v>
      </c>
      <c r="H205" s="42">
        <v>0</v>
      </c>
      <c r="J205" s="43">
        <f t="shared" ca="1" si="2"/>
        <v>0.16478079098263188</v>
      </c>
      <c r="K205" s="8">
        <v>1</v>
      </c>
      <c r="L205" s="42">
        <v>0</v>
      </c>
      <c r="N205" s="43">
        <f t="shared" ca="1" si="3"/>
        <v>0.4134567603128193</v>
      </c>
      <c r="O205" s="8">
        <v>1</v>
      </c>
      <c r="P205" s="42">
        <v>0</v>
      </c>
      <c r="R205" s="43">
        <f t="shared" ca="1" si="4"/>
        <v>0.51674852400008953</v>
      </c>
      <c r="S205" s="8">
        <v>1</v>
      </c>
      <c r="T205" s="42">
        <v>0</v>
      </c>
      <c r="V205" s="43">
        <f t="shared" ca="1" si="5"/>
        <v>0.62426353224359965</v>
      </c>
      <c r="W205" s="8">
        <v>1</v>
      </c>
      <c r="X205" s="42">
        <v>0</v>
      </c>
      <c r="Z205" s="43">
        <f t="shared" ca="1" si="6"/>
        <v>0.63185965930707111</v>
      </c>
      <c r="AA205" s="8">
        <v>1</v>
      </c>
      <c r="AB205" s="42">
        <v>0</v>
      </c>
      <c r="AD205" s="43">
        <f t="shared" ca="1" si="7"/>
        <v>0.84503107322813575</v>
      </c>
      <c r="AE205" s="8">
        <v>1</v>
      </c>
      <c r="AF205" s="42">
        <v>0</v>
      </c>
      <c r="AH205" s="43">
        <f t="shared" ca="1" si="8"/>
        <v>0.55232827259367001</v>
      </c>
      <c r="AI205" s="8">
        <v>1</v>
      </c>
      <c r="AJ205" s="42">
        <v>0</v>
      </c>
      <c r="AL205" s="43">
        <f t="shared" ca="1" si="9"/>
        <v>0.52876363025830175</v>
      </c>
      <c r="AM205" s="8">
        <v>1</v>
      </c>
      <c r="AN205" s="42">
        <v>0</v>
      </c>
      <c r="AP205" s="43">
        <f t="shared" ca="1" si="10"/>
        <v>0.56700376622540904</v>
      </c>
      <c r="AQ205" s="8">
        <v>1</v>
      </c>
      <c r="AR205" s="42">
        <v>0</v>
      </c>
      <c r="AT205" s="43">
        <f t="shared" ca="1" si="11"/>
        <v>0.24029086578018388</v>
      </c>
      <c r="AU205" s="8">
        <v>1</v>
      </c>
      <c r="AV205" s="42">
        <v>0</v>
      </c>
      <c r="AX205" s="43">
        <f t="shared" ca="1" si="12"/>
        <v>0.71266547156806093</v>
      </c>
      <c r="AY205" s="8">
        <v>1</v>
      </c>
      <c r="AZ205" s="42">
        <v>0</v>
      </c>
      <c r="BB205" s="43">
        <f t="shared" ca="1" si="13"/>
        <v>0.31766156135658929</v>
      </c>
      <c r="BC205" s="8">
        <v>1</v>
      </c>
      <c r="BD205" s="42">
        <v>0</v>
      </c>
      <c r="BF205" s="43">
        <f t="shared" ca="1" si="14"/>
        <v>0.45612209942848703</v>
      </c>
      <c r="BG205" s="8">
        <v>1</v>
      </c>
      <c r="BH205" s="42">
        <v>0</v>
      </c>
      <c r="BJ205" s="43">
        <f t="shared" ca="1" si="15"/>
        <v>0.24940033113993798</v>
      </c>
      <c r="BK205" s="8">
        <v>1</v>
      </c>
      <c r="BL205" s="42">
        <v>0</v>
      </c>
      <c r="BN205" s="43">
        <f t="shared" ca="1" si="16"/>
        <v>0.33525269854730511</v>
      </c>
      <c r="BO205" s="8">
        <v>1</v>
      </c>
      <c r="BP205" s="42">
        <v>0</v>
      </c>
      <c r="BR205" s="43">
        <f t="shared" ca="1" si="17"/>
        <v>9.0444962834329012E-2</v>
      </c>
      <c r="BS205" s="8">
        <v>1</v>
      </c>
      <c r="BT205" s="42">
        <v>0</v>
      </c>
    </row>
    <row r="206" spans="1:72" x14ac:dyDescent="0.2">
      <c r="A206" s="22">
        <v>44753</v>
      </c>
      <c r="B206" s="43">
        <f t="shared" ca="1" si="0"/>
        <v>5.5315452818018862E-2</v>
      </c>
      <c r="C206" s="8">
        <v>1</v>
      </c>
      <c r="D206" s="42">
        <v>0</v>
      </c>
      <c r="F206" s="43">
        <f t="shared" ca="1" si="1"/>
        <v>0.17355272145479894</v>
      </c>
      <c r="G206" s="8">
        <v>1</v>
      </c>
      <c r="H206" s="42">
        <v>0</v>
      </c>
      <c r="J206" s="43">
        <f t="shared" ca="1" si="2"/>
        <v>0.72081802533087203</v>
      </c>
      <c r="K206" s="8">
        <v>1</v>
      </c>
      <c r="L206" s="42">
        <v>0</v>
      </c>
      <c r="N206" s="43">
        <f t="shared" ca="1" si="3"/>
        <v>0.78565692956488054</v>
      </c>
      <c r="O206" s="8">
        <v>1</v>
      </c>
      <c r="P206" s="42">
        <v>0</v>
      </c>
      <c r="R206" s="43">
        <f t="shared" ca="1" si="4"/>
        <v>0.19938054131050709</v>
      </c>
      <c r="S206" s="8">
        <v>1</v>
      </c>
      <c r="T206" s="42">
        <v>0</v>
      </c>
      <c r="V206" s="43">
        <f t="shared" ca="1" si="5"/>
        <v>0.15386550461611403</v>
      </c>
      <c r="W206" s="8">
        <v>1</v>
      </c>
      <c r="X206" s="42">
        <v>0</v>
      </c>
      <c r="Z206" s="43">
        <f t="shared" ca="1" si="6"/>
        <v>0.38249320653975039</v>
      </c>
      <c r="AA206" s="8">
        <v>1</v>
      </c>
      <c r="AB206" s="42">
        <v>0</v>
      </c>
      <c r="AD206" s="43">
        <f t="shared" ca="1" si="7"/>
        <v>0.95713842736103893</v>
      </c>
      <c r="AE206" s="8">
        <v>1</v>
      </c>
      <c r="AF206" s="42">
        <v>0</v>
      </c>
      <c r="AH206" s="43">
        <f t="shared" ca="1" si="8"/>
        <v>8.9602398371638414E-2</v>
      </c>
      <c r="AI206" s="8">
        <v>1</v>
      </c>
      <c r="AJ206" s="42">
        <v>0</v>
      </c>
      <c r="AL206" s="43">
        <f t="shared" ca="1" si="9"/>
        <v>0.92339309642048606</v>
      </c>
      <c r="AM206" s="8">
        <v>1</v>
      </c>
      <c r="AN206" s="42">
        <v>0</v>
      </c>
      <c r="AP206" s="43">
        <f t="shared" ca="1" si="10"/>
        <v>0.3779904438449827</v>
      </c>
      <c r="AQ206" s="8">
        <v>1</v>
      </c>
      <c r="AR206" s="42">
        <v>0</v>
      </c>
      <c r="AT206" s="43">
        <f t="shared" ca="1" si="11"/>
        <v>0.87709464699663953</v>
      </c>
      <c r="AU206" s="8">
        <v>1</v>
      </c>
      <c r="AV206" s="42">
        <v>0</v>
      </c>
      <c r="AX206" s="43">
        <f t="shared" ca="1" si="12"/>
        <v>0.34945204185194967</v>
      </c>
      <c r="AY206" s="8">
        <v>1</v>
      </c>
      <c r="AZ206" s="42">
        <v>0</v>
      </c>
      <c r="BB206" s="43">
        <f t="shared" ca="1" si="13"/>
        <v>0.16597766803985248</v>
      </c>
      <c r="BC206" s="8">
        <v>1</v>
      </c>
      <c r="BD206" s="42">
        <v>0</v>
      </c>
      <c r="BF206" s="43">
        <f t="shared" ca="1" si="14"/>
        <v>0.35593131433263769</v>
      </c>
      <c r="BG206" s="8">
        <v>1</v>
      </c>
      <c r="BH206" s="42">
        <v>0</v>
      </c>
      <c r="BJ206" s="43">
        <f t="shared" ca="1" si="15"/>
        <v>0.53982650270911048</v>
      </c>
      <c r="BK206" s="8">
        <v>1</v>
      </c>
      <c r="BL206" s="42">
        <v>0</v>
      </c>
      <c r="BN206" s="43">
        <f t="shared" ca="1" si="16"/>
        <v>0.26594565131522419</v>
      </c>
      <c r="BO206" s="8">
        <v>1</v>
      </c>
      <c r="BP206" s="42">
        <v>0</v>
      </c>
      <c r="BR206" s="43">
        <f t="shared" ca="1" si="17"/>
        <v>0.96994872263256149</v>
      </c>
      <c r="BS206" s="8">
        <v>1</v>
      </c>
      <c r="BT206" s="42">
        <v>0</v>
      </c>
    </row>
    <row r="207" spans="1:72" x14ac:dyDescent="0.2">
      <c r="A207" s="22">
        <v>44754</v>
      </c>
      <c r="B207" s="43">
        <f t="shared" ca="1" si="0"/>
        <v>0.54102583556513606</v>
      </c>
      <c r="C207" s="8">
        <v>1</v>
      </c>
      <c r="D207" s="42">
        <v>0</v>
      </c>
      <c r="F207" s="43">
        <f t="shared" ca="1" si="1"/>
        <v>0.13457845988808348</v>
      </c>
      <c r="G207" s="8">
        <v>1</v>
      </c>
      <c r="H207" s="42">
        <v>0</v>
      </c>
      <c r="J207" s="43">
        <f t="shared" ca="1" si="2"/>
        <v>0.49898033164062428</v>
      </c>
      <c r="K207" s="8">
        <v>1</v>
      </c>
      <c r="L207" s="42">
        <v>0</v>
      </c>
      <c r="N207" s="43">
        <f t="shared" ca="1" si="3"/>
        <v>0.56517251383142575</v>
      </c>
      <c r="O207" s="8">
        <v>1</v>
      </c>
      <c r="P207" s="42">
        <v>0</v>
      </c>
      <c r="R207" s="43">
        <f t="shared" ca="1" si="4"/>
        <v>0.45652756610108181</v>
      </c>
      <c r="S207" s="8">
        <v>1</v>
      </c>
      <c r="T207" s="42">
        <v>0</v>
      </c>
      <c r="V207" s="43">
        <f t="shared" ca="1" si="5"/>
        <v>0.5871356796695022</v>
      </c>
      <c r="W207" s="8">
        <v>1</v>
      </c>
      <c r="X207" s="42">
        <v>0</v>
      </c>
      <c r="Z207" s="43">
        <f t="shared" ca="1" si="6"/>
        <v>0.16652033446840731</v>
      </c>
      <c r="AA207" s="8">
        <v>1</v>
      </c>
      <c r="AB207" s="42">
        <v>0</v>
      </c>
      <c r="AD207" s="43">
        <f t="shared" ca="1" si="7"/>
        <v>0.33840149216476612</v>
      </c>
      <c r="AE207" s="8">
        <v>1</v>
      </c>
      <c r="AF207" s="42">
        <v>0</v>
      </c>
      <c r="AH207" s="43">
        <f t="shared" ca="1" si="8"/>
        <v>0.27664255494781276</v>
      </c>
      <c r="AI207" s="8">
        <v>1</v>
      </c>
      <c r="AJ207" s="42">
        <v>0</v>
      </c>
      <c r="AL207" s="43">
        <f t="shared" ca="1" si="9"/>
        <v>0.24725193184238237</v>
      </c>
      <c r="AM207" s="8">
        <v>1</v>
      </c>
      <c r="AN207" s="42">
        <v>0</v>
      </c>
      <c r="AP207" s="43">
        <f t="shared" ca="1" si="10"/>
        <v>0.37067244941442112</v>
      </c>
      <c r="AQ207" s="8">
        <v>1</v>
      </c>
      <c r="AR207" s="42">
        <v>0</v>
      </c>
      <c r="AT207" s="43">
        <f t="shared" ca="1" si="11"/>
        <v>0.57127381784180342</v>
      </c>
      <c r="AU207" s="8">
        <v>1</v>
      </c>
      <c r="AV207" s="42">
        <v>0</v>
      </c>
      <c r="AX207" s="43">
        <f t="shared" ca="1" si="12"/>
        <v>0.92566663163009688</v>
      </c>
      <c r="AY207" s="8">
        <v>1</v>
      </c>
      <c r="AZ207" s="42">
        <v>0</v>
      </c>
      <c r="BB207" s="43">
        <f t="shared" ca="1" si="13"/>
        <v>4.1589530641909844E-2</v>
      </c>
      <c r="BC207" s="8">
        <v>1</v>
      </c>
      <c r="BD207" s="42">
        <v>0</v>
      </c>
      <c r="BF207" s="43">
        <f t="shared" ca="1" si="14"/>
        <v>2.1427025774306885E-2</v>
      </c>
      <c r="BG207" s="8">
        <v>1</v>
      </c>
      <c r="BH207" s="42">
        <v>0</v>
      </c>
      <c r="BJ207" s="43">
        <f t="shared" ca="1" si="15"/>
        <v>0.17685362134596616</v>
      </c>
      <c r="BK207" s="8">
        <v>1</v>
      </c>
      <c r="BL207" s="42">
        <v>0</v>
      </c>
      <c r="BN207" s="43">
        <f t="shared" ca="1" si="16"/>
        <v>0.71541475098978236</v>
      </c>
      <c r="BO207" s="8">
        <v>1</v>
      </c>
      <c r="BP207" s="42">
        <v>0</v>
      </c>
      <c r="BR207" s="43">
        <f t="shared" ca="1" si="17"/>
        <v>0.70762369231979594</v>
      </c>
      <c r="BS207" s="8">
        <v>1</v>
      </c>
      <c r="BT207" s="42">
        <v>0</v>
      </c>
    </row>
    <row r="208" spans="1:72" x14ac:dyDescent="0.2">
      <c r="A208" s="22">
        <v>44755</v>
      </c>
      <c r="B208" s="43">
        <f t="shared" ca="1" si="0"/>
        <v>0.61711486956090122</v>
      </c>
      <c r="C208" s="8">
        <v>1</v>
      </c>
      <c r="D208" s="42">
        <v>0</v>
      </c>
      <c r="F208" s="43">
        <f t="shared" ca="1" si="1"/>
        <v>0.54658451167317013</v>
      </c>
      <c r="G208" s="8">
        <v>1</v>
      </c>
      <c r="H208" s="42">
        <v>0</v>
      </c>
      <c r="J208" s="43">
        <f t="shared" ca="1" si="2"/>
        <v>0.35958593826919671</v>
      </c>
      <c r="K208" s="8">
        <v>1</v>
      </c>
      <c r="L208" s="42">
        <v>0</v>
      </c>
      <c r="N208" s="43">
        <f t="shared" ca="1" si="3"/>
        <v>0.40347284183791354</v>
      </c>
      <c r="O208" s="8">
        <v>1</v>
      </c>
      <c r="P208" s="42">
        <v>0</v>
      </c>
      <c r="R208" s="43">
        <f t="shared" ca="1" si="4"/>
        <v>0.70620986603256597</v>
      </c>
      <c r="S208" s="8">
        <v>1</v>
      </c>
      <c r="T208" s="42">
        <v>0</v>
      </c>
      <c r="V208" s="43">
        <f t="shared" ca="1" si="5"/>
        <v>6.3797523665200528E-2</v>
      </c>
      <c r="W208" s="8">
        <v>1</v>
      </c>
      <c r="X208" s="42">
        <v>0</v>
      </c>
      <c r="Z208" s="43">
        <f t="shared" ca="1" si="6"/>
        <v>0.59893557525294561</v>
      </c>
      <c r="AA208" s="8">
        <v>1</v>
      </c>
      <c r="AB208" s="42">
        <v>0</v>
      </c>
      <c r="AD208" s="43">
        <f t="shared" ca="1" si="7"/>
        <v>0.76100368196455681</v>
      </c>
      <c r="AE208" s="8">
        <v>1</v>
      </c>
      <c r="AF208" s="42">
        <v>0</v>
      </c>
      <c r="AH208" s="43">
        <f t="shared" ca="1" si="8"/>
        <v>0.80306018540498891</v>
      </c>
      <c r="AI208" s="8">
        <v>1</v>
      </c>
      <c r="AJ208" s="42">
        <v>0</v>
      </c>
      <c r="AL208" s="43">
        <f t="shared" ca="1" si="9"/>
        <v>2.687121428278072E-2</v>
      </c>
      <c r="AM208" s="8">
        <v>1</v>
      </c>
      <c r="AN208" s="42">
        <v>0</v>
      </c>
      <c r="AP208" s="43">
        <f t="shared" ca="1" si="10"/>
        <v>0.24407014510201763</v>
      </c>
      <c r="AQ208" s="8">
        <v>1</v>
      </c>
      <c r="AR208" s="42">
        <v>0</v>
      </c>
      <c r="AT208" s="43">
        <f t="shared" ca="1" si="11"/>
        <v>0.16295550057459263</v>
      </c>
      <c r="AU208" s="8">
        <v>1</v>
      </c>
      <c r="AV208" s="42">
        <v>0</v>
      </c>
      <c r="AX208" s="43">
        <f t="shared" ca="1" si="12"/>
        <v>0.87975635382424744</v>
      </c>
      <c r="AY208" s="8">
        <v>1</v>
      </c>
      <c r="AZ208" s="42">
        <v>0</v>
      </c>
      <c r="BB208" s="43">
        <f t="shared" ca="1" si="13"/>
        <v>4.2511817679939279E-2</v>
      </c>
      <c r="BC208" s="8">
        <v>1</v>
      </c>
      <c r="BD208" s="42">
        <v>0</v>
      </c>
      <c r="BF208" s="43">
        <f t="shared" ca="1" si="14"/>
        <v>0.57107704547976645</v>
      </c>
      <c r="BG208" s="8">
        <v>1</v>
      </c>
      <c r="BH208" s="42">
        <v>0</v>
      </c>
      <c r="BJ208" s="43">
        <f t="shared" ca="1" si="15"/>
        <v>0.8536434793167117</v>
      </c>
      <c r="BK208" s="8">
        <v>1</v>
      </c>
      <c r="BL208" s="42">
        <v>0</v>
      </c>
      <c r="BN208" s="43">
        <f t="shared" ca="1" si="16"/>
        <v>4.9396232823607278E-2</v>
      </c>
      <c r="BO208" s="8">
        <v>1</v>
      </c>
      <c r="BP208" s="42">
        <v>0</v>
      </c>
      <c r="BR208" s="43">
        <f t="shared" ca="1" si="17"/>
        <v>0.92747717575767785</v>
      </c>
      <c r="BS208" s="8">
        <v>1</v>
      </c>
      <c r="BT208" s="42">
        <v>0</v>
      </c>
    </row>
    <row r="209" spans="1:72" x14ac:dyDescent="0.2">
      <c r="A209" s="22">
        <v>44756</v>
      </c>
      <c r="B209" s="43">
        <f t="shared" ca="1" si="0"/>
        <v>0.40542729704986558</v>
      </c>
      <c r="C209" s="8">
        <v>1</v>
      </c>
      <c r="D209" s="42">
        <v>0</v>
      </c>
      <c r="F209" s="43">
        <f t="shared" ca="1" si="1"/>
        <v>0.83942102902633564</v>
      </c>
      <c r="G209" s="8">
        <v>1</v>
      </c>
      <c r="H209" s="42">
        <v>0</v>
      </c>
      <c r="J209" s="43">
        <f t="shared" ca="1" si="2"/>
        <v>0.73427097464963453</v>
      </c>
      <c r="K209" s="8">
        <v>1</v>
      </c>
      <c r="L209" s="42">
        <v>0</v>
      </c>
      <c r="N209" s="43">
        <f t="shared" ca="1" si="3"/>
        <v>0.90005756243998913</v>
      </c>
      <c r="O209" s="8">
        <v>1</v>
      </c>
      <c r="P209" s="42">
        <v>0</v>
      </c>
      <c r="R209" s="43">
        <f t="shared" ca="1" si="4"/>
        <v>0.40044650712615293</v>
      </c>
      <c r="S209" s="8">
        <v>1</v>
      </c>
      <c r="T209" s="42">
        <v>0</v>
      </c>
      <c r="V209" s="43">
        <f t="shared" ca="1" si="5"/>
        <v>0.26111750214043172</v>
      </c>
      <c r="W209" s="8">
        <v>1</v>
      </c>
      <c r="X209" s="42">
        <v>0</v>
      </c>
      <c r="Z209" s="43">
        <f t="shared" ca="1" si="6"/>
        <v>0.96058727455768655</v>
      </c>
      <c r="AA209" s="8">
        <v>1</v>
      </c>
      <c r="AB209" s="42">
        <v>0</v>
      </c>
      <c r="AD209" s="43">
        <f t="shared" ca="1" si="7"/>
        <v>1.8629063700827397E-2</v>
      </c>
      <c r="AE209" s="8">
        <v>1</v>
      </c>
      <c r="AF209" s="42">
        <v>0</v>
      </c>
      <c r="AH209" s="43">
        <f t="shared" ca="1" si="8"/>
        <v>0.58707954934166529</v>
      </c>
      <c r="AI209" s="8">
        <v>1</v>
      </c>
      <c r="AJ209" s="42">
        <v>0</v>
      </c>
      <c r="AL209" s="43">
        <f t="shared" ca="1" si="9"/>
        <v>0.28645824798213548</v>
      </c>
      <c r="AM209" s="8">
        <v>1</v>
      </c>
      <c r="AN209" s="42">
        <v>0</v>
      </c>
      <c r="AP209" s="43">
        <f t="shared" ca="1" si="10"/>
        <v>0.35329527245486025</v>
      </c>
      <c r="AQ209" s="8">
        <v>1</v>
      </c>
      <c r="AR209" s="42">
        <v>0</v>
      </c>
      <c r="AT209" s="43">
        <f t="shared" ca="1" si="11"/>
        <v>0.41894059481956869</v>
      </c>
      <c r="AU209" s="8">
        <v>1</v>
      </c>
      <c r="AV209" s="42">
        <v>0</v>
      </c>
      <c r="AX209" s="43">
        <f t="shared" ca="1" si="12"/>
        <v>0.22982719180662436</v>
      </c>
      <c r="AY209" s="8">
        <v>1</v>
      </c>
      <c r="AZ209" s="42">
        <v>0</v>
      </c>
      <c r="BB209" s="43">
        <f t="shared" ca="1" si="13"/>
        <v>0.99458351227760478</v>
      </c>
      <c r="BC209" s="8">
        <v>1</v>
      </c>
      <c r="BD209" s="42">
        <v>0</v>
      </c>
      <c r="BF209" s="43">
        <f t="shared" ca="1" si="14"/>
        <v>0.49509914868682348</v>
      </c>
      <c r="BG209" s="8">
        <v>1</v>
      </c>
      <c r="BH209" s="42">
        <v>0</v>
      </c>
      <c r="BJ209" s="43">
        <f t="shared" ca="1" si="15"/>
        <v>0.67639065764285655</v>
      </c>
      <c r="BK209" s="8">
        <v>1</v>
      </c>
      <c r="BL209" s="42">
        <v>0</v>
      </c>
      <c r="BN209" s="43">
        <f t="shared" ca="1" si="16"/>
        <v>0.22365689486449847</v>
      </c>
      <c r="BO209" s="8">
        <v>1</v>
      </c>
      <c r="BP209" s="42">
        <v>0</v>
      </c>
      <c r="BR209" s="43">
        <f t="shared" ca="1" si="17"/>
        <v>0.43289791231190322</v>
      </c>
      <c r="BS209" s="8">
        <v>1</v>
      </c>
      <c r="BT209" s="42">
        <v>0</v>
      </c>
    </row>
    <row r="210" spans="1:72" x14ac:dyDescent="0.2">
      <c r="A210" s="22">
        <v>44757</v>
      </c>
      <c r="B210" s="43">
        <f t="shared" ca="1" si="0"/>
        <v>0.60179350405443499</v>
      </c>
      <c r="C210" s="8">
        <v>1</v>
      </c>
      <c r="D210" s="42">
        <v>0</v>
      </c>
      <c r="F210" s="43">
        <f t="shared" ca="1" si="1"/>
        <v>0.32779102302879204</v>
      </c>
      <c r="G210" s="8">
        <v>1</v>
      </c>
      <c r="H210" s="42">
        <v>0</v>
      </c>
      <c r="J210" s="43">
        <f t="shared" ca="1" si="2"/>
        <v>0.37806704673105185</v>
      </c>
      <c r="K210" s="8">
        <v>1</v>
      </c>
      <c r="L210" s="42">
        <v>0</v>
      </c>
      <c r="N210" s="43">
        <f t="shared" ca="1" si="3"/>
        <v>0.30314069285297318</v>
      </c>
      <c r="O210" s="8">
        <v>1</v>
      </c>
      <c r="P210" s="42">
        <v>0</v>
      </c>
      <c r="R210" s="43">
        <f t="shared" ca="1" si="4"/>
        <v>0.24136400719150819</v>
      </c>
      <c r="S210" s="8">
        <v>1</v>
      </c>
      <c r="T210" s="42">
        <v>0</v>
      </c>
      <c r="V210" s="43">
        <f t="shared" ca="1" si="5"/>
        <v>0.70366905305249694</v>
      </c>
      <c r="W210" s="8">
        <v>1</v>
      </c>
      <c r="X210" s="42">
        <v>0</v>
      </c>
      <c r="Z210" s="43">
        <f t="shared" ca="1" si="6"/>
        <v>0.25429224092174085</v>
      </c>
      <c r="AA210" s="8">
        <v>1</v>
      </c>
      <c r="AB210" s="42">
        <v>0</v>
      </c>
      <c r="AD210" s="43">
        <f t="shared" ca="1" si="7"/>
        <v>0.84344577803124077</v>
      </c>
      <c r="AE210" s="8">
        <v>1</v>
      </c>
      <c r="AF210" s="42">
        <v>0</v>
      </c>
      <c r="AH210" s="43">
        <f t="shared" ca="1" si="8"/>
        <v>0.45834406829863683</v>
      </c>
      <c r="AI210" s="8">
        <v>1</v>
      </c>
      <c r="AJ210" s="42">
        <v>0</v>
      </c>
      <c r="AL210" s="43">
        <f t="shared" ca="1" si="9"/>
        <v>0.22503676718053423</v>
      </c>
      <c r="AM210" s="8">
        <v>1</v>
      </c>
      <c r="AN210" s="42">
        <v>0</v>
      </c>
      <c r="AP210" s="43">
        <f t="shared" ca="1" si="10"/>
        <v>7.477115258927014E-2</v>
      </c>
      <c r="AQ210" s="8">
        <v>1</v>
      </c>
      <c r="AR210" s="42">
        <v>0</v>
      </c>
      <c r="AT210" s="43">
        <f t="shared" ca="1" si="11"/>
        <v>0.92428962656023417</v>
      </c>
      <c r="AU210" s="8">
        <v>1</v>
      </c>
      <c r="AV210" s="42">
        <v>0</v>
      </c>
      <c r="AX210" s="43">
        <f t="shared" ca="1" si="12"/>
        <v>0.38907639348367906</v>
      </c>
      <c r="AY210" s="8">
        <v>1</v>
      </c>
      <c r="AZ210" s="42">
        <v>0</v>
      </c>
      <c r="BB210" s="43">
        <f t="shared" ca="1" si="13"/>
        <v>0.64735879903016658</v>
      </c>
      <c r="BC210" s="8">
        <v>1</v>
      </c>
      <c r="BD210" s="42">
        <v>0</v>
      </c>
      <c r="BF210" s="43">
        <f t="shared" ca="1" si="14"/>
        <v>0.52835205930524087</v>
      </c>
      <c r="BG210" s="8">
        <v>1</v>
      </c>
      <c r="BH210" s="42">
        <v>0</v>
      </c>
      <c r="BJ210" s="43">
        <f t="shared" ca="1" si="15"/>
        <v>0.49367702001282343</v>
      </c>
      <c r="BK210" s="8">
        <v>1</v>
      </c>
      <c r="BL210" s="42">
        <v>0</v>
      </c>
      <c r="BN210" s="43">
        <f t="shared" ca="1" si="16"/>
        <v>0.69850563082049388</v>
      </c>
      <c r="BO210" s="8">
        <v>1</v>
      </c>
      <c r="BP210" s="42">
        <v>0</v>
      </c>
      <c r="BR210" s="43">
        <f t="shared" ca="1" si="17"/>
        <v>0.65153869452353241</v>
      </c>
      <c r="BS210" s="8">
        <v>1</v>
      </c>
      <c r="BT210" s="42">
        <v>0</v>
      </c>
    </row>
    <row r="211" spans="1:72" x14ac:dyDescent="0.2">
      <c r="A211" s="22">
        <v>44758</v>
      </c>
      <c r="B211" s="43">
        <f t="shared" ca="1" si="0"/>
        <v>0.75273192948539847</v>
      </c>
      <c r="C211" s="8">
        <v>1</v>
      </c>
      <c r="D211" s="42">
        <v>0</v>
      </c>
      <c r="F211" s="43">
        <f t="shared" ca="1" si="1"/>
        <v>0.22924119652229935</v>
      </c>
      <c r="G211" s="8">
        <v>1</v>
      </c>
      <c r="H211" s="42">
        <v>0</v>
      </c>
      <c r="J211" s="43">
        <f t="shared" ca="1" si="2"/>
        <v>0.1121936021176666</v>
      </c>
      <c r="K211" s="8">
        <v>1</v>
      </c>
      <c r="L211" s="42">
        <v>0</v>
      </c>
      <c r="N211" s="43">
        <f t="shared" ca="1" si="3"/>
        <v>0.36284234115459446</v>
      </c>
      <c r="O211" s="8">
        <v>1</v>
      </c>
      <c r="P211" s="42">
        <v>0</v>
      </c>
      <c r="R211" s="43">
        <f t="shared" ca="1" si="4"/>
        <v>0.61643807358789959</v>
      </c>
      <c r="S211" s="8">
        <v>1</v>
      </c>
      <c r="T211" s="42">
        <v>0</v>
      </c>
      <c r="V211" s="43">
        <f t="shared" ca="1" si="5"/>
        <v>0.45475035337962222</v>
      </c>
      <c r="W211" s="8">
        <v>1</v>
      </c>
      <c r="X211" s="42">
        <v>0</v>
      </c>
      <c r="Z211" s="43">
        <f t="shared" ca="1" si="6"/>
        <v>0.81958384420452934</v>
      </c>
      <c r="AA211" s="8">
        <v>1</v>
      </c>
      <c r="AB211" s="42">
        <v>0</v>
      </c>
      <c r="AD211" s="43">
        <f t="shared" ca="1" si="7"/>
        <v>0.47388632908875683</v>
      </c>
      <c r="AE211" s="8">
        <v>1</v>
      </c>
      <c r="AF211" s="42">
        <v>0</v>
      </c>
      <c r="AH211" s="43">
        <f t="shared" ca="1" si="8"/>
        <v>0.37707685703080451</v>
      </c>
      <c r="AI211" s="8">
        <v>1</v>
      </c>
      <c r="AJ211" s="42">
        <v>0</v>
      </c>
      <c r="AL211" s="43">
        <f t="shared" ca="1" si="9"/>
        <v>0.92362720429179279</v>
      </c>
      <c r="AM211" s="8">
        <v>1</v>
      </c>
      <c r="AN211" s="42">
        <v>0</v>
      </c>
      <c r="AP211" s="43">
        <f t="shared" ca="1" si="10"/>
        <v>0.41253213349844287</v>
      </c>
      <c r="AQ211" s="8">
        <v>1</v>
      </c>
      <c r="AR211" s="42">
        <v>0</v>
      </c>
      <c r="AT211" s="43">
        <f t="shared" ca="1" si="11"/>
        <v>0.73332623745268899</v>
      </c>
      <c r="AU211" s="8">
        <v>1</v>
      </c>
      <c r="AV211" s="42">
        <v>0</v>
      </c>
      <c r="AX211" s="43">
        <f t="shared" ca="1" si="12"/>
        <v>0.19045473395900747</v>
      </c>
      <c r="AY211" s="8">
        <v>1</v>
      </c>
      <c r="AZ211" s="42">
        <v>0</v>
      </c>
      <c r="BB211" s="43">
        <f t="shared" ca="1" si="13"/>
        <v>0.26202221600700926</v>
      </c>
      <c r="BC211" s="8">
        <v>1</v>
      </c>
      <c r="BD211" s="42">
        <v>0</v>
      </c>
      <c r="BF211" s="43">
        <f t="shared" ca="1" si="14"/>
        <v>0.93862578551589315</v>
      </c>
      <c r="BG211" s="8">
        <v>1</v>
      </c>
      <c r="BH211" s="42">
        <v>0</v>
      </c>
      <c r="BJ211" s="43">
        <f t="shared" ca="1" si="15"/>
        <v>0.5927288410626016</v>
      </c>
      <c r="BK211" s="8">
        <v>1</v>
      </c>
      <c r="BL211" s="42">
        <v>0</v>
      </c>
      <c r="BN211" s="43">
        <f t="shared" ca="1" si="16"/>
        <v>0.23744196913787952</v>
      </c>
      <c r="BO211" s="8">
        <v>1</v>
      </c>
      <c r="BP211" s="42">
        <v>0</v>
      </c>
      <c r="BR211" s="43">
        <f t="shared" ca="1" si="17"/>
        <v>0.94019482466608872</v>
      </c>
      <c r="BS211" s="8">
        <v>1</v>
      </c>
      <c r="BT211" s="42">
        <v>0</v>
      </c>
    </row>
    <row r="212" spans="1:72" x14ac:dyDescent="0.2">
      <c r="A212" s="22">
        <v>44759</v>
      </c>
      <c r="B212" s="43">
        <f t="shared" ca="1" si="0"/>
        <v>0.70033007505284595</v>
      </c>
      <c r="C212" s="8">
        <v>1</v>
      </c>
      <c r="D212" s="42">
        <v>0</v>
      </c>
      <c r="F212" s="43">
        <f t="shared" ca="1" si="1"/>
        <v>1.6732871474614108E-2</v>
      </c>
      <c r="G212" s="8">
        <v>1</v>
      </c>
      <c r="H212" s="42">
        <v>0</v>
      </c>
      <c r="J212" s="43">
        <f t="shared" ca="1" si="2"/>
        <v>0.37544495473253581</v>
      </c>
      <c r="K212" s="8">
        <v>1</v>
      </c>
      <c r="L212" s="42">
        <v>0</v>
      </c>
      <c r="N212" s="43">
        <f t="shared" ca="1" si="3"/>
        <v>0.83336604844293516</v>
      </c>
      <c r="O212" s="8">
        <v>1</v>
      </c>
      <c r="P212" s="42">
        <v>0</v>
      </c>
      <c r="R212" s="43">
        <f t="shared" ca="1" si="4"/>
        <v>0.60820226599432092</v>
      </c>
      <c r="S212" s="8">
        <v>1</v>
      </c>
      <c r="T212" s="42">
        <v>0</v>
      </c>
      <c r="V212" s="43">
        <f t="shared" ca="1" si="5"/>
        <v>0.28408918120982718</v>
      </c>
      <c r="W212" s="8">
        <v>1</v>
      </c>
      <c r="X212" s="42">
        <v>0</v>
      </c>
      <c r="Z212" s="43">
        <f t="shared" ca="1" si="6"/>
        <v>0.70186095367965051</v>
      </c>
      <c r="AA212" s="8">
        <v>1</v>
      </c>
      <c r="AB212" s="42">
        <v>0</v>
      </c>
      <c r="AD212" s="43">
        <f t="shared" ca="1" si="7"/>
        <v>7.1879563512562417E-2</v>
      </c>
      <c r="AE212" s="8">
        <v>1</v>
      </c>
      <c r="AF212" s="42">
        <v>0</v>
      </c>
      <c r="AH212" s="43">
        <f t="shared" ca="1" si="8"/>
        <v>0.44458012890327636</v>
      </c>
      <c r="AI212" s="8">
        <v>1</v>
      </c>
      <c r="AJ212" s="42">
        <v>0</v>
      </c>
      <c r="AL212" s="43">
        <f t="shared" ca="1" si="9"/>
        <v>2.8773100451478184E-2</v>
      </c>
      <c r="AM212" s="8">
        <v>1</v>
      </c>
      <c r="AN212" s="42">
        <v>0</v>
      </c>
      <c r="AP212" s="43">
        <f t="shared" ca="1" si="10"/>
        <v>0.26479939303348721</v>
      </c>
      <c r="AQ212" s="8">
        <v>1</v>
      </c>
      <c r="AR212" s="42">
        <v>0</v>
      </c>
      <c r="AT212" s="43">
        <f t="shared" ca="1" si="11"/>
        <v>0.67780899735686917</v>
      </c>
      <c r="AU212" s="8">
        <v>1</v>
      </c>
      <c r="AV212" s="42">
        <v>0</v>
      </c>
      <c r="AX212" s="43">
        <f t="shared" ca="1" si="12"/>
        <v>0.67776043110900364</v>
      </c>
      <c r="AY212" s="8">
        <v>1</v>
      </c>
      <c r="AZ212" s="42">
        <v>0</v>
      </c>
      <c r="BB212" s="43">
        <f t="shared" ca="1" si="13"/>
        <v>0.64539578357281302</v>
      </c>
      <c r="BC212" s="8">
        <v>1</v>
      </c>
      <c r="BD212" s="42">
        <v>0</v>
      </c>
      <c r="BF212" s="43">
        <f t="shared" ca="1" si="14"/>
        <v>0.22390225540406195</v>
      </c>
      <c r="BG212" s="8">
        <v>1</v>
      </c>
      <c r="BH212" s="42">
        <v>0</v>
      </c>
      <c r="BJ212" s="43">
        <f t="shared" ca="1" si="15"/>
        <v>0.92944393267067116</v>
      </c>
      <c r="BK212" s="8">
        <v>1</v>
      </c>
      <c r="BL212" s="42">
        <v>0</v>
      </c>
      <c r="BN212" s="43">
        <f t="shared" ca="1" si="16"/>
        <v>0.1537214322779169</v>
      </c>
      <c r="BO212" s="8">
        <v>1</v>
      </c>
      <c r="BP212" s="42">
        <v>0</v>
      </c>
      <c r="BR212" s="43">
        <f t="shared" ca="1" si="17"/>
        <v>0.31480804313546296</v>
      </c>
      <c r="BS212" s="8">
        <v>1</v>
      </c>
      <c r="BT212" s="42">
        <v>0</v>
      </c>
    </row>
    <row r="213" spans="1:72" x14ac:dyDescent="0.2">
      <c r="A213" s="22">
        <v>44760</v>
      </c>
      <c r="B213" s="43">
        <f t="shared" ca="1" si="0"/>
        <v>3.9488328399787997E-2</v>
      </c>
      <c r="C213" s="8">
        <v>1</v>
      </c>
      <c r="D213" s="42">
        <v>0</v>
      </c>
      <c r="F213" s="43">
        <f t="shared" ca="1" si="1"/>
        <v>0.88765391924045745</v>
      </c>
      <c r="G213" s="8">
        <v>1</v>
      </c>
      <c r="H213" s="42">
        <v>0</v>
      </c>
      <c r="J213" s="43">
        <f t="shared" ca="1" si="2"/>
        <v>0.82041041801171999</v>
      </c>
      <c r="K213" s="8">
        <v>1</v>
      </c>
      <c r="L213" s="42">
        <v>0</v>
      </c>
      <c r="N213" s="43">
        <f t="shared" ca="1" si="3"/>
        <v>0.10487372427666852</v>
      </c>
      <c r="O213" s="8">
        <v>1</v>
      </c>
      <c r="P213" s="42">
        <v>0</v>
      </c>
      <c r="R213" s="43">
        <f t="shared" ca="1" si="4"/>
        <v>0.35527597010004242</v>
      </c>
      <c r="S213" s="8">
        <v>1</v>
      </c>
      <c r="T213" s="42">
        <v>0</v>
      </c>
      <c r="V213" s="43">
        <f t="shared" ca="1" si="5"/>
        <v>0.92053389043468059</v>
      </c>
      <c r="W213" s="8">
        <v>1</v>
      </c>
      <c r="X213" s="42">
        <v>0</v>
      </c>
      <c r="Z213" s="43">
        <f t="shared" ca="1" si="6"/>
        <v>0.78096045936655867</v>
      </c>
      <c r="AA213" s="8">
        <v>1</v>
      </c>
      <c r="AB213" s="42">
        <v>0</v>
      </c>
      <c r="AD213" s="43">
        <f t="shared" ca="1" si="7"/>
        <v>0.67812463699270986</v>
      </c>
      <c r="AE213" s="8">
        <v>1</v>
      </c>
      <c r="AF213" s="42">
        <v>0</v>
      </c>
      <c r="AH213" s="43">
        <f t="shared" ca="1" si="8"/>
        <v>0.60973106453747816</v>
      </c>
      <c r="AI213" s="8">
        <v>1</v>
      </c>
      <c r="AJ213" s="42">
        <v>0</v>
      </c>
      <c r="AL213" s="43">
        <f t="shared" ca="1" si="9"/>
        <v>0.83506535626300915</v>
      </c>
      <c r="AM213" s="8">
        <v>1</v>
      </c>
      <c r="AN213" s="42">
        <v>0</v>
      </c>
      <c r="AP213" s="43">
        <f t="shared" ca="1" si="10"/>
        <v>0.86278491465179119</v>
      </c>
      <c r="AQ213" s="8">
        <v>1</v>
      </c>
      <c r="AR213" s="42">
        <v>0</v>
      </c>
      <c r="AT213" s="43">
        <f t="shared" ca="1" si="11"/>
        <v>0.48491153530219644</v>
      </c>
      <c r="AU213" s="8">
        <v>1</v>
      </c>
      <c r="AV213" s="42">
        <v>0</v>
      </c>
      <c r="AX213" s="43">
        <f t="shared" ca="1" si="12"/>
        <v>0.46200641819862787</v>
      </c>
      <c r="AY213" s="8">
        <v>1</v>
      </c>
      <c r="AZ213" s="42">
        <v>0</v>
      </c>
      <c r="BB213" s="43">
        <f t="shared" ca="1" si="13"/>
        <v>0.94382540247433788</v>
      </c>
      <c r="BC213" s="8">
        <v>1</v>
      </c>
      <c r="BD213" s="42">
        <v>0</v>
      </c>
      <c r="BF213" s="43">
        <f t="shared" ca="1" si="14"/>
        <v>0.59615513745371884</v>
      </c>
      <c r="BG213" s="8">
        <v>1</v>
      </c>
      <c r="BH213" s="42">
        <v>0</v>
      </c>
      <c r="BJ213" s="43">
        <f t="shared" ca="1" si="15"/>
        <v>0.8360026940897981</v>
      </c>
      <c r="BK213" s="8">
        <v>1</v>
      </c>
      <c r="BL213" s="42">
        <v>0</v>
      </c>
      <c r="BN213" s="43">
        <f t="shared" ca="1" si="16"/>
        <v>0.11782989290524337</v>
      </c>
      <c r="BO213" s="8">
        <v>1</v>
      </c>
      <c r="BP213" s="42">
        <v>0</v>
      </c>
      <c r="BR213" s="43">
        <f t="shared" ca="1" si="17"/>
        <v>0.84022110961076268</v>
      </c>
      <c r="BS213" s="8">
        <v>1</v>
      </c>
      <c r="BT213" s="42">
        <v>0</v>
      </c>
    </row>
    <row r="214" spans="1:72" x14ac:dyDescent="0.2">
      <c r="A214" s="22">
        <v>44761</v>
      </c>
      <c r="B214" s="43">
        <f t="shared" ca="1" si="0"/>
        <v>5.8843588396022994E-2</v>
      </c>
      <c r="C214" s="8">
        <v>1</v>
      </c>
      <c r="D214" s="42">
        <v>0</v>
      </c>
      <c r="F214" s="43">
        <f t="shared" ca="1" si="1"/>
        <v>0.74958518667151441</v>
      </c>
      <c r="G214" s="8">
        <v>1</v>
      </c>
      <c r="H214" s="42">
        <v>0</v>
      </c>
      <c r="J214" s="43">
        <f t="shared" ca="1" si="2"/>
        <v>0.66032432065279145</v>
      </c>
      <c r="K214" s="8">
        <v>1</v>
      </c>
      <c r="L214" s="42">
        <v>0</v>
      </c>
      <c r="N214" s="43">
        <f t="shared" ca="1" si="3"/>
        <v>0.21474601667710469</v>
      </c>
      <c r="O214" s="8">
        <v>1</v>
      </c>
      <c r="P214" s="42">
        <v>0</v>
      </c>
      <c r="R214" s="43">
        <f t="shared" ca="1" si="4"/>
        <v>0.30468206158192002</v>
      </c>
      <c r="S214" s="8">
        <v>1</v>
      </c>
      <c r="T214" s="42">
        <v>0</v>
      </c>
      <c r="V214" s="43">
        <f t="shared" ca="1" si="5"/>
        <v>0.39289650143752175</v>
      </c>
      <c r="W214" s="8">
        <v>1</v>
      </c>
      <c r="X214" s="42">
        <v>0</v>
      </c>
      <c r="Z214" s="43">
        <f t="shared" ca="1" si="6"/>
        <v>0.13496893508347396</v>
      </c>
      <c r="AA214" s="8">
        <v>1</v>
      </c>
      <c r="AB214" s="42">
        <v>0</v>
      </c>
      <c r="AD214" s="43">
        <f t="shared" ca="1" si="7"/>
        <v>0.56666148449605791</v>
      </c>
      <c r="AE214" s="8">
        <v>1</v>
      </c>
      <c r="AF214" s="42">
        <v>0</v>
      </c>
      <c r="AH214" s="43">
        <f t="shared" ca="1" si="8"/>
        <v>0.40668674309357589</v>
      </c>
      <c r="AI214" s="8">
        <v>1</v>
      </c>
      <c r="AJ214" s="42">
        <v>0</v>
      </c>
      <c r="AL214" s="43">
        <f t="shared" ca="1" si="9"/>
        <v>0.12144186668803403</v>
      </c>
      <c r="AM214" s="8">
        <v>1</v>
      </c>
      <c r="AN214" s="42">
        <v>0</v>
      </c>
      <c r="AP214" s="43">
        <f t="shared" ca="1" si="10"/>
        <v>0.91643479520088211</v>
      </c>
      <c r="AQ214" s="8">
        <v>1</v>
      </c>
      <c r="AR214" s="42">
        <v>0</v>
      </c>
      <c r="AT214" s="43">
        <f t="shared" ca="1" si="11"/>
        <v>0.67116687007213904</v>
      </c>
      <c r="AU214" s="8">
        <v>1</v>
      </c>
      <c r="AV214" s="42">
        <v>0</v>
      </c>
      <c r="AX214" s="43">
        <f t="shared" ca="1" si="12"/>
        <v>0.3865773268563264</v>
      </c>
      <c r="AY214" s="8">
        <v>1</v>
      </c>
      <c r="AZ214" s="42">
        <v>0</v>
      </c>
      <c r="BB214" s="43">
        <f t="shared" ca="1" si="13"/>
        <v>7.8882351711057175E-2</v>
      </c>
      <c r="BC214" s="8">
        <v>1</v>
      </c>
      <c r="BD214" s="42">
        <v>0</v>
      </c>
      <c r="BF214" s="43">
        <f t="shared" ca="1" si="14"/>
        <v>4.5698013073218191E-2</v>
      </c>
      <c r="BG214" s="8">
        <v>1</v>
      </c>
      <c r="BH214" s="42">
        <v>0</v>
      </c>
      <c r="BJ214" s="43">
        <f t="shared" ca="1" si="15"/>
        <v>0.6447502297332145</v>
      </c>
      <c r="BK214" s="8">
        <v>1</v>
      </c>
      <c r="BL214" s="42">
        <v>0</v>
      </c>
      <c r="BN214" s="43">
        <f t="shared" ca="1" si="16"/>
        <v>0.98375827358884349</v>
      </c>
      <c r="BO214" s="8">
        <v>1</v>
      </c>
      <c r="BP214" s="42">
        <v>0</v>
      </c>
      <c r="BR214" s="43">
        <f t="shared" ca="1" si="17"/>
        <v>0.34955955951282236</v>
      </c>
      <c r="BS214" s="8">
        <v>1</v>
      </c>
      <c r="BT214" s="42">
        <v>0</v>
      </c>
    </row>
    <row r="215" spans="1:72" x14ac:dyDescent="0.2">
      <c r="A215" s="22">
        <v>44762</v>
      </c>
      <c r="B215" s="43">
        <f t="shared" ca="1" si="0"/>
        <v>0.20194768694203635</v>
      </c>
      <c r="C215" s="8">
        <v>1</v>
      </c>
      <c r="D215" s="42">
        <v>0</v>
      </c>
      <c r="F215" s="43">
        <f t="shared" ca="1" si="1"/>
        <v>0.85831006204233173</v>
      </c>
      <c r="G215" s="8">
        <v>1</v>
      </c>
      <c r="H215" s="42">
        <v>0</v>
      </c>
      <c r="J215" s="43">
        <f t="shared" ca="1" si="2"/>
        <v>0.22182665018479863</v>
      </c>
      <c r="K215" s="8">
        <v>1</v>
      </c>
      <c r="L215" s="42">
        <v>0</v>
      </c>
      <c r="N215" s="43">
        <f t="shared" ca="1" si="3"/>
        <v>0.39167648289634061</v>
      </c>
      <c r="O215" s="8">
        <v>1</v>
      </c>
      <c r="P215" s="42">
        <v>0</v>
      </c>
      <c r="R215" s="43">
        <f t="shared" ca="1" si="4"/>
        <v>0.86524965516559538</v>
      </c>
      <c r="S215" s="8">
        <v>1</v>
      </c>
      <c r="T215" s="42">
        <v>0</v>
      </c>
      <c r="V215" s="43">
        <f t="shared" ca="1" si="5"/>
        <v>0.99582342335954332</v>
      </c>
      <c r="W215" s="8">
        <v>1</v>
      </c>
      <c r="X215" s="42">
        <v>0</v>
      </c>
      <c r="Z215" s="43">
        <f t="shared" ca="1" si="6"/>
        <v>0.5492931871417519</v>
      </c>
      <c r="AA215" s="8">
        <v>1</v>
      </c>
      <c r="AB215" s="42">
        <v>0</v>
      </c>
      <c r="AD215" s="43">
        <f t="shared" ca="1" si="7"/>
        <v>0.63366401435901309</v>
      </c>
      <c r="AE215" s="8">
        <v>1</v>
      </c>
      <c r="AF215" s="42">
        <v>0</v>
      </c>
      <c r="AH215" s="43">
        <f t="shared" ca="1" si="8"/>
        <v>0.58497777569191367</v>
      </c>
      <c r="AI215" s="8">
        <v>1</v>
      </c>
      <c r="AJ215" s="42">
        <v>0</v>
      </c>
      <c r="AL215" s="43">
        <f t="shared" ca="1" si="9"/>
        <v>0.61406458846304923</v>
      </c>
      <c r="AM215" s="8">
        <v>1</v>
      </c>
      <c r="AN215" s="42">
        <v>0</v>
      </c>
      <c r="AP215" s="43">
        <f t="shared" ca="1" si="10"/>
        <v>0.32685385500749531</v>
      </c>
      <c r="AQ215" s="8">
        <v>1</v>
      </c>
      <c r="AR215" s="42">
        <v>0</v>
      </c>
      <c r="AT215" s="43">
        <f t="shared" ca="1" si="11"/>
        <v>0.45585661154122348</v>
      </c>
      <c r="AU215" s="8">
        <v>1</v>
      </c>
      <c r="AV215" s="42">
        <v>0</v>
      </c>
      <c r="AX215" s="43">
        <f t="shared" ca="1" si="12"/>
        <v>0.63246821647220475</v>
      </c>
      <c r="AY215" s="8">
        <v>1</v>
      </c>
      <c r="AZ215" s="42">
        <v>0</v>
      </c>
      <c r="BB215" s="43">
        <f t="shared" ca="1" si="13"/>
        <v>7.0900042423811538E-2</v>
      </c>
      <c r="BC215" s="8">
        <v>1</v>
      </c>
      <c r="BD215" s="42">
        <v>0</v>
      </c>
      <c r="BF215" s="43">
        <f t="shared" ca="1" si="14"/>
        <v>0.46373999671623622</v>
      </c>
      <c r="BG215" s="8">
        <v>1</v>
      </c>
      <c r="BH215" s="42">
        <v>0</v>
      </c>
      <c r="BJ215" s="43">
        <f t="shared" ca="1" si="15"/>
        <v>0.92208589485918357</v>
      </c>
      <c r="BK215" s="8">
        <v>1</v>
      </c>
      <c r="BL215" s="42">
        <v>0</v>
      </c>
      <c r="BN215" s="43">
        <f t="shared" ca="1" si="16"/>
        <v>0.77378746796940445</v>
      </c>
      <c r="BO215" s="8">
        <v>1</v>
      </c>
      <c r="BP215" s="42">
        <v>0</v>
      </c>
      <c r="BR215" s="43">
        <f t="shared" ca="1" si="17"/>
        <v>0.35751117635132679</v>
      </c>
      <c r="BS215" s="8">
        <v>1</v>
      </c>
      <c r="BT215" s="42">
        <v>0</v>
      </c>
    </row>
    <row r="216" spans="1:72" x14ac:dyDescent="0.2">
      <c r="A216" s="22">
        <v>44763</v>
      </c>
      <c r="B216" s="43">
        <f t="shared" ca="1" si="0"/>
        <v>0.15412968981537589</v>
      </c>
      <c r="C216" s="8">
        <v>1</v>
      </c>
      <c r="D216" s="42">
        <v>0</v>
      </c>
      <c r="F216" s="43">
        <f t="shared" ca="1" si="1"/>
        <v>0.6819107958472147</v>
      </c>
      <c r="G216" s="8">
        <v>1</v>
      </c>
      <c r="H216" s="42">
        <v>0</v>
      </c>
      <c r="J216" s="43">
        <f t="shared" ca="1" si="2"/>
        <v>0.59323245365929378</v>
      </c>
      <c r="K216" s="8">
        <v>1</v>
      </c>
      <c r="L216" s="42">
        <v>0</v>
      </c>
      <c r="N216" s="43">
        <f t="shared" ca="1" si="3"/>
        <v>0.70572547402064412</v>
      </c>
      <c r="O216" s="8">
        <v>1</v>
      </c>
      <c r="P216" s="42">
        <v>0</v>
      </c>
      <c r="R216" s="43">
        <f t="shared" ca="1" si="4"/>
        <v>0.31567369918719246</v>
      </c>
      <c r="S216" s="8">
        <v>1</v>
      </c>
      <c r="T216" s="42">
        <v>0</v>
      </c>
      <c r="V216" s="43">
        <f t="shared" ca="1" si="5"/>
        <v>0.23818614747745614</v>
      </c>
      <c r="W216" s="8">
        <v>1</v>
      </c>
      <c r="X216" s="42">
        <v>0</v>
      </c>
      <c r="Z216" s="43">
        <f t="shared" ca="1" si="6"/>
        <v>0.56544264806974986</v>
      </c>
      <c r="AA216" s="8">
        <v>1</v>
      </c>
      <c r="AB216" s="42">
        <v>0</v>
      </c>
      <c r="AD216" s="43">
        <f t="shared" ca="1" si="7"/>
        <v>0.94054247687958248</v>
      </c>
      <c r="AE216" s="8">
        <v>1</v>
      </c>
      <c r="AF216" s="42">
        <v>0</v>
      </c>
      <c r="AH216" s="43">
        <f t="shared" ca="1" si="8"/>
        <v>0.83070067634290135</v>
      </c>
      <c r="AI216" s="8">
        <v>1</v>
      </c>
      <c r="AJ216" s="42">
        <v>0</v>
      </c>
      <c r="AL216" s="43">
        <f t="shared" ca="1" si="9"/>
        <v>4.6786592543994532E-2</v>
      </c>
      <c r="AM216" s="8">
        <v>1</v>
      </c>
      <c r="AN216" s="42">
        <v>0</v>
      </c>
      <c r="AP216" s="43">
        <f t="shared" ca="1" si="10"/>
        <v>0.13114741680786124</v>
      </c>
      <c r="AQ216" s="8">
        <v>1</v>
      </c>
      <c r="AR216" s="42">
        <v>0</v>
      </c>
      <c r="AT216" s="43">
        <f t="shared" ca="1" si="11"/>
        <v>0.55187027917970843</v>
      </c>
      <c r="AU216" s="8">
        <v>1</v>
      </c>
      <c r="AV216" s="42">
        <v>0</v>
      </c>
      <c r="AX216" s="43">
        <f t="shared" ca="1" si="12"/>
        <v>0.70709884572087289</v>
      </c>
      <c r="AY216" s="8">
        <v>1</v>
      </c>
      <c r="AZ216" s="42">
        <v>0</v>
      </c>
      <c r="BB216" s="43">
        <f t="shared" ca="1" si="13"/>
        <v>0.94569959929761194</v>
      </c>
      <c r="BC216" s="8">
        <v>1</v>
      </c>
      <c r="BD216" s="42">
        <v>0</v>
      </c>
      <c r="BF216" s="43">
        <f t="shared" ca="1" si="14"/>
        <v>0.48770490246193765</v>
      </c>
      <c r="BG216" s="8">
        <v>1</v>
      </c>
      <c r="BH216" s="42">
        <v>0</v>
      </c>
      <c r="BJ216" s="43">
        <f t="shared" ca="1" si="15"/>
        <v>0.95210443071330819</v>
      </c>
      <c r="BK216" s="8">
        <v>1</v>
      </c>
      <c r="BL216" s="42">
        <v>0</v>
      </c>
      <c r="BN216" s="43">
        <f t="shared" ca="1" si="16"/>
        <v>0.1258607184484245</v>
      </c>
      <c r="BO216" s="8">
        <v>1</v>
      </c>
      <c r="BP216" s="42">
        <v>0</v>
      </c>
      <c r="BR216" s="43">
        <f t="shared" ca="1" si="17"/>
        <v>0.98946191161273755</v>
      </c>
      <c r="BS216" s="8">
        <v>1</v>
      </c>
      <c r="BT216" s="42">
        <v>0</v>
      </c>
    </row>
    <row r="217" spans="1:72" x14ac:dyDescent="0.2">
      <c r="A217" s="22">
        <v>44764</v>
      </c>
      <c r="B217" s="43">
        <f t="shared" ca="1" si="0"/>
        <v>0.66497122446286216</v>
      </c>
      <c r="C217" s="8">
        <v>1</v>
      </c>
      <c r="D217" s="42">
        <v>0</v>
      </c>
      <c r="F217" s="43">
        <f t="shared" ca="1" si="1"/>
        <v>0.68527641568989606</v>
      </c>
      <c r="G217" s="8">
        <v>1</v>
      </c>
      <c r="H217" s="42">
        <v>0</v>
      </c>
      <c r="J217" s="43">
        <f t="shared" ca="1" si="2"/>
        <v>0.82154554164837679</v>
      </c>
      <c r="K217" s="8">
        <v>1</v>
      </c>
      <c r="L217" s="42">
        <v>0</v>
      </c>
      <c r="N217" s="43">
        <f t="shared" ca="1" si="3"/>
        <v>5.5547549470815749E-3</v>
      </c>
      <c r="O217" s="8">
        <v>1</v>
      </c>
      <c r="P217" s="42">
        <v>0</v>
      </c>
      <c r="R217" s="43">
        <f t="shared" ca="1" si="4"/>
        <v>0.25270005725838018</v>
      </c>
      <c r="S217" s="8">
        <v>1</v>
      </c>
      <c r="T217" s="42">
        <v>0</v>
      </c>
      <c r="V217" s="43">
        <f t="shared" ca="1" si="5"/>
        <v>0.23980410458581924</v>
      </c>
      <c r="W217" s="8">
        <v>1</v>
      </c>
      <c r="X217" s="42">
        <v>0</v>
      </c>
      <c r="Z217" s="43">
        <f t="shared" ca="1" si="6"/>
        <v>0.58874243697404693</v>
      </c>
      <c r="AA217" s="8">
        <v>1</v>
      </c>
      <c r="AB217" s="42">
        <v>0</v>
      </c>
      <c r="AD217" s="43">
        <f t="shared" ca="1" si="7"/>
        <v>0.9450698408911864</v>
      </c>
      <c r="AE217" s="8">
        <v>1</v>
      </c>
      <c r="AF217" s="42">
        <v>0</v>
      </c>
      <c r="AH217" s="43">
        <f t="shared" ca="1" si="8"/>
        <v>0.84079557087741996</v>
      </c>
      <c r="AI217" s="8">
        <v>1</v>
      </c>
      <c r="AJ217" s="42">
        <v>0</v>
      </c>
      <c r="AL217" s="43">
        <f t="shared" ca="1" si="9"/>
        <v>0.1650233828270854</v>
      </c>
      <c r="AM217" s="8">
        <v>1</v>
      </c>
      <c r="AN217" s="42">
        <v>0</v>
      </c>
      <c r="AP217" s="43">
        <f t="shared" ca="1" si="10"/>
        <v>0.1426942335065523</v>
      </c>
      <c r="AQ217" s="8">
        <v>1</v>
      </c>
      <c r="AR217" s="42">
        <v>0</v>
      </c>
      <c r="AT217" s="43">
        <f t="shared" ca="1" si="11"/>
        <v>0.12303792695313542</v>
      </c>
      <c r="AU217" s="8">
        <v>1</v>
      </c>
      <c r="AV217" s="42">
        <v>0</v>
      </c>
      <c r="AX217" s="43">
        <f t="shared" ca="1" si="12"/>
        <v>0.72978284884276912</v>
      </c>
      <c r="AY217" s="8">
        <v>1</v>
      </c>
      <c r="AZ217" s="42">
        <v>0</v>
      </c>
      <c r="BB217" s="43">
        <f t="shared" ca="1" si="13"/>
        <v>0.69390765451545311</v>
      </c>
      <c r="BC217" s="8">
        <v>1</v>
      </c>
      <c r="BD217" s="42">
        <v>0</v>
      </c>
      <c r="BF217" s="43">
        <f t="shared" ca="1" si="14"/>
        <v>0.37926641018427998</v>
      </c>
      <c r="BG217" s="8">
        <v>1</v>
      </c>
      <c r="BH217" s="42">
        <v>0</v>
      </c>
      <c r="BJ217" s="43">
        <f t="shared" ca="1" si="15"/>
        <v>0.85666824794615259</v>
      </c>
      <c r="BK217" s="8">
        <v>1</v>
      </c>
      <c r="BL217" s="42">
        <v>0</v>
      </c>
      <c r="BN217" s="43">
        <f t="shared" ca="1" si="16"/>
        <v>0.6607550858274015</v>
      </c>
      <c r="BO217" s="8">
        <v>1</v>
      </c>
      <c r="BP217" s="42">
        <v>0</v>
      </c>
      <c r="BR217" s="43">
        <f t="shared" ca="1" si="17"/>
        <v>0.4515862374512507</v>
      </c>
      <c r="BS217" s="8">
        <v>1</v>
      </c>
      <c r="BT217" s="42">
        <v>0</v>
      </c>
    </row>
    <row r="218" spans="1:72" x14ac:dyDescent="0.2">
      <c r="A218" s="22">
        <v>44765</v>
      </c>
      <c r="B218" s="43">
        <f t="shared" ca="1" si="0"/>
        <v>0.95108845772536055</v>
      </c>
      <c r="C218" s="8">
        <v>1</v>
      </c>
      <c r="D218" s="42">
        <v>0</v>
      </c>
      <c r="F218" s="43">
        <f t="shared" ca="1" si="1"/>
        <v>0.55962761100341141</v>
      </c>
      <c r="G218" s="8">
        <v>1</v>
      </c>
      <c r="H218" s="42">
        <v>0</v>
      </c>
      <c r="J218" s="43">
        <f t="shared" ca="1" si="2"/>
        <v>0.89951300689721503</v>
      </c>
      <c r="K218" s="8">
        <v>1</v>
      </c>
      <c r="L218" s="42">
        <v>0</v>
      </c>
      <c r="N218" s="43">
        <f t="shared" ca="1" si="3"/>
        <v>0.76439717755082548</v>
      </c>
      <c r="O218" s="8">
        <v>1</v>
      </c>
      <c r="P218" s="42">
        <v>0</v>
      </c>
      <c r="R218" s="43">
        <f t="shared" ca="1" si="4"/>
        <v>0.79672340546958498</v>
      </c>
      <c r="S218" s="8">
        <v>1</v>
      </c>
      <c r="T218" s="42">
        <v>0</v>
      </c>
      <c r="V218" s="43">
        <f t="shared" ca="1" si="5"/>
        <v>0.43471050774129649</v>
      </c>
      <c r="W218" s="8">
        <v>1</v>
      </c>
      <c r="X218" s="42">
        <v>0</v>
      </c>
      <c r="Z218" s="43">
        <f t="shared" ca="1" si="6"/>
        <v>0.36691651471732201</v>
      </c>
      <c r="AA218" s="8">
        <v>1</v>
      </c>
      <c r="AB218" s="42">
        <v>0</v>
      </c>
      <c r="AD218" s="43">
        <f t="shared" ca="1" si="7"/>
        <v>0.26576814184955821</v>
      </c>
      <c r="AE218" s="8">
        <v>1</v>
      </c>
      <c r="AF218" s="42">
        <v>0</v>
      </c>
      <c r="AH218" s="43">
        <f t="shared" ca="1" si="8"/>
        <v>0.56709166396976196</v>
      </c>
      <c r="AI218" s="8">
        <v>1</v>
      </c>
      <c r="AJ218" s="42">
        <v>0</v>
      </c>
      <c r="AL218" s="43">
        <f t="shared" ca="1" si="9"/>
        <v>0.25224827092418722</v>
      </c>
      <c r="AM218" s="8">
        <v>1</v>
      </c>
      <c r="AN218" s="42">
        <v>0</v>
      </c>
      <c r="AP218" s="43">
        <f t="shared" ca="1" si="10"/>
        <v>0.64162735930487924</v>
      </c>
      <c r="AQ218" s="8">
        <v>1</v>
      </c>
      <c r="AR218" s="42">
        <v>0</v>
      </c>
      <c r="AT218" s="43">
        <f t="shared" ca="1" si="11"/>
        <v>0.42848744107415371</v>
      </c>
      <c r="AU218" s="8">
        <v>1</v>
      </c>
      <c r="AV218" s="42">
        <v>0</v>
      </c>
      <c r="AX218" s="43">
        <f t="shared" ca="1" si="12"/>
        <v>0.42477118214922571</v>
      </c>
      <c r="AY218" s="8">
        <v>1</v>
      </c>
      <c r="AZ218" s="42">
        <v>0</v>
      </c>
      <c r="BB218" s="43">
        <f t="shared" ca="1" si="13"/>
        <v>9.9610887740212428E-3</v>
      </c>
      <c r="BC218" s="8">
        <v>1</v>
      </c>
      <c r="BD218" s="42">
        <v>0</v>
      </c>
      <c r="BF218" s="43">
        <f t="shared" ca="1" si="14"/>
        <v>0.37942444479571047</v>
      </c>
      <c r="BG218" s="8">
        <v>1</v>
      </c>
      <c r="BH218" s="42">
        <v>0</v>
      </c>
      <c r="BJ218" s="43">
        <f t="shared" ca="1" si="15"/>
        <v>0.35859155423118805</v>
      </c>
      <c r="BK218" s="8">
        <v>1</v>
      </c>
      <c r="BL218" s="42">
        <v>0</v>
      </c>
      <c r="BN218" s="43">
        <f t="shared" ca="1" si="16"/>
        <v>0.70931829229288701</v>
      </c>
      <c r="BO218" s="8">
        <v>1</v>
      </c>
      <c r="BP218" s="42">
        <v>0</v>
      </c>
      <c r="BR218" s="43">
        <f t="shared" ca="1" si="17"/>
        <v>0.32619252600649906</v>
      </c>
      <c r="BS218" s="8">
        <v>1</v>
      </c>
      <c r="BT218" s="42">
        <v>0</v>
      </c>
    </row>
    <row r="219" spans="1:72" x14ac:dyDescent="0.2">
      <c r="A219" s="22">
        <v>44766</v>
      </c>
      <c r="B219" s="43">
        <f t="shared" ca="1" si="0"/>
        <v>0.55890703079613868</v>
      </c>
      <c r="C219" s="8">
        <v>1</v>
      </c>
      <c r="D219" s="42">
        <v>0</v>
      </c>
      <c r="F219" s="43">
        <f t="shared" ca="1" si="1"/>
        <v>0.91926793950381414</v>
      </c>
      <c r="G219" s="8">
        <v>1</v>
      </c>
      <c r="H219" s="42">
        <v>0</v>
      </c>
      <c r="J219" s="43">
        <f t="shared" ca="1" si="2"/>
        <v>0.15140729734496139</v>
      </c>
      <c r="K219" s="8">
        <v>1</v>
      </c>
      <c r="L219" s="42">
        <v>0</v>
      </c>
      <c r="N219" s="43">
        <f t="shared" ca="1" si="3"/>
        <v>0.82037763449198331</v>
      </c>
      <c r="O219" s="8">
        <v>1</v>
      </c>
      <c r="P219" s="42">
        <v>0</v>
      </c>
      <c r="R219" s="43">
        <f t="shared" ca="1" si="4"/>
        <v>0.43609198762437651</v>
      </c>
      <c r="S219" s="8">
        <v>1</v>
      </c>
      <c r="T219" s="42">
        <v>0</v>
      </c>
      <c r="V219" s="43">
        <f t="shared" ca="1" si="5"/>
        <v>4.5932970487423508E-2</v>
      </c>
      <c r="W219" s="8">
        <v>1</v>
      </c>
      <c r="X219" s="42">
        <v>0</v>
      </c>
      <c r="Z219" s="43">
        <f t="shared" ca="1" si="6"/>
        <v>0.59147580885260909</v>
      </c>
      <c r="AA219" s="8">
        <v>1</v>
      </c>
      <c r="AB219" s="42">
        <v>0</v>
      </c>
      <c r="AD219" s="43">
        <f t="shared" ca="1" si="7"/>
        <v>0.30981546524827008</v>
      </c>
      <c r="AE219" s="8">
        <v>1</v>
      </c>
      <c r="AF219" s="42">
        <v>0</v>
      </c>
      <c r="AH219" s="43">
        <f t="shared" ca="1" si="8"/>
        <v>7.4539762836106638E-3</v>
      </c>
      <c r="AI219" s="8">
        <v>1</v>
      </c>
      <c r="AJ219" s="42">
        <v>0</v>
      </c>
      <c r="AL219" s="43">
        <f t="shared" ca="1" si="9"/>
        <v>0.19418104111191858</v>
      </c>
      <c r="AM219" s="8">
        <v>1</v>
      </c>
      <c r="AN219" s="42">
        <v>0</v>
      </c>
      <c r="AP219" s="43">
        <f t="shared" ca="1" si="10"/>
        <v>0.58333492920209062</v>
      </c>
      <c r="AQ219" s="8">
        <v>1</v>
      </c>
      <c r="AR219" s="42">
        <v>0</v>
      </c>
      <c r="AT219" s="43">
        <f t="shared" ca="1" si="11"/>
        <v>0.24981271498838375</v>
      </c>
      <c r="AU219" s="8">
        <v>1</v>
      </c>
      <c r="AV219" s="42">
        <v>0</v>
      </c>
      <c r="AX219" s="43">
        <f t="shared" ca="1" si="12"/>
        <v>0.37937179867461579</v>
      </c>
      <c r="AY219" s="8">
        <v>1</v>
      </c>
      <c r="AZ219" s="42">
        <v>0</v>
      </c>
      <c r="BB219" s="43">
        <f t="shared" ca="1" si="13"/>
        <v>0.87244270877356189</v>
      </c>
      <c r="BC219" s="8">
        <v>1</v>
      </c>
      <c r="BD219" s="42">
        <v>0</v>
      </c>
      <c r="BF219" s="43">
        <f t="shared" ca="1" si="14"/>
        <v>0.55049331642413168</v>
      </c>
      <c r="BG219" s="8">
        <v>1</v>
      </c>
      <c r="BH219" s="42">
        <v>0</v>
      </c>
      <c r="BJ219" s="43">
        <f t="shared" ca="1" si="15"/>
        <v>0.35727213461574703</v>
      </c>
      <c r="BK219" s="8">
        <v>1</v>
      </c>
      <c r="BL219" s="42">
        <v>0</v>
      </c>
      <c r="BN219" s="43">
        <f t="shared" ca="1" si="16"/>
        <v>0.6719750599636134</v>
      </c>
      <c r="BO219" s="8">
        <v>1</v>
      </c>
      <c r="BP219" s="42">
        <v>0</v>
      </c>
      <c r="BR219" s="43">
        <f t="shared" ca="1" si="17"/>
        <v>0.62988398893642539</v>
      </c>
      <c r="BS219" s="8">
        <v>1</v>
      </c>
      <c r="BT219" s="42">
        <v>0</v>
      </c>
    </row>
    <row r="220" spans="1:72" x14ac:dyDescent="0.2">
      <c r="A220" s="22">
        <v>44767</v>
      </c>
      <c r="B220" s="43">
        <f t="shared" ca="1" si="0"/>
        <v>5.8457260584609205E-2</v>
      </c>
      <c r="C220" s="8">
        <v>1</v>
      </c>
      <c r="D220" s="42">
        <v>0</v>
      </c>
      <c r="F220" s="43">
        <f t="shared" ca="1" si="1"/>
        <v>0.41337289650774989</v>
      </c>
      <c r="G220" s="8">
        <v>1</v>
      </c>
      <c r="H220" s="42">
        <v>0</v>
      </c>
      <c r="J220" s="43">
        <f t="shared" ca="1" si="2"/>
        <v>0.5235111094497491</v>
      </c>
      <c r="K220" s="8">
        <v>1</v>
      </c>
      <c r="L220" s="42">
        <v>0</v>
      </c>
      <c r="N220" s="43">
        <f t="shared" ca="1" si="3"/>
        <v>0.3818218317953973</v>
      </c>
      <c r="O220" s="8">
        <v>1</v>
      </c>
      <c r="P220" s="42">
        <v>0</v>
      </c>
      <c r="R220" s="43">
        <f t="shared" ca="1" si="4"/>
        <v>0.65803858263628523</v>
      </c>
      <c r="S220" s="8">
        <v>1</v>
      </c>
      <c r="T220" s="42">
        <v>0</v>
      </c>
      <c r="V220" s="43">
        <f t="shared" ca="1" si="5"/>
        <v>0.14816761882223184</v>
      </c>
      <c r="W220" s="8">
        <v>1</v>
      </c>
      <c r="X220" s="42">
        <v>0</v>
      </c>
      <c r="Z220" s="43">
        <f t="shared" ca="1" si="6"/>
        <v>0.28586285673360323</v>
      </c>
      <c r="AA220" s="8">
        <v>1</v>
      </c>
      <c r="AB220" s="42">
        <v>0</v>
      </c>
      <c r="AD220" s="43">
        <f t="shared" ca="1" si="7"/>
        <v>0.33529371675611708</v>
      </c>
      <c r="AE220" s="8">
        <v>1</v>
      </c>
      <c r="AF220" s="42">
        <v>0</v>
      </c>
      <c r="AH220" s="43">
        <f t="shared" ca="1" si="8"/>
        <v>0.19306638764275985</v>
      </c>
      <c r="AI220" s="8">
        <v>1</v>
      </c>
      <c r="AJ220" s="42">
        <v>0</v>
      </c>
      <c r="AL220" s="43">
        <f t="shared" ca="1" si="9"/>
        <v>0.87704665022213812</v>
      </c>
      <c r="AM220" s="8">
        <v>1</v>
      </c>
      <c r="AN220" s="42">
        <v>0</v>
      </c>
      <c r="AP220" s="43">
        <f t="shared" ca="1" si="10"/>
        <v>0.48270615743873158</v>
      </c>
      <c r="AQ220" s="8">
        <v>1</v>
      </c>
      <c r="AR220" s="42">
        <v>0</v>
      </c>
      <c r="AT220" s="43">
        <f t="shared" ca="1" si="11"/>
        <v>0.93647129948214858</v>
      </c>
      <c r="AU220" s="8">
        <v>1</v>
      </c>
      <c r="AV220" s="42">
        <v>0</v>
      </c>
      <c r="AX220" s="43">
        <f t="shared" ca="1" si="12"/>
        <v>0.23779538048609938</v>
      </c>
      <c r="AY220" s="8">
        <v>1</v>
      </c>
      <c r="AZ220" s="42">
        <v>0</v>
      </c>
      <c r="BB220" s="43">
        <f t="shared" ca="1" si="13"/>
        <v>0.77145791143957343</v>
      </c>
      <c r="BC220" s="8">
        <v>1</v>
      </c>
      <c r="BD220" s="42">
        <v>0</v>
      </c>
      <c r="BF220" s="43">
        <f t="shared" ca="1" si="14"/>
        <v>0.65404098478529793</v>
      </c>
      <c r="BG220" s="8">
        <v>1</v>
      </c>
      <c r="BH220" s="42">
        <v>0</v>
      </c>
      <c r="BJ220" s="43">
        <f t="shared" ca="1" si="15"/>
        <v>0.79444311709074011</v>
      </c>
      <c r="BK220" s="8">
        <v>1</v>
      </c>
      <c r="BL220" s="42">
        <v>0</v>
      </c>
      <c r="BN220" s="43">
        <f t="shared" ca="1" si="16"/>
        <v>0.14627280879477567</v>
      </c>
      <c r="BO220" s="8">
        <v>1</v>
      </c>
      <c r="BP220" s="42">
        <v>0</v>
      </c>
      <c r="BR220" s="43">
        <f t="shared" ca="1" si="17"/>
        <v>0.21949002574576915</v>
      </c>
      <c r="BS220" s="8">
        <v>1</v>
      </c>
      <c r="BT220" s="42">
        <v>0</v>
      </c>
    </row>
    <row r="221" spans="1:72" x14ac:dyDescent="0.2">
      <c r="A221" s="22">
        <v>44768</v>
      </c>
      <c r="B221" s="43">
        <f t="shared" ca="1" si="0"/>
        <v>0.81358064662742124</v>
      </c>
      <c r="C221" s="8">
        <v>1</v>
      </c>
      <c r="D221" s="42">
        <v>0</v>
      </c>
      <c r="F221" s="43">
        <f t="shared" ca="1" si="1"/>
        <v>0.2462343115418083</v>
      </c>
      <c r="G221" s="8">
        <v>1</v>
      </c>
      <c r="H221" s="42">
        <v>0</v>
      </c>
      <c r="J221" s="43">
        <f t="shared" ca="1" si="2"/>
        <v>0.78952978458455014</v>
      </c>
      <c r="K221" s="8">
        <v>1</v>
      </c>
      <c r="L221" s="42">
        <v>0</v>
      </c>
      <c r="N221" s="43">
        <f t="shared" ca="1" si="3"/>
        <v>0.95473786386263437</v>
      </c>
      <c r="O221" s="8">
        <v>1</v>
      </c>
      <c r="P221" s="42">
        <v>0</v>
      </c>
      <c r="R221" s="43">
        <f t="shared" ca="1" si="4"/>
        <v>0.45428426785721809</v>
      </c>
      <c r="S221" s="8">
        <v>1</v>
      </c>
      <c r="T221" s="42">
        <v>0</v>
      </c>
      <c r="V221" s="43">
        <f t="shared" ca="1" si="5"/>
        <v>0.77814611102417841</v>
      </c>
      <c r="W221" s="8">
        <v>1</v>
      </c>
      <c r="X221" s="42">
        <v>0</v>
      </c>
      <c r="Z221" s="43">
        <f t="shared" ca="1" si="6"/>
        <v>0.88955830849009554</v>
      </c>
      <c r="AA221" s="8">
        <v>1</v>
      </c>
      <c r="AB221" s="42">
        <v>0</v>
      </c>
      <c r="AD221" s="43">
        <f t="shared" ca="1" si="7"/>
        <v>0.4699476540883688</v>
      </c>
      <c r="AE221" s="8">
        <v>1</v>
      </c>
      <c r="AF221" s="42">
        <v>0</v>
      </c>
      <c r="AH221" s="43">
        <f t="shared" ca="1" si="8"/>
        <v>0.75542622592697295</v>
      </c>
      <c r="AI221" s="8">
        <v>1</v>
      </c>
      <c r="AJ221" s="42">
        <v>0</v>
      </c>
      <c r="AL221" s="43">
        <f t="shared" ca="1" si="9"/>
        <v>0.57742464320873854</v>
      </c>
      <c r="AM221" s="8">
        <v>1</v>
      </c>
      <c r="AN221" s="42">
        <v>0</v>
      </c>
      <c r="AP221" s="43">
        <f t="shared" ca="1" si="10"/>
        <v>0.76189257359969786</v>
      </c>
      <c r="AQ221" s="8">
        <v>1</v>
      </c>
      <c r="AR221" s="42">
        <v>0</v>
      </c>
      <c r="AT221" s="43">
        <f t="shared" ca="1" si="11"/>
        <v>0.55388200008714839</v>
      </c>
      <c r="AU221" s="8">
        <v>1</v>
      </c>
      <c r="AV221" s="42">
        <v>0</v>
      </c>
      <c r="AX221" s="43">
        <f t="shared" ca="1" si="12"/>
        <v>0.93209475538980824</v>
      </c>
      <c r="AY221" s="8">
        <v>1</v>
      </c>
      <c r="AZ221" s="42">
        <v>0</v>
      </c>
      <c r="BB221" s="43">
        <f t="shared" ca="1" si="13"/>
        <v>0.47845062218326095</v>
      </c>
      <c r="BC221" s="8">
        <v>1</v>
      </c>
      <c r="BD221" s="42">
        <v>0</v>
      </c>
      <c r="BF221" s="43">
        <f t="shared" ca="1" si="14"/>
        <v>0.56563502992115633</v>
      </c>
      <c r="BG221" s="8">
        <v>1</v>
      </c>
      <c r="BH221" s="42">
        <v>0</v>
      </c>
      <c r="BJ221" s="43">
        <f t="shared" ca="1" si="15"/>
        <v>9.3647987293112966E-2</v>
      </c>
      <c r="BK221" s="8">
        <v>1</v>
      </c>
      <c r="BL221" s="42">
        <v>0</v>
      </c>
      <c r="BN221" s="43">
        <f t="shared" ca="1" si="16"/>
        <v>6.9455563112621022E-2</v>
      </c>
      <c r="BO221" s="8">
        <v>1</v>
      </c>
      <c r="BP221" s="42">
        <v>0</v>
      </c>
      <c r="BR221" s="43">
        <f t="shared" ca="1" si="17"/>
        <v>0.757128497693483</v>
      </c>
      <c r="BS221" s="8">
        <v>1</v>
      </c>
      <c r="BT221" s="42">
        <v>0</v>
      </c>
    </row>
    <row r="222" spans="1:72" x14ac:dyDescent="0.2">
      <c r="A222" s="22">
        <v>44769</v>
      </c>
      <c r="B222" s="43">
        <f t="shared" ca="1" si="0"/>
        <v>3.98876505466913E-2</v>
      </c>
      <c r="C222" s="8">
        <v>1</v>
      </c>
      <c r="D222" s="42">
        <v>0</v>
      </c>
      <c r="F222" s="43">
        <f t="shared" ca="1" si="1"/>
        <v>0.84265325548413927</v>
      </c>
      <c r="G222" s="8">
        <v>1</v>
      </c>
      <c r="H222" s="42">
        <v>0</v>
      </c>
      <c r="J222" s="43">
        <f t="shared" ca="1" si="2"/>
        <v>0.3731997278399215</v>
      </c>
      <c r="K222" s="8">
        <v>1</v>
      </c>
      <c r="L222" s="42">
        <v>0</v>
      </c>
      <c r="N222" s="43">
        <f t="shared" ca="1" si="3"/>
        <v>0.923001676174385</v>
      </c>
      <c r="O222" s="8">
        <v>1</v>
      </c>
      <c r="P222" s="42">
        <v>0</v>
      </c>
      <c r="R222" s="43">
        <f t="shared" ca="1" si="4"/>
        <v>0.34019840583247674</v>
      </c>
      <c r="S222" s="8">
        <v>1</v>
      </c>
      <c r="T222" s="42">
        <v>0</v>
      </c>
      <c r="V222" s="43">
        <f t="shared" ca="1" si="5"/>
        <v>0.42552715467647317</v>
      </c>
      <c r="W222" s="8">
        <v>1</v>
      </c>
      <c r="X222" s="42">
        <v>0</v>
      </c>
      <c r="Z222" s="43">
        <f t="shared" ca="1" si="6"/>
        <v>0.34578538423659888</v>
      </c>
      <c r="AA222" s="8">
        <v>1</v>
      </c>
      <c r="AB222" s="42">
        <v>0</v>
      </c>
      <c r="AD222" s="43">
        <f t="shared" ca="1" si="7"/>
        <v>0.9967158911448285</v>
      </c>
      <c r="AE222" s="8">
        <v>1</v>
      </c>
      <c r="AF222" s="42">
        <v>0</v>
      </c>
      <c r="AH222" s="43">
        <f t="shared" ca="1" si="8"/>
        <v>0.90218381380763202</v>
      </c>
      <c r="AI222" s="8">
        <v>1</v>
      </c>
      <c r="AJ222" s="42">
        <v>0</v>
      </c>
      <c r="AL222" s="43">
        <f t="shared" ca="1" si="9"/>
        <v>0.69150974846336732</v>
      </c>
      <c r="AM222" s="8">
        <v>1</v>
      </c>
      <c r="AN222" s="42">
        <v>0</v>
      </c>
      <c r="AP222" s="43">
        <f t="shared" ca="1" si="10"/>
        <v>0.27665565209992138</v>
      </c>
      <c r="AQ222" s="8">
        <v>1</v>
      </c>
      <c r="AR222" s="42">
        <v>0</v>
      </c>
      <c r="AT222" s="43">
        <f t="shared" ca="1" si="11"/>
        <v>0.90244586696052753</v>
      </c>
      <c r="AU222" s="8">
        <v>1</v>
      </c>
      <c r="AV222" s="42">
        <v>0</v>
      </c>
      <c r="AX222" s="43">
        <f t="shared" ca="1" si="12"/>
        <v>0.55007176584010486</v>
      </c>
      <c r="AY222" s="8">
        <v>1</v>
      </c>
      <c r="AZ222" s="42">
        <v>0</v>
      </c>
      <c r="BB222" s="43">
        <f t="shared" ca="1" si="13"/>
        <v>2.7104918270224876E-2</v>
      </c>
      <c r="BC222" s="8">
        <v>1</v>
      </c>
      <c r="BD222" s="42">
        <v>0</v>
      </c>
      <c r="BF222" s="43">
        <f t="shared" ca="1" si="14"/>
        <v>0.2947693115232094</v>
      </c>
      <c r="BG222" s="8">
        <v>1</v>
      </c>
      <c r="BH222" s="42">
        <v>0</v>
      </c>
      <c r="BJ222" s="43">
        <f t="shared" ca="1" si="15"/>
        <v>0.30824830741873921</v>
      </c>
      <c r="BK222" s="8">
        <v>1</v>
      </c>
      <c r="BL222" s="42">
        <v>0</v>
      </c>
      <c r="BN222" s="43">
        <f t="shared" ca="1" si="16"/>
        <v>0.3468257604342645</v>
      </c>
      <c r="BO222" s="8">
        <v>1</v>
      </c>
      <c r="BP222" s="42">
        <v>0</v>
      </c>
      <c r="BR222" s="43">
        <f t="shared" ca="1" si="17"/>
        <v>0.21174921125882784</v>
      </c>
      <c r="BS222" s="8">
        <v>1</v>
      </c>
      <c r="BT222" s="42">
        <v>0</v>
      </c>
    </row>
    <row r="223" spans="1:72" x14ac:dyDescent="0.2">
      <c r="A223" s="22">
        <v>44770</v>
      </c>
      <c r="B223" s="43">
        <f t="shared" ca="1" si="0"/>
        <v>0.93331882104628228</v>
      </c>
      <c r="C223" s="8">
        <v>1</v>
      </c>
      <c r="D223" s="42">
        <v>0</v>
      </c>
      <c r="F223" s="43">
        <f t="shared" ca="1" si="1"/>
        <v>0.68557013617408924</v>
      </c>
      <c r="G223" s="8">
        <v>1</v>
      </c>
      <c r="H223" s="42">
        <v>0</v>
      </c>
      <c r="J223" s="43">
        <f t="shared" ca="1" si="2"/>
        <v>0.52869506962922219</v>
      </c>
      <c r="K223" s="8">
        <v>1</v>
      </c>
      <c r="L223" s="42">
        <v>0</v>
      </c>
      <c r="N223" s="43">
        <f t="shared" ca="1" si="3"/>
        <v>1.2769711853667931E-2</v>
      </c>
      <c r="O223" s="8">
        <v>1</v>
      </c>
      <c r="P223" s="42">
        <v>0</v>
      </c>
      <c r="R223" s="43">
        <f t="shared" ca="1" si="4"/>
        <v>0.63975800689785722</v>
      </c>
      <c r="S223" s="8">
        <v>1</v>
      </c>
      <c r="T223" s="42">
        <v>0</v>
      </c>
      <c r="V223" s="43">
        <f t="shared" ca="1" si="5"/>
        <v>0.48772724979592696</v>
      </c>
      <c r="W223" s="8">
        <v>1</v>
      </c>
      <c r="X223" s="42">
        <v>0</v>
      </c>
      <c r="Z223" s="43">
        <f t="shared" ca="1" si="6"/>
        <v>0.21772845280330155</v>
      </c>
      <c r="AA223" s="8">
        <v>1</v>
      </c>
      <c r="AB223" s="42">
        <v>0</v>
      </c>
      <c r="AD223" s="43">
        <f t="shared" ca="1" si="7"/>
        <v>0.53316151103404774</v>
      </c>
      <c r="AE223" s="8">
        <v>1</v>
      </c>
      <c r="AF223" s="42">
        <v>0</v>
      </c>
      <c r="AH223" s="43">
        <f t="shared" ca="1" si="8"/>
        <v>0.66861269619627861</v>
      </c>
      <c r="AI223" s="8">
        <v>1</v>
      </c>
      <c r="AJ223" s="42">
        <v>0</v>
      </c>
      <c r="AL223" s="43">
        <f t="shared" ca="1" si="9"/>
        <v>0.12845328337413675</v>
      </c>
      <c r="AM223" s="8">
        <v>1</v>
      </c>
      <c r="AN223" s="42">
        <v>0</v>
      </c>
      <c r="AP223" s="43">
        <f t="shared" ca="1" si="10"/>
        <v>0.18092772818158043</v>
      </c>
      <c r="AQ223" s="8">
        <v>1</v>
      </c>
      <c r="AR223" s="42">
        <v>0</v>
      </c>
      <c r="AT223" s="43">
        <f t="shared" ca="1" si="11"/>
        <v>0.19009438863674966</v>
      </c>
      <c r="AU223" s="8">
        <v>1</v>
      </c>
      <c r="AV223" s="42">
        <v>0</v>
      </c>
      <c r="AX223" s="43">
        <f t="shared" ca="1" si="12"/>
        <v>0.69296119665537248</v>
      </c>
      <c r="AY223" s="8">
        <v>1</v>
      </c>
      <c r="AZ223" s="42">
        <v>0</v>
      </c>
      <c r="BB223" s="43">
        <f t="shared" ca="1" si="13"/>
        <v>0.51205210522154232</v>
      </c>
      <c r="BC223" s="8">
        <v>1</v>
      </c>
      <c r="BD223" s="42">
        <v>0</v>
      </c>
      <c r="BF223" s="43">
        <f t="shared" ca="1" si="14"/>
        <v>0.56325821024222056</v>
      </c>
      <c r="BG223" s="8">
        <v>1</v>
      </c>
      <c r="BH223" s="42">
        <v>0</v>
      </c>
      <c r="BJ223" s="43">
        <f t="shared" ca="1" si="15"/>
        <v>0.77698366180643308</v>
      </c>
      <c r="BK223" s="8">
        <v>1</v>
      </c>
      <c r="BL223" s="42">
        <v>0</v>
      </c>
      <c r="BN223" s="43">
        <f t="shared" ca="1" si="16"/>
        <v>0.55476599006464389</v>
      </c>
      <c r="BO223" s="8">
        <v>1</v>
      </c>
      <c r="BP223" s="42">
        <v>0</v>
      </c>
      <c r="BR223" s="43">
        <f t="shared" ca="1" si="17"/>
        <v>0.40840114784409709</v>
      </c>
      <c r="BS223" s="8">
        <v>1</v>
      </c>
      <c r="BT223" s="42">
        <v>0</v>
      </c>
    </row>
    <row r="224" spans="1:72" x14ac:dyDescent="0.2">
      <c r="A224" s="22">
        <v>44771</v>
      </c>
      <c r="B224" s="43">
        <f t="shared" ca="1" si="0"/>
        <v>0.25330680097822111</v>
      </c>
      <c r="C224" s="8">
        <v>1</v>
      </c>
      <c r="D224" s="42">
        <v>0</v>
      </c>
      <c r="F224" s="43">
        <f t="shared" ca="1" si="1"/>
        <v>0.85536859224054906</v>
      </c>
      <c r="G224" s="8">
        <v>1</v>
      </c>
      <c r="H224" s="42">
        <v>0</v>
      </c>
      <c r="J224" s="43">
        <f t="shared" ca="1" si="2"/>
        <v>6.3338507437626923E-2</v>
      </c>
      <c r="K224" s="8">
        <v>1</v>
      </c>
      <c r="L224" s="42">
        <v>0</v>
      </c>
      <c r="N224" s="43">
        <f t="shared" ca="1" si="3"/>
        <v>0.9318174306846122</v>
      </c>
      <c r="O224" s="8">
        <v>1</v>
      </c>
      <c r="P224" s="42">
        <v>0</v>
      </c>
      <c r="R224" s="43">
        <f t="shared" ca="1" si="4"/>
        <v>0.6369222813577391</v>
      </c>
      <c r="S224" s="8">
        <v>1</v>
      </c>
      <c r="T224" s="42">
        <v>0</v>
      </c>
      <c r="V224" s="43">
        <f t="shared" ca="1" si="5"/>
        <v>0.85424292873092333</v>
      </c>
      <c r="W224" s="8">
        <v>1</v>
      </c>
      <c r="X224" s="42">
        <v>0</v>
      </c>
      <c r="Z224" s="43">
        <f t="shared" ca="1" si="6"/>
        <v>0.98390107141449779</v>
      </c>
      <c r="AA224" s="8">
        <v>1</v>
      </c>
      <c r="AB224" s="42">
        <v>0</v>
      </c>
      <c r="AD224" s="43">
        <f t="shared" ca="1" si="7"/>
        <v>0.42923849427640814</v>
      </c>
      <c r="AE224" s="8">
        <v>1</v>
      </c>
      <c r="AF224" s="42">
        <v>0</v>
      </c>
      <c r="AH224" s="43">
        <f t="shared" ca="1" si="8"/>
        <v>0.77000640136803</v>
      </c>
      <c r="AI224" s="8">
        <v>1</v>
      </c>
      <c r="AJ224" s="42">
        <v>0</v>
      </c>
      <c r="AL224" s="43">
        <f t="shared" ca="1" si="9"/>
        <v>0.37433369520484272</v>
      </c>
      <c r="AM224" s="8">
        <v>1</v>
      </c>
      <c r="AN224" s="42">
        <v>0</v>
      </c>
      <c r="AP224" s="43">
        <f t="shared" ca="1" si="10"/>
        <v>0.19189333881099602</v>
      </c>
      <c r="AQ224" s="8">
        <v>1</v>
      </c>
      <c r="AR224" s="42">
        <v>0</v>
      </c>
      <c r="AT224" s="43">
        <f t="shared" ca="1" si="11"/>
        <v>0.21867108454120376</v>
      </c>
      <c r="AU224" s="8">
        <v>1</v>
      </c>
      <c r="AV224" s="42">
        <v>0</v>
      </c>
      <c r="AX224" s="43">
        <f t="shared" ca="1" si="12"/>
        <v>0.28667763324530549</v>
      </c>
      <c r="AY224" s="8">
        <v>1</v>
      </c>
      <c r="AZ224" s="42">
        <v>0</v>
      </c>
      <c r="BB224" s="43">
        <f t="shared" ca="1" si="13"/>
        <v>7.4012924228329169E-2</v>
      </c>
      <c r="BC224" s="8">
        <v>1</v>
      </c>
      <c r="BD224" s="42">
        <v>0</v>
      </c>
      <c r="BF224" s="43">
        <f t="shared" ca="1" si="14"/>
        <v>0.35801094159378688</v>
      </c>
      <c r="BG224" s="8">
        <v>1</v>
      </c>
      <c r="BH224" s="42">
        <v>0</v>
      </c>
      <c r="BJ224" s="43">
        <f t="shared" ca="1" si="15"/>
        <v>0.67037189539171493</v>
      </c>
      <c r="BK224" s="8">
        <v>1</v>
      </c>
      <c r="BL224" s="42">
        <v>0</v>
      </c>
      <c r="BN224" s="43">
        <f t="shared" ca="1" si="16"/>
        <v>0.79191543083732341</v>
      </c>
      <c r="BO224" s="8">
        <v>1</v>
      </c>
      <c r="BP224" s="42">
        <v>0</v>
      </c>
      <c r="BR224" s="43">
        <f t="shared" ca="1" si="17"/>
        <v>0.59756325162714408</v>
      </c>
      <c r="BS224" s="8">
        <v>1</v>
      </c>
      <c r="BT224" s="42">
        <v>0</v>
      </c>
    </row>
    <row r="225" spans="1:72" x14ac:dyDescent="0.2">
      <c r="A225" s="22">
        <v>44772</v>
      </c>
      <c r="B225" s="43">
        <f t="shared" ca="1" si="0"/>
        <v>0.2374969773929011</v>
      </c>
      <c r="C225" s="8">
        <v>1</v>
      </c>
      <c r="D225" s="42">
        <v>0</v>
      </c>
      <c r="F225" s="43">
        <f t="shared" ca="1" si="1"/>
        <v>0.56316945247586014</v>
      </c>
      <c r="G225" s="8">
        <v>1</v>
      </c>
      <c r="H225" s="42">
        <v>0</v>
      </c>
      <c r="J225" s="43">
        <f t="shared" ca="1" si="2"/>
        <v>0.44336495993348168</v>
      </c>
      <c r="K225" s="8">
        <v>1</v>
      </c>
      <c r="L225" s="42">
        <v>0</v>
      </c>
      <c r="N225" s="43">
        <f t="shared" ca="1" si="3"/>
        <v>0.6920859195111575</v>
      </c>
      <c r="O225" s="8">
        <v>1</v>
      </c>
      <c r="P225" s="42">
        <v>0</v>
      </c>
      <c r="R225" s="43">
        <f t="shared" ca="1" si="4"/>
        <v>1.9426253052876263E-2</v>
      </c>
      <c r="S225" s="8">
        <v>1</v>
      </c>
      <c r="T225" s="42">
        <v>0</v>
      </c>
      <c r="V225" s="43">
        <f t="shared" ca="1" si="5"/>
        <v>0.11315557454803515</v>
      </c>
      <c r="W225" s="8">
        <v>1</v>
      </c>
      <c r="X225" s="42">
        <v>0</v>
      </c>
      <c r="Z225" s="43">
        <f t="shared" ca="1" si="6"/>
        <v>0.47487866438596471</v>
      </c>
      <c r="AA225" s="8">
        <v>1</v>
      </c>
      <c r="AB225" s="42">
        <v>0</v>
      </c>
      <c r="AD225" s="43">
        <f t="shared" ca="1" si="7"/>
        <v>0.1565588870534117</v>
      </c>
      <c r="AE225" s="8">
        <v>1</v>
      </c>
      <c r="AF225" s="42">
        <v>0</v>
      </c>
      <c r="AH225" s="43">
        <f t="shared" ca="1" si="8"/>
        <v>0.15673546535423699</v>
      </c>
      <c r="AI225" s="8">
        <v>1</v>
      </c>
      <c r="AJ225" s="42">
        <v>0</v>
      </c>
      <c r="AL225" s="43">
        <f t="shared" ca="1" si="9"/>
        <v>0.2806761377811513</v>
      </c>
      <c r="AM225" s="8">
        <v>1</v>
      </c>
      <c r="AN225" s="42">
        <v>0</v>
      </c>
      <c r="AP225" s="43">
        <f t="shared" ca="1" si="10"/>
        <v>0.54847074219479641</v>
      </c>
      <c r="AQ225" s="8">
        <v>1</v>
      </c>
      <c r="AR225" s="42">
        <v>0</v>
      </c>
      <c r="AT225" s="43">
        <f t="shared" ca="1" si="11"/>
        <v>0.87927135723315841</v>
      </c>
      <c r="AU225" s="8">
        <v>1</v>
      </c>
      <c r="AV225" s="42">
        <v>0</v>
      </c>
      <c r="AX225" s="43">
        <f t="shared" ca="1" si="12"/>
        <v>0.82679065400096929</v>
      </c>
      <c r="AY225" s="8">
        <v>1</v>
      </c>
      <c r="AZ225" s="42">
        <v>0</v>
      </c>
      <c r="BB225" s="43">
        <f t="shared" ca="1" si="13"/>
        <v>0.64800586843610752</v>
      </c>
      <c r="BC225" s="8">
        <v>1</v>
      </c>
      <c r="BD225" s="42">
        <v>0</v>
      </c>
      <c r="BF225" s="43">
        <f t="shared" ca="1" si="14"/>
        <v>0.95202259854050286</v>
      </c>
      <c r="BG225" s="8">
        <v>1</v>
      </c>
      <c r="BH225" s="42">
        <v>0</v>
      </c>
      <c r="BJ225" s="43">
        <f t="shared" ca="1" si="15"/>
        <v>0.43412199954882291</v>
      </c>
      <c r="BK225" s="8">
        <v>1</v>
      </c>
      <c r="BL225" s="42">
        <v>0</v>
      </c>
      <c r="BN225" s="43">
        <f t="shared" ca="1" si="16"/>
        <v>0.61313108789333626</v>
      </c>
      <c r="BO225" s="8">
        <v>1</v>
      </c>
      <c r="BP225" s="42">
        <v>0</v>
      </c>
      <c r="BR225" s="43">
        <f t="shared" ca="1" si="17"/>
        <v>0.7778566199221284</v>
      </c>
      <c r="BS225" s="8">
        <v>1</v>
      </c>
      <c r="BT225" s="42">
        <v>0</v>
      </c>
    </row>
    <row r="226" spans="1:72" x14ac:dyDescent="0.2">
      <c r="A226" s="22">
        <v>44773</v>
      </c>
      <c r="B226" s="43">
        <f t="shared" ca="1" si="0"/>
        <v>0.28023476087509758</v>
      </c>
      <c r="C226" s="8">
        <v>1</v>
      </c>
      <c r="D226" s="42">
        <v>0</v>
      </c>
      <c r="F226" s="43">
        <f t="shared" ca="1" si="1"/>
        <v>0.17089605107250749</v>
      </c>
      <c r="G226" s="8">
        <v>1</v>
      </c>
      <c r="H226" s="42">
        <v>0</v>
      </c>
      <c r="J226" s="43">
        <f t="shared" ca="1" si="2"/>
        <v>0.66365336146243414</v>
      </c>
      <c r="K226" s="8">
        <v>1</v>
      </c>
      <c r="L226" s="42">
        <v>0</v>
      </c>
      <c r="N226" s="43">
        <f t="shared" ca="1" si="3"/>
        <v>0.26683918586311572</v>
      </c>
      <c r="O226" s="8">
        <v>1</v>
      </c>
      <c r="P226" s="42">
        <v>0</v>
      </c>
      <c r="R226" s="43">
        <f t="shared" ca="1" si="4"/>
        <v>0.69281752184441758</v>
      </c>
      <c r="S226" s="8">
        <v>1</v>
      </c>
      <c r="T226" s="42">
        <v>0</v>
      </c>
      <c r="V226" s="43">
        <f t="shared" ca="1" si="5"/>
        <v>0.79979889309588414</v>
      </c>
      <c r="W226" s="8">
        <v>1</v>
      </c>
      <c r="X226" s="42">
        <v>0</v>
      </c>
      <c r="Z226" s="43">
        <f t="shared" ca="1" si="6"/>
        <v>0.54395693593685457</v>
      </c>
      <c r="AA226" s="8">
        <v>1</v>
      </c>
      <c r="AB226" s="42">
        <v>0</v>
      </c>
      <c r="AD226" s="43">
        <f t="shared" ca="1" si="7"/>
        <v>0.1716776855022063</v>
      </c>
      <c r="AE226" s="8">
        <v>1</v>
      </c>
      <c r="AF226" s="42">
        <v>0</v>
      </c>
      <c r="AH226" s="43">
        <f t="shared" ca="1" si="8"/>
        <v>0.46063549055558017</v>
      </c>
      <c r="AI226" s="8">
        <v>1</v>
      </c>
      <c r="AJ226" s="42">
        <v>0</v>
      </c>
      <c r="AL226" s="43">
        <f t="shared" ca="1" si="9"/>
        <v>0.42392579573810518</v>
      </c>
      <c r="AM226" s="8">
        <v>1</v>
      </c>
      <c r="AN226" s="42">
        <v>0</v>
      </c>
      <c r="AP226" s="43">
        <f t="shared" ca="1" si="10"/>
        <v>0.93934951723060089</v>
      </c>
      <c r="AQ226" s="8">
        <v>1</v>
      </c>
      <c r="AR226" s="42">
        <v>0</v>
      </c>
      <c r="AT226" s="43">
        <f t="shared" ca="1" si="11"/>
        <v>0.51349351027340018</v>
      </c>
      <c r="AU226" s="8">
        <v>1</v>
      </c>
      <c r="AV226" s="42">
        <v>0</v>
      </c>
      <c r="AX226" s="43">
        <f t="shared" ca="1" si="12"/>
        <v>0.69578571776321751</v>
      </c>
      <c r="AY226" s="8">
        <v>1</v>
      </c>
      <c r="AZ226" s="42">
        <v>0</v>
      </c>
      <c r="BB226" s="43">
        <f t="shared" ca="1" si="13"/>
        <v>0.20770656100991725</v>
      </c>
      <c r="BC226" s="8">
        <v>1</v>
      </c>
      <c r="BD226" s="42">
        <v>0</v>
      </c>
      <c r="BF226" s="43">
        <f t="shared" ca="1" si="14"/>
        <v>0.68307104629323945</v>
      </c>
      <c r="BG226" s="8">
        <v>1</v>
      </c>
      <c r="BH226" s="42">
        <v>0</v>
      </c>
      <c r="BJ226" s="43">
        <f t="shared" ca="1" si="15"/>
        <v>0.91147363066375264</v>
      </c>
      <c r="BK226" s="8">
        <v>1</v>
      </c>
      <c r="BL226" s="42">
        <v>0</v>
      </c>
      <c r="BN226" s="43">
        <f t="shared" ca="1" si="16"/>
        <v>0.77477209888839349</v>
      </c>
      <c r="BO226" s="8">
        <v>1</v>
      </c>
      <c r="BP226" s="42">
        <v>0</v>
      </c>
      <c r="BR226" s="43">
        <f t="shared" ca="1" si="17"/>
        <v>0.99533044653708447</v>
      </c>
      <c r="BS226" s="8">
        <v>1</v>
      </c>
      <c r="BT226" s="42">
        <v>0</v>
      </c>
    </row>
    <row r="227" spans="1:72" x14ac:dyDescent="0.2">
      <c r="A227" s="22">
        <v>44774</v>
      </c>
      <c r="B227" s="43">
        <f t="shared" ca="1" si="0"/>
        <v>0.44154453702709262</v>
      </c>
      <c r="C227" s="8">
        <v>1</v>
      </c>
      <c r="D227" s="42">
        <v>0</v>
      </c>
      <c r="F227" s="43">
        <f t="shared" ca="1" si="1"/>
        <v>0.82844850658023117</v>
      </c>
      <c r="G227" s="8">
        <v>1</v>
      </c>
      <c r="H227" s="42">
        <v>0</v>
      </c>
      <c r="J227" s="43">
        <f t="shared" ca="1" si="2"/>
        <v>0.1055557064014131</v>
      </c>
      <c r="K227" s="8">
        <v>1</v>
      </c>
      <c r="L227" s="42">
        <v>0</v>
      </c>
      <c r="N227" s="43">
        <f t="shared" ca="1" si="3"/>
        <v>0.30646379709410621</v>
      </c>
      <c r="O227" s="8">
        <v>1</v>
      </c>
      <c r="P227" s="42">
        <v>0</v>
      </c>
      <c r="R227" s="43">
        <f t="shared" ca="1" si="4"/>
        <v>0.85935638833407724</v>
      </c>
      <c r="S227" s="8">
        <v>1</v>
      </c>
      <c r="T227" s="42">
        <v>0</v>
      </c>
      <c r="V227" s="43">
        <f t="shared" ca="1" si="5"/>
        <v>0.49654263153248079</v>
      </c>
      <c r="W227" s="8">
        <v>1</v>
      </c>
      <c r="X227" s="42">
        <v>0</v>
      </c>
      <c r="Z227" s="43">
        <f t="shared" ca="1" si="6"/>
        <v>0.17514434530119571</v>
      </c>
      <c r="AA227" s="8">
        <v>1</v>
      </c>
      <c r="AB227" s="42">
        <v>0</v>
      </c>
      <c r="AD227" s="43">
        <f t="shared" ca="1" si="7"/>
        <v>0.53083954872264716</v>
      </c>
      <c r="AE227" s="8">
        <v>1</v>
      </c>
      <c r="AF227" s="42">
        <v>0</v>
      </c>
      <c r="AH227" s="43">
        <f t="shared" ca="1" si="8"/>
        <v>0.95350990172512395</v>
      </c>
      <c r="AI227" s="8">
        <v>1</v>
      </c>
      <c r="AJ227" s="42">
        <v>0</v>
      </c>
      <c r="AL227" s="43">
        <f t="shared" ca="1" si="9"/>
        <v>0.40963528691396578</v>
      </c>
      <c r="AM227" s="8">
        <v>1</v>
      </c>
      <c r="AN227" s="42">
        <v>0</v>
      </c>
      <c r="AP227" s="43">
        <f t="shared" ca="1" si="10"/>
        <v>0.64400087657844018</v>
      </c>
      <c r="AQ227" s="8">
        <v>1</v>
      </c>
      <c r="AR227" s="42">
        <v>0</v>
      </c>
      <c r="AT227" s="43">
        <f t="shared" ca="1" si="11"/>
        <v>0.89187975780668827</v>
      </c>
      <c r="AU227" s="8">
        <v>1</v>
      </c>
      <c r="AV227" s="42">
        <v>0</v>
      </c>
      <c r="AX227" s="43">
        <f t="shared" ca="1" si="12"/>
        <v>0.92274331376899765</v>
      </c>
      <c r="AY227" s="8">
        <v>1</v>
      </c>
      <c r="AZ227" s="42">
        <v>0</v>
      </c>
      <c r="BB227" s="43">
        <f t="shared" ca="1" si="13"/>
        <v>0.48241870535505804</v>
      </c>
      <c r="BC227" s="8">
        <v>1</v>
      </c>
      <c r="BD227" s="42">
        <v>0</v>
      </c>
      <c r="BF227" s="43">
        <f t="shared" ca="1" si="14"/>
        <v>4.4054803710463775E-3</v>
      </c>
      <c r="BG227" s="8">
        <v>1</v>
      </c>
      <c r="BH227" s="42">
        <v>0</v>
      </c>
      <c r="BJ227" s="43">
        <f t="shared" ca="1" si="15"/>
        <v>0.19839119456513077</v>
      </c>
      <c r="BK227" s="8">
        <v>1</v>
      </c>
      <c r="BL227" s="42">
        <v>0</v>
      </c>
      <c r="BN227" s="43">
        <f t="shared" ca="1" si="16"/>
        <v>0.47295303285537105</v>
      </c>
      <c r="BO227" s="8">
        <v>1</v>
      </c>
      <c r="BP227" s="42">
        <v>0</v>
      </c>
      <c r="BR227" s="43">
        <f t="shared" ca="1" si="17"/>
        <v>0.12932304175229359</v>
      </c>
      <c r="BS227" s="8">
        <v>1</v>
      </c>
      <c r="BT227" s="42">
        <v>0</v>
      </c>
    </row>
    <row r="228" spans="1:72" x14ac:dyDescent="0.2">
      <c r="A228" s="22">
        <v>44775</v>
      </c>
      <c r="B228" s="43">
        <f t="shared" ca="1" si="0"/>
        <v>0.65623988949025758</v>
      </c>
      <c r="C228" s="8">
        <v>1</v>
      </c>
      <c r="D228" s="42">
        <v>0</v>
      </c>
      <c r="F228" s="43">
        <f t="shared" ca="1" si="1"/>
        <v>0.34421727235583444</v>
      </c>
      <c r="G228" s="8">
        <v>1</v>
      </c>
      <c r="H228" s="42">
        <v>0</v>
      </c>
      <c r="J228" s="43">
        <f t="shared" ca="1" si="2"/>
        <v>0.85544943192545797</v>
      </c>
      <c r="K228" s="8">
        <v>1</v>
      </c>
      <c r="L228" s="42">
        <v>0</v>
      </c>
      <c r="N228" s="43">
        <f t="shared" ca="1" si="3"/>
        <v>0.75844285011469625</v>
      </c>
      <c r="O228" s="8">
        <v>1</v>
      </c>
      <c r="P228" s="42">
        <v>0</v>
      </c>
      <c r="R228" s="43">
        <f t="shared" ca="1" si="4"/>
        <v>0.91577809811599786</v>
      </c>
      <c r="S228" s="8">
        <v>1</v>
      </c>
      <c r="T228" s="42">
        <v>0</v>
      </c>
      <c r="V228" s="43">
        <f t="shared" ca="1" si="5"/>
        <v>0.47368958803060413</v>
      </c>
      <c r="W228" s="8">
        <v>1</v>
      </c>
      <c r="X228" s="42">
        <v>0</v>
      </c>
      <c r="Z228" s="43">
        <f t="shared" ca="1" si="6"/>
        <v>7.6806623345388902E-2</v>
      </c>
      <c r="AA228" s="8">
        <v>1</v>
      </c>
      <c r="AB228" s="42">
        <v>0</v>
      </c>
      <c r="AD228" s="43">
        <f t="shared" ca="1" si="7"/>
        <v>0.77011794840121517</v>
      </c>
      <c r="AE228" s="8">
        <v>1</v>
      </c>
      <c r="AF228" s="42">
        <v>0</v>
      </c>
      <c r="AH228" s="43">
        <f t="shared" ca="1" si="8"/>
        <v>0.31106853413995883</v>
      </c>
      <c r="AI228" s="8">
        <v>1</v>
      </c>
      <c r="AJ228" s="42">
        <v>0</v>
      </c>
      <c r="AL228" s="43">
        <f t="shared" ca="1" si="9"/>
        <v>0.42069847385139625</v>
      </c>
      <c r="AM228" s="8">
        <v>1</v>
      </c>
      <c r="AN228" s="42">
        <v>0</v>
      </c>
      <c r="AP228" s="43">
        <f t="shared" ca="1" si="10"/>
        <v>4.2909298666634954E-2</v>
      </c>
      <c r="AQ228" s="8">
        <v>1</v>
      </c>
      <c r="AR228" s="42">
        <v>0</v>
      </c>
      <c r="AT228" s="43">
        <f t="shared" ca="1" si="11"/>
        <v>0.61652108912200165</v>
      </c>
      <c r="AU228" s="8">
        <v>1</v>
      </c>
      <c r="AV228" s="42">
        <v>0</v>
      </c>
      <c r="AX228" s="43">
        <f t="shared" ca="1" si="12"/>
        <v>0.91290300368153154</v>
      </c>
      <c r="AY228" s="8">
        <v>1</v>
      </c>
      <c r="AZ228" s="42">
        <v>0</v>
      </c>
      <c r="BB228" s="43">
        <f t="shared" ca="1" si="13"/>
        <v>0.78886940291428975</v>
      </c>
      <c r="BC228" s="8">
        <v>1</v>
      </c>
      <c r="BD228" s="42">
        <v>0</v>
      </c>
      <c r="BF228" s="43">
        <f t="shared" ca="1" si="14"/>
        <v>0.24800558438592768</v>
      </c>
      <c r="BG228" s="8">
        <v>1</v>
      </c>
      <c r="BH228" s="42">
        <v>0</v>
      </c>
      <c r="BJ228" s="43">
        <f t="shared" ca="1" si="15"/>
        <v>0.13989798773919249</v>
      </c>
      <c r="BK228" s="8">
        <v>1</v>
      </c>
      <c r="BL228" s="42">
        <v>0</v>
      </c>
      <c r="BN228" s="43">
        <f t="shared" ca="1" si="16"/>
        <v>0.15231589503344811</v>
      </c>
      <c r="BO228" s="8">
        <v>1</v>
      </c>
      <c r="BP228" s="42">
        <v>0</v>
      </c>
      <c r="BR228" s="43">
        <f t="shared" ca="1" si="17"/>
        <v>0.17532143992138827</v>
      </c>
      <c r="BS228" s="8">
        <v>1</v>
      </c>
      <c r="BT228" s="42">
        <v>0</v>
      </c>
    </row>
    <row r="229" spans="1:72" x14ac:dyDescent="0.2">
      <c r="A229" s="22">
        <v>44776</v>
      </c>
      <c r="B229" s="43">
        <f t="shared" ca="1" si="0"/>
        <v>0.79481838813112027</v>
      </c>
      <c r="C229" s="8">
        <v>1</v>
      </c>
      <c r="D229" s="42">
        <v>0</v>
      </c>
      <c r="F229" s="43">
        <f t="shared" ca="1" si="1"/>
        <v>0.99746613066885059</v>
      </c>
      <c r="G229" s="8">
        <v>1</v>
      </c>
      <c r="H229" s="42">
        <v>0</v>
      </c>
      <c r="J229" s="43">
        <f t="shared" ca="1" si="2"/>
        <v>0.61914603794110878</v>
      </c>
      <c r="K229" s="8">
        <v>1</v>
      </c>
      <c r="L229" s="42">
        <v>0</v>
      </c>
      <c r="N229" s="43">
        <f t="shared" ca="1" si="3"/>
        <v>0.74077877072338616</v>
      </c>
      <c r="O229" s="8">
        <v>1</v>
      </c>
      <c r="P229" s="42">
        <v>0</v>
      </c>
      <c r="R229" s="43">
        <f t="shared" ca="1" si="4"/>
        <v>0.73595095486324247</v>
      </c>
      <c r="S229" s="8">
        <v>1</v>
      </c>
      <c r="T229" s="42">
        <v>0</v>
      </c>
      <c r="V229" s="43">
        <f t="shared" ca="1" si="5"/>
        <v>0.79367826354775817</v>
      </c>
      <c r="W229" s="8">
        <v>1</v>
      </c>
      <c r="X229" s="42">
        <v>0</v>
      </c>
      <c r="Z229" s="43">
        <f t="shared" ca="1" si="6"/>
        <v>7.6381136009422979E-2</v>
      </c>
      <c r="AA229" s="8">
        <v>1</v>
      </c>
      <c r="AB229" s="42">
        <v>0</v>
      </c>
      <c r="AD229" s="43">
        <f t="shared" ca="1" si="7"/>
        <v>0.13584197152254807</v>
      </c>
      <c r="AE229" s="8">
        <v>1</v>
      </c>
      <c r="AF229" s="42">
        <v>0</v>
      </c>
      <c r="AH229" s="43">
        <f t="shared" ca="1" si="8"/>
        <v>0.57590990735781777</v>
      </c>
      <c r="AI229" s="8">
        <v>1</v>
      </c>
      <c r="AJ229" s="42">
        <v>0</v>
      </c>
      <c r="AL229" s="43">
        <f t="shared" ca="1" si="9"/>
        <v>0.98344024287598553</v>
      </c>
      <c r="AM229" s="8">
        <v>1</v>
      </c>
      <c r="AN229" s="42">
        <v>0</v>
      </c>
      <c r="AP229" s="43">
        <f t="shared" ca="1" si="10"/>
        <v>0.90545895097723861</v>
      </c>
      <c r="AQ229" s="8">
        <v>1</v>
      </c>
      <c r="AR229" s="42">
        <v>0</v>
      </c>
      <c r="AT229" s="43">
        <f t="shared" ca="1" si="11"/>
        <v>0.90171307393813105</v>
      </c>
      <c r="AU229" s="8">
        <v>1</v>
      </c>
      <c r="AV229" s="42">
        <v>0</v>
      </c>
      <c r="AX229" s="43">
        <f t="shared" ca="1" si="12"/>
        <v>0.60160534747631944</v>
      </c>
      <c r="AY229" s="8">
        <v>1</v>
      </c>
      <c r="AZ229" s="42">
        <v>0</v>
      </c>
      <c r="BB229" s="43">
        <f t="shared" ca="1" si="13"/>
        <v>0.74140572803107796</v>
      </c>
      <c r="BC229" s="8">
        <v>1</v>
      </c>
      <c r="BD229" s="42">
        <v>0</v>
      </c>
      <c r="BF229" s="43">
        <f t="shared" ca="1" si="14"/>
        <v>0.89468825098407334</v>
      </c>
      <c r="BG229" s="8">
        <v>1</v>
      </c>
      <c r="BH229" s="42">
        <v>0</v>
      </c>
      <c r="BJ229" s="43">
        <f t="shared" ca="1" si="15"/>
        <v>0.77404875729018741</v>
      </c>
      <c r="BK229" s="8">
        <v>1</v>
      </c>
      <c r="BL229" s="42">
        <v>0</v>
      </c>
      <c r="BN229" s="43">
        <f t="shared" ca="1" si="16"/>
        <v>0.81550894504323668</v>
      </c>
      <c r="BO229" s="8">
        <v>1</v>
      </c>
      <c r="BP229" s="42">
        <v>0</v>
      </c>
      <c r="BR229" s="43">
        <f t="shared" ca="1" si="17"/>
        <v>0.52500923627590934</v>
      </c>
      <c r="BS229" s="8">
        <v>1</v>
      </c>
      <c r="BT229" s="42">
        <v>0</v>
      </c>
    </row>
    <row r="230" spans="1:72" x14ac:dyDescent="0.2">
      <c r="A230" s="22">
        <v>44777</v>
      </c>
      <c r="B230" s="43">
        <f t="shared" ca="1" si="0"/>
        <v>0.59892805836629592</v>
      </c>
      <c r="C230" s="8">
        <v>1</v>
      </c>
      <c r="D230" s="42">
        <v>0</v>
      </c>
      <c r="F230" s="43">
        <f t="shared" ca="1" si="1"/>
        <v>5.5693119370862298E-2</v>
      </c>
      <c r="G230" s="8">
        <v>1</v>
      </c>
      <c r="H230" s="42">
        <v>0</v>
      </c>
      <c r="J230" s="43">
        <f t="shared" ca="1" si="2"/>
        <v>0.38968662519100472</v>
      </c>
      <c r="K230" s="8">
        <v>1</v>
      </c>
      <c r="L230" s="42">
        <v>0</v>
      </c>
      <c r="N230" s="43">
        <f t="shared" ca="1" si="3"/>
        <v>0.813881259654197</v>
      </c>
      <c r="O230" s="8">
        <v>1</v>
      </c>
      <c r="P230" s="42">
        <v>0</v>
      </c>
      <c r="R230" s="43">
        <f t="shared" ca="1" si="4"/>
        <v>0.42790152192745212</v>
      </c>
      <c r="S230" s="8">
        <v>1</v>
      </c>
      <c r="T230" s="42">
        <v>0</v>
      </c>
      <c r="V230" s="43">
        <f t="shared" ca="1" si="5"/>
        <v>0.31299742285945231</v>
      </c>
      <c r="W230" s="8">
        <v>1</v>
      </c>
      <c r="X230" s="42">
        <v>0</v>
      </c>
      <c r="Z230" s="43">
        <f t="shared" ca="1" si="6"/>
        <v>0.5975353965310477</v>
      </c>
      <c r="AA230" s="8">
        <v>1</v>
      </c>
      <c r="AB230" s="42">
        <v>0</v>
      </c>
      <c r="AD230" s="43">
        <f t="shared" ca="1" si="7"/>
        <v>0.49291811077072245</v>
      </c>
      <c r="AE230" s="8">
        <v>1</v>
      </c>
      <c r="AF230" s="42">
        <v>0</v>
      </c>
      <c r="AH230" s="43">
        <f t="shared" ca="1" si="8"/>
        <v>0.26495331936338473</v>
      </c>
      <c r="AI230" s="8">
        <v>1</v>
      </c>
      <c r="AJ230" s="42">
        <v>0</v>
      </c>
      <c r="AL230" s="43">
        <f t="shared" ca="1" si="9"/>
        <v>0.28947115960825809</v>
      </c>
      <c r="AM230" s="8">
        <v>1</v>
      </c>
      <c r="AN230" s="42">
        <v>0</v>
      </c>
      <c r="AP230" s="43">
        <f t="shared" ca="1" si="10"/>
        <v>0.1749514883217882</v>
      </c>
      <c r="AQ230" s="8">
        <v>1</v>
      </c>
      <c r="AR230" s="42">
        <v>0</v>
      </c>
      <c r="AT230" s="43">
        <f t="shared" ca="1" si="11"/>
        <v>0.38024103083290262</v>
      </c>
      <c r="AU230" s="8">
        <v>1</v>
      </c>
      <c r="AV230" s="42">
        <v>0</v>
      </c>
      <c r="AX230" s="43">
        <f t="shared" ca="1" si="12"/>
        <v>0.95505267451303555</v>
      </c>
      <c r="AY230" s="8">
        <v>1</v>
      </c>
      <c r="AZ230" s="42">
        <v>0</v>
      </c>
      <c r="BB230" s="43">
        <f t="shared" ca="1" si="13"/>
        <v>0.78792447998374782</v>
      </c>
      <c r="BC230" s="8">
        <v>1</v>
      </c>
      <c r="BD230" s="42">
        <v>0</v>
      </c>
      <c r="BF230" s="43">
        <f t="shared" ca="1" si="14"/>
        <v>4.1149153872761968E-2</v>
      </c>
      <c r="BG230" s="8">
        <v>1</v>
      </c>
      <c r="BH230" s="42">
        <v>0</v>
      </c>
      <c r="BJ230" s="43">
        <f t="shared" ca="1" si="15"/>
        <v>0.42080028489643284</v>
      </c>
      <c r="BK230" s="8">
        <v>1</v>
      </c>
      <c r="BL230" s="42">
        <v>0</v>
      </c>
      <c r="BN230" s="43">
        <f t="shared" ca="1" si="16"/>
        <v>5.4403307760482633E-2</v>
      </c>
      <c r="BO230" s="8">
        <v>1</v>
      </c>
      <c r="BP230" s="42">
        <v>0</v>
      </c>
      <c r="BR230" s="43">
        <f t="shared" ca="1" si="17"/>
        <v>0.64731303184436384</v>
      </c>
      <c r="BS230" s="8">
        <v>1</v>
      </c>
      <c r="BT230" s="42">
        <v>0</v>
      </c>
    </row>
    <row r="231" spans="1:72" x14ac:dyDescent="0.2">
      <c r="A231" s="22">
        <v>44778</v>
      </c>
      <c r="B231" s="43">
        <f t="shared" ca="1" si="0"/>
        <v>0.1673790034606577</v>
      </c>
      <c r="C231" s="8">
        <v>1</v>
      </c>
      <c r="D231" s="42">
        <v>0</v>
      </c>
      <c r="F231" s="43">
        <f t="shared" ca="1" si="1"/>
        <v>0.18551241397463103</v>
      </c>
      <c r="G231" s="8">
        <v>1</v>
      </c>
      <c r="H231" s="42">
        <v>0</v>
      </c>
      <c r="J231" s="43">
        <f t="shared" ca="1" si="2"/>
        <v>0.72997559744552021</v>
      </c>
      <c r="K231" s="8">
        <v>1</v>
      </c>
      <c r="L231" s="42">
        <v>0</v>
      </c>
      <c r="N231" s="43">
        <f t="shared" ca="1" si="3"/>
        <v>0.6132866934806489</v>
      </c>
      <c r="O231" s="8">
        <v>1</v>
      </c>
      <c r="P231" s="42">
        <v>0</v>
      </c>
      <c r="R231" s="43">
        <f t="shared" ca="1" si="4"/>
        <v>0.6862595722485515</v>
      </c>
      <c r="S231" s="8">
        <v>1</v>
      </c>
      <c r="T231" s="42">
        <v>0</v>
      </c>
      <c r="V231" s="43">
        <f t="shared" ca="1" si="5"/>
        <v>0.44963542474063922</v>
      </c>
      <c r="W231" s="8">
        <v>1</v>
      </c>
      <c r="X231" s="42">
        <v>0</v>
      </c>
      <c r="Z231" s="43">
        <f t="shared" ca="1" si="6"/>
        <v>0.59824381822968653</v>
      </c>
      <c r="AA231" s="8">
        <v>1</v>
      </c>
      <c r="AB231" s="42">
        <v>0</v>
      </c>
      <c r="AD231" s="43">
        <f t="shared" ca="1" si="7"/>
        <v>6.0435870107918177E-2</v>
      </c>
      <c r="AE231" s="8">
        <v>1</v>
      </c>
      <c r="AF231" s="42">
        <v>0</v>
      </c>
      <c r="AH231" s="43">
        <f t="shared" ca="1" si="8"/>
        <v>0.12269661111970731</v>
      </c>
      <c r="AI231" s="8">
        <v>1</v>
      </c>
      <c r="AJ231" s="42">
        <v>0</v>
      </c>
      <c r="AL231" s="43">
        <f t="shared" ca="1" si="9"/>
        <v>3.673606260558937E-2</v>
      </c>
      <c r="AM231" s="8">
        <v>1</v>
      </c>
      <c r="AN231" s="42">
        <v>0</v>
      </c>
      <c r="AP231" s="43">
        <f t="shared" ca="1" si="10"/>
        <v>0.66051653932497545</v>
      </c>
      <c r="AQ231" s="8">
        <v>1</v>
      </c>
      <c r="AR231" s="42">
        <v>0</v>
      </c>
      <c r="AT231" s="43">
        <f t="shared" ca="1" si="11"/>
        <v>0.78538354832713908</v>
      </c>
      <c r="AU231" s="8">
        <v>1</v>
      </c>
      <c r="AV231" s="42">
        <v>0</v>
      </c>
      <c r="AX231" s="43">
        <f t="shared" ca="1" si="12"/>
        <v>0.33636641275821344</v>
      </c>
      <c r="AY231" s="8">
        <v>1</v>
      </c>
      <c r="AZ231" s="42">
        <v>0</v>
      </c>
      <c r="BB231" s="43">
        <f t="shared" ca="1" si="13"/>
        <v>0.61629128145145495</v>
      </c>
      <c r="BC231" s="8">
        <v>1</v>
      </c>
      <c r="BD231" s="42">
        <v>0</v>
      </c>
      <c r="BF231" s="43">
        <f t="shared" ca="1" si="14"/>
        <v>0.69186071220341738</v>
      </c>
      <c r="BG231" s="8">
        <v>1</v>
      </c>
      <c r="BH231" s="42">
        <v>0</v>
      </c>
      <c r="BJ231" s="43">
        <f t="shared" ca="1" si="15"/>
        <v>0.48247381840262038</v>
      </c>
      <c r="BK231" s="8">
        <v>1</v>
      </c>
      <c r="BL231" s="42">
        <v>0</v>
      </c>
      <c r="BN231" s="43">
        <f t="shared" ca="1" si="16"/>
        <v>5.5684931954210537E-2</v>
      </c>
      <c r="BO231" s="8">
        <v>1</v>
      </c>
      <c r="BP231" s="42">
        <v>0</v>
      </c>
      <c r="BR231" s="43">
        <f t="shared" ca="1" si="17"/>
        <v>0.2712908669967441</v>
      </c>
      <c r="BS231" s="8">
        <v>1</v>
      </c>
      <c r="BT231" s="42">
        <v>0</v>
      </c>
    </row>
    <row r="232" spans="1:72" x14ac:dyDescent="0.2">
      <c r="A232" s="22">
        <v>44779</v>
      </c>
      <c r="B232" s="43">
        <f t="shared" ca="1" si="0"/>
        <v>0.11651215525416136</v>
      </c>
      <c r="C232" s="8">
        <v>1</v>
      </c>
      <c r="D232" s="42">
        <v>0</v>
      </c>
      <c r="F232" s="43">
        <f t="shared" ca="1" si="1"/>
        <v>0.75992944539096263</v>
      </c>
      <c r="G232" s="8">
        <v>1</v>
      </c>
      <c r="H232" s="42">
        <v>0</v>
      </c>
      <c r="J232" s="43">
        <f t="shared" ca="1" si="2"/>
        <v>0.28357602236265722</v>
      </c>
      <c r="K232" s="8">
        <v>1</v>
      </c>
      <c r="L232" s="42">
        <v>0</v>
      </c>
      <c r="N232" s="43">
        <f t="shared" ca="1" si="3"/>
        <v>0.8574351860093834</v>
      </c>
      <c r="O232" s="8">
        <v>1</v>
      </c>
      <c r="P232" s="42">
        <v>0</v>
      </c>
      <c r="R232" s="43">
        <f t="shared" ca="1" si="4"/>
        <v>1.0408843424723591E-2</v>
      </c>
      <c r="S232" s="8">
        <v>1</v>
      </c>
      <c r="T232" s="42">
        <v>0</v>
      </c>
      <c r="V232" s="43">
        <f t="shared" ca="1" si="5"/>
        <v>0.35387182246266513</v>
      </c>
      <c r="W232" s="8">
        <v>1</v>
      </c>
      <c r="X232" s="42">
        <v>0</v>
      </c>
      <c r="Z232" s="43">
        <f t="shared" ca="1" si="6"/>
        <v>0.42748920982738425</v>
      </c>
      <c r="AA232" s="8">
        <v>1</v>
      </c>
      <c r="AB232" s="42">
        <v>0</v>
      </c>
      <c r="AD232" s="43">
        <f t="shared" ca="1" si="7"/>
        <v>7.0433841327827595E-2</v>
      </c>
      <c r="AE232" s="8">
        <v>1</v>
      </c>
      <c r="AF232" s="42">
        <v>0</v>
      </c>
      <c r="AH232" s="43">
        <f t="shared" ca="1" si="8"/>
        <v>0.64039926974964456</v>
      </c>
      <c r="AI232" s="8">
        <v>1</v>
      </c>
      <c r="AJ232" s="42">
        <v>0</v>
      </c>
      <c r="AL232" s="43">
        <f t="shared" ca="1" si="9"/>
        <v>0.12910279459967289</v>
      </c>
      <c r="AM232" s="8">
        <v>1</v>
      </c>
      <c r="AN232" s="42">
        <v>0</v>
      </c>
      <c r="AP232" s="43">
        <f t="shared" ca="1" si="10"/>
        <v>0.8638933390399498</v>
      </c>
      <c r="AQ232" s="8">
        <v>1</v>
      </c>
      <c r="AR232" s="42">
        <v>0</v>
      </c>
      <c r="AT232" s="43">
        <f t="shared" ca="1" si="11"/>
        <v>0.57221590495476038</v>
      </c>
      <c r="AU232" s="8">
        <v>1</v>
      </c>
      <c r="AV232" s="42">
        <v>0</v>
      </c>
      <c r="AX232" s="43">
        <f t="shared" ca="1" si="12"/>
        <v>0.34564530780848279</v>
      </c>
      <c r="AY232" s="8">
        <v>1</v>
      </c>
      <c r="AZ232" s="42">
        <v>0</v>
      </c>
      <c r="BB232" s="43">
        <f t="shared" ca="1" si="13"/>
        <v>0.27735241232726815</v>
      </c>
      <c r="BC232" s="8">
        <v>1</v>
      </c>
      <c r="BD232" s="42">
        <v>0</v>
      </c>
      <c r="BF232" s="43">
        <f t="shared" ca="1" si="14"/>
        <v>0.86121209285891165</v>
      </c>
      <c r="BG232" s="8">
        <v>1</v>
      </c>
      <c r="BH232" s="42">
        <v>0</v>
      </c>
      <c r="BJ232" s="43">
        <f t="shared" ca="1" si="15"/>
        <v>0.51743854060641803</v>
      </c>
      <c r="BK232" s="8">
        <v>1</v>
      </c>
      <c r="BL232" s="42">
        <v>0</v>
      </c>
      <c r="BN232" s="43">
        <f t="shared" ca="1" si="16"/>
        <v>0.1825692961715597</v>
      </c>
      <c r="BO232" s="8">
        <v>1</v>
      </c>
      <c r="BP232" s="42">
        <v>0</v>
      </c>
      <c r="BR232" s="43">
        <f t="shared" ca="1" si="17"/>
        <v>0.54344086881957876</v>
      </c>
      <c r="BS232" s="8">
        <v>1</v>
      </c>
      <c r="BT232" s="42">
        <v>0</v>
      </c>
    </row>
    <row r="233" spans="1:72" x14ac:dyDescent="0.2">
      <c r="A233" s="22">
        <v>44780</v>
      </c>
      <c r="B233" s="43">
        <f t="shared" ca="1" si="0"/>
        <v>0.13673339013257657</v>
      </c>
      <c r="C233" s="8">
        <v>1</v>
      </c>
      <c r="D233" s="42">
        <v>0</v>
      </c>
      <c r="F233" s="43">
        <f t="shared" ca="1" si="1"/>
        <v>0.76754789994011641</v>
      </c>
      <c r="G233" s="8">
        <v>1</v>
      </c>
      <c r="H233" s="42">
        <v>0</v>
      </c>
      <c r="J233" s="43">
        <f t="shared" ca="1" si="2"/>
        <v>0.94435966685886241</v>
      </c>
      <c r="K233" s="8">
        <v>1</v>
      </c>
      <c r="L233" s="42">
        <v>0</v>
      </c>
      <c r="N233" s="43">
        <f t="shared" ca="1" si="3"/>
        <v>0.39123544817389933</v>
      </c>
      <c r="O233" s="8">
        <v>1</v>
      </c>
      <c r="P233" s="42">
        <v>0</v>
      </c>
      <c r="R233" s="43">
        <f t="shared" ca="1" si="4"/>
        <v>0.74831805006027041</v>
      </c>
      <c r="S233" s="8">
        <v>1</v>
      </c>
      <c r="T233" s="42">
        <v>0</v>
      </c>
      <c r="V233" s="43">
        <f t="shared" ca="1" si="5"/>
        <v>0.70378905016507276</v>
      </c>
      <c r="W233" s="8">
        <v>1</v>
      </c>
      <c r="X233" s="42">
        <v>0</v>
      </c>
      <c r="Z233" s="43">
        <f t="shared" ca="1" si="6"/>
        <v>0.64576545686799058</v>
      </c>
      <c r="AA233" s="8">
        <v>1</v>
      </c>
      <c r="AB233" s="42">
        <v>0</v>
      </c>
      <c r="AD233" s="43">
        <f t="shared" ca="1" si="7"/>
        <v>0.40473509191576396</v>
      </c>
      <c r="AE233" s="8">
        <v>1</v>
      </c>
      <c r="AF233" s="42">
        <v>0</v>
      </c>
      <c r="AH233" s="43">
        <f t="shared" ca="1" si="8"/>
        <v>0.35038807629904445</v>
      </c>
      <c r="AI233" s="8">
        <v>1</v>
      </c>
      <c r="AJ233" s="42">
        <v>0</v>
      </c>
      <c r="AL233" s="43">
        <f t="shared" ca="1" si="9"/>
        <v>0.12177504406901996</v>
      </c>
      <c r="AM233" s="8">
        <v>1</v>
      </c>
      <c r="AN233" s="42">
        <v>0</v>
      </c>
      <c r="AP233" s="43">
        <f t="shared" ca="1" si="10"/>
        <v>0.96013478741904312</v>
      </c>
      <c r="AQ233" s="8">
        <v>1</v>
      </c>
      <c r="AR233" s="42">
        <v>0</v>
      </c>
      <c r="AT233" s="43">
        <f t="shared" ca="1" si="11"/>
        <v>0.45540806080866558</v>
      </c>
      <c r="AU233" s="8">
        <v>1</v>
      </c>
      <c r="AV233" s="42">
        <v>0</v>
      </c>
      <c r="AX233" s="43">
        <f t="shared" ca="1" si="12"/>
        <v>0.32226937005028133</v>
      </c>
      <c r="AY233" s="8">
        <v>1</v>
      </c>
      <c r="AZ233" s="42">
        <v>0</v>
      </c>
      <c r="BB233" s="43">
        <f t="shared" ca="1" si="13"/>
        <v>0.8981974917197848</v>
      </c>
      <c r="BC233" s="8">
        <v>1</v>
      </c>
      <c r="BD233" s="42">
        <v>0</v>
      </c>
      <c r="BF233" s="43">
        <f t="shared" ca="1" si="14"/>
        <v>0.94280878675966395</v>
      </c>
      <c r="BG233" s="8">
        <v>1</v>
      </c>
      <c r="BH233" s="42">
        <v>0</v>
      </c>
      <c r="BJ233" s="43">
        <f t="shared" ca="1" si="15"/>
        <v>0.70008711544651703</v>
      </c>
      <c r="BK233" s="8">
        <v>1</v>
      </c>
      <c r="BL233" s="42">
        <v>0</v>
      </c>
      <c r="BN233" s="43">
        <f t="shared" ca="1" si="16"/>
        <v>0.21426229868623092</v>
      </c>
      <c r="BO233" s="8">
        <v>1</v>
      </c>
      <c r="BP233" s="42">
        <v>0</v>
      </c>
      <c r="BR233" s="43">
        <f t="shared" ca="1" si="17"/>
        <v>0.75376729394950537</v>
      </c>
      <c r="BS233" s="8">
        <v>1</v>
      </c>
      <c r="BT233" s="42">
        <v>0</v>
      </c>
    </row>
    <row r="234" spans="1:72" x14ac:dyDescent="0.2">
      <c r="A234" s="22">
        <v>44781</v>
      </c>
      <c r="B234" s="43">
        <f t="shared" ca="1" si="0"/>
        <v>0.72748151540261352</v>
      </c>
      <c r="C234" s="8">
        <v>1</v>
      </c>
      <c r="D234" s="42">
        <v>0</v>
      </c>
      <c r="F234" s="43">
        <f t="shared" ca="1" si="1"/>
        <v>0.86815802947080112</v>
      </c>
      <c r="G234" s="8">
        <v>1</v>
      </c>
      <c r="H234" s="42">
        <v>0</v>
      </c>
      <c r="J234" s="43">
        <f t="shared" ca="1" si="2"/>
        <v>0.43345898901496149</v>
      </c>
      <c r="K234" s="8">
        <v>1</v>
      </c>
      <c r="L234" s="42">
        <v>0</v>
      </c>
      <c r="N234" s="43">
        <f t="shared" ca="1" si="3"/>
        <v>0.89154787358504228</v>
      </c>
      <c r="O234" s="8">
        <v>1</v>
      </c>
      <c r="P234" s="42">
        <v>0</v>
      </c>
      <c r="R234" s="43">
        <f t="shared" ca="1" si="4"/>
        <v>0.85118221351317369</v>
      </c>
      <c r="S234" s="8">
        <v>1</v>
      </c>
      <c r="T234" s="42">
        <v>0</v>
      </c>
      <c r="V234" s="43">
        <f t="shared" ca="1" si="5"/>
        <v>0.26765127746429607</v>
      </c>
      <c r="W234" s="8">
        <v>1</v>
      </c>
      <c r="X234" s="42">
        <v>0</v>
      </c>
      <c r="Z234" s="43">
        <f t="shared" ca="1" si="6"/>
        <v>0.66634151604614333</v>
      </c>
      <c r="AA234" s="8">
        <v>1</v>
      </c>
      <c r="AB234" s="42">
        <v>0</v>
      </c>
      <c r="AD234" s="43">
        <f t="shared" ca="1" si="7"/>
        <v>7.2414917091162101E-2</v>
      </c>
      <c r="AE234" s="8">
        <v>1</v>
      </c>
      <c r="AF234" s="42">
        <v>0</v>
      </c>
      <c r="AH234" s="43">
        <f t="shared" ca="1" si="8"/>
        <v>0.21442581765435498</v>
      </c>
      <c r="AI234" s="8">
        <v>1</v>
      </c>
      <c r="AJ234" s="42">
        <v>0</v>
      </c>
      <c r="AL234" s="43">
        <f t="shared" ca="1" si="9"/>
        <v>0.95335971165202715</v>
      </c>
      <c r="AM234" s="8">
        <v>1</v>
      </c>
      <c r="AN234" s="42">
        <v>0</v>
      </c>
      <c r="AP234" s="43">
        <f t="shared" ca="1" si="10"/>
        <v>0.10110392224038256</v>
      </c>
      <c r="AQ234" s="8">
        <v>1</v>
      </c>
      <c r="AR234" s="42">
        <v>0</v>
      </c>
      <c r="AT234" s="43">
        <f t="shared" ca="1" si="11"/>
        <v>0.49573973494311663</v>
      </c>
      <c r="AU234" s="8">
        <v>1</v>
      </c>
      <c r="AV234" s="42">
        <v>0</v>
      </c>
      <c r="AX234" s="43">
        <f t="shared" ca="1" si="12"/>
        <v>0.25707922455959287</v>
      </c>
      <c r="AY234" s="8">
        <v>1</v>
      </c>
      <c r="AZ234" s="42">
        <v>0</v>
      </c>
      <c r="BB234" s="43">
        <f t="shared" ca="1" si="13"/>
        <v>0.43273935580784706</v>
      </c>
      <c r="BC234" s="8">
        <v>1</v>
      </c>
      <c r="BD234" s="42">
        <v>0</v>
      </c>
      <c r="BF234" s="43">
        <f t="shared" ca="1" si="14"/>
        <v>0.42264419180567192</v>
      </c>
      <c r="BG234" s="8">
        <v>1</v>
      </c>
      <c r="BH234" s="42">
        <v>0</v>
      </c>
      <c r="BJ234" s="43">
        <f t="shared" ca="1" si="15"/>
        <v>0.9087294703341704</v>
      </c>
      <c r="BK234" s="8">
        <v>1</v>
      </c>
      <c r="BL234" s="42">
        <v>0</v>
      </c>
      <c r="BN234" s="43">
        <f t="shared" ca="1" si="16"/>
        <v>0.68928506404377832</v>
      </c>
      <c r="BO234" s="8">
        <v>1</v>
      </c>
      <c r="BP234" s="42">
        <v>0</v>
      </c>
      <c r="BR234" s="43">
        <f t="shared" ca="1" si="17"/>
        <v>0.45708562253243623</v>
      </c>
      <c r="BS234" s="8">
        <v>1</v>
      </c>
      <c r="BT234" s="42">
        <v>0</v>
      </c>
    </row>
    <row r="235" spans="1:72" x14ac:dyDescent="0.2">
      <c r="A235" s="22">
        <v>44782</v>
      </c>
      <c r="B235" s="43">
        <f t="shared" ca="1" si="0"/>
        <v>0.6575890584893741</v>
      </c>
      <c r="C235" s="8">
        <v>1</v>
      </c>
      <c r="D235" s="42">
        <v>0</v>
      </c>
      <c r="F235" s="43">
        <f t="shared" ca="1" si="1"/>
        <v>0.78239583806305346</v>
      </c>
      <c r="G235" s="8">
        <v>1</v>
      </c>
      <c r="H235" s="42">
        <v>0</v>
      </c>
      <c r="J235" s="43">
        <f t="shared" ca="1" si="2"/>
        <v>0.74133106415514527</v>
      </c>
      <c r="K235" s="8">
        <v>1</v>
      </c>
      <c r="L235" s="42">
        <v>0</v>
      </c>
      <c r="N235" s="43">
        <f t="shared" ca="1" si="3"/>
        <v>0.48345913458548095</v>
      </c>
      <c r="O235" s="8">
        <v>1</v>
      </c>
      <c r="P235" s="42">
        <v>0</v>
      </c>
      <c r="R235" s="43">
        <f t="shared" ca="1" si="4"/>
        <v>0.5944138377829995</v>
      </c>
      <c r="S235" s="8">
        <v>1</v>
      </c>
      <c r="T235" s="42">
        <v>0</v>
      </c>
      <c r="V235" s="43">
        <f t="shared" ca="1" si="5"/>
        <v>8.9436942658783436E-2</v>
      </c>
      <c r="W235" s="8">
        <v>1</v>
      </c>
      <c r="X235" s="42">
        <v>0</v>
      </c>
      <c r="Z235" s="43">
        <f t="shared" ca="1" si="6"/>
        <v>0.80208883864164515</v>
      </c>
      <c r="AA235" s="8">
        <v>1</v>
      </c>
      <c r="AB235" s="42">
        <v>0</v>
      </c>
      <c r="AD235" s="43">
        <f t="shared" ca="1" si="7"/>
        <v>0.37107808384736662</v>
      </c>
      <c r="AE235" s="8">
        <v>1</v>
      </c>
      <c r="AF235" s="42">
        <v>0</v>
      </c>
      <c r="AH235" s="43">
        <f t="shared" ca="1" si="8"/>
        <v>0.8685265582905729</v>
      </c>
      <c r="AI235" s="8">
        <v>1</v>
      </c>
      <c r="AJ235" s="42">
        <v>0</v>
      </c>
      <c r="AL235" s="43">
        <f t="shared" ca="1" si="9"/>
        <v>0.44617060941168096</v>
      </c>
      <c r="AM235" s="8">
        <v>1</v>
      </c>
      <c r="AN235" s="42">
        <v>0</v>
      </c>
      <c r="AP235" s="43">
        <f t="shared" ca="1" si="10"/>
        <v>0.70670696146603473</v>
      </c>
      <c r="AQ235" s="8">
        <v>1</v>
      </c>
      <c r="AR235" s="42">
        <v>0</v>
      </c>
      <c r="AT235" s="43">
        <f t="shared" ca="1" si="11"/>
        <v>0.44199434812142702</v>
      </c>
      <c r="AU235" s="8">
        <v>1</v>
      </c>
      <c r="AV235" s="42">
        <v>0</v>
      </c>
      <c r="AX235" s="43">
        <f t="shared" ca="1" si="12"/>
        <v>0.84622382759958015</v>
      </c>
      <c r="AY235" s="8">
        <v>1</v>
      </c>
      <c r="AZ235" s="42">
        <v>0</v>
      </c>
      <c r="BB235" s="43">
        <f t="shared" ca="1" si="13"/>
        <v>0.36871986805928125</v>
      </c>
      <c r="BC235" s="8">
        <v>1</v>
      </c>
      <c r="BD235" s="42">
        <v>0</v>
      </c>
      <c r="BF235" s="43">
        <f t="shared" ca="1" si="14"/>
        <v>0.22531979194450813</v>
      </c>
      <c r="BG235" s="8">
        <v>1</v>
      </c>
      <c r="BH235" s="42">
        <v>0</v>
      </c>
      <c r="BJ235" s="43">
        <f t="shared" ca="1" si="15"/>
        <v>0.92720486625282661</v>
      </c>
      <c r="BK235" s="8">
        <v>1</v>
      </c>
      <c r="BL235" s="42">
        <v>0</v>
      </c>
      <c r="BN235" s="43">
        <f t="shared" ca="1" si="16"/>
        <v>1.1754434152808524E-2</v>
      </c>
      <c r="BO235" s="8">
        <v>1</v>
      </c>
      <c r="BP235" s="42">
        <v>0</v>
      </c>
      <c r="BR235" s="43">
        <f t="shared" ca="1" si="17"/>
        <v>4.6909341100986546E-2</v>
      </c>
      <c r="BS235" s="8">
        <v>1</v>
      </c>
      <c r="BT235" s="42">
        <v>0</v>
      </c>
    </row>
    <row r="236" spans="1:72" x14ac:dyDescent="0.2">
      <c r="A236" s="22">
        <v>44783</v>
      </c>
      <c r="B236" s="43">
        <f t="shared" ca="1" si="0"/>
        <v>0.75836921282826708</v>
      </c>
      <c r="C236" s="8">
        <v>1</v>
      </c>
      <c r="D236" s="42">
        <v>0</v>
      </c>
      <c r="F236" s="43">
        <f t="shared" ca="1" si="1"/>
        <v>0.85775291543516341</v>
      </c>
      <c r="G236" s="8">
        <v>1</v>
      </c>
      <c r="H236" s="42">
        <v>0</v>
      </c>
      <c r="J236" s="43">
        <f t="shared" ca="1" si="2"/>
        <v>0.29987088308636511</v>
      </c>
      <c r="K236" s="8">
        <v>1</v>
      </c>
      <c r="L236" s="42">
        <v>0</v>
      </c>
      <c r="N236" s="43">
        <f t="shared" ca="1" si="3"/>
        <v>0.61731184517263926</v>
      </c>
      <c r="O236" s="8">
        <v>1</v>
      </c>
      <c r="P236" s="42">
        <v>0</v>
      </c>
      <c r="R236" s="43">
        <f t="shared" ca="1" si="4"/>
        <v>0.34652528817003081</v>
      </c>
      <c r="S236" s="8">
        <v>1</v>
      </c>
      <c r="T236" s="42">
        <v>0</v>
      </c>
      <c r="V236" s="43">
        <f t="shared" ca="1" si="5"/>
        <v>0.17299815807561469</v>
      </c>
      <c r="W236" s="8">
        <v>1</v>
      </c>
      <c r="X236" s="42">
        <v>0</v>
      </c>
      <c r="Z236" s="43">
        <f t="shared" ca="1" si="6"/>
        <v>0.40487937688525821</v>
      </c>
      <c r="AA236" s="8">
        <v>1</v>
      </c>
      <c r="AB236" s="42">
        <v>0</v>
      </c>
      <c r="AD236" s="43">
        <f t="shared" ca="1" si="7"/>
        <v>0.76490896269356534</v>
      </c>
      <c r="AE236" s="8">
        <v>1</v>
      </c>
      <c r="AF236" s="42">
        <v>0</v>
      </c>
      <c r="AH236" s="43">
        <f t="shared" ca="1" si="8"/>
        <v>2.6236272848159325E-2</v>
      </c>
      <c r="AI236" s="8">
        <v>1</v>
      </c>
      <c r="AJ236" s="42">
        <v>0</v>
      </c>
      <c r="AL236" s="43">
        <f t="shared" ca="1" si="9"/>
        <v>0.88477617038464873</v>
      </c>
      <c r="AM236" s="8">
        <v>1</v>
      </c>
      <c r="AN236" s="42">
        <v>0</v>
      </c>
      <c r="AP236" s="43">
        <f t="shared" ca="1" si="10"/>
        <v>0.86073964018604587</v>
      </c>
      <c r="AQ236" s="8">
        <v>1</v>
      </c>
      <c r="AR236" s="42">
        <v>0</v>
      </c>
      <c r="AT236" s="43">
        <f t="shared" ca="1" si="11"/>
        <v>0.86061179379599473</v>
      </c>
      <c r="AU236" s="8">
        <v>1</v>
      </c>
      <c r="AV236" s="42">
        <v>0</v>
      </c>
      <c r="AX236" s="43">
        <f t="shared" ca="1" si="12"/>
        <v>0.37616944130790075</v>
      </c>
      <c r="AY236" s="8">
        <v>1</v>
      </c>
      <c r="AZ236" s="42">
        <v>0</v>
      </c>
      <c r="BB236" s="43">
        <f t="shared" ca="1" si="13"/>
        <v>0.73539479913691275</v>
      </c>
      <c r="BC236" s="8">
        <v>1</v>
      </c>
      <c r="BD236" s="42">
        <v>0</v>
      </c>
      <c r="BF236" s="43">
        <f t="shared" ca="1" si="14"/>
        <v>0.9972588259636106</v>
      </c>
      <c r="BG236" s="8">
        <v>1</v>
      </c>
      <c r="BH236" s="42">
        <v>0</v>
      </c>
      <c r="BJ236" s="43">
        <f t="shared" ca="1" si="15"/>
        <v>0.34352841883449281</v>
      </c>
      <c r="BK236" s="8">
        <v>1</v>
      </c>
      <c r="BL236" s="42">
        <v>0</v>
      </c>
      <c r="BN236" s="43">
        <f t="shared" ca="1" si="16"/>
        <v>0.57519284073252019</v>
      </c>
      <c r="BO236" s="8">
        <v>1</v>
      </c>
      <c r="BP236" s="42">
        <v>0</v>
      </c>
      <c r="BR236" s="43">
        <f t="shared" ca="1" si="17"/>
        <v>0.89971159927982547</v>
      </c>
      <c r="BS236" s="8">
        <v>1</v>
      </c>
      <c r="BT236" s="42">
        <v>0</v>
      </c>
    </row>
    <row r="237" spans="1:72" x14ac:dyDescent="0.2">
      <c r="A237" s="22">
        <v>44784</v>
      </c>
      <c r="B237" s="43">
        <f t="shared" ca="1" si="0"/>
        <v>0.99722994610822413</v>
      </c>
      <c r="C237" s="8">
        <v>1</v>
      </c>
      <c r="D237" s="42">
        <v>0</v>
      </c>
      <c r="F237" s="43">
        <f t="shared" ca="1" si="1"/>
        <v>0.34384877352833021</v>
      </c>
      <c r="G237" s="8">
        <v>1</v>
      </c>
      <c r="H237" s="42">
        <v>0</v>
      </c>
      <c r="J237" s="43">
        <f t="shared" ca="1" si="2"/>
        <v>0.32070972082966576</v>
      </c>
      <c r="K237" s="8">
        <v>1</v>
      </c>
      <c r="L237" s="42">
        <v>0</v>
      </c>
      <c r="N237" s="43">
        <f t="shared" ca="1" si="3"/>
        <v>0.11019444631176945</v>
      </c>
      <c r="O237" s="8">
        <v>1</v>
      </c>
      <c r="P237" s="42">
        <v>0</v>
      </c>
      <c r="R237" s="43">
        <f t="shared" ca="1" si="4"/>
        <v>0.15406505346505805</v>
      </c>
      <c r="S237" s="8">
        <v>1</v>
      </c>
      <c r="T237" s="42">
        <v>0</v>
      </c>
      <c r="V237" s="43">
        <f t="shared" ca="1" si="5"/>
        <v>0.61826237551370522</v>
      </c>
      <c r="W237" s="8">
        <v>1</v>
      </c>
      <c r="X237" s="42">
        <v>0</v>
      </c>
      <c r="Z237" s="43">
        <f t="shared" ca="1" si="6"/>
        <v>0.23915011958381216</v>
      </c>
      <c r="AA237" s="8">
        <v>1</v>
      </c>
      <c r="AB237" s="42">
        <v>0</v>
      </c>
      <c r="AD237" s="43">
        <f t="shared" ca="1" si="7"/>
        <v>0.4620227799833565</v>
      </c>
      <c r="AE237" s="8">
        <v>1</v>
      </c>
      <c r="AF237" s="42">
        <v>0</v>
      </c>
      <c r="AH237" s="43">
        <f t="shared" ca="1" si="8"/>
        <v>0.80902874213232923</v>
      </c>
      <c r="AI237" s="8">
        <v>1</v>
      </c>
      <c r="AJ237" s="42">
        <v>0</v>
      </c>
      <c r="AL237" s="43">
        <f t="shared" ca="1" si="9"/>
        <v>0.26855053907045556</v>
      </c>
      <c r="AM237" s="8">
        <v>1</v>
      </c>
      <c r="AN237" s="42">
        <v>0</v>
      </c>
      <c r="AP237" s="43">
        <f t="shared" ca="1" si="10"/>
        <v>0.86106981453334985</v>
      </c>
      <c r="AQ237" s="8">
        <v>1</v>
      </c>
      <c r="AR237" s="42">
        <v>0</v>
      </c>
      <c r="AT237" s="43">
        <f t="shared" ca="1" si="11"/>
        <v>0.42600859265808333</v>
      </c>
      <c r="AU237" s="8">
        <v>1</v>
      </c>
      <c r="AV237" s="42">
        <v>0</v>
      </c>
      <c r="AX237" s="43">
        <f t="shared" ca="1" si="12"/>
        <v>0.60915724288863149</v>
      </c>
      <c r="AY237" s="8">
        <v>1</v>
      </c>
      <c r="AZ237" s="42">
        <v>0</v>
      </c>
      <c r="BB237" s="43">
        <f t="shared" ca="1" si="13"/>
        <v>0.25507473270519265</v>
      </c>
      <c r="BC237" s="8">
        <v>1</v>
      </c>
      <c r="BD237" s="42">
        <v>0</v>
      </c>
      <c r="BF237" s="43">
        <f t="shared" ca="1" si="14"/>
        <v>0.61091978716176121</v>
      </c>
      <c r="BG237" s="8">
        <v>1</v>
      </c>
      <c r="BH237" s="42">
        <v>0</v>
      </c>
      <c r="BJ237" s="43">
        <f t="shared" ca="1" si="15"/>
        <v>0.80009460839315283</v>
      </c>
      <c r="BK237" s="8">
        <v>1</v>
      </c>
      <c r="BL237" s="42">
        <v>0</v>
      </c>
      <c r="BN237" s="43">
        <f t="shared" ca="1" si="16"/>
        <v>0.85998110172418729</v>
      </c>
      <c r="BO237" s="8">
        <v>1</v>
      </c>
      <c r="BP237" s="42">
        <v>0</v>
      </c>
      <c r="BR237" s="43">
        <f t="shared" ca="1" si="17"/>
        <v>0.66225646194290377</v>
      </c>
      <c r="BS237" s="8">
        <v>1</v>
      </c>
      <c r="BT237" s="42">
        <v>0</v>
      </c>
    </row>
    <row r="238" spans="1:72" x14ac:dyDescent="0.2">
      <c r="A238" s="22">
        <v>44785</v>
      </c>
      <c r="B238" s="43">
        <f t="shared" ca="1" si="0"/>
        <v>0.97852597872756575</v>
      </c>
      <c r="C238" s="8">
        <v>1</v>
      </c>
      <c r="D238" s="42">
        <v>0</v>
      </c>
      <c r="F238" s="43">
        <f t="shared" ca="1" si="1"/>
        <v>0.54100794245553863</v>
      </c>
      <c r="G238" s="8">
        <v>1</v>
      </c>
      <c r="H238" s="42">
        <v>0</v>
      </c>
      <c r="J238" s="43">
        <f t="shared" ca="1" si="2"/>
        <v>5.0496092130854042E-2</v>
      </c>
      <c r="K238" s="8">
        <v>1</v>
      </c>
      <c r="L238" s="42">
        <v>0</v>
      </c>
      <c r="N238" s="43">
        <f t="shared" ca="1" si="3"/>
        <v>0.82129729425164721</v>
      </c>
      <c r="O238" s="8">
        <v>1</v>
      </c>
      <c r="P238" s="42">
        <v>0</v>
      </c>
      <c r="R238" s="43">
        <f t="shared" ca="1" si="4"/>
        <v>0.54793194222798935</v>
      </c>
      <c r="S238" s="8">
        <v>1</v>
      </c>
      <c r="T238" s="42">
        <v>0</v>
      </c>
      <c r="V238" s="43">
        <f t="shared" ca="1" si="5"/>
        <v>0.31080458897547902</v>
      </c>
      <c r="W238" s="8">
        <v>1</v>
      </c>
      <c r="X238" s="42">
        <v>0</v>
      </c>
      <c r="Z238" s="43">
        <f t="shared" ca="1" si="6"/>
        <v>0.11062796432094268</v>
      </c>
      <c r="AA238" s="8">
        <v>1</v>
      </c>
      <c r="AB238" s="42">
        <v>0</v>
      </c>
      <c r="AD238" s="43">
        <f t="shared" ca="1" si="7"/>
        <v>0.86533598683474922</v>
      </c>
      <c r="AE238" s="8">
        <v>1</v>
      </c>
      <c r="AF238" s="42">
        <v>0</v>
      </c>
      <c r="AH238" s="43">
        <f t="shared" ca="1" si="8"/>
        <v>0.98942361161265802</v>
      </c>
      <c r="AI238" s="8">
        <v>1</v>
      </c>
      <c r="AJ238" s="42">
        <v>0</v>
      </c>
      <c r="AL238" s="43">
        <f t="shared" ca="1" si="9"/>
        <v>0.52660208383808671</v>
      </c>
      <c r="AM238" s="8">
        <v>1</v>
      </c>
      <c r="AN238" s="42">
        <v>0</v>
      </c>
      <c r="AP238" s="43">
        <f t="shared" ca="1" si="10"/>
        <v>0.89146440996850584</v>
      </c>
      <c r="AQ238" s="8">
        <v>1</v>
      </c>
      <c r="AR238" s="42">
        <v>0</v>
      </c>
      <c r="AT238" s="43">
        <f t="shared" ca="1" si="11"/>
        <v>0.3642974683982666</v>
      </c>
      <c r="AU238" s="8">
        <v>1</v>
      </c>
      <c r="AV238" s="42">
        <v>0</v>
      </c>
      <c r="AX238" s="43">
        <f t="shared" ca="1" si="12"/>
        <v>0.76312964366328451</v>
      </c>
      <c r="AY238" s="8">
        <v>1</v>
      </c>
      <c r="AZ238" s="42">
        <v>0</v>
      </c>
      <c r="BB238" s="43">
        <f t="shared" ca="1" si="13"/>
        <v>0.98220460306281243</v>
      </c>
      <c r="BC238" s="8">
        <v>1</v>
      </c>
      <c r="BD238" s="42">
        <v>0</v>
      </c>
      <c r="BF238" s="43">
        <f t="shared" ca="1" si="14"/>
        <v>0.62226293481328121</v>
      </c>
      <c r="BG238" s="8">
        <v>1</v>
      </c>
      <c r="BH238" s="42">
        <v>0</v>
      </c>
      <c r="BJ238" s="43">
        <f t="shared" ca="1" si="15"/>
        <v>0.61574766832203864</v>
      </c>
      <c r="BK238" s="8">
        <v>1</v>
      </c>
      <c r="BL238" s="42">
        <v>0</v>
      </c>
      <c r="BN238" s="43">
        <f t="shared" ca="1" si="16"/>
        <v>0.16355317901700084</v>
      </c>
      <c r="BO238" s="8">
        <v>1</v>
      </c>
      <c r="BP238" s="42">
        <v>0</v>
      </c>
      <c r="BR238" s="43">
        <f t="shared" ca="1" si="17"/>
        <v>0.55327317813171817</v>
      </c>
      <c r="BS238" s="8">
        <v>1</v>
      </c>
      <c r="BT238" s="42">
        <v>0</v>
      </c>
    </row>
    <row r="239" spans="1:72" x14ac:dyDescent="0.2">
      <c r="A239" s="22">
        <v>44786</v>
      </c>
      <c r="B239" s="43">
        <f t="shared" ca="1" si="0"/>
        <v>0.99532356639076203</v>
      </c>
      <c r="C239" s="8">
        <v>1</v>
      </c>
      <c r="D239" s="42">
        <v>0</v>
      </c>
      <c r="F239" s="43">
        <f t="shared" ca="1" si="1"/>
        <v>0.41218944148619063</v>
      </c>
      <c r="G239" s="8">
        <v>1</v>
      </c>
      <c r="H239" s="42">
        <v>0</v>
      </c>
      <c r="J239" s="43">
        <f t="shared" ca="1" si="2"/>
        <v>0.1105201847674453</v>
      </c>
      <c r="K239" s="8">
        <v>1</v>
      </c>
      <c r="L239" s="42">
        <v>0</v>
      </c>
      <c r="N239" s="43">
        <f t="shared" ca="1" si="3"/>
        <v>0.13418232264884922</v>
      </c>
      <c r="O239" s="8">
        <v>1</v>
      </c>
      <c r="P239" s="42">
        <v>0</v>
      </c>
      <c r="R239" s="43">
        <f t="shared" ca="1" si="4"/>
        <v>0.17568379482901475</v>
      </c>
      <c r="S239" s="8">
        <v>1</v>
      </c>
      <c r="T239" s="42">
        <v>0</v>
      </c>
      <c r="V239" s="43">
        <f t="shared" ca="1" si="5"/>
        <v>0.29177691506540471</v>
      </c>
      <c r="W239" s="8">
        <v>1</v>
      </c>
      <c r="X239" s="42">
        <v>0</v>
      </c>
      <c r="Z239" s="43">
        <f t="shared" ca="1" si="6"/>
        <v>0.31383819568569249</v>
      </c>
      <c r="AA239" s="8">
        <v>1</v>
      </c>
      <c r="AB239" s="42">
        <v>0</v>
      </c>
      <c r="AD239" s="43">
        <f t="shared" ca="1" si="7"/>
        <v>0.85591924808946329</v>
      </c>
      <c r="AE239" s="8">
        <v>1</v>
      </c>
      <c r="AF239" s="42">
        <v>0</v>
      </c>
      <c r="AH239" s="43">
        <f t="shared" ca="1" si="8"/>
        <v>0.27792208898504733</v>
      </c>
      <c r="AI239" s="8">
        <v>1</v>
      </c>
      <c r="AJ239" s="42">
        <v>0</v>
      </c>
      <c r="AL239" s="43">
        <f t="shared" ca="1" si="9"/>
        <v>0.77176519333392923</v>
      </c>
      <c r="AM239" s="8">
        <v>1</v>
      </c>
      <c r="AN239" s="42">
        <v>0</v>
      </c>
      <c r="AP239" s="43">
        <f t="shared" ca="1" si="10"/>
        <v>0.70136521437768584</v>
      </c>
      <c r="AQ239" s="8">
        <v>1</v>
      </c>
      <c r="AR239" s="42">
        <v>0</v>
      </c>
      <c r="AT239" s="43">
        <f t="shared" ca="1" si="11"/>
        <v>0.92813660271131282</v>
      </c>
      <c r="AU239" s="8">
        <v>1</v>
      </c>
      <c r="AV239" s="42">
        <v>0</v>
      </c>
      <c r="AX239" s="43">
        <f t="shared" ca="1" si="12"/>
        <v>0.91846515447925903</v>
      </c>
      <c r="AY239" s="8">
        <v>1</v>
      </c>
      <c r="AZ239" s="42">
        <v>0</v>
      </c>
      <c r="BB239" s="43">
        <f t="shared" ca="1" si="13"/>
        <v>4.6412047194256734E-2</v>
      </c>
      <c r="BC239" s="8">
        <v>1</v>
      </c>
      <c r="BD239" s="42">
        <v>0</v>
      </c>
      <c r="BF239" s="43">
        <f t="shared" ca="1" si="14"/>
        <v>0.8869801902079002</v>
      </c>
      <c r="BG239" s="8">
        <v>1</v>
      </c>
      <c r="BH239" s="42">
        <v>0</v>
      </c>
      <c r="BJ239" s="43">
        <f t="shared" ca="1" si="15"/>
        <v>0.13732892952710329</v>
      </c>
      <c r="BK239" s="8">
        <v>1</v>
      </c>
      <c r="BL239" s="42">
        <v>0</v>
      </c>
      <c r="BN239" s="43">
        <f t="shared" ca="1" si="16"/>
        <v>0.41376386005215415</v>
      </c>
      <c r="BO239" s="8">
        <v>1</v>
      </c>
      <c r="BP239" s="42">
        <v>0</v>
      </c>
      <c r="BR239" s="43">
        <f t="shared" ca="1" si="17"/>
        <v>0.59121989244761075</v>
      </c>
      <c r="BS239" s="8">
        <v>1</v>
      </c>
      <c r="BT239" s="42">
        <v>0</v>
      </c>
    </row>
    <row r="240" spans="1:72" x14ac:dyDescent="0.2">
      <c r="A240" s="22">
        <v>44787</v>
      </c>
      <c r="B240" s="43">
        <f t="shared" ca="1" si="0"/>
        <v>0.23635936800415314</v>
      </c>
      <c r="C240" s="8">
        <v>1</v>
      </c>
      <c r="D240" s="42">
        <v>0</v>
      </c>
      <c r="F240" s="43">
        <f t="shared" ca="1" si="1"/>
        <v>0.28022441002681531</v>
      </c>
      <c r="G240" s="8">
        <v>1</v>
      </c>
      <c r="H240" s="42">
        <v>0</v>
      </c>
      <c r="J240" s="43">
        <f t="shared" ca="1" si="2"/>
        <v>0.37340539700418096</v>
      </c>
      <c r="K240" s="8">
        <v>1</v>
      </c>
      <c r="L240" s="42">
        <v>0</v>
      </c>
      <c r="N240" s="43">
        <f t="shared" ca="1" si="3"/>
        <v>0.79968972989445952</v>
      </c>
      <c r="O240" s="8">
        <v>1</v>
      </c>
      <c r="P240" s="42">
        <v>0</v>
      </c>
      <c r="R240" s="43">
        <f t="shared" ca="1" si="4"/>
        <v>0.58211140735991118</v>
      </c>
      <c r="S240" s="8">
        <v>1</v>
      </c>
      <c r="T240" s="42">
        <v>0</v>
      </c>
      <c r="V240" s="43">
        <f t="shared" ca="1" si="5"/>
        <v>0.64468479225725861</v>
      </c>
      <c r="W240" s="8">
        <v>1</v>
      </c>
      <c r="X240" s="42">
        <v>0</v>
      </c>
      <c r="Z240" s="43">
        <f t="shared" ca="1" si="6"/>
        <v>0.21032127570356496</v>
      </c>
      <c r="AA240" s="8">
        <v>1</v>
      </c>
      <c r="AB240" s="42">
        <v>0</v>
      </c>
      <c r="AD240" s="43">
        <f t="shared" ca="1" si="7"/>
        <v>5.9288247479278633E-2</v>
      </c>
      <c r="AE240" s="8">
        <v>1</v>
      </c>
      <c r="AF240" s="42">
        <v>0</v>
      </c>
      <c r="AH240" s="43">
        <f t="shared" ca="1" si="8"/>
        <v>0.40309331384782643</v>
      </c>
      <c r="AI240" s="8">
        <v>1</v>
      </c>
      <c r="AJ240" s="42">
        <v>0</v>
      </c>
      <c r="AL240" s="43">
        <f t="shared" ca="1" si="9"/>
        <v>0.48948321610522871</v>
      </c>
      <c r="AM240" s="8">
        <v>1</v>
      </c>
      <c r="AN240" s="42">
        <v>0</v>
      </c>
      <c r="AP240" s="43">
        <f t="shared" ca="1" si="10"/>
        <v>0.96491827625505844</v>
      </c>
      <c r="AQ240" s="8">
        <v>1</v>
      </c>
      <c r="AR240" s="42">
        <v>0</v>
      </c>
      <c r="AT240" s="43">
        <f t="shared" ca="1" si="11"/>
        <v>0.5820511259650083</v>
      </c>
      <c r="AU240" s="8">
        <v>1</v>
      </c>
      <c r="AV240" s="42">
        <v>0</v>
      </c>
      <c r="AX240" s="43">
        <f t="shared" ca="1" si="12"/>
        <v>9.8567877470861931E-2</v>
      </c>
      <c r="AY240" s="8">
        <v>1</v>
      </c>
      <c r="AZ240" s="42">
        <v>0</v>
      </c>
      <c r="BB240" s="43">
        <f t="shared" ca="1" si="13"/>
        <v>0.62522083110522486</v>
      </c>
      <c r="BC240" s="8">
        <v>1</v>
      </c>
      <c r="BD240" s="42">
        <v>0</v>
      </c>
      <c r="BF240" s="43">
        <f t="shared" ca="1" si="14"/>
        <v>0.11128355053639716</v>
      </c>
      <c r="BG240" s="8">
        <v>1</v>
      </c>
      <c r="BH240" s="42">
        <v>0</v>
      </c>
      <c r="BJ240" s="43">
        <f t="shared" ca="1" si="15"/>
        <v>0.35916208069472089</v>
      </c>
      <c r="BK240" s="8">
        <v>1</v>
      </c>
      <c r="BL240" s="42">
        <v>0</v>
      </c>
      <c r="BN240" s="43">
        <f t="shared" ca="1" si="16"/>
        <v>0.25456868092727236</v>
      </c>
      <c r="BO240" s="8">
        <v>1</v>
      </c>
      <c r="BP240" s="42">
        <v>0</v>
      </c>
      <c r="BR240" s="43">
        <f t="shared" ca="1" si="17"/>
        <v>0.46657937377621927</v>
      </c>
      <c r="BS240" s="8">
        <v>1</v>
      </c>
      <c r="BT240" s="42">
        <v>0</v>
      </c>
    </row>
    <row r="241" spans="1:72" x14ac:dyDescent="0.2">
      <c r="A241" s="22">
        <v>44788</v>
      </c>
      <c r="B241" s="43">
        <f t="shared" ca="1" si="0"/>
        <v>0.78268287203414644</v>
      </c>
      <c r="C241" s="8">
        <v>1</v>
      </c>
      <c r="D241" s="42">
        <v>0</v>
      </c>
      <c r="F241" s="43">
        <f t="shared" ca="1" si="1"/>
        <v>2.061697952982422E-2</v>
      </c>
      <c r="G241" s="8">
        <v>1</v>
      </c>
      <c r="H241" s="42">
        <v>0</v>
      </c>
      <c r="J241" s="43">
        <f t="shared" ca="1" si="2"/>
        <v>0.47786132463692976</v>
      </c>
      <c r="K241" s="8">
        <v>1</v>
      </c>
      <c r="L241" s="42">
        <v>0</v>
      </c>
      <c r="N241" s="43">
        <f t="shared" ca="1" si="3"/>
        <v>0.92755017733999556</v>
      </c>
      <c r="O241" s="8">
        <v>1</v>
      </c>
      <c r="P241" s="42">
        <v>0</v>
      </c>
      <c r="R241" s="43">
        <f t="shared" ca="1" si="4"/>
        <v>0.35763145138854735</v>
      </c>
      <c r="S241" s="8">
        <v>1</v>
      </c>
      <c r="T241" s="42">
        <v>0</v>
      </c>
      <c r="V241" s="43">
        <f t="shared" ca="1" si="5"/>
        <v>4.4922821704598936E-2</v>
      </c>
      <c r="W241" s="8">
        <v>1</v>
      </c>
      <c r="X241" s="42">
        <v>0</v>
      </c>
      <c r="Z241" s="43">
        <f t="shared" ca="1" si="6"/>
        <v>0.53592608212745585</v>
      </c>
      <c r="AA241" s="8">
        <v>1</v>
      </c>
      <c r="AB241" s="42">
        <v>0</v>
      </c>
      <c r="AD241" s="43">
        <f t="shared" ca="1" si="7"/>
        <v>0.1937086952721444</v>
      </c>
      <c r="AE241" s="8">
        <v>1</v>
      </c>
      <c r="AF241" s="42">
        <v>0</v>
      </c>
      <c r="AH241" s="43">
        <f t="shared" ca="1" si="8"/>
        <v>7.1549192008669271E-2</v>
      </c>
      <c r="AI241" s="8">
        <v>1</v>
      </c>
      <c r="AJ241" s="42">
        <v>0</v>
      </c>
      <c r="AL241" s="43">
        <f t="shared" ca="1" si="9"/>
        <v>0.43811568363788933</v>
      </c>
      <c r="AM241" s="8">
        <v>1</v>
      </c>
      <c r="AN241" s="42">
        <v>0</v>
      </c>
      <c r="AP241" s="43">
        <f t="shared" ca="1" si="10"/>
        <v>0.83897242730607735</v>
      </c>
      <c r="AQ241" s="8">
        <v>1</v>
      </c>
      <c r="AR241" s="42">
        <v>0</v>
      </c>
      <c r="AT241" s="43">
        <f t="shared" ca="1" si="11"/>
        <v>0.21294081281334498</v>
      </c>
      <c r="AU241" s="8">
        <v>1</v>
      </c>
      <c r="AV241" s="42">
        <v>0</v>
      </c>
      <c r="AX241" s="43">
        <f t="shared" ca="1" si="12"/>
        <v>0.58663381290870065</v>
      </c>
      <c r="AY241" s="8">
        <v>1</v>
      </c>
      <c r="AZ241" s="42">
        <v>0</v>
      </c>
      <c r="BB241" s="43">
        <f t="shared" ca="1" si="13"/>
        <v>0.68663992409248065</v>
      </c>
      <c r="BC241" s="8">
        <v>1</v>
      </c>
      <c r="BD241" s="42">
        <v>0</v>
      </c>
      <c r="BF241" s="43">
        <f t="shared" ca="1" si="14"/>
        <v>2.3608994597718369E-2</v>
      </c>
      <c r="BG241" s="8">
        <v>1</v>
      </c>
      <c r="BH241" s="42">
        <v>0</v>
      </c>
      <c r="BJ241" s="43">
        <f t="shared" ca="1" si="15"/>
        <v>8.0682923698176756E-2</v>
      </c>
      <c r="BK241" s="8">
        <v>1</v>
      </c>
      <c r="BL241" s="42">
        <v>0</v>
      </c>
      <c r="BN241" s="43">
        <f t="shared" ca="1" si="16"/>
        <v>0.72225444621448731</v>
      </c>
      <c r="BO241" s="8">
        <v>1</v>
      </c>
      <c r="BP241" s="42">
        <v>0</v>
      </c>
      <c r="BR241" s="43">
        <f t="shared" ca="1" si="17"/>
        <v>0.25332528951196809</v>
      </c>
      <c r="BS241" s="8">
        <v>1</v>
      </c>
      <c r="BT241" s="42">
        <v>0</v>
      </c>
    </row>
    <row r="242" spans="1:72" x14ac:dyDescent="0.2">
      <c r="A242" s="22">
        <v>44789</v>
      </c>
      <c r="B242" s="43">
        <f t="shared" ca="1" si="0"/>
        <v>0.25400596567420752</v>
      </c>
      <c r="C242" s="8">
        <v>1</v>
      </c>
      <c r="D242" s="42">
        <v>0</v>
      </c>
      <c r="F242" s="43">
        <f t="shared" ca="1" si="1"/>
        <v>0.41441680526434099</v>
      </c>
      <c r="G242" s="8">
        <v>1</v>
      </c>
      <c r="H242" s="42">
        <v>0</v>
      </c>
      <c r="J242" s="43">
        <f t="shared" ca="1" si="2"/>
        <v>0.62735622428457449</v>
      </c>
      <c r="K242" s="8">
        <v>1</v>
      </c>
      <c r="L242" s="42">
        <v>0</v>
      </c>
      <c r="N242" s="43">
        <f t="shared" ca="1" si="3"/>
        <v>0.38826593159900225</v>
      </c>
      <c r="O242" s="8">
        <v>1</v>
      </c>
      <c r="P242" s="42">
        <v>0</v>
      </c>
      <c r="R242" s="43">
        <f t="shared" ca="1" si="4"/>
        <v>0.1279630350496419</v>
      </c>
      <c r="S242" s="8">
        <v>1</v>
      </c>
      <c r="T242" s="42">
        <v>0</v>
      </c>
      <c r="V242" s="43">
        <f t="shared" ca="1" si="5"/>
        <v>0.74257619307345324</v>
      </c>
      <c r="W242" s="8">
        <v>1</v>
      </c>
      <c r="X242" s="42">
        <v>0</v>
      </c>
      <c r="Z242" s="43">
        <f t="shared" ca="1" si="6"/>
        <v>0.40482867438850489</v>
      </c>
      <c r="AA242" s="8">
        <v>1</v>
      </c>
      <c r="AB242" s="42">
        <v>0</v>
      </c>
      <c r="AD242" s="43">
        <f t="shared" ca="1" si="7"/>
        <v>0.38344699161692419</v>
      </c>
      <c r="AE242" s="8">
        <v>1</v>
      </c>
      <c r="AF242" s="42">
        <v>0</v>
      </c>
      <c r="AH242" s="43">
        <f t="shared" ca="1" si="8"/>
        <v>0.66613075784681042</v>
      </c>
      <c r="AI242" s="8">
        <v>1</v>
      </c>
      <c r="AJ242" s="42">
        <v>0</v>
      </c>
      <c r="AL242" s="43">
        <f t="shared" ca="1" si="9"/>
        <v>0.74780635567167597</v>
      </c>
      <c r="AM242" s="8">
        <v>1</v>
      </c>
      <c r="AN242" s="42">
        <v>0</v>
      </c>
      <c r="AP242" s="43">
        <f t="shared" ca="1" si="10"/>
        <v>0.38241181064817076</v>
      </c>
      <c r="AQ242" s="8">
        <v>1</v>
      </c>
      <c r="AR242" s="42">
        <v>0</v>
      </c>
      <c r="AT242" s="43">
        <f t="shared" ca="1" si="11"/>
        <v>0.8601018755829053</v>
      </c>
      <c r="AU242" s="8">
        <v>1</v>
      </c>
      <c r="AV242" s="42">
        <v>0</v>
      </c>
      <c r="AX242" s="43">
        <f t="shared" ca="1" si="12"/>
        <v>0.6872672583310363</v>
      </c>
      <c r="AY242" s="8">
        <v>1</v>
      </c>
      <c r="AZ242" s="42">
        <v>0</v>
      </c>
      <c r="BB242" s="43">
        <f t="shared" ca="1" si="13"/>
        <v>0.81487810392220894</v>
      </c>
      <c r="BC242" s="8">
        <v>1</v>
      </c>
      <c r="BD242" s="42">
        <v>0</v>
      </c>
      <c r="BF242" s="43">
        <f t="shared" ca="1" si="14"/>
        <v>0.48574778641531402</v>
      </c>
      <c r="BG242" s="8">
        <v>1</v>
      </c>
      <c r="BH242" s="42">
        <v>0</v>
      </c>
      <c r="BJ242" s="43">
        <f t="shared" ca="1" si="15"/>
        <v>0.79477942432863091</v>
      </c>
      <c r="BK242" s="8">
        <v>1</v>
      </c>
      <c r="BL242" s="42">
        <v>0</v>
      </c>
      <c r="BN242" s="43">
        <f t="shared" ca="1" si="16"/>
        <v>7.717473993349433E-2</v>
      </c>
      <c r="BO242" s="8">
        <v>1</v>
      </c>
      <c r="BP242" s="42">
        <v>0</v>
      </c>
      <c r="BR242" s="43">
        <f t="shared" ca="1" si="17"/>
        <v>0.56884342107862185</v>
      </c>
      <c r="BS242" s="8">
        <v>1</v>
      </c>
      <c r="BT242" s="42">
        <v>0</v>
      </c>
    </row>
    <row r="243" spans="1:72" x14ac:dyDescent="0.2">
      <c r="A243" s="22">
        <v>44790</v>
      </c>
      <c r="B243" s="43">
        <f t="shared" ca="1" si="0"/>
        <v>0.14269308816930082</v>
      </c>
      <c r="C243" s="8">
        <v>1</v>
      </c>
      <c r="D243" s="42">
        <v>0</v>
      </c>
      <c r="F243" s="43">
        <f t="shared" ca="1" si="1"/>
        <v>0.75905261124669099</v>
      </c>
      <c r="G243" s="8">
        <v>1</v>
      </c>
      <c r="H243" s="42">
        <v>0</v>
      </c>
      <c r="J243" s="43">
        <f t="shared" ca="1" si="2"/>
        <v>0.38600314215843823</v>
      </c>
      <c r="K243" s="8">
        <v>1</v>
      </c>
      <c r="L243" s="42">
        <v>0</v>
      </c>
      <c r="N243" s="43">
        <f t="shared" ca="1" si="3"/>
        <v>0.91853433821973496</v>
      </c>
      <c r="O243" s="8">
        <v>1</v>
      </c>
      <c r="P243" s="42">
        <v>0</v>
      </c>
      <c r="R243" s="43">
        <f t="shared" ca="1" si="4"/>
        <v>0.51804975048178747</v>
      </c>
      <c r="S243" s="8">
        <v>1</v>
      </c>
      <c r="T243" s="42">
        <v>0</v>
      </c>
      <c r="V243" s="43">
        <f t="shared" ca="1" si="5"/>
        <v>0.41978834355481909</v>
      </c>
      <c r="W243" s="8">
        <v>1</v>
      </c>
      <c r="X243" s="42">
        <v>0</v>
      </c>
      <c r="Z243" s="43">
        <f t="shared" ca="1" si="6"/>
        <v>0.48115139683120345</v>
      </c>
      <c r="AA243" s="8">
        <v>1</v>
      </c>
      <c r="AB243" s="42">
        <v>0</v>
      </c>
      <c r="AD243" s="43">
        <f t="shared" ca="1" si="7"/>
        <v>5.4562268057541163E-2</v>
      </c>
      <c r="AE243" s="8">
        <v>1</v>
      </c>
      <c r="AF243" s="42">
        <v>0</v>
      </c>
      <c r="AH243" s="43">
        <f t="shared" ca="1" si="8"/>
        <v>0.2152000183550723</v>
      </c>
      <c r="AI243" s="8">
        <v>1</v>
      </c>
      <c r="AJ243" s="42">
        <v>0</v>
      </c>
      <c r="AL243" s="43">
        <f t="shared" ca="1" si="9"/>
        <v>0.23183104750823491</v>
      </c>
      <c r="AM243" s="8">
        <v>1</v>
      </c>
      <c r="AN243" s="42">
        <v>0</v>
      </c>
      <c r="AP243" s="43">
        <f t="shared" ca="1" si="10"/>
        <v>0.77951664802743947</v>
      </c>
      <c r="AQ243" s="8">
        <v>1</v>
      </c>
      <c r="AR243" s="42">
        <v>0</v>
      </c>
      <c r="AT243" s="43">
        <f t="shared" ca="1" si="11"/>
        <v>0.9440797628774662</v>
      </c>
      <c r="AU243" s="8">
        <v>1</v>
      </c>
      <c r="AV243" s="42">
        <v>0</v>
      </c>
      <c r="AX243" s="43">
        <f t="shared" ca="1" si="12"/>
        <v>1.1113512843845652E-2</v>
      </c>
      <c r="AY243" s="8">
        <v>1</v>
      </c>
      <c r="AZ243" s="42">
        <v>0</v>
      </c>
      <c r="BB243" s="43">
        <f t="shared" ca="1" si="13"/>
        <v>0.98462075179073472</v>
      </c>
      <c r="BC243" s="8">
        <v>1</v>
      </c>
      <c r="BD243" s="42">
        <v>0</v>
      </c>
      <c r="BF243" s="43">
        <f t="shared" ca="1" si="14"/>
        <v>1.3842016637587107E-2</v>
      </c>
      <c r="BG243" s="8">
        <v>1</v>
      </c>
      <c r="BH243" s="42">
        <v>0</v>
      </c>
      <c r="BJ243" s="43">
        <f t="shared" ca="1" si="15"/>
        <v>0.96971636229588432</v>
      </c>
      <c r="BK243" s="8">
        <v>1</v>
      </c>
      <c r="BL243" s="42">
        <v>0</v>
      </c>
      <c r="BN243" s="43">
        <f t="shared" ca="1" si="16"/>
        <v>0.37754267260442431</v>
      </c>
      <c r="BO243" s="8">
        <v>1</v>
      </c>
      <c r="BP243" s="42">
        <v>0</v>
      </c>
      <c r="BR243" s="43">
        <f t="shared" ca="1" si="17"/>
        <v>0.53941459514570111</v>
      </c>
      <c r="BS243" s="8">
        <v>1</v>
      </c>
      <c r="BT243" s="42">
        <v>0</v>
      </c>
    </row>
    <row r="244" spans="1:72" x14ac:dyDescent="0.2">
      <c r="A244" s="22">
        <v>44791</v>
      </c>
      <c r="B244" s="43">
        <f t="shared" ca="1" si="0"/>
        <v>0.60748215845966091</v>
      </c>
      <c r="C244" s="8">
        <v>1</v>
      </c>
      <c r="D244" s="42">
        <v>0</v>
      </c>
      <c r="F244" s="43">
        <f t="shared" ca="1" si="1"/>
        <v>0.36625265030937904</v>
      </c>
      <c r="G244" s="8">
        <v>1</v>
      </c>
      <c r="H244" s="42">
        <v>0</v>
      </c>
      <c r="J244" s="43">
        <f t="shared" ca="1" si="2"/>
        <v>0.15865787186594504</v>
      </c>
      <c r="K244" s="8">
        <v>1</v>
      </c>
      <c r="L244" s="42">
        <v>0</v>
      </c>
      <c r="N244" s="43">
        <f t="shared" ca="1" si="3"/>
        <v>0.17976687778812517</v>
      </c>
      <c r="O244" s="8">
        <v>1</v>
      </c>
      <c r="P244" s="42">
        <v>0</v>
      </c>
      <c r="R244" s="43">
        <f t="shared" ca="1" si="4"/>
        <v>0.54856841656996058</v>
      </c>
      <c r="S244" s="8">
        <v>1</v>
      </c>
      <c r="T244" s="42">
        <v>0</v>
      </c>
      <c r="V244" s="43">
        <f t="shared" ca="1" si="5"/>
        <v>0.67172362759176696</v>
      </c>
      <c r="W244" s="8">
        <v>1</v>
      </c>
      <c r="X244" s="42">
        <v>0</v>
      </c>
      <c r="Z244" s="43">
        <f t="shared" ca="1" si="6"/>
        <v>0.83049416276825339</v>
      </c>
      <c r="AA244" s="8">
        <v>1</v>
      </c>
      <c r="AB244" s="42">
        <v>0</v>
      </c>
      <c r="AD244" s="43">
        <f t="shared" ca="1" si="7"/>
        <v>0.62304611616971217</v>
      </c>
      <c r="AE244" s="8">
        <v>1</v>
      </c>
      <c r="AF244" s="42">
        <v>0</v>
      </c>
      <c r="AH244" s="43">
        <f t="shared" ca="1" si="8"/>
        <v>0.5402082252206557</v>
      </c>
      <c r="AI244" s="8">
        <v>1</v>
      </c>
      <c r="AJ244" s="42">
        <v>0</v>
      </c>
      <c r="AL244" s="43">
        <f t="shared" ca="1" si="9"/>
        <v>0.31202925385979252</v>
      </c>
      <c r="AM244" s="8">
        <v>1</v>
      </c>
      <c r="AN244" s="42">
        <v>0</v>
      </c>
      <c r="AP244" s="43">
        <f t="shared" ca="1" si="10"/>
        <v>0.88481609447812226</v>
      </c>
      <c r="AQ244" s="8">
        <v>1</v>
      </c>
      <c r="AR244" s="42">
        <v>0</v>
      </c>
      <c r="AT244" s="43">
        <f t="shared" ca="1" si="11"/>
        <v>2.0302946156320667E-2</v>
      </c>
      <c r="AU244" s="8">
        <v>1</v>
      </c>
      <c r="AV244" s="42">
        <v>0</v>
      </c>
      <c r="AX244" s="43">
        <f t="shared" ca="1" si="12"/>
        <v>0.64449462140365876</v>
      </c>
      <c r="AY244" s="8">
        <v>1</v>
      </c>
      <c r="AZ244" s="42">
        <v>0</v>
      </c>
      <c r="BB244" s="43">
        <f t="shared" ca="1" si="13"/>
        <v>0.15087056785445152</v>
      </c>
      <c r="BC244" s="8">
        <v>1</v>
      </c>
      <c r="BD244" s="42">
        <v>0</v>
      </c>
      <c r="BF244" s="43">
        <f t="shared" ca="1" si="14"/>
        <v>0.49296265275558648</v>
      </c>
      <c r="BG244" s="8">
        <v>1</v>
      </c>
      <c r="BH244" s="42">
        <v>0</v>
      </c>
      <c r="BJ244" s="43">
        <f t="shared" ca="1" si="15"/>
        <v>0.9747357118246508</v>
      </c>
      <c r="BK244" s="8">
        <v>1</v>
      </c>
      <c r="BL244" s="42">
        <v>0</v>
      </c>
      <c r="BN244" s="43">
        <f t="shared" ca="1" si="16"/>
        <v>0.17365060136787325</v>
      </c>
      <c r="BO244" s="8">
        <v>1</v>
      </c>
      <c r="BP244" s="42">
        <v>0</v>
      </c>
      <c r="BR244" s="43">
        <f t="shared" ca="1" si="17"/>
        <v>0.46777657328748568</v>
      </c>
      <c r="BS244" s="8">
        <v>1</v>
      </c>
      <c r="BT244" s="42">
        <v>0</v>
      </c>
    </row>
    <row r="245" spans="1:72" x14ac:dyDescent="0.2">
      <c r="A245" s="22">
        <v>44792</v>
      </c>
      <c r="B245" s="43">
        <f t="shared" ca="1" si="0"/>
        <v>0.65784322757584557</v>
      </c>
      <c r="C245" s="8">
        <v>1</v>
      </c>
      <c r="D245" s="42">
        <v>0</v>
      </c>
      <c r="F245" s="43">
        <f t="shared" ca="1" si="1"/>
        <v>8.860157121815293E-2</v>
      </c>
      <c r="G245" s="8">
        <v>1</v>
      </c>
      <c r="H245" s="42">
        <v>0</v>
      </c>
      <c r="J245" s="43">
        <f t="shared" ca="1" si="2"/>
        <v>0.60157895400573447</v>
      </c>
      <c r="K245" s="8">
        <v>1</v>
      </c>
      <c r="L245" s="42">
        <v>0</v>
      </c>
      <c r="N245" s="43">
        <f t="shared" ca="1" si="3"/>
        <v>0.23755368661545462</v>
      </c>
      <c r="O245" s="8">
        <v>1</v>
      </c>
      <c r="P245" s="42">
        <v>0</v>
      </c>
      <c r="R245" s="43">
        <f t="shared" ca="1" si="4"/>
        <v>0.3610001952193217</v>
      </c>
      <c r="S245" s="8">
        <v>1</v>
      </c>
      <c r="T245" s="42">
        <v>0</v>
      </c>
      <c r="V245" s="43">
        <f t="shared" ca="1" si="5"/>
        <v>0.15521584093061014</v>
      </c>
      <c r="W245" s="8">
        <v>1</v>
      </c>
      <c r="X245" s="42">
        <v>0</v>
      </c>
      <c r="Z245" s="43">
        <f t="shared" ca="1" si="6"/>
        <v>0.49532635155918903</v>
      </c>
      <c r="AA245" s="8">
        <v>1</v>
      </c>
      <c r="AB245" s="42">
        <v>0</v>
      </c>
      <c r="AD245" s="43">
        <f t="shared" ca="1" si="7"/>
        <v>0.30572923858722656</v>
      </c>
      <c r="AE245" s="8">
        <v>1</v>
      </c>
      <c r="AF245" s="42">
        <v>0</v>
      </c>
      <c r="AH245" s="43">
        <f t="shared" ca="1" si="8"/>
        <v>0.90360675956676251</v>
      </c>
      <c r="AI245" s="8">
        <v>1</v>
      </c>
      <c r="AJ245" s="42">
        <v>0</v>
      </c>
      <c r="AL245" s="43">
        <f t="shared" ca="1" si="9"/>
        <v>0.75052181350604263</v>
      </c>
      <c r="AM245" s="8">
        <v>1</v>
      </c>
      <c r="AN245" s="42">
        <v>0</v>
      </c>
      <c r="AP245" s="43">
        <f t="shared" ca="1" si="10"/>
        <v>0.25805344646522554</v>
      </c>
      <c r="AQ245" s="8">
        <v>1</v>
      </c>
      <c r="AR245" s="42">
        <v>0</v>
      </c>
      <c r="AT245" s="43">
        <f t="shared" ca="1" si="11"/>
        <v>0.6781552625702022</v>
      </c>
      <c r="AU245" s="8">
        <v>1</v>
      </c>
      <c r="AV245" s="42">
        <v>0</v>
      </c>
      <c r="AX245" s="43">
        <f t="shared" ca="1" si="12"/>
        <v>0.61077855826400174</v>
      </c>
      <c r="AY245" s="8">
        <v>1</v>
      </c>
      <c r="AZ245" s="42">
        <v>0</v>
      </c>
      <c r="BB245" s="43">
        <f t="shared" ca="1" si="13"/>
        <v>0.96439381699327986</v>
      </c>
      <c r="BC245" s="8">
        <v>1</v>
      </c>
      <c r="BD245" s="42">
        <v>0</v>
      </c>
      <c r="BF245" s="43">
        <f t="shared" ca="1" si="14"/>
        <v>0.93528914241052996</v>
      </c>
      <c r="BG245" s="8">
        <v>1</v>
      </c>
      <c r="BH245" s="42">
        <v>0</v>
      </c>
      <c r="BJ245" s="43">
        <f t="shared" ca="1" si="15"/>
        <v>0.57155833037150128</v>
      </c>
      <c r="BK245" s="8">
        <v>1</v>
      </c>
      <c r="BL245" s="42">
        <v>0</v>
      </c>
      <c r="BN245" s="43">
        <f t="shared" ca="1" si="16"/>
        <v>0.73030660512084689</v>
      </c>
      <c r="BO245" s="8">
        <v>1</v>
      </c>
      <c r="BP245" s="42">
        <v>0</v>
      </c>
      <c r="BR245" s="43">
        <f t="shared" ca="1" si="17"/>
        <v>0.98134848511368966</v>
      </c>
      <c r="BS245" s="8">
        <v>1</v>
      </c>
      <c r="BT245" s="42">
        <v>0</v>
      </c>
    </row>
    <row r="246" spans="1:72" x14ac:dyDescent="0.2">
      <c r="A246" s="22">
        <v>44793</v>
      </c>
      <c r="B246" s="43">
        <f t="shared" ca="1" si="0"/>
        <v>0.83261073732931057</v>
      </c>
      <c r="C246" s="8">
        <v>1</v>
      </c>
      <c r="D246" s="42">
        <v>0</v>
      </c>
      <c r="F246" s="43">
        <f t="shared" ca="1" si="1"/>
        <v>0.62744647389715635</v>
      </c>
      <c r="G246" s="8">
        <v>1</v>
      </c>
      <c r="H246" s="42">
        <v>0</v>
      </c>
      <c r="J246" s="43">
        <f t="shared" ca="1" si="2"/>
        <v>0.8024580600553739</v>
      </c>
      <c r="K246" s="8">
        <v>1</v>
      </c>
      <c r="L246" s="42">
        <v>0</v>
      </c>
      <c r="N246" s="43">
        <f t="shared" ca="1" si="3"/>
        <v>0.47576753959117379</v>
      </c>
      <c r="O246" s="8">
        <v>1</v>
      </c>
      <c r="P246" s="42">
        <v>0</v>
      </c>
      <c r="R246" s="43">
        <f t="shared" ca="1" si="4"/>
        <v>0.46821045767986036</v>
      </c>
      <c r="S246" s="8">
        <v>1</v>
      </c>
      <c r="T246" s="42">
        <v>0</v>
      </c>
      <c r="V246" s="43">
        <f t="shared" ca="1" si="5"/>
        <v>0.16034681436602782</v>
      </c>
      <c r="W246" s="8">
        <v>1</v>
      </c>
      <c r="X246" s="42">
        <v>0</v>
      </c>
      <c r="Z246" s="43">
        <f t="shared" ca="1" si="6"/>
        <v>0.71984899115875556</v>
      </c>
      <c r="AA246" s="8">
        <v>1</v>
      </c>
      <c r="AB246" s="42">
        <v>0</v>
      </c>
      <c r="AD246" s="43">
        <f t="shared" ca="1" si="7"/>
        <v>0.72348842290398996</v>
      </c>
      <c r="AE246" s="8">
        <v>1</v>
      </c>
      <c r="AF246" s="42">
        <v>0</v>
      </c>
      <c r="AH246" s="43">
        <f t="shared" ca="1" si="8"/>
        <v>0.16071948469566444</v>
      </c>
      <c r="AI246" s="8">
        <v>1</v>
      </c>
      <c r="AJ246" s="42">
        <v>0</v>
      </c>
      <c r="AL246" s="43">
        <f t="shared" ca="1" si="9"/>
        <v>0.9431837816050197</v>
      </c>
      <c r="AM246" s="8">
        <v>1</v>
      </c>
      <c r="AN246" s="42">
        <v>0</v>
      </c>
      <c r="AP246" s="43">
        <f t="shared" ca="1" si="10"/>
        <v>0.74846304434956457</v>
      </c>
      <c r="AQ246" s="8">
        <v>1</v>
      </c>
      <c r="AR246" s="42">
        <v>0</v>
      </c>
      <c r="AT246" s="43">
        <f t="shared" ca="1" si="11"/>
        <v>0.21502836806258385</v>
      </c>
      <c r="AU246" s="8">
        <v>1</v>
      </c>
      <c r="AV246" s="42">
        <v>0</v>
      </c>
      <c r="AX246" s="43">
        <f t="shared" ca="1" si="12"/>
        <v>0.18370688519367118</v>
      </c>
      <c r="AY246" s="8">
        <v>1</v>
      </c>
      <c r="AZ246" s="42">
        <v>0</v>
      </c>
      <c r="BB246" s="43">
        <f t="shared" ca="1" si="13"/>
        <v>0.12308573745298468</v>
      </c>
      <c r="BC246" s="8">
        <v>1</v>
      </c>
      <c r="BD246" s="42">
        <v>0</v>
      </c>
      <c r="BF246" s="43">
        <f t="shared" ca="1" si="14"/>
        <v>0.1228596754763619</v>
      </c>
      <c r="BG246" s="8">
        <v>1</v>
      </c>
      <c r="BH246" s="42">
        <v>0</v>
      </c>
      <c r="BJ246" s="43">
        <f t="shared" ca="1" si="15"/>
        <v>0.50446905232037842</v>
      </c>
      <c r="BK246" s="8">
        <v>1</v>
      </c>
      <c r="BL246" s="42">
        <v>0</v>
      </c>
      <c r="BN246" s="43">
        <f t="shared" ca="1" si="16"/>
        <v>0.74499871444784693</v>
      </c>
      <c r="BO246" s="8">
        <v>1</v>
      </c>
      <c r="BP246" s="42">
        <v>0</v>
      </c>
      <c r="BR246" s="43">
        <f t="shared" ca="1" si="17"/>
        <v>0.17006852559755536</v>
      </c>
      <c r="BS246" s="8">
        <v>1</v>
      </c>
      <c r="BT246" s="42">
        <v>0</v>
      </c>
    </row>
    <row r="247" spans="1:72" x14ac:dyDescent="0.2">
      <c r="A247" s="22">
        <v>44794</v>
      </c>
      <c r="B247" s="43">
        <f t="shared" ca="1" si="0"/>
        <v>0.69550364602175052</v>
      </c>
      <c r="C247" s="8">
        <v>1</v>
      </c>
      <c r="D247" s="42">
        <v>0</v>
      </c>
      <c r="F247" s="43">
        <f t="shared" ca="1" si="1"/>
        <v>0.78954207689445133</v>
      </c>
      <c r="G247" s="8">
        <v>1</v>
      </c>
      <c r="H247" s="42">
        <v>0</v>
      </c>
      <c r="J247" s="43">
        <f t="shared" ca="1" si="2"/>
        <v>0.54415379721527191</v>
      </c>
      <c r="K247" s="8">
        <v>1</v>
      </c>
      <c r="L247" s="42">
        <v>0</v>
      </c>
      <c r="N247" s="43">
        <f t="shared" ca="1" si="3"/>
        <v>0.3568940146459082</v>
      </c>
      <c r="O247" s="8">
        <v>1</v>
      </c>
      <c r="P247" s="42">
        <v>0</v>
      </c>
      <c r="R247" s="43">
        <f t="shared" ca="1" si="4"/>
        <v>0.33136742893071636</v>
      </c>
      <c r="S247" s="8">
        <v>1</v>
      </c>
      <c r="T247" s="42">
        <v>0</v>
      </c>
      <c r="V247" s="43">
        <f t="shared" ca="1" si="5"/>
        <v>0.9149710264501123</v>
      </c>
      <c r="W247" s="8">
        <v>1</v>
      </c>
      <c r="X247" s="42">
        <v>0</v>
      </c>
      <c r="Z247" s="43">
        <f t="shared" ca="1" si="6"/>
        <v>0.92391702648687735</v>
      </c>
      <c r="AA247" s="8">
        <v>1</v>
      </c>
      <c r="AB247" s="42">
        <v>0</v>
      </c>
      <c r="AD247" s="43">
        <f t="shared" ca="1" si="7"/>
        <v>0.31832022521622072</v>
      </c>
      <c r="AE247" s="8">
        <v>1</v>
      </c>
      <c r="AF247" s="42">
        <v>0</v>
      </c>
      <c r="AH247" s="43">
        <f t="shared" ca="1" si="8"/>
        <v>7.5890476970330578E-2</v>
      </c>
      <c r="AI247" s="8">
        <v>1</v>
      </c>
      <c r="AJ247" s="42">
        <v>0</v>
      </c>
      <c r="AL247" s="43">
        <f t="shared" ca="1" si="9"/>
        <v>4.4133447603267761E-2</v>
      </c>
      <c r="AM247" s="8">
        <v>1</v>
      </c>
      <c r="AN247" s="42">
        <v>0</v>
      </c>
      <c r="AP247" s="43">
        <f t="shared" ca="1" si="10"/>
        <v>0.94571623405660399</v>
      </c>
      <c r="AQ247" s="8">
        <v>1</v>
      </c>
      <c r="AR247" s="42">
        <v>0</v>
      </c>
      <c r="AT247" s="43">
        <f t="shared" ca="1" si="11"/>
        <v>0.7407398641339008</v>
      </c>
      <c r="AU247" s="8">
        <v>1</v>
      </c>
      <c r="AV247" s="42">
        <v>0</v>
      </c>
      <c r="AX247" s="43">
        <f t="shared" ca="1" si="12"/>
        <v>0.5846414078901111</v>
      </c>
      <c r="AY247" s="8">
        <v>1</v>
      </c>
      <c r="AZ247" s="42">
        <v>0</v>
      </c>
      <c r="BB247" s="43">
        <f t="shared" ca="1" si="13"/>
        <v>0.1054361297009645</v>
      </c>
      <c r="BC247" s="8">
        <v>1</v>
      </c>
      <c r="BD247" s="42">
        <v>0</v>
      </c>
      <c r="BF247" s="43">
        <f t="shared" ca="1" si="14"/>
        <v>0.91110304711349277</v>
      </c>
      <c r="BG247" s="8">
        <v>1</v>
      </c>
      <c r="BH247" s="42">
        <v>0</v>
      </c>
      <c r="BJ247" s="43">
        <f t="shared" ca="1" si="15"/>
        <v>0.90935384363621397</v>
      </c>
      <c r="BK247" s="8">
        <v>1</v>
      </c>
      <c r="BL247" s="42">
        <v>0</v>
      </c>
      <c r="BN247" s="43">
        <f t="shared" ca="1" si="16"/>
        <v>0.64747809150238222</v>
      </c>
      <c r="BO247" s="8">
        <v>1</v>
      </c>
      <c r="BP247" s="42">
        <v>0</v>
      </c>
      <c r="BR247" s="43">
        <f t="shared" ca="1" si="17"/>
        <v>1.319667362499799E-2</v>
      </c>
      <c r="BS247" s="8">
        <v>1</v>
      </c>
      <c r="BT247" s="42">
        <v>0</v>
      </c>
    </row>
    <row r="248" spans="1:72" x14ac:dyDescent="0.2">
      <c r="A248" s="22">
        <v>44795</v>
      </c>
      <c r="B248" s="43">
        <f t="shared" ca="1" si="0"/>
        <v>0.55475948535088371</v>
      </c>
      <c r="C248" s="8">
        <v>1</v>
      </c>
      <c r="D248" s="42">
        <v>0</v>
      </c>
      <c r="F248" s="43">
        <f t="shared" ca="1" si="1"/>
        <v>3.6159745314330083E-2</v>
      </c>
      <c r="G248" s="8">
        <v>1</v>
      </c>
      <c r="H248" s="42">
        <v>0</v>
      </c>
      <c r="J248" s="43">
        <f t="shared" ca="1" si="2"/>
        <v>0.7792248225842453</v>
      </c>
      <c r="K248" s="8">
        <v>1</v>
      </c>
      <c r="L248" s="42">
        <v>0</v>
      </c>
      <c r="N248" s="43">
        <f t="shared" ca="1" si="3"/>
        <v>0.16411797086226865</v>
      </c>
      <c r="O248" s="8">
        <v>1</v>
      </c>
      <c r="P248" s="42">
        <v>0</v>
      </c>
      <c r="R248" s="43">
        <f t="shared" ca="1" si="4"/>
        <v>0.35184916441755443</v>
      </c>
      <c r="S248" s="8">
        <v>1</v>
      </c>
      <c r="T248" s="42">
        <v>0</v>
      </c>
      <c r="V248" s="43">
        <f t="shared" ca="1" si="5"/>
        <v>0.95523503964748624</v>
      </c>
      <c r="W248" s="8">
        <v>1</v>
      </c>
      <c r="X248" s="42">
        <v>0</v>
      </c>
      <c r="Z248" s="43">
        <f t="shared" ca="1" si="6"/>
        <v>0.85146840986330596</v>
      </c>
      <c r="AA248" s="8">
        <v>1</v>
      </c>
      <c r="AB248" s="42">
        <v>0</v>
      </c>
      <c r="AD248" s="43">
        <f t="shared" ca="1" si="7"/>
        <v>0.86565930558694182</v>
      </c>
      <c r="AE248" s="8">
        <v>1</v>
      </c>
      <c r="AF248" s="42">
        <v>0</v>
      </c>
      <c r="AH248" s="43">
        <f t="shared" ca="1" si="8"/>
        <v>0.94978327352841163</v>
      </c>
      <c r="AI248" s="8">
        <v>1</v>
      </c>
      <c r="AJ248" s="42">
        <v>0</v>
      </c>
      <c r="AL248" s="43">
        <f t="shared" ca="1" si="9"/>
        <v>0.63328648807363452</v>
      </c>
      <c r="AM248" s="8">
        <v>1</v>
      </c>
      <c r="AN248" s="42">
        <v>0</v>
      </c>
      <c r="AP248" s="43">
        <f t="shared" ca="1" si="10"/>
        <v>0.4095814123455217</v>
      </c>
      <c r="AQ248" s="8">
        <v>1</v>
      </c>
      <c r="AR248" s="42">
        <v>0</v>
      </c>
      <c r="AT248" s="43">
        <f t="shared" ca="1" si="11"/>
        <v>0.57848038048577644</v>
      </c>
      <c r="AU248" s="8">
        <v>1</v>
      </c>
      <c r="AV248" s="42">
        <v>0</v>
      </c>
      <c r="AX248" s="43">
        <f t="shared" ca="1" si="12"/>
        <v>0.19470021476261823</v>
      </c>
      <c r="AY248" s="8">
        <v>1</v>
      </c>
      <c r="AZ248" s="42">
        <v>0</v>
      </c>
      <c r="BB248" s="43">
        <f t="shared" ca="1" si="13"/>
        <v>0.27339241008207604</v>
      </c>
      <c r="BC248" s="8">
        <v>1</v>
      </c>
      <c r="BD248" s="42">
        <v>0</v>
      </c>
      <c r="BF248" s="43">
        <f t="shared" ca="1" si="14"/>
        <v>0.3705905891374689</v>
      </c>
      <c r="BG248" s="8">
        <v>1</v>
      </c>
      <c r="BH248" s="42">
        <v>0</v>
      </c>
      <c r="BJ248" s="43">
        <f t="shared" ca="1" si="15"/>
        <v>0.84021677892334135</v>
      </c>
      <c r="BK248" s="8">
        <v>1</v>
      </c>
      <c r="BL248" s="42">
        <v>0</v>
      </c>
      <c r="BN248" s="43">
        <f t="shared" ca="1" si="16"/>
        <v>0.35074370239187935</v>
      </c>
      <c r="BO248" s="8">
        <v>1</v>
      </c>
      <c r="BP248" s="42">
        <v>0</v>
      </c>
      <c r="BR248" s="43">
        <f t="shared" ca="1" si="17"/>
        <v>0.11669084553864084</v>
      </c>
      <c r="BS248" s="8">
        <v>1</v>
      </c>
      <c r="BT248" s="42">
        <v>0</v>
      </c>
    </row>
    <row r="249" spans="1:72" x14ac:dyDescent="0.2">
      <c r="A249" s="22">
        <v>44796</v>
      </c>
      <c r="B249" s="43">
        <f t="shared" ca="1" si="0"/>
        <v>0.87413753668159988</v>
      </c>
      <c r="C249" s="8">
        <v>1</v>
      </c>
      <c r="D249" s="42">
        <v>0</v>
      </c>
      <c r="F249" s="43">
        <f t="shared" ca="1" si="1"/>
        <v>0.64320098306332329</v>
      </c>
      <c r="G249" s="8">
        <v>1</v>
      </c>
      <c r="H249" s="42">
        <v>0</v>
      </c>
      <c r="J249" s="43">
        <f t="shared" ca="1" si="2"/>
        <v>0.7022796647688192</v>
      </c>
      <c r="K249" s="8">
        <v>1</v>
      </c>
      <c r="L249" s="42">
        <v>0</v>
      </c>
      <c r="N249" s="43">
        <f t="shared" ca="1" si="3"/>
        <v>0.3510534107745571</v>
      </c>
      <c r="O249" s="8">
        <v>1</v>
      </c>
      <c r="P249" s="42">
        <v>0</v>
      </c>
      <c r="R249" s="43">
        <f t="shared" ca="1" si="4"/>
        <v>0.37474717037851335</v>
      </c>
      <c r="S249" s="8">
        <v>1</v>
      </c>
      <c r="T249" s="42">
        <v>0</v>
      </c>
      <c r="V249" s="43">
        <f t="shared" ca="1" si="5"/>
        <v>0.98999808617583585</v>
      </c>
      <c r="W249" s="8">
        <v>1</v>
      </c>
      <c r="X249" s="42">
        <v>0</v>
      </c>
      <c r="Z249" s="43">
        <f t="shared" ca="1" si="6"/>
        <v>0.41425137292354908</v>
      </c>
      <c r="AA249" s="8">
        <v>1</v>
      </c>
      <c r="AB249" s="42">
        <v>0</v>
      </c>
      <c r="AD249" s="43">
        <f t="shared" ca="1" si="7"/>
        <v>8.5029498137233261E-2</v>
      </c>
      <c r="AE249" s="8">
        <v>1</v>
      </c>
      <c r="AF249" s="42">
        <v>0</v>
      </c>
      <c r="AH249" s="43">
        <f t="shared" ca="1" si="8"/>
        <v>0.88668131720329091</v>
      </c>
      <c r="AI249" s="8">
        <v>1</v>
      </c>
      <c r="AJ249" s="42">
        <v>0</v>
      </c>
      <c r="AL249" s="43">
        <f t="shared" ca="1" si="9"/>
        <v>0.42751330376728314</v>
      </c>
      <c r="AM249" s="8">
        <v>1</v>
      </c>
      <c r="AN249" s="42">
        <v>0</v>
      </c>
      <c r="AP249" s="43">
        <f t="shared" ca="1" si="10"/>
        <v>0.30493611265099307</v>
      </c>
      <c r="AQ249" s="8">
        <v>1</v>
      </c>
      <c r="AR249" s="42">
        <v>0</v>
      </c>
      <c r="AT249" s="43">
        <f t="shared" ca="1" si="11"/>
        <v>0.66442434018414542</v>
      </c>
      <c r="AU249" s="8">
        <v>1</v>
      </c>
      <c r="AV249" s="42">
        <v>0</v>
      </c>
      <c r="AX249" s="43">
        <f t="shared" ca="1" si="12"/>
        <v>0.47087364224098849</v>
      </c>
      <c r="AY249" s="8">
        <v>1</v>
      </c>
      <c r="AZ249" s="42">
        <v>0</v>
      </c>
      <c r="BB249" s="43">
        <f t="shared" ca="1" si="13"/>
        <v>0.55597324907234602</v>
      </c>
      <c r="BC249" s="8">
        <v>1</v>
      </c>
      <c r="BD249" s="42">
        <v>0</v>
      </c>
      <c r="BF249" s="43">
        <f t="shared" ca="1" si="14"/>
        <v>0.11891092551077886</v>
      </c>
      <c r="BG249" s="8">
        <v>1</v>
      </c>
      <c r="BH249" s="42">
        <v>0</v>
      </c>
      <c r="BJ249" s="43">
        <f t="shared" ca="1" si="15"/>
        <v>0.14361120805042449</v>
      </c>
      <c r="BK249" s="8">
        <v>1</v>
      </c>
      <c r="BL249" s="42">
        <v>0</v>
      </c>
      <c r="BN249" s="43">
        <f t="shared" ca="1" si="16"/>
        <v>0.7782317583176076</v>
      </c>
      <c r="BO249" s="8">
        <v>1</v>
      </c>
      <c r="BP249" s="42">
        <v>0</v>
      </c>
      <c r="BR249" s="43">
        <f t="shared" ca="1" si="17"/>
        <v>0.51978656744346741</v>
      </c>
      <c r="BS249" s="8">
        <v>1</v>
      </c>
      <c r="BT249" s="42">
        <v>0</v>
      </c>
    </row>
    <row r="250" spans="1:72" x14ac:dyDescent="0.2">
      <c r="A250" s="22">
        <v>44797</v>
      </c>
      <c r="B250" s="43">
        <f t="shared" ca="1" si="0"/>
        <v>0.16822469163294063</v>
      </c>
      <c r="C250" s="8">
        <v>1</v>
      </c>
      <c r="D250" s="42">
        <v>0</v>
      </c>
      <c r="F250" s="43">
        <f t="shared" ca="1" si="1"/>
        <v>0.50195151183316578</v>
      </c>
      <c r="G250" s="8">
        <v>1</v>
      </c>
      <c r="H250" s="42">
        <v>0</v>
      </c>
      <c r="J250" s="43">
        <f t="shared" ca="1" si="2"/>
        <v>0.56395358136599794</v>
      </c>
      <c r="K250" s="8">
        <v>1</v>
      </c>
      <c r="L250" s="42">
        <v>0</v>
      </c>
      <c r="N250" s="43">
        <f t="shared" ca="1" si="3"/>
        <v>0.50740365600078652</v>
      </c>
      <c r="O250" s="8">
        <v>1</v>
      </c>
      <c r="P250" s="42">
        <v>0</v>
      </c>
      <c r="R250" s="43">
        <f t="shared" ca="1" si="4"/>
        <v>0.77754793719608506</v>
      </c>
      <c r="S250" s="8">
        <v>1</v>
      </c>
      <c r="T250" s="42">
        <v>0</v>
      </c>
      <c r="V250" s="43">
        <f t="shared" ca="1" si="5"/>
        <v>0.67972541998349778</v>
      </c>
      <c r="W250" s="8">
        <v>1</v>
      </c>
      <c r="X250" s="42">
        <v>0</v>
      </c>
      <c r="Z250" s="43">
        <f t="shared" ca="1" si="6"/>
        <v>0.42690581859691845</v>
      </c>
      <c r="AA250" s="8">
        <v>1</v>
      </c>
      <c r="AB250" s="42">
        <v>0</v>
      </c>
      <c r="AD250" s="43">
        <f t="shared" ca="1" si="7"/>
        <v>0.88520030994991172</v>
      </c>
      <c r="AE250" s="8">
        <v>1</v>
      </c>
      <c r="AF250" s="42">
        <v>0</v>
      </c>
      <c r="AH250" s="43">
        <f t="shared" ca="1" si="8"/>
        <v>0.30161217507836169</v>
      </c>
      <c r="AI250" s="8">
        <v>1</v>
      </c>
      <c r="AJ250" s="42">
        <v>0</v>
      </c>
      <c r="AL250" s="43">
        <f t="shared" ca="1" si="9"/>
        <v>0.55294428510552185</v>
      </c>
      <c r="AM250" s="8">
        <v>1</v>
      </c>
      <c r="AN250" s="42">
        <v>0</v>
      </c>
      <c r="AP250" s="43">
        <f t="shared" ca="1" si="10"/>
        <v>0.26849869648226488</v>
      </c>
      <c r="AQ250" s="8">
        <v>1</v>
      </c>
      <c r="AR250" s="42">
        <v>0</v>
      </c>
      <c r="AT250" s="43">
        <f t="shared" ca="1" si="11"/>
        <v>0.83648968586624128</v>
      </c>
      <c r="AU250" s="8">
        <v>1</v>
      </c>
      <c r="AV250" s="42">
        <v>0</v>
      </c>
      <c r="AX250" s="43">
        <f t="shared" ca="1" si="12"/>
        <v>0.3753048805520518</v>
      </c>
      <c r="AY250" s="8">
        <v>1</v>
      </c>
      <c r="AZ250" s="42">
        <v>0</v>
      </c>
      <c r="BB250" s="43">
        <f t="shared" ca="1" si="13"/>
        <v>0.53612362820999071</v>
      </c>
      <c r="BC250" s="8">
        <v>1</v>
      </c>
      <c r="BD250" s="42">
        <v>0</v>
      </c>
      <c r="BF250" s="43">
        <f t="shared" ca="1" si="14"/>
        <v>4.958043123171274E-3</v>
      </c>
      <c r="BG250" s="8">
        <v>1</v>
      </c>
      <c r="BH250" s="42">
        <v>0</v>
      </c>
      <c r="BJ250" s="43">
        <f t="shared" ca="1" si="15"/>
        <v>0.95207378130155784</v>
      </c>
      <c r="BK250" s="8">
        <v>1</v>
      </c>
      <c r="BL250" s="42">
        <v>0</v>
      </c>
      <c r="BN250" s="43">
        <f t="shared" ca="1" si="16"/>
        <v>0.96383345614457527</v>
      </c>
      <c r="BO250" s="8">
        <v>1</v>
      </c>
      <c r="BP250" s="42">
        <v>0</v>
      </c>
      <c r="BR250" s="43">
        <f t="shared" ca="1" si="17"/>
        <v>0.42451796285391408</v>
      </c>
      <c r="BS250" s="8">
        <v>1</v>
      </c>
      <c r="BT250" s="42">
        <v>0</v>
      </c>
    </row>
    <row r="251" spans="1:72" x14ac:dyDescent="0.2">
      <c r="A251" s="22">
        <v>44798</v>
      </c>
      <c r="B251" s="43">
        <f t="shared" ca="1" si="0"/>
        <v>0.69232248188689394</v>
      </c>
      <c r="C251" s="8">
        <v>1</v>
      </c>
      <c r="D251" s="42">
        <v>0</v>
      </c>
      <c r="F251" s="43">
        <f t="shared" ca="1" si="1"/>
        <v>0.95236856920793933</v>
      </c>
      <c r="G251" s="8">
        <v>1</v>
      </c>
      <c r="H251" s="42">
        <v>0</v>
      </c>
      <c r="J251" s="43">
        <f t="shared" ca="1" si="2"/>
        <v>0.47331321798573445</v>
      </c>
      <c r="K251" s="8">
        <v>1</v>
      </c>
      <c r="L251" s="42">
        <v>0</v>
      </c>
      <c r="N251" s="43">
        <f t="shared" ca="1" si="3"/>
        <v>0.60457306391260346</v>
      </c>
      <c r="O251" s="8">
        <v>1</v>
      </c>
      <c r="P251" s="42">
        <v>0</v>
      </c>
      <c r="R251" s="43">
        <f t="shared" ca="1" si="4"/>
        <v>0.49936046769017195</v>
      </c>
      <c r="S251" s="8">
        <v>1</v>
      </c>
      <c r="T251" s="42">
        <v>0</v>
      </c>
      <c r="V251" s="43">
        <f t="shared" ca="1" si="5"/>
        <v>1.806461539355797E-2</v>
      </c>
      <c r="W251" s="8">
        <v>1</v>
      </c>
      <c r="X251" s="42">
        <v>0</v>
      </c>
      <c r="Z251" s="43">
        <f t="shared" ca="1" si="6"/>
        <v>0.80385141649292224</v>
      </c>
      <c r="AA251" s="8">
        <v>1</v>
      </c>
      <c r="AB251" s="42">
        <v>0</v>
      </c>
      <c r="AD251" s="43">
        <f t="shared" ca="1" si="7"/>
        <v>2.5342743650076049E-2</v>
      </c>
      <c r="AE251" s="8">
        <v>1</v>
      </c>
      <c r="AF251" s="42">
        <v>0</v>
      </c>
      <c r="AH251" s="43">
        <f t="shared" ca="1" si="8"/>
        <v>0.79096521983557355</v>
      </c>
      <c r="AI251" s="8">
        <v>1</v>
      </c>
      <c r="AJ251" s="42">
        <v>0</v>
      </c>
      <c r="AL251" s="43">
        <f t="shared" ca="1" si="9"/>
        <v>0.92021717376308665</v>
      </c>
      <c r="AM251" s="8">
        <v>1</v>
      </c>
      <c r="AN251" s="42">
        <v>0</v>
      </c>
      <c r="AP251" s="43">
        <f t="shared" ca="1" si="10"/>
        <v>0.96637980577448757</v>
      </c>
      <c r="AQ251" s="8">
        <v>1</v>
      </c>
      <c r="AR251" s="42">
        <v>0</v>
      </c>
      <c r="AT251" s="43">
        <f t="shared" ca="1" si="11"/>
        <v>0.4423499850546152</v>
      </c>
      <c r="AU251" s="8">
        <v>1</v>
      </c>
      <c r="AV251" s="42">
        <v>0</v>
      </c>
      <c r="AX251" s="43">
        <f t="shared" ca="1" si="12"/>
        <v>0.6403772178911421</v>
      </c>
      <c r="AY251" s="8">
        <v>1</v>
      </c>
      <c r="AZ251" s="42">
        <v>0</v>
      </c>
      <c r="BB251" s="43">
        <f t="shared" ca="1" si="13"/>
        <v>0.97122266637051202</v>
      </c>
      <c r="BC251" s="8">
        <v>1</v>
      </c>
      <c r="BD251" s="42">
        <v>0</v>
      </c>
      <c r="BF251" s="43">
        <f t="shared" ca="1" si="14"/>
        <v>0.88801406749391043</v>
      </c>
      <c r="BG251" s="8">
        <v>1</v>
      </c>
      <c r="BH251" s="42">
        <v>0</v>
      </c>
      <c r="BJ251" s="43">
        <f t="shared" ca="1" si="15"/>
        <v>0.98960282792325394</v>
      </c>
      <c r="BK251" s="8">
        <v>1</v>
      </c>
      <c r="BL251" s="42">
        <v>0</v>
      </c>
      <c r="BN251" s="43">
        <f t="shared" ca="1" si="16"/>
        <v>0.37815047098174326</v>
      </c>
      <c r="BO251" s="8">
        <v>1</v>
      </c>
      <c r="BP251" s="42">
        <v>0</v>
      </c>
      <c r="BR251" s="43">
        <f t="shared" ca="1" si="17"/>
        <v>0.47852826580692454</v>
      </c>
      <c r="BS251" s="8">
        <v>1</v>
      </c>
      <c r="BT251" s="42">
        <v>0</v>
      </c>
    </row>
    <row r="252" spans="1:72" x14ac:dyDescent="0.2">
      <c r="A252" s="22">
        <v>44799</v>
      </c>
      <c r="B252" s="43">
        <f t="shared" ca="1" si="0"/>
        <v>0.27160936629922805</v>
      </c>
      <c r="C252" s="8">
        <v>1</v>
      </c>
      <c r="D252" s="42">
        <v>0</v>
      </c>
      <c r="F252" s="43">
        <f t="shared" ca="1" si="1"/>
        <v>0.90102988451535571</v>
      </c>
      <c r="G252" s="8">
        <v>1</v>
      </c>
      <c r="H252" s="42">
        <v>0</v>
      </c>
      <c r="J252" s="43">
        <f t="shared" ca="1" si="2"/>
        <v>0.50812277391763749</v>
      </c>
      <c r="K252" s="8">
        <v>1</v>
      </c>
      <c r="L252" s="42">
        <v>0</v>
      </c>
      <c r="N252" s="43">
        <f t="shared" ca="1" si="3"/>
        <v>0.26415150588309</v>
      </c>
      <c r="O252" s="8">
        <v>1</v>
      </c>
      <c r="P252" s="42">
        <v>0</v>
      </c>
      <c r="R252" s="43">
        <f t="shared" ca="1" si="4"/>
        <v>0.45868913823131463</v>
      </c>
      <c r="S252" s="8">
        <v>1</v>
      </c>
      <c r="T252" s="42">
        <v>0</v>
      </c>
      <c r="V252" s="43">
        <f t="shared" ca="1" si="5"/>
        <v>0.11392018863565878</v>
      </c>
      <c r="W252" s="8">
        <v>1</v>
      </c>
      <c r="X252" s="42">
        <v>0</v>
      </c>
      <c r="Z252" s="43">
        <f t="shared" ca="1" si="6"/>
        <v>0.5143293940529079</v>
      </c>
      <c r="AA252" s="8">
        <v>1</v>
      </c>
      <c r="AB252" s="42">
        <v>0</v>
      </c>
      <c r="AD252" s="43">
        <f t="shared" ca="1" si="7"/>
        <v>0.97389053103360357</v>
      </c>
      <c r="AE252" s="8">
        <v>1</v>
      </c>
      <c r="AF252" s="42">
        <v>0</v>
      </c>
      <c r="AH252" s="43">
        <f t="shared" ca="1" si="8"/>
        <v>0.97173355045411425</v>
      </c>
      <c r="AI252" s="8">
        <v>1</v>
      </c>
      <c r="AJ252" s="42">
        <v>0</v>
      </c>
      <c r="AL252" s="43">
        <f t="shared" ca="1" si="9"/>
        <v>0.46751352462111639</v>
      </c>
      <c r="AM252" s="8">
        <v>1</v>
      </c>
      <c r="AN252" s="42">
        <v>0</v>
      </c>
      <c r="AP252" s="43">
        <f t="shared" ca="1" si="10"/>
        <v>6.2239476900107227E-2</v>
      </c>
      <c r="AQ252" s="8">
        <v>1</v>
      </c>
      <c r="AR252" s="42">
        <v>0</v>
      </c>
      <c r="AT252" s="43">
        <f t="shared" ca="1" si="11"/>
        <v>2.0014879116019069E-2</v>
      </c>
      <c r="AU252" s="8">
        <v>1</v>
      </c>
      <c r="AV252" s="42">
        <v>0</v>
      </c>
      <c r="AX252" s="43">
        <f t="shared" ca="1" si="12"/>
        <v>0.73409445431437348</v>
      </c>
      <c r="AY252" s="8">
        <v>1</v>
      </c>
      <c r="AZ252" s="42">
        <v>0</v>
      </c>
      <c r="BB252" s="43">
        <f t="shared" ca="1" si="13"/>
        <v>0.75776828911883654</v>
      </c>
      <c r="BC252" s="8">
        <v>1</v>
      </c>
      <c r="BD252" s="42">
        <v>0</v>
      </c>
      <c r="BF252" s="43">
        <f t="shared" ca="1" si="14"/>
        <v>0.13348656233340372</v>
      </c>
      <c r="BG252" s="8">
        <v>1</v>
      </c>
      <c r="BH252" s="42">
        <v>0</v>
      </c>
      <c r="BJ252" s="43">
        <f t="shared" ca="1" si="15"/>
        <v>0.92276617819667739</v>
      </c>
      <c r="BK252" s="8">
        <v>1</v>
      </c>
      <c r="BL252" s="42">
        <v>0</v>
      </c>
      <c r="BN252" s="43">
        <f t="shared" ca="1" si="16"/>
        <v>0.41866881388474686</v>
      </c>
      <c r="BO252" s="8">
        <v>1</v>
      </c>
      <c r="BP252" s="42">
        <v>0</v>
      </c>
      <c r="BR252" s="43">
        <f t="shared" ca="1" si="17"/>
        <v>0.58616941448358162</v>
      </c>
      <c r="BS252" s="8">
        <v>1</v>
      </c>
      <c r="BT252" s="42">
        <v>0</v>
      </c>
    </row>
    <row r="253" spans="1:72" x14ac:dyDescent="0.2">
      <c r="A253" s="22">
        <v>44800</v>
      </c>
      <c r="B253" s="43">
        <f t="shared" ca="1" si="0"/>
        <v>0.60605551363834276</v>
      </c>
      <c r="C253" s="8">
        <v>1</v>
      </c>
      <c r="D253" s="42">
        <v>0</v>
      </c>
      <c r="F253" s="43">
        <f t="shared" ca="1" si="1"/>
        <v>0.93286720366659626</v>
      </c>
      <c r="G253" s="8">
        <v>1</v>
      </c>
      <c r="H253" s="42">
        <v>0</v>
      </c>
      <c r="J253" s="43">
        <f t="shared" ca="1" si="2"/>
        <v>0.51117994605195427</v>
      </c>
      <c r="K253" s="8">
        <v>1</v>
      </c>
      <c r="L253" s="42">
        <v>0</v>
      </c>
      <c r="N253" s="43">
        <f t="shared" ca="1" si="3"/>
        <v>0.65699769692900412</v>
      </c>
      <c r="O253" s="8">
        <v>1</v>
      </c>
      <c r="P253" s="42">
        <v>0</v>
      </c>
      <c r="R253" s="43">
        <f t="shared" ca="1" si="4"/>
        <v>0.68072126842026548</v>
      </c>
      <c r="S253" s="8">
        <v>1</v>
      </c>
      <c r="T253" s="42">
        <v>0</v>
      </c>
      <c r="V253" s="43">
        <f t="shared" ca="1" si="5"/>
        <v>0.39728786176299791</v>
      </c>
      <c r="W253" s="8">
        <v>1</v>
      </c>
      <c r="X253" s="42">
        <v>0</v>
      </c>
      <c r="Z253" s="43">
        <f t="shared" ca="1" si="6"/>
        <v>0.72514887935985928</v>
      </c>
      <c r="AA253" s="8">
        <v>1</v>
      </c>
      <c r="AB253" s="42">
        <v>0</v>
      </c>
      <c r="AD253" s="43">
        <f t="shared" ca="1" si="7"/>
        <v>0.73168705788821398</v>
      </c>
      <c r="AE253" s="8">
        <v>1</v>
      </c>
      <c r="AF253" s="42">
        <v>0</v>
      </c>
      <c r="AH253" s="43">
        <f t="shared" ca="1" si="8"/>
        <v>0.11206248023340759</v>
      </c>
      <c r="AI253" s="8">
        <v>1</v>
      </c>
      <c r="AJ253" s="42">
        <v>0</v>
      </c>
      <c r="AL253" s="43">
        <f t="shared" ca="1" si="9"/>
        <v>0.28730612278111922</v>
      </c>
      <c r="AM253" s="8">
        <v>1</v>
      </c>
      <c r="AN253" s="42">
        <v>0</v>
      </c>
      <c r="AP253" s="43">
        <f t="shared" ca="1" si="10"/>
        <v>0.76995446319474969</v>
      </c>
      <c r="AQ253" s="8">
        <v>1</v>
      </c>
      <c r="AR253" s="42">
        <v>0</v>
      </c>
      <c r="AT253" s="43">
        <f t="shared" ca="1" si="11"/>
        <v>0.360308469785109</v>
      </c>
      <c r="AU253" s="8">
        <v>1</v>
      </c>
      <c r="AV253" s="42">
        <v>0</v>
      </c>
      <c r="AX253" s="43">
        <f t="shared" ca="1" si="12"/>
        <v>0.11589050200990225</v>
      </c>
      <c r="AY253" s="8">
        <v>1</v>
      </c>
      <c r="AZ253" s="42">
        <v>0</v>
      </c>
      <c r="BB253" s="43">
        <f t="shared" ca="1" si="13"/>
        <v>0.43423629786653062</v>
      </c>
      <c r="BC253" s="8">
        <v>1</v>
      </c>
      <c r="BD253" s="42">
        <v>0</v>
      </c>
      <c r="BF253" s="43">
        <f t="shared" ca="1" si="14"/>
        <v>0.15267952950293995</v>
      </c>
      <c r="BG253" s="8">
        <v>1</v>
      </c>
      <c r="BH253" s="42">
        <v>0</v>
      </c>
      <c r="BJ253" s="43">
        <f t="shared" ca="1" si="15"/>
        <v>0.79549749490310717</v>
      </c>
      <c r="BK253" s="8">
        <v>1</v>
      </c>
      <c r="BL253" s="42">
        <v>0</v>
      </c>
      <c r="BN253" s="43">
        <f t="shared" ca="1" si="16"/>
        <v>0.38434532239713948</v>
      </c>
      <c r="BO253" s="8">
        <v>1</v>
      </c>
      <c r="BP253" s="42">
        <v>0</v>
      </c>
      <c r="BR253" s="43">
        <f t="shared" ca="1" si="17"/>
        <v>0.55045222996090515</v>
      </c>
      <c r="BS253" s="8">
        <v>1</v>
      </c>
      <c r="BT253" s="42">
        <v>0</v>
      </c>
    </row>
    <row r="254" spans="1:72" x14ac:dyDescent="0.2">
      <c r="A254" s="22">
        <v>44801</v>
      </c>
      <c r="B254" s="43">
        <f t="shared" ca="1" si="0"/>
        <v>0.86851674175468685</v>
      </c>
      <c r="C254" s="8">
        <v>1</v>
      </c>
      <c r="D254" s="42">
        <v>0</v>
      </c>
      <c r="F254" s="43">
        <f t="shared" ca="1" si="1"/>
        <v>0.31451269903628243</v>
      </c>
      <c r="G254" s="8">
        <v>1</v>
      </c>
      <c r="H254" s="42">
        <v>0</v>
      </c>
      <c r="J254" s="43">
        <f t="shared" ca="1" si="2"/>
        <v>0.71200682980768826</v>
      </c>
      <c r="K254" s="8">
        <v>1</v>
      </c>
      <c r="L254" s="42">
        <v>0</v>
      </c>
      <c r="N254" s="43">
        <f t="shared" ca="1" si="3"/>
        <v>0.46771556893229282</v>
      </c>
      <c r="O254" s="8">
        <v>1</v>
      </c>
      <c r="P254" s="42">
        <v>0</v>
      </c>
      <c r="R254" s="43">
        <f t="shared" ca="1" si="4"/>
        <v>0.86571468209214197</v>
      </c>
      <c r="S254" s="8">
        <v>1</v>
      </c>
      <c r="T254" s="42">
        <v>0</v>
      </c>
      <c r="V254" s="43">
        <f t="shared" ca="1" si="5"/>
        <v>0.31114470597314092</v>
      </c>
      <c r="W254" s="8">
        <v>1</v>
      </c>
      <c r="X254" s="42">
        <v>0</v>
      </c>
      <c r="Z254" s="43">
        <f t="shared" ca="1" si="6"/>
        <v>0.66079290536571988</v>
      </c>
      <c r="AA254" s="8">
        <v>1</v>
      </c>
      <c r="AB254" s="42">
        <v>0</v>
      </c>
      <c r="AD254" s="43">
        <f t="shared" ca="1" si="7"/>
        <v>0.1174190308904498</v>
      </c>
      <c r="AE254" s="8">
        <v>1</v>
      </c>
      <c r="AF254" s="42">
        <v>0</v>
      </c>
      <c r="AH254" s="43">
        <f t="shared" ca="1" si="8"/>
        <v>0.38421195325176516</v>
      </c>
      <c r="AI254" s="8">
        <v>1</v>
      </c>
      <c r="AJ254" s="42">
        <v>0</v>
      </c>
      <c r="AL254" s="43">
        <f t="shared" ca="1" si="9"/>
        <v>0.7693791596036037</v>
      </c>
      <c r="AM254" s="8">
        <v>1</v>
      </c>
      <c r="AN254" s="42">
        <v>0</v>
      </c>
      <c r="AP254" s="43">
        <f t="shared" ca="1" si="10"/>
        <v>0.24841555236306379</v>
      </c>
      <c r="AQ254" s="8">
        <v>1</v>
      </c>
      <c r="AR254" s="42">
        <v>0</v>
      </c>
      <c r="AT254" s="43">
        <f t="shared" ca="1" si="11"/>
        <v>0.8593457574058504</v>
      </c>
      <c r="AU254" s="8">
        <v>1</v>
      </c>
      <c r="AV254" s="42">
        <v>0</v>
      </c>
      <c r="AX254" s="43">
        <f t="shared" ca="1" si="12"/>
        <v>0.9908058027538077</v>
      </c>
      <c r="AY254" s="8">
        <v>1</v>
      </c>
      <c r="AZ254" s="42">
        <v>0</v>
      </c>
      <c r="BB254" s="43">
        <f t="shared" ca="1" si="13"/>
        <v>0.76639072364979621</v>
      </c>
      <c r="BC254" s="8">
        <v>1</v>
      </c>
      <c r="BD254" s="42">
        <v>0</v>
      </c>
      <c r="BF254" s="43">
        <f t="shared" ca="1" si="14"/>
        <v>0.19876707212257971</v>
      </c>
      <c r="BG254" s="8">
        <v>1</v>
      </c>
      <c r="BH254" s="42">
        <v>0</v>
      </c>
      <c r="BJ254" s="43">
        <f t="shared" ca="1" si="15"/>
        <v>0.73612362840238232</v>
      </c>
      <c r="BK254" s="8">
        <v>1</v>
      </c>
      <c r="BL254" s="42">
        <v>0</v>
      </c>
      <c r="BN254" s="43">
        <f t="shared" ca="1" si="16"/>
        <v>0.24288921198875402</v>
      </c>
      <c r="BO254" s="8">
        <v>1</v>
      </c>
      <c r="BP254" s="42">
        <v>0</v>
      </c>
      <c r="BR254" s="43">
        <f t="shared" ca="1" si="17"/>
        <v>0.22389817199925588</v>
      </c>
      <c r="BS254" s="8">
        <v>1</v>
      </c>
      <c r="BT254" s="42">
        <v>0</v>
      </c>
    </row>
    <row r="255" spans="1:72" x14ac:dyDescent="0.2">
      <c r="A255" s="22">
        <v>44802</v>
      </c>
      <c r="B255" s="43">
        <f t="shared" ca="1" si="0"/>
        <v>0.2254529908137044</v>
      </c>
      <c r="C255" s="8">
        <v>1</v>
      </c>
      <c r="D255" s="42">
        <v>0</v>
      </c>
      <c r="F255" s="43">
        <f t="shared" ca="1" si="1"/>
        <v>2.1034650554892065E-2</v>
      </c>
      <c r="G255" s="8">
        <v>1</v>
      </c>
      <c r="H255" s="42">
        <v>0</v>
      </c>
      <c r="J255" s="43">
        <f t="shared" ca="1" si="2"/>
        <v>0.38629275258582307</v>
      </c>
      <c r="K255" s="8">
        <v>1</v>
      </c>
      <c r="L255" s="42">
        <v>0</v>
      </c>
      <c r="N255" s="43">
        <f t="shared" ca="1" si="3"/>
        <v>7.6226739889719841E-3</v>
      </c>
      <c r="O255" s="8">
        <v>1</v>
      </c>
      <c r="P255" s="42">
        <v>0</v>
      </c>
      <c r="R255" s="43">
        <f t="shared" ca="1" si="4"/>
        <v>0.2543239258125376</v>
      </c>
      <c r="S255" s="8">
        <v>1</v>
      </c>
      <c r="T255" s="42">
        <v>0</v>
      </c>
      <c r="V255" s="43">
        <f t="shared" ca="1" si="5"/>
        <v>0.21780641498413089</v>
      </c>
      <c r="W255" s="8">
        <v>1</v>
      </c>
      <c r="X255" s="42">
        <v>0</v>
      </c>
      <c r="Z255" s="43">
        <f t="shared" ca="1" si="6"/>
        <v>8.3786527897998009E-2</v>
      </c>
      <c r="AA255" s="8">
        <v>1</v>
      </c>
      <c r="AB255" s="42">
        <v>0</v>
      </c>
      <c r="AD255" s="43">
        <f t="shared" ca="1" si="7"/>
        <v>0.80116570944447507</v>
      </c>
      <c r="AE255" s="8">
        <v>1</v>
      </c>
      <c r="AF255" s="42">
        <v>0</v>
      </c>
      <c r="AH255" s="43">
        <f t="shared" ca="1" si="8"/>
        <v>0.48125812216746655</v>
      </c>
      <c r="AI255" s="8">
        <v>1</v>
      </c>
      <c r="AJ255" s="42">
        <v>0</v>
      </c>
      <c r="AL255" s="43">
        <f t="shared" ca="1" si="9"/>
        <v>0.32817803687419145</v>
      </c>
      <c r="AM255" s="8">
        <v>1</v>
      </c>
      <c r="AN255" s="42">
        <v>0</v>
      </c>
      <c r="AP255" s="43">
        <f t="shared" ca="1" si="10"/>
        <v>7.9807906525199979E-2</v>
      </c>
      <c r="AQ255" s="8">
        <v>1</v>
      </c>
      <c r="AR255" s="42">
        <v>0</v>
      </c>
      <c r="AT255" s="43">
        <f t="shared" ca="1" si="11"/>
        <v>0.44138705101614273</v>
      </c>
      <c r="AU255" s="8">
        <v>1</v>
      </c>
      <c r="AV255" s="42">
        <v>0</v>
      </c>
      <c r="AX255" s="43">
        <f t="shared" ca="1" si="12"/>
        <v>6.1995322663628505E-2</v>
      </c>
      <c r="AY255" s="8">
        <v>1</v>
      </c>
      <c r="AZ255" s="42">
        <v>0</v>
      </c>
      <c r="BB255" s="43">
        <f t="shared" ca="1" si="13"/>
        <v>0.8081359184856568</v>
      </c>
      <c r="BC255" s="8">
        <v>1</v>
      </c>
      <c r="BD255" s="42">
        <v>0</v>
      </c>
      <c r="BF255" s="43">
        <f t="shared" ca="1" si="14"/>
        <v>0.55735626723737908</v>
      </c>
      <c r="BG255" s="8">
        <v>1</v>
      </c>
      <c r="BH255" s="42">
        <v>0</v>
      </c>
      <c r="BJ255" s="43">
        <f t="shared" ca="1" si="15"/>
        <v>0.63299496980530934</v>
      </c>
      <c r="BK255" s="8">
        <v>1</v>
      </c>
      <c r="BL255" s="42">
        <v>0</v>
      </c>
      <c r="BN255" s="43">
        <f t="shared" ca="1" si="16"/>
        <v>0.28924020168675479</v>
      </c>
      <c r="BO255" s="8">
        <v>1</v>
      </c>
      <c r="BP255" s="42">
        <v>0</v>
      </c>
      <c r="BR255" s="43">
        <f t="shared" ca="1" si="17"/>
        <v>0.97815893637327012</v>
      </c>
      <c r="BS255" s="8">
        <v>1</v>
      </c>
      <c r="BT255" s="42">
        <v>0</v>
      </c>
    </row>
    <row r="256" spans="1:72" x14ac:dyDescent="0.2">
      <c r="A256" s="22">
        <v>44803</v>
      </c>
      <c r="B256" s="43">
        <f t="shared" ca="1" si="0"/>
        <v>0.78899459710064712</v>
      </c>
      <c r="C256" s="8">
        <v>1</v>
      </c>
      <c r="D256" s="42">
        <v>0</v>
      </c>
      <c r="F256" s="43">
        <f t="shared" ca="1" si="1"/>
        <v>0.60365243388405943</v>
      </c>
      <c r="G256" s="8">
        <v>1</v>
      </c>
      <c r="H256" s="42">
        <v>0</v>
      </c>
      <c r="J256" s="43">
        <f t="shared" ca="1" si="2"/>
        <v>0.18142864829581917</v>
      </c>
      <c r="K256" s="8">
        <v>1</v>
      </c>
      <c r="L256" s="42">
        <v>0</v>
      </c>
      <c r="N256" s="43">
        <f t="shared" ca="1" si="3"/>
        <v>0.9613331257199047</v>
      </c>
      <c r="O256" s="8">
        <v>1</v>
      </c>
      <c r="P256" s="42">
        <v>0</v>
      </c>
      <c r="R256" s="43">
        <f t="shared" ca="1" si="4"/>
        <v>5.3258592612723588E-2</v>
      </c>
      <c r="S256" s="8">
        <v>1</v>
      </c>
      <c r="T256" s="42">
        <v>0</v>
      </c>
      <c r="V256" s="43">
        <f t="shared" ca="1" si="5"/>
        <v>0.15041114525244426</v>
      </c>
      <c r="W256" s="8">
        <v>1</v>
      </c>
      <c r="X256" s="42">
        <v>0</v>
      </c>
      <c r="Z256" s="43">
        <f t="shared" ca="1" si="6"/>
        <v>0.29946748616873486</v>
      </c>
      <c r="AA256" s="8">
        <v>1</v>
      </c>
      <c r="AB256" s="42">
        <v>0</v>
      </c>
      <c r="AD256" s="43">
        <f t="shared" ca="1" si="7"/>
        <v>7.2409420596166174E-2</v>
      </c>
      <c r="AE256" s="8">
        <v>1</v>
      </c>
      <c r="AF256" s="42">
        <v>0</v>
      </c>
      <c r="AH256" s="43">
        <f t="shared" ca="1" si="8"/>
        <v>9.0684994837250454E-2</v>
      </c>
      <c r="AI256" s="8">
        <v>1</v>
      </c>
      <c r="AJ256" s="42">
        <v>0</v>
      </c>
      <c r="AL256" s="43">
        <f t="shared" ca="1" si="9"/>
        <v>0.14797580306715907</v>
      </c>
      <c r="AM256" s="8">
        <v>1</v>
      </c>
      <c r="AN256" s="42">
        <v>0</v>
      </c>
      <c r="AP256" s="43">
        <f t="shared" ca="1" si="10"/>
        <v>0.84889420598574095</v>
      </c>
      <c r="AQ256" s="8">
        <v>1</v>
      </c>
      <c r="AR256" s="42">
        <v>0</v>
      </c>
      <c r="AT256" s="43">
        <f t="shared" ca="1" si="11"/>
        <v>0.91875204859866555</v>
      </c>
      <c r="AU256" s="8">
        <v>1</v>
      </c>
      <c r="AV256" s="42">
        <v>0</v>
      </c>
      <c r="AX256" s="43">
        <f t="shared" ca="1" si="12"/>
        <v>0.33702789161190572</v>
      </c>
      <c r="AY256" s="8">
        <v>1</v>
      </c>
      <c r="AZ256" s="42">
        <v>0</v>
      </c>
      <c r="BB256" s="43">
        <f t="shared" ca="1" si="13"/>
        <v>0.63773701483012257</v>
      </c>
      <c r="BC256" s="8">
        <v>1</v>
      </c>
      <c r="BD256" s="42">
        <v>0</v>
      </c>
      <c r="BF256" s="43">
        <f t="shared" ca="1" si="14"/>
        <v>3.4964293465940988E-2</v>
      </c>
      <c r="BG256" s="8">
        <v>1</v>
      </c>
      <c r="BH256" s="42">
        <v>0</v>
      </c>
      <c r="BJ256" s="43">
        <f t="shared" ca="1" si="15"/>
        <v>0.74630087972786818</v>
      </c>
      <c r="BK256" s="8">
        <v>1</v>
      </c>
      <c r="BL256" s="42">
        <v>0</v>
      </c>
      <c r="BN256" s="43">
        <f t="shared" ca="1" si="16"/>
        <v>0.95389085645373972</v>
      </c>
      <c r="BO256" s="8">
        <v>1</v>
      </c>
      <c r="BP256" s="42">
        <v>0</v>
      </c>
      <c r="BR256" s="43">
        <f t="shared" ca="1" si="17"/>
        <v>0.34904598084421901</v>
      </c>
      <c r="BS256" s="8">
        <v>1</v>
      </c>
      <c r="BT256" s="42">
        <v>0</v>
      </c>
    </row>
    <row r="257" spans="1:72" x14ac:dyDescent="0.2">
      <c r="A257" s="22">
        <v>44804</v>
      </c>
      <c r="B257" s="43">
        <f t="shared" ca="1" si="0"/>
        <v>0.67185905967308601</v>
      </c>
      <c r="C257" s="8">
        <v>1</v>
      </c>
      <c r="D257" s="42">
        <v>0</v>
      </c>
      <c r="F257" s="43">
        <f t="shared" ca="1" si="1"/>
        <v>0.87196832763401722</v>
      </c>
      <c r="G257" s="8">
        <v>1</v>
      </c>
      <c r="H257" s="42">
        <v>0</v>
      </c>
      <c r="J257" s="43">
        <f t="shared" ca="1" si="2"/>
        <v>0.70115696199831534</v>
      </c>
      <c r="K257" s="8">
        <v>1</v>
      </c>
      <c r="L257" s="42">
        <v>0</v>
      </c>
      <c r="N257" s="43">
        <f t="shared" ca="1" si="3"/>
        <v>0.37250110511608492</v>
      </c>
      <c r="O257" s="8">
        <v>1</v>
      </c>
      <c r="P257" s="42">
        <v>0</v>
      </c>
      <c r="R257" s="43">
        <f t="shared" ca="1" si="4"/>
        <v>9.3600131829634781E-2</v>
      </c>
      <c r="S257" s="8">
        <v>1</v>
      </c>
      <c r="T257" s="42">
        <v>0</v>
      </c>
      <c r="V257" s="43">
        <f t="shared" ca="1" si="5"/>
        <v>0.13945514539002801</v>
      </c>
      <c r="W257" s="8">
        <v>1</v>
      </c>
      <c r="X257" s="42">
        <v>0</v>
      </c>
      <c r="Z257" s="43">
        <f t="shared" ca="1" si="6"/>
        <v>0.58454913090850202</v>
      </c>
      <c r="AA257" s="8">
        <v>1</v>
      </c>
      <c r="AB257" s="42">
        <v>0</v>
      </c>
      <c r="AD257" s="43">
        <f t="shared" ca="1" si="7"/>
        <v>0.39042088810834064</v>
      </c>
      <c r="AE257" s="8">
        <v>1</v>
      </c>
      <c r="AF257" s="42">
        <v>0</v>
      </c>
      <c r="AH257" s="43">
        <f t="shared" ca="1" si="8"/>
        <v>0.48961379437658281</v>
      </c>
      <c r="AI257" s="8">
        <v>1</v>
      </c>
      <c r="AJ257" s="42">
        <v>0</v>
      </c>
      <c r="AL257" s="43">
        <f t="shared" ca="1" si="9"/>
        <v>0.46554470595061681</v>
      </c>
      <c r="AM257" s="8">
        <v>1</v>
      </c>
      <c r="AN257" s="42">
        <v>0</v>
      </c>
      <c r="AP257" s="43">
        <f t="shared" ca="1" si="10"/>
        <v>0.45568375614669465</v>
      </c>
      <c r="AQ257" s="8">
        <v>1</v>
      </c>
      <c r="AR257" s="42">
        <v>0</v>
      </c>
      <c r="AT257" s="43">
        <f t="shared" ca="1" si="11"/>
        <v>0.4460587118891095</v>
      </c>
      <c r="AU257" s="8">
        <v>1</v>
      </c>
      <c r="AV257" s="42">
        <v>0</v>
      </c>
      <c r="AX257" s="43">
        <f t="shared" ca="1" si="12"/>
        <v>0.65433550832644671</v>
      </c>
      <c r="AY257" s="8">
        <v>1</v>
      </c>
      <c r="AZ257" s="42">
        <v>0</v>
      </c>
      <c r="BB257" s="43">
        <f t="shared" ca="1" si="13"/>
        <v>0.9593016123097815</v>
      </c>
      <c r="BC257" s="8">
        <v>1</v>
      </c>
      <c r="BD257" s="42">
        <v>0</v>
      </c>
      <c r="BF257" s="43">
        <f t="shared" ca="1" si="14"/>
        <v>0.22649710656079303</v>
      </c>
      <c r="BG257" s="8">
        <v>1</v>
      </c>
      <c r="BH257" s="42">
        <v>0</v>
      </c>
      <c r="BJ257" s="43">
        <f t="shared" ca="1" si="15"/>
        <v>0.45084027836027929</v>
      </c>
      <c r="BK257" s="8">
        <v>1</v>
      </c>
      <c r="BL257" s="42">
        <v>0</v>
      </c>
      <c r="BN257" s="43">
        <f t="shared" ca="1" si="16"/>
        <v>0.69593474787869924</v>
      </c>
      <c r="BO257" s="8">
        <v>1</v>
      </c>
      <c r="BP257" s="42">
        <v>0</v>
      </c>
      <c r="BR257" s="43">
        <f t="shared" ca="1" si="17"/>
        <v>0.11935541496519131</v>
      </c>
      <c r="BS257" s="8">
        <v>1</v>
      </c>
      <c r="BT257" s="42">
        <v>0</v>
      </c>
    </row>
    <row r="258" spans="1:72" x14ac:dyDescent="0.2">
      <c r="A258" s="22">
        <v>44805</v>
      </c>
      <c r="B258" s="43">
        <f t="shared" ca="1" si="0"/>
        <v>0.25500368820321317</v>
      </c>
      <c r="C258" s="8">
        <v>1</v>
      </c>
      <c r="D258" s="42">
        <v>0</v>
      </c>
      <c r="F258" s="43">
        <f t="shared" ca="1" si="1"/>
        <v>0.73971154318200805</v>
      </c>
      <c r="G258" s="8">
        <v>1</v>
      </c>
      <c r="H258" s="42">
        <v>0</v>
      </c>
      <c r="J258" s="43">
        <f t="shared" ca="1" si="2"/>
        <v>0.17258828075393495</v>
      </c>
      <c r="K258" s="8">
        <v>1</v>
      </c>
      <c r="L258" s="42">
        <v>0</v>
      </c>
      <c r="N258" s="43">
        <f t="shared" ca="1" si="3"/>
        <v>0.48802199151943537</v>
      </c>
      <c r="O258" s="8">
        <v>1</v>
      </c>
      <c r="P258" s="42">
        <v>0</v>
      </c>
      <c r="R258" s="43">
        <f t="shared" ca="1" si="4"/>
        <v>0.79969744073975646</v>
      </c>
      <c r="S258" s="8">
        <v>1</v>
      </c>
      <c r="T258" s="42">
        <v>0</v>
      </c>
      <c r="V258" s="43">
        <f t="shared" ca="1" si="5"/>
        <v>8.1190037766795342E-2</v>
      </c>
      <c r="W258" s="8">
        <v>1</v>
      </c>
      <c r="X258" s="42">
        <v>0</v>
      </c>
      <c r="Z258" s="43">
        <f t="shared" ca="1" si="6"/>
        <v>0.50405750802029092</v>
      </c>
      <c r="AA258" s="8">
        <v>1</v>
      </c>
      <c r="AB258" s="42">
        <v>0</v>
      </c>
      <c r="AD258" s="43">
        <f t="shared" ca="1" si="7"/>
        <v>0.15770217093412131</v>
      </c>
      <c r="AE258" s="8">
        <v>1</v>
      </c>
      <c r="AF258" s="42">
        <v>0</v>
      </c>
      <c r="AH258" s="43">
        <f t="shared" ca="1" si="8"/>
        <v>0.43316845798087134</v>
      </c>
      <c r="AI258" s="8">
        <v>1</v>
      </c>
      <c r="AJ258" s="42">
        <v>0</v>
      </c>
      <c r="AL258" s="43">
        <f t="shared" ca="1" si="9"/>
        <v>0.77471366404937425</v>
      </c>
      <c r="AM258" s="8">
        <v>1</v>
      </c>
      <c r="AN258" s="42">
        <v>0</v>
      </c>
      <c r="AP258" s="43">
        <f t="shared" ca="1" si="10"/>
        <v>0.11758223374450094</v>
      </c>
      <c r="AQ258" s="8">
        <v>1</v>
      </c>
      <c r="AR258" s="42">
        <v>0</v>
      </c>
      <c r="AT258" s="43">
        <f t="shared" ca="1" si="11"/>
        <v>0.65065602121209154</v>
      </c>
      <c r="AU258" s="8">
        <v>1</v>
      </c>
      <c r="AV258" s="42">
        <v>0</v>
      </c>
      <c r="AX258" s="43">
        <f t="shared" ca="1" si="12"/>
        <v>0.12270050491731921</v>
      </c>
      <c r="AY258" s="8">
        <v>1</v>
      </c>
      <c r="AZ258" s="42">
        <v>0</v>
      </c>
      <c r="BB258" s="43">
        <f t="shared" ca="1" si="13"/>
        <v>0.43662263765785903</v>
      </c>
      <c r="BC258" s="8">
        <v>1</v>
      </c>
      <c r="BD258" s="42">
        <v>0</v>
      </c>
      <c r="BF258" s="43">
        <f t="shared" ca="1" si="14"/>
        <v>0.13765722457128626</v>
      </c>
      <c r="BG258" s="8">
        <v>1</v>
      </c>
      <c r="BH258" s="42">
        <v>0</v>
      </c>
      <c r="BJ258" s="43">
        <f t="shared" ca="1" si="15"/>
        <v>0.78055346317024965</v>
      </c>
      <c r="BK258" s="8">
        <v>1</v>
      </c>
      <c r="BL258" s="42">
        <v>0</v>
      </c>
      <c r="BN258" s="43">
        <f t="shared" ca="1" si="16"/>
        <v>0.15629191400295517</v>
      </c>
      <c r="BO258" s="8">
        <v>1</v>
      </c>
      <c r="BP258" s="42">
        <v>0</v>
      </c>
      <c r="BR258" s="43">
        <f t="shared" ca="1" si="17"/>
        <v>0.22891198316603001</v>
      </c>
      <c r="BS258" s="8">
        <v>1</v>
      </c>
      <c r="BT258" s="42">
        <v>0</v>
      </c>
    </row>
    <row r="259" spans="1:72" x14ac:dyDescent="0.2">
      <c r="A259" s="22">
        <v>44806</v>
      </c>
      <c r="B259" s="43">
        <f t="shared" ca="1" si="0"/>
        <v>0.13019911797480432</v>
      </c>
      <c r="C259" s="8">
        <v>1</v>
      </c>
      <c r="D259" s="42">
        <f t="shared" ref="D259:D303" ca="1" si="161">ROUNDUP(_xlfn.NORM.INV(B259,C$4*C259,C$6*C259),0)</f>
        <v>78</v>
      </c>
      <c r="F259" s="43">
        <f t="shared" ca="1" si="1"/>
        <v>0.49861572097422968</v>
      </c>
      <c r="G259" s="8">
        <v>1</v>
      </c>
      <c r="H259" s="42">
        <f t="shared" ref="H259:H303" ca="1" si="162">ROUNDUP(_xlfn.NORM.INV(F259,G$4*G259,G$6*G259),0)</f>
        <v>216</v>
      </c>
      <c r="J259" s="43">
        <f t="shared" ca="1" si="2"/>
        <v>0.64861241983483653</v>
      </c>
      <c r="K259" s="8">
        <v>1</v>
      </c>
      <c r="L259" s="42">
        <f t="shared" ref="L259:L303" ca="1" si="163">ROUNDUP(_xlfn.NORM.INV(J259,K$4*K259,K$6*K259),0)</f>
        <v>166</v>
      </c>
      <c r="N259" s="43">
        <f t="shared" ca="1" si="3"/>
        <v>0.70880297004427784</v>
      </c>
      <c r="O259" s="8">
        <v>1</v>
      </c>
      <c r="P259" s="42">
        <f t="shared" ref="P259:P303" ca="1" si="164">ROUNDUP(_xlfn.NORM.INV(N259,O$4*O259,O$6*O259),0)</f>
        <v>263</v>
      </c>
      <c r="R259" s="43">
        <f t="shared" ca="1" si="4"/>
        <v>0.6754659660028467</v>
      </c>
      <c r="S259" s="8">
        <v>1</v>
      </c>
      <c r="T259" s="42">
        <f t="shared" ref="T259:T303" ca="1" si="165">ROUNDUP(_xlfn.NORM.INV(R259,S$4*S259,S$6*S259),0)</f>
        <v>156</v>
      </c>
      <c r="V259" s="43">
        <f t="shared" ca="1" si="5"/>
        <v>2.8688657873604528E-2</v>
      </c>
      <c r="W259" s="8">
        <v>1</v>
      </c>
      <c r="X259" s="42">
        <f t="shared" ref="X259:X303" ca="1" si="166">ROUNDUP(_xlfn.NORM.INV(V259,W$4*W259,W$6*W259),0)</f>
        <v>111</v>
      </c>
      <c r="Z259" s="43">
        <f t="shared" ca="1" si="6"/>
        <v>0.81910241933031724</v>
      </c>
      <c r="AA259" s="8">
        <v>1</v>
      </c>
      <c r="AB259" s="42">
        <f t="shared" ref="AB259:AB303" ca="1" si="167">ROUNDUP(_xlfn.NORM.INV(Z259,AA$4*AA259,AA$6*AA259),0)</f>
        <v>336</v>
      </c>
      <c r="AD259" s="43">
        <f t="shared" ca="1" si="7"/>
        <v>0.92330389597521079</v>
      </c>
      <c r="AE259" s="8">
        <v>1</v>
      </c>
      <c r="AF259" s="42">
        <f t="shared" ref="AF259:AF303" ca="1" si="168">ROUNDUP(_xlfn.NORM.INV(AD259,AE$4*AE259,AE$6*AE259),0)</f>
        <v>452</v>
      </c>
      <c r="AH259" s="43">
        <f t="shared" ca="1" si="8"/>
        <v>0.68033882875980634</v>
      </c>
      <c r="AI259" s="8">
        <v>1</v>
      </c>
      <c r="AJ259" s="42">
        <f t="shared" ref="AJ259:AJ303" ca="1" si="169">ROUNDUP(_xlfn.NORM.INV(AH259,AI$4*AI259,AI$6*AI259),0)</f>
        <v>192</v>
      </c>
      <c r="AL259" s="43">
        <f t="shared" ca="1" si="9"/>
        <v>0.61795944490058685</v>
      </c>
      <c r="AM259" s="8">
        <v>1</v>
      </c>
      <c r="AN259" s="42">
        <f t="shared" ref="AN259:AN303" ca="1" si="170">ROUNDUP(_xlfn.NORM.INV(AL259,AM$4*AM259,AM$6*AM259),0)</f>
        <v>251</v>
      </c>
      <c r="AP259" s="43">
        <f t="shared" ca="1" si="10"/>
        <v>0.31047915026618655</v>
      </c>
      <c r="AQ259" s="8">
        <v>1</v>
      </c>
      <c r="AR259" s="42">
        <f t="shared" ref="AR259:AR303" ca="1" si="171">ROUNDUP(_xlfn.NORM.INV(AP259,AQ$4*AQ259,AQ$6*AQ259),0)</f>
        <v>172</v>
      </c>
      <c r="AT259" s="43">
        <f t="shared" ca="1" si="11"/>
        <v>0.96625994820122407</v>
      </c>
      <c r="AU259" s="8">
        <v>1</v>
      </c>
      <c r="AV259" s="42">
        <f t="shared" ref="AV259:AV303" ca="1" si="172">ROUNDUP(_xlfn.NORM.INV(AT259,AU$4*AU259,AU$6*AU259),0)</f>
        <v>306</v>
      </c>
      <c r="AX259" s="43">
        <f t="shared" ca="1" si="12"/>
        <v>0.18954680992368123</v>
      </c>
      <c r="AY259" s="8">
        <v>1</v>
      </c>
      <c r="AZ259" s="42">
        <f t="shared" ref="AZ259:AZ303" ca="1" si="173">ROUNDUP(_xlfn.NORM.INV(AX259,AY$4*AY259,AY$6*AY259),0)</f>
        <v>179</v>
      </c>
      <c r="BB259" s="43">
        <f t="shared" ca="1" si="13"/>
        <v>0.10787193954370244</v>
      </c>
      <c r="BC259" s="8">
        <v>1</v>
      </c>
      <c r="BD259" s="42">
        <f t="shared" ref="BD259:BD303" ca="1" si="174">ROUNDUP(_xlfn.NORM.INV(BB259,BC$4*BC259,BC$6*BC259),0)</f>
        <v>135</v>
      </c>
      <c r="BF259" s="43">
        <f t="shared" ca="1" si="14"/>
        <v>0.89001889851545779</v>
      </c>
      <c r="BG259" s="8">
        <v>1</v>
      </c>
      <c r="BH259" s="42">
        <f t="shared" ref="BH259:BH303" ca="1" si="175">ROUNDUP(_xlfn.NORM.INV(BF259,BG$4*BG259,BG$6*BG259),0)</f>
        <v>224</v>
      </c>
      <c r="BJ259" s="43">
        <f t="shared" ca="1" si="15"/>
        <v>8.5014542408940796E-2</v>
      </c>
      <c r="BK259" s="8">
        <v>1</v>
      </c>
      <c r="BL259" s="42">
        <f t="shared" ref="BL259:BL303" ca="1" si="176">ROUNDUP(_xlfn.NORM.INV(BJ259,BK$4*BK259,BK$6*BK259),0)</f>
        <v>137</v>
      </c>
      <c r="BN259" s="43">
        <f t="shared" ca="1" si="16"/>
        <v>0.46927641595729885</v>
      </c>
      <c r="BO259" s="8">
        <v>1</v>
      </c>
      <c r="BP259" s="42">
        <f t="shared" ref="BP259:BP303" ca="1" si="177">ROUNDUP(_xlfn.NORM.INV(BN259,BO$4*BO259,BO$6*BO259),0)</f>
        <v>158</v>
      </c>
      <c r="BR259" s="43">
        <f t="shared" ca="1" si="17"/>
        <v>0.31609777541434492</v>
      </c>
      <c r="BS259" s="8">
        <v>1</v>
      </c>
      <c r="BT259" s="42">
        <f t="shared" ref="BT259:BT303" ca="1" si="178">ROUNDUP(_xlfn.NORM.INV(BR259,BS$4*BS259,BS$6*BS259),0)</f>
        <v>192</v>
      </c>
    </row>
    <row r="260" spans="1:72" x14ac:dyDescent="0.2">
      <c r="A260" s="22">
        <v>44807</v>
      </c>
      <c r="B260" s="43">
        <f t="shared" ca="1" si="0"/>
        <v>0.24124869136768667</v>
      </c>
      <c r="C260" s="8">
        <v>1</v>
      </c>
      <c r="D260" s="42">
        <f t="shared" ca="1" si="161"/>
        <v>86</v>
      </c>
      <c r="F260" s="43">
        <f t="shared" ca="1" si="1"/>
        <v>0.84657465082443895</v>
      </c>
      <c r="G260" s="8">
        <v>1</v>
      </c>
      <c r="H260" s="42">
        <f t="shared" ca="1" si="162"/>
        <v>275</v>
      </c>
      <c r="J260" s="43">
        <f t="shared" ca="1" si="2"/>
        <v>0.24192556366781204</v>
      </c>
      <c r="K260" s="8">
        <v>1</v>
      </c>
      <c r="L260" s="42">
        <f t="shared" ca="1" si="163"/>
        <v>122</v>
      </c>
      <c r="N260" s="43">
        <f t="shared" ca="1" si="3"/>
        <v>0.42368115371893089</v>
      </c>
      <c r="O260" s="8">
        <v>1</v>
      </c>
      <c r="P260" s="42">
        <f t="shared" ca="1" si="164"/>
        <v>218</v>
      </c>
      <c r="R260" s="43">
        <f t="shared" ca="1" si="4"/>
        <v>0.53407220563489854</v>
      </c>
      <c r="S260" s="8">
        <v>1</v>
      </c>
      <c r="T260" s="42">
        <f t="shared" ca="1" si="165"/>
        <v>142</v>
      </c>
      <c r="V260" s="43">
        <f t="shared" ca="1" si="5"/>
        <v>0.7200635529573941</v>
      </c>
      <c r="W260" s="8">
        <v>1</v>
      </c>
      <c r="X260" s="42">
        <f t="shared" ca="1" si="166"/>
        <v>260</v>
      </c>
      <c r="Z260" s="43">
        <f t="shared" ca="1" si="6"/>
        <v>0.55836850565972995</v>
      </c>
      <c r="AA260" s="8">
        <v>1</v>
      </c>
      <c r="AB260" s="42">
        <f t="shared" ca="1" si="167"/>
        <v>281</v>
      </c>
      <c r="AD260" s="43">
        <f t="shared" ca="1" si="7"/>
        <v>0.4702072044726564</v>
      </c>
      <c r="AE260" s="8">
        <v>1</v>
      </c>
      <c r="AF260" s="42">
        <f t="shared" ca="1" si="168"/>
        <v>321</v>
      </c>
      <c r="AH260" s="43">
        <f t="shared" ca="1" si="8"/>
        <v>0.21540349619209598</v>
      </c>
      <c r="AI260" s="8">
        <v>1</v>
      </c>
      <c r="AJ260" s="42">
        <f t="shared" ca="1" si="169"/>
        <v>135</v>
      </c>
      <c r="AL260" s="43">
        <f t="shared" ca="1" si="9"/>
        <v>0.67983393587028318</v>
      </c>
      <c r="AM260" s="8">
        <v>1</v>
      </c>
      <c r="AN260" s="42">
        <f t="shared" ca="1" si="170"/>
        <v>261</v>
      </c>
      <c r="AP260" s="43">
        <f t="shared" ca="1" si="10"/>
        <v>0.2980216071999503</v>
      </c>
      <c r="AQ260" s="8">
        <v>1</v>
      </c>
      <c r="AR260" s="42">
        <f t="shared" ca="1" si="171"/>
        <v>171</v>
      </c>
      <c r="AT260" s="43">
        <f t="shared" ca="1" si="11"/>
        <v>0.86636312943852056</v>
      </c>
      <c r="AU260" s="8">
        <v>1</v>
      </c>
      <c r="AV260" s="42">
        <f t="shared" ca="1" si="172"/>
        <v>267</v>
      </c>
      <c r="AX260" s="43">
        <f t="shared" ca="1" si="12"/>
        <v>0.51096313043008623</v>
      </c>
      <c r="AY260" s="8">
        <v>1</v>
      </c>
      <c r="AZ260" s="42">
        <f t="shared" ca="1" si="173"/>
        <v>236</v>
      </c>
      <c r="BB260" s="43">
        <f t="shared" ca="1" si="13"/>
        <v>0.67424013921410353</v>
      </c>
      <c r="BC260" s="8">
        <v>1</v>
      </c>
      <c r="BD260" s="42">
        <f t="shared" ca="1" si="174"/>
        <v>225</v>
      </c>
      <c r="BF260" s="43">
        <f t="shared" ca="1" si="14"/>
        <v>0.40474643166736701</v>
      </c>
      <c r="BG260" s="8">
        <v>1</v>
      </c>
      <c r="BH260" s="42">
        <f t="shared" ca="1" si="175"/>
        <v>158</v>
      </c>
      <c r="BJ260" s="43">
        <f t="shared" ca="1" si="15"/>
        <v>0.91689475913173979</v>
      </c>
      <c r="BK260" s="8">
        <v>1</v>
      </c>
      <c r="BL260" s="42">
        <f t="shared" ca="1" si="176"/>
        <v>296</v>
      </c>
      <c r="BN260" s="43">
        <f t="shared" ca="1" si="16"/>
        <v>0.63789308883050588</v>
      </c>
      <c r="BO260" s="8">
        <v>1</v>
      </c>
      <c r="BP260" s="42">
        <f t="shared" ca="1" si="177"/>
        <v>176</v>
      </c>
      <c r="BR260" s="43">
        <f t="shared" ca="1" si="17"/>
        <v>0.57841598989304732</v>
      </c>
      <c r="BS260" s="8">
        <v>1</v>
      </c>
      <c r="BT260" s="42">
        <f t="shared" ca="1" si="178"/>
        <v>231</v>
      </c>
    </row>
    <row r="261" spans="1:72" x14ac:dyDescent="0.2">
      <c r="A261" s="22">
        <v>44808</v>
      </c>
      <c r="B261" s="43">
        <f t="shared" ca="1" si="0"/>
        <v>0.14571178437634069</v>
      </c>
      <c r="C261" s="8">
        <v>1</v>
      </c>
      <c r="D261" s="42">
        <f t="shared" ca="1" si="161"/>
        <v>79</v>
      </c>
      <c r="F261" s="43">
        <f t="shared" ca="1" si="1"/>
        <v>0.32197172693633713</v>
      </c>
      <c r="G261" s="8">
        <v>1</v>
      </c>
      <c r="H261" s="42">
        <f t="shared" ca="1" si="162"/>
        <v>189</v>
      </c>
      <c r="J261" s="43">
        <f t="shared" ca="1" si="2"/>
        <v>0.25106592296206143</v>
      </c>
      <c r="K261" s="8">
        <v>1</v>
      </c>
      <c r="L261" s="42">
        <f t="shared" ca="1" si="163"/>
        <v>124</v>
      </c>
      <c r="N261" s="43">
        <f t="shared" ca="1" si="3"/>
        <v>0.39245670508104613</v>
      </c>
      <c r="O261" s="8">
        <v>1</v>
      </c>
      <c r="P261" s="42">
        <f t="shared" ca="1" si="164"/>
        <v>213</v>
      </c>
      <c r="R261" s="43">
        <f t="shared" ca="1" si="4"/>
        <v>0.3065290272650949</v>
      </c>
      <c r="S261" s="8">
        <v>1</v>
      </c>
      <c r="T261" s="42">
        <f t="shared" ca="1" si="165"/>
        <v>121</v>
      </c>
      <c r="V261" s="43">
        <f t="shared" ca="1" si="5"/>
        <v>0.41266265768965005</v>
      </c>
      <c r="W261" s="8">
        <v>1</v>
      </c>
      <c r="X261" s="42">
        <f t="shared" ca="1" si="166"/>
        <v>212</v>
      </c>
      <c r="Z261" s="43">
        <f t="shared" ca="1" si="6"/>
        <v>0.47019170979016389</v>
      </c>
      <c r="AA261" s="8">
        <v>1</v>
      </c>
      <c r="AB261" s="42">
        <f t="shared" ca="1" si="167"/>
        <v>265</v>
      </c>
      <c r="AD261" s="43">
        <f t="shared" ca="1" si="7"/>
        <v>0.66402806141226423</v>
      </c>
      <c r="AE261" s="8">
        <v>1</v>
      </c>
      <c r="AF261" s="42">
        <f t="shared" ca="1" si="168"/>
        <v>364</v>
      </c>
      <c r="AH261" s="43">
        <f t="shared" ca="1" si="8"/>
        <v>0.29376265230830223</v>
      </c>
      <c r="AI261" s="8">
        <v>1</v>
      </c>
      <c r="AJ261" s="42">
        <f t="shared" ca="1" si="169"/>
        <v>146</v>
      </c>
      <c r="AL261" s="43">
        <f t="shared" ca="1" si="9"/>
        <v>0.6751638598267774</v>
      </c>
      <c r="AM261" s="8">
        <v>1</v>
      </c>
      <c r="AN261" s="42">
        <f t="shared" ca="1" si="170"/>
        <v>261</v>
      </c>
      <c r="AP261" s="43">
        <f t="shared" ca="1" si="10"/>
        <v>0.13645027427809864</v>
      </c>
      <c r="AQ261" s="8">
        <v>1</v>
      </c>
      <c r="AR261" s="42">
        <f t="shared" ca="1" si="171"/>
        <v>141</v>
      </c>
      <c r="AT261" s="43">
        <f t="shared" ca="1" si="11"/>
        <v>1.3931746499758479E-2</v>
      </c>
      <c r="AU261" s="8">
        <v>1</v>
      </c>
      <c r="AV261" s="42">
        <f t="shared" ca="1" si="172"/>
        <v>85</v>
      </c>
      <c r="AX261" s="43">
        <f t="shared" ca="1" si="12"/>
        <v>0.18925345774157731</v>
      </c>
      <c r="AY261" s="8">
        <v>1</v>
      </c>
      <c r="AZ261" s="42">
        <f t="shared" ca="1" si="173"/>
        <v>179</v>
      </c>
      <c r="BB261" s="43">
        <f t="shared" ca="1" si="13"/>
        <v>0.93107056612675543</v>
      </c>
      <c r="BC261" s="8">
        <v>1</v>
      </c>
      <c r="BD261" s="42">
        <f t="shared" ca="1" si="174"/>
        <v>280</v>
      </c>
      <c r="BF261" s="43">
        <f t="shared" ca="1" si="14"/>
        <v>0.24859728404372117</v>
      </c>
      <c r="BG261" s="8">
        <v>1</v>
      </c>
      <c r="BH261" s="42">
        <f t="shared" ca="1" si="175"/>
        <v>139</v>
      </c>
      <c r="BJ261" s="43">
        <f t="shared" ca="1" si="15"/>
        <v>0.24253821142241427</v>
      </c>
      <c r="BK261" s="8">
        <v>1</v>
      </c>
      <c r="BL261" s="42">
        <f t="shared" ca="1" si="176"/>
        <v>176</v>
      </c>
      <c r="BN261" s="43">
        <f t="shared" ca="1" si="16"/>
        <v>0.28952824014067569</v>
      </c>
      <c r="BO261" s="8">
        <v>1</v>
      </c>
      <c r="BP261" s="42">
        <f t="shared" ca="1" si="177"/>
        <v>137</v>
      </c>
      <c r="BR261" s="43">
        <f t="shared" ca="1" si="17"/>
        <v>0.70040904712187246</v>
      </c>
      <c r="BS261" s="8">
        <v>1</v>
      </c>
      <c r="BT261" s="42">
        <f t="shared" ca="1" si="178"/>
        <v>251</v>
      </c>
    </row>
    <row r="262" spans="1:72" x14ac:dyDescent="0.2">
      <c r="A262" s="22">
        <v>44809</v>
      </c>
      <c r="B262" s="43">
        <f t="shared" ca="1" si="0"/>
        <v>0.33307928205536885</v>
      </c>
      <c r="C262" s="8">
        <v>1</v>
      </c>
      <c r="D262" s="42">
        <f t="shared" ca="1" si="161"/>
        <v>92</v>
      </c>
      <c r="F262" s="43">
        <f t="shared" ca="1" si="1"/>
        <v>0.23389179008980565</v>
      </c>
      <c r="G262" s="8">
        <v>1</v>
      </c>
      <c r="H262" s="42">
        <f t="shared" ca="1" si="162"/>
        <v>174</v>
      </c>
      <c r="J262" s="43">
        <f t="shared" ca="1" si="2"/>
        <v>0.27441305470603983</v>
      </c>
      <c r="K262" s="8">
        <v>1</v>
      </c>
      <c r="L262" s="42">
        <f t="shared" ca="1" si="163"/>
        <v>127</v>
      </c>
      <c r="N262" s="43">
        <f t="shared" ca="1" si="3"/>
        <v>0.1058058531393693</v>
      </c>
      <c r="O262" s="8">
        <v>1</v>
      </c>
      <c r="P262" s="42">
        <f t="shared" ca="1" si="164"/>
        <v>153</v>
      </c>
      <c r="R262" s="43">
        <f t="shared" ca="1" si="4"/>
        <v>0.46877977879790256</v>
      </c>
      <c r="S262" s="8">
        <v>1</v>
      </c>
      <c r="T262" s="42">
        <f t="shared" ca="1" si="165"/>
        <v>136</v>
      </c>
      <c r="V262" s="43">
        <f t="shared" ca="1" si="5"/>
        <v>0.72920312560149148</v>
      </c>
      <c r="W262" s="8">
        <v>1</v>
      </c>
      <c r="X262" s="42">
        <f t="shared" ca="1" si="166"/>
        <v>262</v>
      </c>
      <c r="Z262" s="43">
        <f t="shared" ca="1" si="6"/>
        <v>0.7519015791242708</v>
      </c>
      <c r="AA262" s="8">
        <v>1</v>
      </c>
      <c r="AB262" s="42">
        <f t="shared" ca="1" si="167"/>
        <v>319</v>
      </c>
      <c r="AD262" s="43">
        <f t="shared" ca="1" si="7"/>
        <v>0.59744396941119193</v>
      </c>
      <c r="AE262" s="8">
        <v>1</v>
      </c>
      <c r="AF262" s="42">
        <f t="shared" ca="1" si="168"/>
        <v>349</v>
      </c>
      <c r="AH262" s="43">
        <f t="shared" ca="1" si="8"/>
        <v>9.8655108777554568E-2</v>
      </c>
      <c r="AI262" s="8">
        <v>1</v>
      </c>
      <c r="AJ262" s="42">
        <f t="shared" ca="1" si="169"/>
        <v>112</v>
      </c>
      <c r="AL262" s="43">
        <f t="shared" ca="1" si="9"/>
        <v>0.6020455574803889</v>
      </c>
      <c r="AM262" s="8">
        <v>1</v>
      </c>
      <c r="AN262" s="42">
        <f t="shared" ca="1" si="170"/>
        <v>249</v>
      </c>
      <c r="AP262" s="43">
        <f t="shared" ca="1" si="10"/>
        <v>0.40625798399398316</v>
      </c>
      <c r="AQ262" s="8">
        <v>1</v>
      </c>
      <c r="AR262" s="42">
        <f t="shared" ca="1" si="171"/>
        <v>186</v>
      </c>
      <c r="AT262" s="43">
        <f t="shared" ca="1" si="11"/>
        <v>0.60272086294964955</v>
      </c>
      <c r="AU262" s="8">
        <v>1</v>
      </c>
      <c r="AV262" s="42">
        <f t="shared" ca="1" si="172"/>
        <v>220</v>
      </c>
      <c r="AX262" s="43">
        <f t="shared" ca="1" si="12"/>
        <v>0.76507831684817773</v>
      </c>
      <c r="AY262" s="8">
        <v>1</v>
      </c>
      <c r="AZ262" s="42">
        <f t="shared" ca="1" si="173"/>
        <v>279</v>
      </c>
      <c r="BB262" s="43">
        <f t="shared" ca="1" si="13"/>
        <v>6.196388613009951E-2</v>
      </c>
      <c r="BC262" s="8">
        <v>1</v>
      </c>
      <c r="BD262" s="42">
        <f t="shared" ca="1" si="174"/>
        <v>119</v>
      </c>
      <c r="BF262" s="43">
        <f t="shared" ca="1" si="14"/>
        <v>0.18645103560041931</v>
      </c>
      <c r="BG262" s="8">
        <v>1</v>
      </c>
      <c r="BH262" s="42">
        <f t="shared" ca="1" si="175"/>
        <v>129</v>
      </c>
      <c r="BJ262" s="43">
        <f t="shared" ca="1" si="15"/>
        <v>0.14160783381320152</v>
      </c>
      <c r="BK262" s="8">
        <v>1</v>
      </c>
      <c r="BL262" s="42">
        <f t="shared" ca="1" si="176"/>
        <v>154</v>
      </c>
      <c r="BN262" s="43">
        <f t="shared" ca="1" si="16"/>
        <v>0.44116384061278058</v>
      </c>
      <c r="BO262" s="8">
        <v>1</v>
      </c>
      <c r="BP262" s="42">
        <f t="shared" ca="1" si="177"/>
        <v>155</v>
      </c>
      <c r="BR262" s="43">
        <f t="shared" ca="1" si="17"/>
        <v>0.36852237827788414</v>
      </c>
      <c r="BS262" s="8">
        <v>1</v>
      </c>
      <c r="BT262" s="42">
        <f t="shared" ca="1" si="178"/>
        <v>200</v>
      </c>
    </row>
    <row r="263" spans="1:72" x14ac:dyDescent="0.2">
      <c r="A263" s="22">
        <v>44810</v>
      </c>
      <c r="B263" s="43">
        <f t="shared" ca="1" si="0"/>
        <v>0.1998303527228521</v>
      </c>
      <c r="C263" s="8">
        <v>1</v>
      </c>
      <c r="D263" s="42">
        <f t="shared" ca="1" si="161"/>
        <v>84</v>
      </c>
      <c r="F263" s="43">
        <f t="shared" ca="1" si="1"/>
        <v>0.22644670429652336</v>
      </c>
      <c r="G263" s="8">
        <v>1</v>
      </c>
      <c r="H263" s="42">
        <f t="shared" ca="1" si="162"/>
        <v>173</v>
      </c>
      <c r="J263" s="43">
        <f t="shared" ca="1" si="2"/>
        <v>0.55338119294355581</v>
      </c>
      <c r="K263" s="8">
        <v>1</v>
      </c>
      <c r="L263" s="42">
        <f t="shared" ca="1" si="163"/>
        <v>156</v>
      </c>
      <c r="N263" s="43">
        <f t="shared" ca="1" si="3"/>
        <v>0.8497749628773118</v>
      </c>
      <c r="O263" s="8">
        <v>1</v>
      </c>
      <c r="P263" s="42">
        <f t="shared" ca="1" si="164"/>
        <v>293</v>
      </c>
      <c r="R263" s="43">
        <f t="shared" ca="1" si="4"/>
        <v>6.9269361315638323E-2</v>
      </c>
      <c r="S263" s="8">
        <v>1</v>
      </c>
      <c r="T263" s="42">
        <f t="shared" ca="1" si="165"/>
        <v>84</v>
      </c>
      <c r="V263" s="43">
        <f t="shared" ca="1" si="5"/>
        <v>0.89269477757323645</v>
      </c>
      <c r="W263" s="8">
        <v>1</v>
      </c>
      <c r="X263" s="42">
        <f t="shared" ca="1" si="166"/>
        <v>300</v>
      </c>
      <c r="Z263" s="43">
        <f t="shared" ca="1" si="6"/>
        <v>0.37079379181771066</v>
      </c>
      <c r="AA263" s="8">
        <v>1</v>
      </c>
      <c r="AB263" s="42">
        <f t="shared" ca="1" si="167"/>
        <v>247</v>
      </c>
      <c r="AD263" s="43">
        <f t="shared" ca="1" si="7"/>
        <v>0.64961526567954575</v>
      </c>
      <c r="AE263" s="8">
        <v>1</v>
      </c>
      <c r="AF263" s="42">
        <f t="shared" ca="1" si="168"/>
        <v>361</v>
      </c>
      <c r="AH263" s="43">
        <f t="shared" ca="1" si="8"/>
        <v>0.91804013832366993</v>
      </c>
      <c r="AI263" s="8">
        <v>1</v>
      </c>
      <c r="AJ263" s="42">
        <f t="shared" ca="1" si="169"/>
        <v>234</v>
      </c>
      <c r="AL263" s="43">
        <f t="shared" ca="1" si="9"/>
        <v>6.7547476460225742E-3</v>
      </c>
      <c r="AM263" s="8">
        <v>1</v>
      </c>
      <c r="AN263" s="42">
        <f t="shared" ca="1" si="170"/>
        <v>80</v>
      </c>
      <c r="AP263" s="43">
        <f t="shared" ca="1" si="10"/>
        <v>0.36469611329547591</v>
      </c>
      <c r="AQ263" s="8">
        <v>1</v>
      </c>
      <c r="AR263" s="42">
        <f t="shared" ca="1" si="171"/>
        <v>180</v>
      </c>
      <c r="AT263" s="43">
        <f t="shared" ca="1" si="11"/>
        <v>0.40367612353865867</v>
      </c>
      <c r="AU263" s="8">
        <v>1</v>
      </c>
      <c r="AV263" s="42">
        <f t="shared" ca="1" si="172"/>
        <v>193</v>
      </c>
      <c r="AX263" s="43">
        <f t="shared" ca="1" si="12"/>
        <v>0.22234564746669061</v>
      </c>
      <c r="AY263" s="8">
        <v>1</v>
      </c>
      <c r="AZ263" s="42">
        <f t="shared" ca="1" si="173"/>
        <v>186</v>
      </c>
      <c r="BB263" s="43">
        <f t="shared" ca="1" si="13"/>
        <v>0.3318894262016524</v>
      </c>
      <c r="BC263" s="8">
        <v>1</v>
      </c>
      <c r="BD263" s="42">
        <f t="shared" ca="1" si="174"/>
        <v>178</v>
      </c>
      <c r="BF263" s="43">
        <f t="shared" ca="1" si="14"/>
        <v>0.15507549815955723</v>
      </c>
      <c r="BG263" s="8">
        <v>1</v>
      </c>
      <c r="BH263" s="42">
        <f t="shared" ca="1" si="175"/>
        <v>123</v>
      </c>
      <c r="BJ263" s="43">
        <f t="shared" ca="1" si="15"/>
        <v>0.81818451445983231</v>
      </c>
      <c r="BK263" s="8">
        <v>1</v>
      </c>
      <c r="BL263" s="42">
        <f t="shared" ca="1" si="176"/>
        <v>268</v>
      </c>
      <c r="BN263" s="43">
        <f t="shared" ca="1" si="16"/>
        <v>0.80863040832404043</v>
      </c>
      <c r="BO263" s="8">
        <v>1</v>
      </c>
      <c r="BP263" s="42">
        <f t="shared" ca="1" si="177"/>
        <v>199</v>
      </c>
      <c r="BR263" s="43">
        <f t="shared" ca="1" si="17"/>
        <v>0.32633612362424613</v>
      </c>
      <c r="BS263" s="8">
        <v>1</v>
      </c>
      <c r="BT263" s="42">
        <f t="shared" ca="1" si="178"/>
        <v>193</v>
      </c>
    </row>
    <row r="264" spans="1:72" x14ac:dyDescent="0.2">
      <c r="A264" s="22">
        <v>44811</v>
      </c>
      <c r="B264" s="43">
        <f t="shared" ca="1" si="0"/>
        <v>0.1916784140975375</v>
      </c>
      <c r="C264" s="8">
        <v>1</v>
      </c>
      <c r="D264" s="42">
        <f t="shared" ca="1" si="161"/>
        <v>83</v>
      </c>
      <c r="F264" s="43">
        <f t="shared" ca="1" si="1"/>
        <v>0.39480877646507861</v>
      </c>
      <c r="G264" s="8">
        <v>1</v>
      </c>
      <c r="H264" s="42">
        <f t="shared" ca="1" si="162"/>
        <v>201</v>
      </c>
      <c r="J264" s="43">
        <f t="shared" ca="1" si="2"/>
        <v>0.96658475582878123</v>
      </c>
      <c r="K264" s="8">
        <v>1</v>
      </c>
      <c r="L264" s="42">
        <f t="shared" ca="1" si="163"/>
        <v>224</v>
      </c>
      <c r="N264" s="43">
        <f t="shared" ca="1" si="3"/>
        <v>0.36280057872663973</v>
      </c>
      <c r="O264" s="8">
        <v>1</v>
      </c>
      <c r="P264" s="42">
        <f t="shared" ca="1" si="164"/>
        <v>208</v>
      </c>
      <c r="R264" s="43">
        <f t="shared" ca="1" si="4"/>
        <v>0.47636888212241935</v>
      </c>
      <c r="S264" s="8">
        <v>1</v>
      </c>
      <c r="T264" s="42">
        <f t="shared" ca="1" si="165"/>
        <v>137</v>
      </c>
      <c r="V264" s="43">
        <f t="shared" ca="1" si="5"/>
        <v>0.16820183197111949</v>
      </c>
      <c r="W264" s="8">
        <v>1</v>
      </c>
      <c r="X264" s="42">
        <f t="shared" ca="1" si="166"/>
        <v>168</v>
      </c>
      <c r="Z264" s="43">
        <f t="shared" ca="1" si="6"/>
        <v>0.72288674606245862</v>
      </c>
      <c r="AA264" s="8">
        <v>1</v>
      </c>
      <c r="AB264" s="42">
        <f t="shared" ca="1" si="167"/>
        <v>313</v>
      </c>
      <c r="AD264" s="43">
        <f t="shared" ca="1" si="7"/>
        <v>0.7572969850997836</v>
      </c>
      <c r="AE264" s="8">
        <v>1</v>
      </c>
      <c r="AF264" s="42">
        <f t="shared" ca="1" si="168"/>
        <v>388</v>
      </c>
      <c r="AH264" s="43">
        <f t="shared" ca="1" si="8"/>
        <v>0.25728319046488057</v>
      </c>
      <c r="AI264" s="8">
        <v>1</v>
      </c>
      <c r="AJ264" s="42">
        <f t="shared" ca="1" si="169"/>
        <v>141</v>
      </c>
      <c r="AL264" s="43">
        <f t="shared" ca="1" si="9"/>
        <v>0.82354226774070827</v>
      </c>
      <c r="AM264" s="8">
        <v>1</v>
      </c>
      <c r="AN264" s="42">
        <f t="shared" ca="1" si="170"/>
        <v>290</v>
      </c>
      <c r="AP264" s="43">
        <f t="shared" ca="1" si="10"/>
        <v>0.74458117464975493</v>
      </c>
      <c r="AQ264" s="8">
        <v>1</v>
      </c>
      <c r="AR264" s="42">
        <f t="shared" ca="1" si="171"/>
        <v>233</v>
      </c>
      <c r="AT264" s="43">
        <f t="shared" ca="1" si="11"/>
        <v>0.96268609593348609</v>
      </c>
      <c r="AU264" s="8">
        <v>1</v>
      </c>
      <c r="AV264" s="42">
        <f t="shared" ca="1" si="172"/>
        <v>304</v>
      </c>
      <c r="AX264" s="43">
        <f t="shared" ca="1" si="12"/>
        <v>0.1071013197963564</v>
      </c>
      <c r="AY264" s="8">
        <v>1</v>
      </c>
      <c r="AZ264" s="42">
        <f t="shared" ca="1" si="173"/>
        <v>157</v>
      </c>
      <c r="BB264" s="43">
        <f t="shared" ca="1" si="13"/>
        <v>0.22719345423189441</v>
      </c>
      <c r="BC264" s="8">
        <v>1</v>
      </c>
      <c r="BD264" s="42">
        <f t="shared" ca="1" si="174"/>
        <v>161</v>
      </c>
      <c r="BF264" s="43">
        <f t="shared" ca="1" si="14"/>
        <v>0.17329024358846989</v>
      </c>
      <c r="BG264" s="8">
        <v>1</v>
      </c>
      <c r="BH264" s="42">
        <f t="shared" ca="1" si="175"/>
        <v>127</v>
      </c>
      <c r="BJ264" s="43">
        <f t="shared" ca="1" si="15"/>
        <v>0.93065338013310994</v>
      </c>
      <c r="BK264" s="8">
        <v>1</v>
      </c>
      <c r="BL264" s="42">
        <f t="shared" ca="1" si="176"/>
        <v>301</v>
      </c>
      <c r="BN264" s="43">
        <f t="shared" ca="1" si="16"/>
        <v>0.42909236162826558</v>
      </c>
      <c r="BO264" s="8">
        <v>1</v>
      </c>
      <c r="BP264" s="42">
        <f t="shared" ca="1" si="177"/>
        <v>153</v>
      </c>
      <c r="BR264" s="43">
        <f t="shared" ca="1" si="17"/>
        <v>0.2597787089016711</v>
      </c>
      <c r="BS264" s="8">
        <v>1</v>
      </c>
      <c r="BT264" s="42">
        <f t="shared" ca="1" si="178"/>
        <v>182</v>
      </c>
    </row>
    <row r="265" spans="1:72" x14ac:dyDescent="0.2">
      <c r="A265" s="22">
        <v>44812</v>
      </c>
      <c r="B265" s="43">
        <f t="shared" ca="1" si="0"/>
        <v>5.848450784707282E-2</v>
      </c>
      <c r="C265" s="8">
        <v>1</v>
      </c>
      <c r="D265" s="42">
        <f t="shared" ca="1" si="161"/>
        <v>69</v>
      </c>
      <c r="F265" s="43">
        <f t="shared" ca="1" si="1"/>
        <v>0.61660411405970283</v>
      </c>
      <c r="G265" s="8">
        <v>1</v>
      </c>
      <c r="H265" s="42">
        <f t="shared" ca="1" si="162"/>
        <v>233</v>
      </c>
      <c r="J265" s="43">
        <f t="shared" ca="1" si="2"/>
        <v>3.6384372825972733E-3</v>
      </c>
      <c r="K265" s="8">
        <v>1</v>
      </c>
      <c r="L265" s="42">
        <f t="shared" ca="1" si="163"/>
        <v>43</v>
      </c>
      <c r="N265" s="43">
        <f t="shared" ca="1" si="3"/>
        <v>0.32401458997086685</v>
      </c>
      <c r="O265" s="8">
        <v>1</v>
      </c>
      <c r="P265" s="42">
        <f t="shared" ca="1" si="164"/>
        <v>202</v>
      </c>
      <c r="R265" s="43">
        <f t="shared" ca="1" si="4"/>
        <v>0.9176587940517299</v>
      </c>
      <c r="S265" s="8">
        <v>1</v>
      </c>
      <c r="T265" s="42">
        <f t="shared" ca="1" si="165"/>
        <v>191</v>
      </c>
      <c r="V265" s="43">
        <f t="shared" ca="1" si="5"/>
        <v>0.91927610036242347</v>
      </c>
      <c r="W265" s="8">
        <v>1</v>
      </c>
      <c r="X265" s="42">
        <f t="shared" ca="1" si="166"/>
        <v>310</v>
      </c>
      <c r="Z265" s="43">
        <f t="shared" ca="1" si="6"/>
        <v>6.2236751022345049E-2</v>
      </c>
      <c r="AA265" s="8">
        <v>1</v>
      </c>
      <c r="AB265" s="42">
        <f t="shared" ca="1" si="167"/>
        <v>160</v>
      </c>
      <c r="AD265" s="43">
        <f t="shared" ca="1" si="7"/>
        <v>0.20507698821930476</v>
      </c>
      <c r="AE265" s="8">
        <v>1</v>
      </c>
      <c r="AF265" s="42">
        <f t="shared" ca="1" si="168"/>
        <v>256</v>
      </c>
      <c r="AH265" s="43">
        <f t="shared" ca="1" si="8"/>
        <v>0.17600153789114703</v>
      </c>
      <c r="AI265" s="8">
        <v>1</v>
      </c>
      <c r="AJ265" s="42">
        <f t="shared" ca="1" si="169"/>
        <v>129</v>
      </c>
      <c r="AL265" s="43">
        <f t="shared" ca="1" si="9"/>
        <v>0.34807936651609306</v>
      </c>
      <c r="AM265" s="8">
        <v>1</v>
      </c>
      <c r="AN265" s="42">
        <f t="shared" ca="1" si="170"/>
        <v>208</v>
      </c>
      <c r="AP265" s="43">
        <f t="shared" ca="1" si="10"/>
        <v>0.89374192353696436</v>
      </c>
      <c r="AQ265" s="8">
        <v>1</v>
      </c>
      <c r="AR265" s="42">
        <f t="shared" ca="1" si="171"/>
        <v>264</v>
      </c>
      <c r="AT265" s="43">
        <f t="shared" ca="1" si="11"/>
        <v>0.5263241158409252</v>
      </c>
      <c r="AU265" s="8">
        <v>1</v>
      </c>
      <c r="AV265" s="42">
        <f t="shared" ca="1" si="172"/>
        <v>210</v>
      </c>
      <c r="AX265" s="43">
        <f t="shared" ca="1" si="12"/>
        <v>0.53923822810091093</v>
      </c>
      <c r="AY265" s="8">
        <v>1</v>
      </c>
      <c r="AZ265" s="42">
        <f t="shared" ca="1" si="173"/>
        <v>240</v>
      </c>
      <c r="BB265" s="43">
        <f t="shared" ca="1" si="13"/>
        <v>9.4106053867580863E-3</v>
      </c>
      <c r="BC265" s="8">
        <v>1</v>
      </c>
      <c r="BD265" s="42">
        <f t="shared" ca="1" si="174"/>
        <v>75</v>
      </c>
      <c r="BF265" s="43">
        <f t="shared" ca="1" si="14"/>
        <v>0.13239858342094624</v>
      </c>
      <c r="BG265" s="8">
        <v>1</v>
      </c>
      <c r="BH265" s="42">
        <f t="shared" ca="1" si="175"/>
        <v>119</v>
      </c>
      <c r="BJ265" s="43">
        <f t="shared" ca="1" si="15"/>
        <v>0.88864886670675336</v>
      </c>
      <c r="BK265" s="8">
        <v>1</v>
      </c>
      <c r="BL265" s="42">
        <f t="shared" ca="1" si="176"/>
        <v>286</v>
      </c>
      <c r="BN265" s="43">
        <f t="shared" ca="1" si="16"/>
        <v>0.20807280862081889</v>
      </c>
      <c r="BO265" s="8">
        <v>1</v>
      </c>
      <c r="BP265" s="42">
        <f t="shared" ca="1" si="177"/>
        <v>126</v>
      </c>
      <c r="BR265" s="43">
        <f t="shared" ca="1" si="17"/>
        <v>0.30492953457785266</v>
      </c>
      <c r="BS265" s="8">
        <v>1</v>
      </c>
      <c r="BT265" s="42">
        <f t="shared" ca="1" si="178"/>
        <v>190</v>
      </c>
    </row>
    <row r="266" spans="1:72" x14ac:dyDescent="0.2">
      <c r="A266" s="22">
        <v>44813</v>
      </c>
      <c r="B266" s="43">
        <f t="shared" ca="1" si="0"/>
        <v>0.12857732394578503</v>
      </c>
      <c r="C266" s="8">
        <v>1</v>
      </c>
      <c r="D266" s="42">
        <f t="shared" ca="1" si="161"/>
        <v>78</v>
      </c>
      <c r="F266" s="43">
        <f t="shared" ca="1" si="1"/>
        <v>0.51521482259279061</v>
      </c>
      <c r="G266" s="8">
        <v>1</v>
      </c>
      <c r="H266" s="42">
        <f t="shared" ca="1" si="162"/>
        <v>218</v>
      </c>
      <c r="J266" s="43">
        <f t="shared" ca="1" si="2"/>
        <v>0.54125859574214286</v>
      </c>
      <c r="K266" s="8">
        <v>1</v>
      </c>
      <c r="L266" s="42">
        <f t="shared" ca="1" si="163"/>
        <v>155</v>
      </c>
      <c r="N266" s="43">
        <f t="shared" ca="1" si="3"/>
        <v>0.33736031208959871</v>
      </c>
      <c r="O266" s="8">
        <v>1</v>
      </c>
      <c r="P266" s="42">
        <f t="shared" ca="1" si="164"/>
        <v>204</v>
      </c>
      <c r="R266" s="43">
        <f t="shared" ca="1" si="4"/>
        <v>0.61866599853266868</v>
      </c>
      <c r="S266" s="8">
        <v>1</v>
      </c>
      <c r="T266" s="42">
        <f t="shared" ca="1" si="165"/>
        <v>150</v>
      </c>
      <c r="V266" s="43">
        <f t="shared" ca="1" si="5"/>
        <v>0.34676732356245066</v>
      </c>
      <c r="W266" s="8">
        <v>1</v>
      </c>
      <c r="X266" s="42">
        <f t="shared" ca="1" si="166"/>
        <v>202</v>
      </c>
      <c r="Z266" s="43">
        <f t="shared" ca="1" si="6"/>
        <v>0.67720040076968624</v>
      </c>
      <c r="AA266" s="8">
        <v>1</v>
      </c>
      <c r="AB266" s="42">
        <f t="shared" ca="1" si="167"/>
        <v>304</v>
      </c>
      <c r="AD266" s="43">
        <f t="shared" ca="1" si="7"/>
        <v>0.43309920264680468</v>
      </c>
      <c r="AE266" s="8">
        <v>1</v>
      </c>
      <c r="AF266" s="42">
        <f t="shared" ca="1" si="168"/>
        <v>313</v>
      </c>
      <c r="AH266" s="43">
        <f t="shared" ca="1" si="8"/>
        <v>0.48439411221015494</v>
      </c>
      <c r="AI266" s="8">
        <v>1</v>
      </c>
      <c r="AJ266" s="42">
        <f t="shared" ca="1" si="169"/>
        <v>169</v>
      </c>
      <c r="AL266" s="43">
        <f t="shared" ca="1" si="9"/>
        <v>0.91163564364945204</v>
      </c>
      <c r="AM266" s="8">
        <v>1</v>
      </c>
      <c r="AN266" s="42">
        <f t="shared" ca="1" si="170"/>
        <v>316</v>
      </c>
      <c r="AP266" s="43">
        <f t="shared" ca="1" si="10"/>
        <v>0.9712946378371492</v>
      </c>
      <c r="AQ266" s="8">
        <v>1</v>
      </c>
      <c r="AR266" s="42">
        <f t="shared" ca="1" si="171"/>
        <v>299</v>
      </c>
      <c r="AT266" s="43">
        <f t="shared" ca="1" si="11"/>
        <v>0.91046714606981138</v>
      </c>
      <c r="AU266" s="8">
        <v>1</v>
      </c>
      <c r="AV266" s="42">
        <f t="shared" ca="1" si="172"/>
        <v>280</v>
      </c>
      <c r="AX266" s="43">
        <f t="shared" ca="1" si="12"/>
        <v>0.73305329908843486</v>
      </c>
      <c r="AY266" s="8">
        <v>1</v>
      </c>
      <c r="AZ266" s="42">
        <f t="shared" ca="1" si="173"/>
        <v>273</v>
      </c>
      <c r="BB266" s="43">
        <f t="shared" ca="1" si="13"/>
        <v>0.9325045945285142</v>
      </c>
      <c r="BC266" s="8">
        <v>1</v>
      </c>
      <c r="BD266" s="42">
        <f t="shared" ca="1" si="174"/>
        <v>281</v>
      </c>
      <c r="BF266" s="43">
        <f t="shared" ca="1" si="14"/>
        <v>0.53789007667181354</v>
      </c>
      <c r="BG266" s="8">
        <v>1</v>
      </c>
      <c r="BH266" s="42">
        <f t="shared" ca="1" si="175"/>
        <v>173</v>
      </c>
      <c r="BJ266" s="43">
        <f t="shared" ca="1" si="15"/>
        <v>0.34792216497010953</v>
      </c>
      <c r="BK266" s="8">
        <v>1</v>
      </c>
      <c r="BL266" s="42">
        <f t="shared" ca="1" si="176"/>
        <v>194</v>
      </c>
      <c r="BN266" s="43">
        <f t="shared" ca="1" si="16"/>
        <v>0.70764254181042185</v>
      </c>
      <c r="BO266" s="8">
        <v>1</v>
      </c>
      <c r="BP266" s="42">
        <f t="shared" ca="1" si="177"/>
        <v>185</v>
      </c>
      <c r="BR266" s="43">
        <f t="shared" ca="1" si="17"/>
        <v>0.47950097178141504</v>
      </c>
      <c r="BS266" s="8">
        <v>1</v>
      </c>
      <c r="BT266" s="42">
        <f t="shared" ca="1" si="178"/>
        <v>217</v>
      </c>
    </row>
    <row r="267" spans="1:72" x14ac:dyDescent="0.2">
      <c r="A267" s="22">
        <v>44814</v>
      </c>
      <c r="B267" s="43">
        <f t="shared" ca="1" si="0"/>
        <v>0.28782081145794303</v>
      </c>
      <c r="C267" s="8">
        <v>1</v>
      </c>
      <c r="D267" s="42">
        <f t="shared" ca="1" si="161"/>
        <v>89</v>
      </c>
      <c r="F267" s="43">
        <f t="shared" ca="1" si="1"/>
        <v>0.95903674621844226</v>
      </c>
      <c r="G267" s="8">
        <v>1</v>
      </c>
      <c r="H267" s="42">
        <f t="shared" ca="1" si="162"/>
        <v>316</v>
      </c>
      <c r="J267" s="43">
        <f t="shared" ca="1" si="2"/>
        <v>0.61091334163601674</v>
      </c>
      <c r="K267" s="8">
        <v>1</v>
      </c>
      <c r="L267" s="42">
        <f t="shared" ca="1" si="163"/>
        <v>162</v>
      </c>
      <c r="N267" s="43">
        <f t="shared" ca="1" si="3"/>
        <v>8.7402547055545066E-2</v>
      </c>
      <c r="O267" s="8">
        <v>1</v>
      </c>
      <c r="P267" s="42">
        <f t="shared" ca="1" si="164"/>
        <v>147</v>
      </c>
      <c r="R267" s="43">
        <f t="shared" ca="1" si="4"/>
        <v>4.9701465061952499E-2</v>
      </c>
      <c r="S267" s="8">
        <v>1</v>
      </c>
      <c r="T267" s="42">
        <f t="shared" ca="1" si="165"/>
        <v>78</v>
      </c>
      <c r="V267" s="43">
        <f t="shared" ca="1" si="5"/>
        <v>0.47657492645128963</v>
      </c>
      <c r="W267" s="8">
        <v>1</v>
      </c>
      <c r="X267" s="42">
        <f t="shared" ca="1" si="166"/>
        <v>222</v>
      </c>
      <c r="Z267" s="43">
        <f t="shared" ca="1" si="6"/>
        <v>0.92516641033960012</v>
      </c>
      <c r="AA267" s="8">
        <v>1</v>
      </c>
      <c r="AB267" s="42">
        <f t="shared" ca="1" si="167"/>
        <v>374</v>
      </c>
      <c r="AD267" s="43">
        <f t="shared" ca="1" si="7"/>
        <v>0.62447561206659952</v>
      </c>
      <c r="AE267" s="8">
        <v>1</v>
      </c>
      <c r="AF267" s="42">
        <f t="shared" ca="1" si="168"/>
        <v>355</v>
      </c>
      <c r="AH267" s="43">
        <f t="shared" ca="1" si="8"/>
        <v>0.8126336574878088</v>
      </c>
      <c r="AI267" s="8">
        <v>1</v>
      </c>
      <c r="AJ267" s="42">
        <f t="shared" ca="1" si="169"/>
        <v>211</v>
      </c>
      <c r="AL267" s="43">
        <f t="shared" ca="1" si="9"/>
        <v>0.56175800242734131</v>
      </c>
      <c r="AM267" s="8">
        <v>1</v>
      </c>
      <c r="AN267" s="42">
        <f t="shared" ca="1" si="170"/>
        <v>242</v>
      </c>
      <c r="AP267" s="43">
        <f t="shared" ca="1" si="10"/>
        <v>0.27998394216630929</v>
      </c>
      <c r="AQ267" s="8">
        <v>1</v>
      </c>
      <c r="AR267" s="42">
        <f t="shared" ca="1" si="171"/>
        <v>168</v>
      </c>
      <c r="AT267" s="43">
        <f t="shared" ca="1" si="11"/>
        <v>7.2156300654991679E-2</v>
      </c>
      <c r="AU267" s="8">
        <v>1</v>
      </c>
      <c r="AV267" s="42">
        <f t="shared" ca="1" si="172"/>
        <v>126</v>
      </c>
      <c r="AX267" s="43">
        <f t="shared" ca="1" si="12"/>
        <v>4.207681606205127E-2</v>
      </c>
      <c r="AY267" s="8">
        <v>1</v>
      </c>
      <c r="AZ267" s="42">
        <f t="shared" ca="1" si="173"/>
        <v>126</v>
      </c>
      <c r="BB267" s="43">
        <f t="shared" ca="1" si="13"/>
        <v>0.39590737810280174</v>
      </c>
      <c r="BC267" s="8">
        <v>1</v>
      </c>
      <c r="BD267" s="42">
        <f t="shared" ca="1" si="174"/>
        <v>187</v>
      </c>
      <c r="BF267" s="43">
        <f t="shared" ca="1" si="14"/>
        <v>5.3875711527062609E-2</v>
      </c>
      <c r="BG267" s="8">
        <v>1</v>
      </c>
      <c r="BH267" s="42">
        <f t="shared" ca="1" si="175"/>
        <v>97</v>
      </c>
      <c r="BJ267" s="43">
        <f t="shared" ca="1" si="15"/>
        <v>0.69534805747830142</v>
      </c>
      <c r="BK267" s="8">
        <v>1</v>
      </c>
      <c r="BL267" s="42">
        <f t="shared" ca="1" si="176"/>
        <v>246</v>
      </c>
      <c r="BN267" s="43">
        <f t="shared" ca="1" si="16"/>
        <v>0.59565464600777085</v>
      </c>
      <c r="BO267" s="8">
        <v>1</v>
      </c>
      <c r="BP267" s="42">
        <f t="shared" ca="1" si="177"/>
        <v>172</v>
      </c>
      <c r="BR267" s="43">
        <f t="shared" ca="1" si="17"/>
        <v>0.68878233881234219</v>
      </c>
      <c r="BS267" s="8">
        <v>1</v>
      </c>
      <c r="BT267" s="42">
        <f t="shared" ca="1" si="178"/>
        <v>249</v>
      </c>
    </row>
    <row r="268" spans="1:72" x14ac:dyDescent="0.2">
      <c r="A268" s="22">
        <v>44815</v>
      </c>
      <c r="B268" s="43">
        <f t="shared" ca="1" si="0"/>
        <v>0.82650374453921027</v>
      </c>
      <c r="C268" s="8">
        <v>1</v>
      </c>
      <c r="D268" s="42">
        <f t="shared" ca="1" si="161"/>
        <v>119</v>
      </c>
      <c r="F268" s="43">
        <f t="shared" ca="1" si="1"/>
        <v>0.46486588362806869</v>
      </c>
      <c r="G268" s="8">
        <v>1</v>
      </c>
      <c r="H268" s="42">
        <f t="shared" ca="1" si="162"/>
        <v>211</v>
      </c>
      <c r="J268" s="43">
        <f t="shared" ca="1" si="2"/>
        <v>0.88512090089744211</v>
      </c>
      <c r="K268" s="8">
        <v>1</v>
      </c>
      <c r="L268" s="42">
        <f t="shared" ca="1" si="163"/>
        <v>199</v>
      </c>
      <c r="N268" s="43">
        <f t="shared" ca="1" si="3"/>
        <v>0.67842575402403937</v>
      </c>
      <c r="O268" s="8">
        <v>1</v>
      </c>
      <c r="P268" s="42">
        <f t="shared" ca="1" si="164"/>
        <v>258</v>
      </c>
      <c r="R268" s="43">
        <f t="shared" ca="1" si="4"/>
        <v>0.53502270767254345</v>
      </c>
      <c r="S268" s="8">
        <v>1</v>
      </c>
      <c r="T268" s="42">
        <f t="shared" ca="1" si="165"/>
        <v>143</v>
      </c>
      <c r="V268" s="43">
        <f t="shared" ca="1" si="5"/>
        <v>0.17264828701411483</v>
      </c>
      <c r="W268" s="8">
        <v>1</v>
      </c>
      <c r="X268" s="42">
        <f t="shared" ca="1" si="166"/>
        <v>169</v>
      </c>
      <c r="Z268" s="43">
        <f t="shared" ca="1" si="6"/>
        <v>8.1575314928470477E-2</v>
      </c>
      <c r="AA268" s="8">
        <v>1</v>
      </c>
      <c r="AB268" s="42">
        <f t="shared" ca="1" si="167"/>
        <v>170</v>
      </c>
      <c r="AD268" s="43">
        <f t="shared" ca="1" si="7"/>
        <v>2.1897022738932792E-2</v>
      </c>
      <c r="AE268" s="8">
        <v>1</v>
      </c>
      <c r="AF268" s="42">
        <f t="shared" ca="1" si="168"/>
        <v>152</v>
      </c>
      <c r="AH268" s="43">
        <f t="shared" ca="1" si="8"/>
        <v>0.25230862308964608</v>
      </c>
      <c r="AI268" s="8">
        <v>1</v>
      </c>
      <c r="AJ268" s="42">
        <f t="shared" ca="1" si="169"/>
        <v>141</v>
      </c>
      <c r="AL268" s="43">
        <f t="shared" ca="1" si="9"/>
        <v>0.23127748335220999</v>
      </c>
      <c r="AM268" s="8">
        <v>1</v>
      </c>
      <c r="AN268" s="42">
        <f t="shared" ca="1" si="170"/>
        <v>187</v>
      </c>
      <c r="AP268" s="43">
        <f t="shared" ca="1" si="10"/>
        <v>0.25852774691557212</v>
      </c>
      <c r="AQ268" s="8">
        <v>1</v>
      </c>
      <c r="AR268" s="42">
        <f t="shared" ca="1" si="171"/>
        <v>164</v>
      </c>
      <c r="AT268" s="43">
        <f t="shared" ca="1" si="11"/>
        <v>0.2782362803259415</v>
      </c>
      <c r="AU268" s="8">
        <v>1</v>
      </c>
      <c r="AV268" s="42">
        <f t="shared" ca="1" si="172"/>
        <v>174</v>
      </c>
      <c r="AX268" s="43">
        <f t="shared" ca="1" si="12"/>
        <v>4.5713828422250136E-2</v>
      </c>
      <c r="AY268" s="8">
        <v>1</v>
      </c>
      <c r="AZ268" s="42">
        <f t="shared" ca="1" si="173"/>
        <v>129</v>
      </c>
      <c r="BB268" s="43">
        <f t="shared" ca="1" si="13"/>
        <v>5.1711850243846835E-2</v>
      </c>
      <c r="BC268" s="8">
        <v>1</v>
      </c>
      <c r="BD268" s="42">
        <f t="shared" ca="1" si="174"/>
        <v>114</v>
      </c>
      <c r="BF268" s="43">
        <f t="shared" ca="1" si="14"/>
        <v>6.7032895660820491E-2</v>
      </c>
      <c r="BG268" s="8">
        <v>1</v>
      </c>
      <c r="BH268" s="42">
        <f t="shared" ca="1" si="175"/>
        <v>102</v>
      </c>
      <c r="BJ268" s="43">
        <f t="shared" ca="1" si="15"/>
        <v>0.8168720780937514</v>
      </c>
      <c r="BK268" s="8">
        <v>1</v>
      </c>
      <c r="BL268" s="42">
        <f t="shared" ca="1" si="176"/>
        <v>268</v>
      </c>
      <c r="BN268" s="43">
        <f t="shared" ca="1" si="16"/>
        <v>0.34902457840014933</v>
      </c>
      <c r="BO268" s="8">
        <v>1</v>
      </c>
      <c r="BP268" s="42">
        <f t="shared" ca="1" si="177"/>
        <v>145</v>
      </c>
      <c r="BR268" s="43">
        <f t="shared" ca="1" si="17"/>
        <v>0.92470542610027928</v>
      </c>
      <c r="BS268" s="8">
        <v>1</v>
      </c>
      <c r="BT268" s="42">
        <f t="shared" ca="1" si="178"/>
        <v>304</v>
      </c>
    </row>
    <row r="269" spans="1:72" x14ac:dyDescent="0.2">
      <c r="A269" s="22">
        <v>44816</v>
      </c>
      <c r="B269" s="43">
        <f t="shared" ca="1" si="0"/>
        <v>0.23032772183116357</v>
      </c>
      <c r="C269" s="8">
        <v>1</v>
      </c>
      <c r="D269" s="42">
        <f t="shared" ca="1" si="161"/>
        <v>86</v>
      </c>
      <c r="F269" s="43">
        <f t="shared" ca="1" si="1"/>
        <v>0.50500466364490437</v>
      </c>
      <c r="G269" s="8">
        <v>1</v>
      </c>
      <c r="H269" s="42">
        <f t="shared" ca="1" si="162"/>
        <v>217</v>
      </c>
      <c r="J269" s="43">
        <f t="shared" ca="1" si="2"/>
        <v>0.91998019588641722</v>
      </c>
      <c r="K269" s="8">
        <v>1</v>
      </c>
      <c r="L269" s="42">
        <f t="shared" ca="1" si="163"/>
        <v>207</v>
      </c>
      <c r="N269" s="43">
        <f t="shared" ca="1" si="3"/>
        <v>1.883870572259172E-2</v>
      </c>
      <c r="O269" s="8">
        <v>1</v>
      </c>
      <c r="P269" s="42">
        <f t="shared" ca="1" si="164"/>
        <v>103</v>
      </c>
      <c r="R269" s="43">
        <f t="shared" ca="1" si="4"/>
        <v>0.25890326559258259</v>
      </c>
      <c r="S269" s="8">
        <v>1</v>
      </c>
      <c r="T269" s="42">
        <f t="shared" ca="1" si="165"/>
        <v>115</v>
      </c>
      <c r="V269" s="43">
        <f t="shared" ca="1" si="5"/>
        <v>0.52817834373811468</v>
      </c>
      <c r="W269" s="8">
        <v>1</v>
      </c>
      <c r="X269" s="42">
        <f t="shared" ca="1" si="166"/>
        <v>230</v>
      </c>
      <c r="Z269" s="43">
        <f t="shared" ca="1" si="6"/>
        <v>0.61473922110938162</v>
      </c>
      <c r="AA269" s="8">
        <v>1</v>
      </c>
      <c r="AB269" s="42">
        <f t="shared" ca="1" si="167"/>
        <v>292</v>
      </c>
      <c r="AD269" s="43">
        <f t="shared" ca="1" si="7"/>
        <v>0.68655035583241864</v>
      </c>
      <c r="AE269" s="8">
        <v>1</v>
      </c>
      <c r="AF269" s="42">
        <f t="shared" ca="1" si="168"/>
        <v>370</v>
      </c>
      <c r="AH269" s="43">
        <f t="shared" ca="1" si="8"/>
        <v>0.28968617789191742</v>
      </c>
      <c r="AI269" s="8">
        <v>1</v>
      </c>
      <c r="AJ269" s="42">
        <f t="shared" ca="1" si="169"/>
        <v>146</v>
      </c>
      <c r="AL269" s="43">
        <f t="shared" ca="1" si="9"/>
        <v>0.43200853820065266</v>
      </c>
      <c r="AM269" s="8">
        <v>1</v>
      </c>
      <c r="AN269" s="42">
        <f t="shared" ca="1" si="170"/>
        <v>222</v>
      </c>
      <c r="AP269" s="43">
        <f t="shared" ca="1" si="10"/>
        <v>0.13713026499598002</v>
      </c>
      <c r="AQ269" s="8">
        <v>1</v>
      </c>
      <c r="AR269" s="42">
        <f t="shared" ca="1" si="171"/>
        <v>141</v>
      </c>
      <c r="AT269" s="43">
        <f t="shared" ca="1" si="11"/>
        <v>0.3756748863053746</v>
      </c>
      <c r="AU269" s="8">
        <v>1</v>
      </c>
      <c r="AV269" s="42">
        <f t="shared" ca="1" si="172"/>
        <v>189</v>
      </c>
      <c r="AX269" s="43">
        <f t="shared" ca="1" si="12"/>
        <v>0.56262083484285663</v>
      </c>
      <c r="AY269" s="8">
        <v>1</v>
      </c>
      <c r="AZ269" s="42">
        <f t="shared" ca="1" si="173"/>
        <v>244</v>
      </c>
      <c r="BB269" s="43">
        <f t="shared" ca="1" si="13"/>
        <v>0.4259724138598423</v>
      </c>
      <c r="BC269" s="8">
        <v>1</v>
      </c>
      <c r="BD269" s="42">
        <f t="shared" ca="1" si="174"/>
        <v>191</v>
      </c>
      <c r="BF269" s="43">
        <f t="shared" ca="1" si="14"/>
        <v>0.59575181688310597</v>
      </c>
      <c r="BG269" s="8">
        <v>1</v>
      </c>
      <c r="BH269" s="42">
        <f t="shared" ca="1" si="175"/>
        <v>180</v>
      </c>
      <c r="BJ269" s="43">
        <f t="shared" ca="1" si="15"/>
        <v>0.34728588990907472</v>
      </c>
      <c r="BK269" s="8">
        <v>1</v>
      </c>
      <c r="BL269" s="42">
        <f t="shared" ca="1" si="176"/>
        <v>194</v>
      </c>
      <c r="BN269" s="43">
        <f t="shared" ca="1" si="16"/>
        <v>5.152103305125344E-2</v>
      </c>
      <c r="BO269" s="8">
        <v>1</v>
      </c>
      <c r="BP269" s="42">
        <f t="shared" ca="1" si="177"/>
        <v>91</v>
      </c>
      <c r="BR269" s="43">
        <f t="shared" ca="1" si="17"/>
        <v>0.83315891895027705</v>
      </c>
      <c r="BS269" s="8">
        <v>1</v>
      </c>
      <c r="BT269" s="42">
        <f t="shared" ca="1" si="178"/>
        <v>276</v>
      </c>
    </row>
    <row r="270" spans="1:72" x14ac:dyDescent="0.2">
      <c r="A270" s="22">
        <v>44817</v>
      </c>
      <c r="B270" s="43">
        <f t="shared" ref="B270:B379" ca="1" si="179">RAND()</f>
        <v>0.76467157687922838</v>
      </c>
      <c r="C270" s="8">
        <v>1</v>
      </c>
      <c r="D270" s="42">
        <f t="shared" ca="1" si="161"/>
        <v>115</v>
      </c>
      <c r="F270" s="43">
        <f t="shared" ref="F270:F379" ca="1" si="180">RAND()</f>
        <v>0.44999841957642017</v>
      </c>
      <c r="G270" s="8">
        <v>1</v>
      </c>
      <c r="H270" s="42">
        <f t="shared" ca="1" si="162"/>
        <v>209</v>
      </c>
      <c r="J270" s="43">
        <f t="shared" ref="J270:J379" ca="1" si="181">RAND()</f>
        <v>0.97355652119725544</v>
      </c>
      <c r="K270" s="8">
        <v>1</v>
      </c>
      <c r="L270" s="42">
        <f t="shared" ca="1" si="163"/>
        <v>228</v>
      </c>
      <c r="N270" s="43">
        <f t="shared" ref="N270:N379" ca="1" si="182">RAND()</f>
        <v>0.26547228183347138</v>
      </c>
      <c r="O270" s="8">
        <v>1</v>
      </c>
      <c r="P270" s="42">
        <f t="shared" ca="1" si="164"/>
        <v>192</v>
      </c>
      <c r="R270" s="43">
        <f t="shared" ref="R270:R379" ca="1" si="183">RAND()</f>
        <v>0.71168778638970243</v>
      </c>
      <c r="S270" s="8">
        <v>1</v>
      </c>
      <c r="T270" s="42">
        <f t="shared" ca="1" si="165"/>
        <v>160</v>
      </c>
      <c r="V270" s="43">
        <f t="shared" ref="V270:V379" ca="1" si="184">RAND()</f>
        <v>0.39404014892889394</v>
      </c>
      <c r="W270" s="8">
        <v>1</v>
      </c>
      <c r="X270" s="42">
        <f t="shared" ca="1" si="166"/>
        <v>209</v>
      </c>
      <c r="Z270" s="43">
        <f t="shared" ref="Z270:Z379" ca="1" si="185">RAND()</f>
        <v>0.88593892774164318</v>
      </c>
      <c r="AA270" s="8">
        <v>1</v>
      </c>
      <c r="AB270" s="42">
        <f t="shared" ca="1" si="167"/>
        <v>357</v>
      </c>
      <c r="AD270" s="43">
        <f t="shared" ref="AD270:AD379" ca="1" si="186">RAND()</f>
        <v>0.86827721478298281</v>
      </c>
      <c r="AE270" s="8">
        <v>1</v>
      </c>
      <c r="AF270" s="42">
        <f t="shared" ca="1" si="168"/>
        <v>425</v>
      </c>
      <c r="AH270" s="43">
        <f t="shared" ref="AH270:AH379" ca="1" si="187">RAND()</f>
        <v>9.9039335049766142E-2</v>
      </c>
      <c r="AI270" s="8">
        <v>1</v>
      </c>
      <c r="AJ270" s="42">
        <f t="shared" ca="1" si="169"/>
        <v>112</v>
      </c>
      <c r="AL270" s="43">
        <f t="shared" ref="AL270:AL379" ca="1" si="188">RAND()</f>
        <v>0.84957780239222513</v>
      </c>
      <c r="AM270" s="8">
        <v>1</v>
      </c>
      <c r="AN270" s="42">
        <f t="shared" ca="1" si="170"/>
        <v>297</v>
      </c>
      <c r="AP270" s="43">
        <f t="shared" ref="AP270:AP379" ca="1" si="189">RAND()</f>
        <v>0.46975356154817216</v>
      </c>
      <c r="AQ270" s="8">
        <v>1</v>
      </c>
      <c r="AR270" s="42">
        <f t="shared" ca="1" si="171"/>
        <v>194</v>
      </c>
      <c r="AT270" s="43">
        <f t="shared" ref="AT270:AT379" ca="1" si="190">RAND()</f>
        <v>0.91274928956000212</v>
      </c>
      <c r="AU270" s="8">
        <v>1</v>
      </c>
      <c r="AV270" s="42">
        <f t="shared" ca="1" si="172"/>
        <v>280</v>
      </c>
      <c r="AX270" s="43">
        <f t="shared" ref="AX270:AX379" ca="1" si="191">RAND()</f>
        <v>0.18652053568450577</v>
      </c>
      <c r="AY270" s="8">
        <v>1</v>
      </c>
      <c r="AZ270" s="42">
        <f t="shared" ca="1" si="173"/>
        <v>179</v>
      </c>
      <c r="BB270" s="43">
        <f t="shared" ref="BB270:BB379" ca="1" si="192">RAND()</f>
        <v>2.4776808329436961E-2</v>
      </c>
      <c r="BC270" s="8">
        <v>1</v>
      </c>
      <c r="BD270" s="42">
        <f t="shared" ca="1" si="174"/>
        <v>96</v>
      </c>
      <c r="BF270" s="43">
        <f t="shared" ref="BF270:BF379" ca="1" si="193">RAND()</f>
        <v>1.5427470552360267E-2</v>
      </c>
      <c r="BG270" s="8">
        <v>1</v>
      </c>
      <c r="BH270" s="42">
        <f t="shared" ca="1" si="175"/>
        <v>72</v>
      </c>
      <c r="BJ270" s="43">
        <f t="shared" ref="BJ270:BJ379" ca="1" si="194">RAND()</f>
        <v>5.8256540338130769E-3</v>
      </c>
      <c r="BK270" s="8">
        <v>1</v>
      </c>
      <c r="BL270" s="42">
        <f t="shared" ca="1" si="176"/>
        <v>71</v>
      </c>
      <c r="BN270" s="43">
        <f t="shared" ref="BN270:BN379" ca="1" si="195">RAND()</f>
        <v>0.40928514705406027</v>
      </c>
      <c r="BO270" s="8">
        <v>1</v>
      </c>
      <c r="BP270" s="42">
        <f t="shared" ca="1" si="177"/>
        <v>151</v>
      </c>
      <c r="BR270" s="43">
        <f t="shared" ref="BR270:BR379" ca="1" si="196">RAND()</f>
        <v>0.88432874392733196</v>
      </c>
      <c r="BS270" s="8">
        <v>1</v>
      </c>
      <c r="BT270" s="42">
        <f t="shared" ca="1" si="178"/>
        <v>290</v>
      </c>
    </row>
    <row r="271" spans="1:72" x14ac:dyDescent="0.2">
      <c r="A271" s="22">
        <v>44818</v>
      </c>
      <c r="B271" s="43">
        <f t="shared" ca="1" si="179"/>
        <v>0.69806493812278014</v>
      </c>
      <c r="C271" s="8">
        <v>1</v>
      </c>
      <c r="D271" s="42">
        <f t="shared" ca="1" si="161"/>
        <v>111</v>
      </c>
      <c r="F271" s="43">
        <f t="shared" ca="1" si="180"/>
        <v>0.46918564748429958</v>
      </c>
      <c r="G271" s="8">
        <v>1</v>
      </c>
      <c r="H271" s="42">
        <f t="shared" ca="1" si="162"/>
        <v>211</v>
      </c>
      <c r="J271" s="43">
        <f t="shared" ca="1" si="181"/>
        <v>0.8550081437723881</v>
      </c>
      <c r="K271" s="8">
        <v>1</v>
      </c>
      <c r="L271" s="42">
        <f t="shared" ca="1" si="163"/>
        <v>193</v>
      </c>
      <c r="N271" s="43">
        <f t="shared" ca="1" si="182"/>
        <v>0.8698281181720865</v>
      </c>
      <c r="O271" s="8">
        <v>1</v>
      </c>
      <c r="P271" s="42">
        <f t="shared" ca="1" si="164"/>
        <v>299</v>
      </c>
      <c r="R271" s="43">
        <f t="shared" ca="1" si="183"/>
        <v>0.97808439130074598</v>
      </c>
      <c r="S271" s="8">
        <v>1</v>
      </c>
      <c r="T271" s="42">
        <f t="shared" ca="1" si="165"/>
        <v>214</v>
      </c>
      <c r="V271" s="43">
        <f t="shared" ca="1" si="184"/>
        <v>0.53873112101099319</v>
      </c>
      <c r="W271" s="8">
        <v>1</v>
      </c>
      <c r="X271" s="42">
        <f t="shared" ca="1" si="166"/>
        <v>231</v>
      </c>
      <c r="Z271" s="43">
        <f t="shared" ca="1" si="185"/>
        <v>0.69285831465299907</v>
      </c>
      <c r="AA271" s="8">
        <v>1</v>
      </c>
      <c r="AB271" s="42">
        <f t="shared" ca="1" si="167"/>
        <v>307</v>
      </c>
      <c r="AD271" s="43">
        <f t="shared" ca="1" si="186"/>
        <v>0.62322236289096411</v>
      </c>
      <c r="AE271" s="8">
        <v>1</v>
      </c>
      <c r="AF271" s="42">
        <f t="shared" ca="1" si="168"/>
        <v>355</v>
      </c>
      <c r="AH271" s="43">
        <f t="shared" ca="1" si="187"/>
        <v>0.72885948745894891</v>
      </c>
      <c r="AI271" s="8">
        <v>1</v>
      </c>
      <c r="AJ271" s="42">
        <f t="shared" ca="1" si="169"/>
        <v>199</v>
      </c>
      <c r="AL271" s="43">
        <f t="shared" ca="1" si="188"/>
        <v>0.67587412003580372</v>
      </c>
      <c r="AM271" s="8">
        <v>1</v>
      </c>
      <c r="AN271" s="42">
        <f t="shared" ca="1" si="170"/>
        <v>261</v>
      </c>
      <c r="AP271" s="43">
        <f t="shared" ca="1" si="189"/>
        <v>0.61680913722327857</v>
      </c>
      <c r="AQ271" s="8">
        <v>1</v>
      </c>
      <c r="AR271" s="42">
        <f t="shared" ca="1" si="171"/>
        <v>214</v>
      </c>
      <c r="AT271" s="43">
        <f t="shared" ca="1" si="190"/>
        <v>0.93212060217246939</v>
      </c>
      <c r="AU271" s="8">
        <v>1</v>
      </c>
      <c r="AV271" s="42">
        <f t="shared" ca="1" si="172"/>
        <v>288</v>
      </c>
      <c r="AX271" s="43">
        <f t="shared" ca="1" si="191"/>
        <v>0.84392105796540562</v>
      </c>
      <c r="AY271" s="8">
        <v>1</v>
      </c>
      <c r="AZ271" s="42">
        <f t="shared" ca="1" si="173"/>
        <v>297</v>
      </c>
      <c r="BB271" s="43">
        <f t="shared" ca="1" si="192"/>
        <v>0.51771619649765854</v>
      </c>
      <c r="BC271" s="8">
        <v>1</v>
      </c>
      <c r="BD271" s="42">
        <f t="shared" ca="1" si="174"/>
        <v>203</v>
      </c>
      <c r="BF271" s="43">
        <f t="shared" ca="1" si="193"/>
        <v>0.2937854365992193</v>
      </c>
      <c r="BG271" s="8">
        <v>1</v>
      </c>
      <c r="BH271" s="42">
        <f t="shared" ca="1" si="175"/>
        <v>145</v>
      </c>
      <c r="BJ271" s="43">
        <f t="shared" ca="1" si="194"/>
        <v>0.81671751042958918</v>
      </c>
      <c r="BK271" s="8">
        <v>1</v>
      </c>
      <c r="BL271" s="42">
        <f t="shared" ca="1" si="176"/>
        <v>268</v>
      </c>
      <c r="BN271" s="43">
        <f t="shared" ca="1" si="195"/>
        <v>0.58082005194450725</v>
      </c>
      <c r="BO271" s="8">
        <v>1</v>
      </c>
      <c r="BP271" s="42">
        <f t="shared" ca="1" si="177"/>
        <v>170</v>
      </c>
      <c r="BR271" s="43">
        <f t="shared" ca="1" si="196"/>
        <v>0.37121663006648442</v>
      </c>
      <c r="BS271" s="8">
        <v>1</v>
      </c>
      <c r="BT271" s="42">
        <f t="shared" ca="1" si="178"/>
        <v>201</v>
      </c>
    </row>
    <row r="272" spans="1:72" x14ac:dyDescent="0.2">
      <c r="A272" s="22">
        <v>44819</v>
      </c>
      <c r="B272" s="43">
        <f t="shared" ca="1" si="179"/>
        <v>4.594859351446523E-2</v>
      </c>
      <c r="C272" s="8">
        <v>1</v>
      </c>
      <c r="D272" s="42">
        <f t="shared" ca="1" si="161"/>
        <v>67</v>
      </c>
      <c r="F272" s="43">
        <f t="shared" ca="1" si="180"/>
        <v>0.60352198838834725</v>
      </c>
      <c r="G272" s="8">
        <v>1</v>
      </c>
      <c r="H272" s="42">
        <f t="shared" ca="1" si="162"/>
        <v>231</v>
      </c>
      <c r="J272" s="43">
        <f t="shared" ca="1" si="181"/>
        <v>0.15369495796832111</v>
      </c>
      <c r="K272" s="8">
        <v>1</v>
      </c>
      <c r="L272" s="42">
        <f t="shared" ca="1" si="163"/>
        <v>110</v>
      </c>
      <c r="N272" s="43">
        <f t="shared" ca="1" si="182"/>
        <v>6.3202743975104281E-2</v>
      </c>
      <c r="O272" s="8">
        <v>1</v>
      </c>
      <c r="P272" s="42">
        <f t="shared" ca="1" si="164"/>
        <v>136</v>
      </c>
      <c r="R272" s="43">
        <f t="shared" ca="1" si="183"/>
        <v>0.15438776010247335</v>
      </c>
      <c r="S272" s="8">
        <v>1</v>
      </c>
      <c r="T272" s="42">
        <f t="shared" ca="1" si="165"/>
        <v>102</v>
      </c>
      <c r="V272" s="43">
        <f t="shared" ca="1" si="184"/>
        <v>0.51055180373628439</v>
      </c>
      <c r="W272" s="8">
        <v>1</v>
      </c>
      <c r="X272" s="42">
        <f t="shared" ca="1" si="166"/>
        <v>227</v>
      </c>
      <c r="Z272" s="43">
        <f t="shared" ca="1" si="185"/>
        <v>0.51607797222560903</v>
      </c>
      <c r="AA272" s="8">
        <v>1</v>
      </c>
      <c r="AB272" s="42">
        <f t="shared" ca="1" si="167"/>
        <v>273</v>
      </c>
      <c r="AD272" s="43">
        <f t="shared" ca="1" si="186"/>
        <v>8.2424619999385329E-2</v>
      </c>
      <c r="AE272" s="8">
        <v>1</v>
      </c>
      <c r="AF272" s="42">
        <f t="shared" ca="1" si="168"/>
        <v>206</v>
      </c>
      <c r="AH272" s="43">
        <f t="shared" ca="1" si="187"/>
        <v>3.5593382782397764E-2</v>
      </c>
      <c r="AI272" s="8">
        <v>1</v>
      </c>
      <c r="AJ272" s="42">
        <f t="shared" ca="1" si="169"/>
        <v>89</v>
      </c>
      <c r="AL272" s="43">
        <f t="shared" ca="1" si="188"/>
        <v>0.86901694253848616</v>
      </c>
      <c r="AM272" s="8">
        <v>1</v>
      </c>
      <c r="AN272" s="42">
        <f t="shared" ca="1" si="170"/>
        <v>302</v>
      </c>
      <c r="AP272" s="43">
        <f t="shared" ca="1" si="189"/>
        <v>0.85320795397986016</v>
      </c>
      <c r="AQ272" s="8">
        <v>1</v>
      </c>
      <c r="AR272" s="42">
        <f t="shared" ca="1" si="171"/>
        <v>254</v>
      </c>
      <c r="AT272" s="43">
        <f t="shared" ca="1" si="190"/>
        <v>0.80047423425725861</v>
      </c>
      <c r="AU272" s="8">
        <v>1</v>
      </c>
      <c r="AV272" s="42">
        <f t="shared" ca="1" si="172"/>
        <v>252</v>
      </c>
      <c r="AX272" s="43">
        <f t="shared" ca="1" si="191"/>
        <v>0.2822350293936241</v>
      </c>
      <c r="AY272" s="8">
        <v>1</v>
      </c>
      <c r="AZ272" s="42">
        <f t="shared" ca="1" si="173"/>
        <v>198</v>
      </c>
      <c r="BB272" s="43">
        <f t="shared" ca="1" si="192"/>
        <v>0.65926299835827673</v>
      </c>
      <c r="BC272" s="8">
        <v>1</v>
      </c>
      <c r="BD272" s="42">
        <f t="shared" ca="1" si="174"/>
        <v>223</v>
      </c>
      <c r="BF272" s="43">
        <f t="shared" ca="1" si="193"/>
        <v>0.30412371175958419</v>
      </c>
      <c r="BG272" s="8">
        <v>1</v>
      </c>
      <c r="BH272" s="42">
        <f t="shared" ca="1" si="175"/>
        <v>146</v>
      </c>
      <c r="BJ272" s="43">
        <f t="shared" ca="1" si="194"/>
        <v>8.5266040424714862E-2</v>
      </c>
      <c r="BK272" s="8">
        <v>1</v>
      </c>
      <c r="BL272" s="42">
        <f t="shared" ca="1" si="176"/>
        <v>137</v>
      </c>
      <c r="BN272" s="43">
        <f t="shared" ca="1" si="195"/>
        <v>0.39139272915403067</v>
      </c>
      <c r="BO272" s="8">
        <v>1</v>
      </c>
      <c r="BP272" s="42">
        <f t="shared" ca="1" si="177"/>
        <v>149</v>
      </c>
      <c r="BR272" s="43">
        <f t="shared" ca="1" si="196"/>
        <v>0.26900225168660452</v>
      </c>
      <c r="BS272" s="8">
        <v>1</v>
      </c>
      <c r="BT272" s="42">
        <f t="shared" ca="1" si="178"/>
        <v>184</v>
      </c>
    </row>
    <row r="273" spans="1:72" x14ac:dyDescent="0.2">
      <c r="A273" s="22">
        <v>44820</v>
      </c>
      <c r="B273" s="43">
        <f t="shared" ca="1" si="179"/>
        <v>0.71705481663085768</v>
      </c>
      <c r="C273" s="8">
        <v>1</v>
      </c>
      <c r="D273" s="42">
        <f t="shared" ca="1" si="161"/>
        <v>112</v>
      </c>
      <c r="F273" s="43">
        <f t="shared" ca="1" si="180"/>
        <v>0.94983158393331335</v>
      </c>
      <c r="G273" s="8">
        <v>1</v>
      </c>
      <c r="H273" s="42">
        <f t="shared" ca="1" si="162"/>
        <v>310</v>
      </c>
      <c r="J273" s="43">
        <f t="shared" ca="1" si="181"/>
        <v>0.54075062598122536</v>
      </c>
      <c r="K273" s="8">
        <v>1</v>
      </c>
      <c r="L273" s="42">
        <f t="shared" ca="1" si="163"/>
        <v>155</v>
      </c>
      <c r="N273" s="43">
        <f t="shared" ca="1" si="182"/>
        <v>0.79401644110117942</v>
      </c>
      <c r="O273" s="8">
        <v>1</v>
      </c>
      <c r="P273" s="42">
        <f t="shared" ca="1" si="164"/>
        <v>280</v>
      </c>
      <c r="R273" s="43">
        <f t="shared" ca="1" si="183"/>
        <v>0.33515251553818148</v>
      </c>
      <c r="S273" s="8">
        <v>1</v>
      </c>
      <c r="T273" s="42">
        <f t="shared" ca="1" si="165"/>
        <v>123</v>
      </c>
      <c r="V273" s="43">
        <f t="shared" ca="1" si="184"/>
        <v>0.45086188070910815</v>
      </c>
      <c r="W273" s="8">
        <v>1</v>
      </c>
      <c r="X273" s="42">
        <f t="shared" ca="1" si="166"/>
        <v>218</v>
      </c>
      <c r="Z273" s="43">
        <f t="shared" ca="1" si="185"/>
        <v>0.530344325418039</v>
      </c>
      <c r="AA273" s="8">
        <v>1</v>
      </c>
      <c r="AB273" s="42">
        <f t="shared" ca="1" si="167"/>
        <v>276</v>
      </c>
      <c r="AD273" s="43">
        <f t="shared" ca="1" si="186"/>
        <v>0.33749077446561393</v>
      </c>
      <c r="AE273" s="8">
        <v>1</v>
      </c>
      <c r="AF273" s="42">
        <f t="shared" ca="1" si="168"/>
        <v>291</v>
      </c>
      <c r="AH273" s="43">
        <f t="shared" ca="1" si="187"/>
        <v>0.59790978563198993</v>
      </c>
      <c r="AI273" s="8">
        <v>1</v>
      </c>
      <c r="AJ273" s="42">
        <f t="shared" ca="1" si="169"/>
        <v>182</v>
      </c>
      <c r="AL273" s="43">
        <f t="shared" ca="1" si="188"/>
        <v>0.49226597295476604</v>
      </c>
      <c r="AM273" s="8">
        <v>1</v>
      </c>
      <c r="AN273" s="42">
        <f t="shared" ca="1" si="170"/>
        <v>231</v>
      </c>
      <c r="AP273" s="43">
        <f t="shared" ca="1" si="189"/>
        <v>0.16989273052475595</v>
      </c>
      <c r="AQ273" s="8">
        <v>1</v>
      </c>
      <c r="AR273" s="42">
        <f t="shared" ca="1" si="171"/>
        <v>148</v>
      </c>
      <c r="AT273" s="43">
        <f t="shared" ca="1" si="190"/>
        <v>0.57240886891026155</v>
      </c>
      <c r="AU273" s="8">
        <v>1</v>
      </c>
      <c r="AV273" s="42">
        <f t="shared" ca="1" si="172"/>
        <v>216</v>
      </c>
      <c r="AX273" s="43">
        <f t="shared" ca="1" si="191"/>
        <v>0.90764563502799001</v>
      </c>
      <c r="AY273" s="8">
        <v>1</v>
      </c>
      <c r="AZ273" s="42">
        <f t="shared" ca="1" si="173"/>
        <v>317</v>
      </c>
      <c r="BB273" s="43">
        <f t="shared" ca="1" si="192"/>
        <v>0.96964380542071893</v>
      </c>
      <c r="BC273" s="8">
        <v>1</v>
      </c>
      <c r="BD273" s="42">
        <f t="shared" ca="1" si="174"/>
        <v>301</v>
      </c>
      <c r="BF273" s="43">
        <f t="shared" ca="1" si="193"/>
        <v>0.84982580946205877</v>
      </c>
      <c r="BG273" s="8">
        <v>1</v>
      </c>
      <c r="BH273" s="42">
        <f t="shared" ca="1" si="175"/>
        <v>216</v>
      </c>
      <c r="BJ273" s="43">
        <f t="shared" ca="1" si="194"/>
        <v>0.2914558175522477</v>
      </c>
      <c r="BK273" s="8">
        <v>1</v>
      </c>
      <c r="BL273" s="42">
        <f t="shared" ca="1" si="176"/>
        <v>185</v>
      </c>
      <c r="BN273" s="43">
        <f t="shared" ca="1" si="195"/>
        <v>0.33346287439715872</v>
      </c>
      <c r="BO273" s="8">
        <v>1</v>
      </c>
      <c r="BP273" s="42">
        <f t="shared" ca="1" si="177"/>
        <v>143</v>
      </c>
      <c r="BR273" s="43">
        <f t="shared" ca="1" si="196"/>
        <v>0.36570252293006689</v>
      </c>
      <c r="BS273" s="8">
        <v>1</v>
      </c>
      <c r="BT273" s="42">
        <f t="shared" ca="1" si="178"/>
        <v>200</v>
      </c>
    </row>
    <row r="274" spans="1:72" x14ac:dyDescent="0.2">
      <c r="A274" s="22">
        <v>44821</v>
      </c>
      <c r="B274" s="43">
        <f t="shared" ca="1" si="179"/>
        <v>0.5732072508862136</v>
      </c>
      <c r="C274" s="8">
        <v>1</v>
      </c>
      <c r="D274" s="42">
        <f t="shared" ca="1" si="161"/>
        <v>104</v>
      </c>
      <c r="F274" s="43">
        <f t="shared" ca="1" si="180"/>
        <v>0.5713205871141902</v>
      </c>
      <c r="G274" s="8">
        <v>1</v>
      </c>
      <c r="H274" s="42">
        <f t="shared" ca="1" si="162"/>
        <v>226</v>
      </c>
      <c r="J274" s="43">
        <f t="shared" ca="1" si="181"/>
        <v>0.70800285145839426</v>
      </c>
      <c r="K274" s="8">
        <v>1</v>
      </c>
      <c r="L274" s="42">
        <f t="shared" ca="1" si="163"/>
        <v>172</v>
      </c>
      <c r="N274" s="43">
        <f t="shared" ca="1" si="182"/>
        <v>0.52408098136414805</v>
      </c>
      <c r="O274" s="8">
        <v>1</v>
      </c>
      <c r="P274" s="42">
        <f t="shared" ca="1" si="164"/>
        <v>234</v>
      </c>
      <c r="R274" s="43">
        <f t="shared" ca="1" si="183"/>
        <v>0.66642016055013431</v>
      </c>
      <c r="S274" s="8">
        <v>1</v>
      </c>
      <c r="T274" s="42">
        <f t="shared" ca="1" si="165"/>
        <v>155</v>
      </c>
      <c r="V274" s="43">
        <f t="shared" ca="1" si="184"/>
        <v>0.24427399430128871</v>
      </c>
      <c r="W274" s="8">
        <v>1</v>
      </c>
      <c r="X274" s="42">
        <f t="shared" ca="1" si="166"/>
        <v>184</v>
      </c>
      <c r="Z274" s="43">
        <f t="shared" ca="1" si="185"/>
        <v>0.77755987338276455</v>
      </c>
      <c r="AA274" s="8">
        <v>1</v>
      </c>
      <c r="AB274" s="42">
        <f t="shared" ca="1" si="167"/>
        <v>326</v>
      </c>
      <c r="AD274" s="43">
        <f t="shared" ca="1" si="186"/>
        <v>0.24876451385421605</v>
      </c>
      <c r="AE274" s="8">
        <v>1</v>
      </c>
      <c r="AF274" s="42">
        <f t="shared" ca="1" si="168"/>
        <v>268</v>
      </c>
      <c r="AH274" s="43">
        <f t="shared" ca="1" si="187"/>
        <v>0.99730928580503897</v>
      </c>
      <c r="AI274" s="8">
        <v>1</v>
      </c>
      <c r="AJ274" s="42">
        <f t="shared" ca="1" si="169"/>
        <v>297</v>
      </c>
      <c r="AL274" s="43">
        <f t="shared" ca="1" si="188"/>
        <v>0.18119522871656568</v>
      </c>
      <c r="AM274" s="8">
        <v>1</v>
      </c>
      <c r="AN274" s="42">
        <f t="shared" ca="1" si="170"/>
        <v>176</v>
      </c>
      <c r="AP274" s="43">
        <f t="shared" ca="1" si="189"/>
        <v>0.40329284629207762</v>
      </c>
      <c r="AQ274" s="8">
        <v>1</v>
      </c>
      <c r="AR274" s="42">
        <f t="shared" ca="1" si="171"/>
        <v>186</v>
      </c>
      <c r="AT274" s="43">
        <f t="shared" ca="1" si="190"/>
        <v>0.96324180018358896</v>
      </c>
      <c r="AU274" s="8">
        <v>1</v>
      </c>
      <c r="AV274" s="42">
        <f t="shared" ca="1" si="172"/>
        <v>304</v>
      </c>
      <c r="AX274" s="43">
        <f t="shared" ca="1" si="191"/>
        <v>0.78414657120496978</v>
      </c>
      <c r="AY274" s="8">
        <v>1</v>
      </c>
      <c r="AZ274" s="42">
        <f t="shared" ca="1" si="173"/>
        <v>283</v>
      </c>
      <c r="BB274" s="43">
        <f t="shared" ca="1" si="192"/>
        <v>0.23500730294543559</v>
      </c>
      <c r="BC274" s="8">
        <v>1</v>
      </c>
      <c r="BD274" s="42">
        <f t="shared" ca="1" si="174"/>
        <v>162</v>
      </c>
      <c r="BF274" s="43">
        <f t="shared" ca="1" si="193"/>
        <v>0.68513302503495221</v>
      </c>
      <c r="BG274" s="8">
        <v>1</v>
      </c>
      <c r="BH274" s="42">
        <f t="shared" ca="1" si="175"/>
        <v>191</v>
      </c>
      <c r="BJ274" s="43">
        <f t="shared" ca="1" si="194"/>
        <v>0.81248111204074502</v>
      </c>
      <c r="BK274" s="8">
        <v>1</v>
      </c>
      <c r="BL274" s="42">
        <f t="shared" ca="1" si="176"/>
        <v>267</v>
      </c>
      <c r="BN274" s="43">
        <f t="shared" ca="1" si="195"/>
        <v>0.80213362731017712</v>
      </c>
      <c r="BO274" s="8">
        <v>1</v>
      </c>
      <c r="BP274" s="42">
        <f t="shared" ca="1" si="177"/>
        <v>198</v>
      </c>
      <c r="BR274" s="43">
        <f t="shared" ca="1" si="196"/>
        <v>0.52949999045056773</v>
      </c>
      <c r="BS274" s="8">
        <v>1</v>
      </c>
      <c r="BT274" s="42">
        <f t="shared" ca="1" si="178"/>
        <v>224</v>
      </c>
    </row>
    <row r="275" spans="1:72" x14ac:dyDescent="0.2">
      <c r="A275" s="22">
        <v>44822</v>
      </c>
      <c r="B275" s="43">
        <f t="shared" ca="1" si="179"/>
        <v>0.57460992449403125</v>
      </c>
      <c r="C275" s="8">
        <v>1</v>
      </c>
      <c r="D275" s="42">
        <f t="shared" ca="1" si="161"/>
        <v>104</v>
      </c>
      <c r="F275" s="43">
        <f t="shared" ca="1" si="180"/>
        <v>0.89670322570630334</v>
      </c>
      <c r="G275" s="8">
        <v>1</v>
      </c>
      <c r="H275" s="42">
        <f t="shared" ca="1" si="162"/>
        <v>288</v>
      </c>
      <c r="J275" s="43">
        <f t="shared" ca="1" si="181"/>
        <v>0.67314533933527121</v>
      </c>
      <c r="K275" s="8">
        <v>1</v>
      </c>
      <c r="L275" s="42">
        <f t="shared" ca="1" si="163"/>
        <v>168</v>
      </c>
      <c r="N275" s="43">
        <f t="shared" ca="1" si="182"/>
        <v>0.40757034586959051</v>
      </c>
      <c r="O275" s="8">
        <v>1</v>
      </c>
      <c r="P275" s="42">
        <f t="shared" ca="1" si="164"/>
        <v>216</v>
      </c>
      <c r="R275" s="43">
        <f t="shared" ca="1" si="183"/>
        <v>0.74091316500913562</v>
      </c>
      <c r="S275" s="8">
        <v>1</v>
      </c>
      <c r="T275" s="42">
        <f t="shared" ca="1" si="165"/>
        <v>163</v>
      </c>
      <c r="V275" s="43">
        <f t="shared" ca="1" si="184"/>
        <v>0.37785594402490386</v>
      </c>
      <c r="W275" s="8">
        <v>1</v>
      </c>
      <c r="X275" s="42">
        <f t="shared" ca="1" si="166"/>
        <v>207</v>
      </c>
      <c r="Z275" s="43">
        <f t="shared" ca="1" si="185"/>
        <v>0.33243500545440907</v>
      </c>
      <c r="AA275" s="8">
        <v>1</v>
      </c>
      <c r="AB275" s="42">
        <f t="shared" ca="1" si="167"/>
        <v>239</v>
      </c>
      <c r="AD275" s="43">
        <f t="shared" ca="1" si="186"/>
        <v>0.24187904720522047</v>
      </c>
      <c r="AE275" s="8">
        <v>1</v>
      </c>
      <c r="AF275" s="42">
        <f t="shared" ca="1" si="168"/>
        <v>266</v>
      </c>
      <c r="AH275" s="43">
        <f t="shared" ca="1" si="187"/>
        <v>0.83186713287608005</v>
      </c>
      <c r="AI275" s="8">
        <v>1</v>
      </c>
      <c r="AJ275" s="42">
        <f t="shared" ca="1" si="169"/>
        <v>215</v>
      </c>
      <c r="AL275" s="43">
        <f t="shared" ca="1" si="188"/>
        <v>0.32174013918927169</v>
      </c>
      <c r="AM275" s="8">
        <v>1</v>
      </c>
      <c r="AN275" s="42">
        <f t="shared" ca="1" si="170"/>
        <v>204</v>
      </c>
      <c r="AP275" s="43">
        <f t="shared" ca="1" si="189"/>
        <v>0.42749082317839571</v>
      </c>
      <c r="AQ275" s="8">
        <v>1</v>
      </c>
      <c r="AR275" s="42">
        <f t="shared" ca="1" si="171"/>
        <v>189</v>
      </c>
      <c r="AT275" s="43">
        <f t="shared" ca="1" si="190"/>
        <v>0.60232003348846841</v>
      </c>
      <c r="AU275" s="8">
        <v>1</v>
      </c>
      <c r="AV275" s="42">
        <f t="shared" ca="1" si="172"/>
        <v>220</v>
      </c>
      <c r="AX275" s="43">
        <f t="shared" ca="1" si="191"/>
        <v>0.31694872230619464</v>
      </c>
      <c r="AY275" s="8">
        <v>1</v>
      </c>
      <c r="AZ275" s="42">
        <f t="shared" ca="1" si="173"/>
        <v>204</v>
      </c>
      <c r="BB275" s="43">
        <f t="shared" ca="1" si="192"/>
        <v>0.51102996941240619</v>
      </c>
      <c r="BC275" s="8">
        <v>1</v>
      </c>
      <c r="BD275" s="42">
        <f t="shared" ca="1" si="174"/>
        <v>203</v>
      </c>
      <c r="BF275" s="43">
        <f t="shared" ca="1" si="193"/>
        <v>0.71879120065936242</v>
      </c>
      <c r="BG275" s="8">
        <v>1</v>
      </c>
      <c r="BH275" s="42">
        <f t="shared" ca="1" si="175"/>
        <v>195</v>
      </c>
      <c r="BJ275" s="43">
        <f t="shared" ca="1" si="194"/>
        <v>0.86917728893967605</v>
      </c>
      <c r="BK275" s="8">
        <v>1</v>
      </c>
      <c r="BL275" s="42">
        <f t="shared" ca="1" si="176"/>
        <v>281</v>
      </c>
      <c r="BN275" s="43">
        <f t="shared" ca="1" si="195"/>
        <v>0.41504496308544747</v>
      </c>
      <c r="BO275" s="8">
        <v>1</v>
      </c>
      <c r="BP275" s="42">
        <f t="shared" ca="1" si="177"/>
        <v>152</v>
      </c>
      <c r="BR275" s="43">
        <f t="shared" ca="1" si="196"/>
        <v>0.23858448427322088</v>
      </c>
      <c r="BS275" s="8">
        <v>1</v>
      </c>
      <c r="BT275" s="42">
        <f t="shared" ca="1" si="178"/>
        <v>178</v>
      </c>
    </row>
    <row r="276" spans="1:72" x14ac:dyDescent="0.2">
      <c r="A276" s="22">
        <v>44823</v>
      </c>
      <c r="B276" s="43">
        <f t="shared" ca="1" si="179"/>
        <v>0.84314699912311486</v>
      </c>
      <c r="C276" s="8">
        <v>1</v>
      </c>
      <c r="D276" s="42">
        <f t="shared" ca="1" si="161"/>
        <v>121</v>
      </c>
      <c r="F276" s="43">
        <f t="shared" ca="1" si="180"/>
        <v>0.8935650337656762</v>
      </c>
      <c r="G276" s="8">
        <v>1</v>
      </c>
      <c r="H276" s="42">
        <f t="shared" ca="1" si="162"/>
        <v>287</v>
      </c>
      <c r="J276" s="43">
        <f t="shared" ca="1" si="181"/>
        <v>0.81643730288973104</v>
      </c>
      <c r="K276" s="8">
        <v>1</v>
      </c>
      <c r="L276" s="42">
        <f t="shared" ca="1" si="163"/>
        <v>187</v>
      </c>
      <c r="N276" s="43">
        <f t="shared" ca="1" si="182"/>
        <v>2.7544364292625745E-2</v>
      </c>
      <c r="O276" s="8">
        <v>1</v>
      </c>
      <c r="P276" s="42">
        <f t="shared" ca="1" si="164"/>
        <v>113</v>
      </c>
      <c r="R276" s="43">
        <f t="shared" ca="1" si="183"/>
        <v>8.7211346676864365E-2</v>
      </c>
      <c r="S276" s="8">
        <v>1</v>
      </c>
      <c r="T276" s="42">
        <f t="shared" ca="1" si="165"/>
        <v>89</v>
      </c>
      <c r="V276" s="43">
        <f t="shared" ca="1" si="184"/>
        <v>0.27625775737323266</v>
      </c>
      <c r="W276" s="8">
        <v>1</v>
      </c>
      <c r="X276" s="42">
        <f t="shared" ca="1" si="166"/>
        <v>190</v>
      </c>
      <c r="Z276" s="43">
        <f t="shared" ca="1" si="185"/>
        <v>0.43996155647628832</v>
      </c>
      <c r="AA276" s="8">
        <v>1</v>
      </c>
      <c r="AB276" s="42">
        <f t="shared" ca="1" si="167"/>
        <v>260</v>
      </c>
      <c r="AD276" s="43">
        <f t="shared" ca="1" si="186"/>
        <v>0.26002066442353211</v>
      </c>
      <c r="AE276" s="8">
        <v>1</v>
      </c>
      <c r="AF276" s="42">
        <f t="shared" ca="1" si="168"/>
        <v>271</v>
      </c>
      <c r="AH276" s="43">
        <f t="shared" ca="1" si="187"/>
        <v>0.21291491765801762</v>
      </c>
      <c r="AI276" s="8">
        <v>1</v>
      </c>
      <c r="AJ276" s="42">
        <f t="shared" ca="1" si="169"/>
        <v>135</v>
      </c>
      <c r="AL276" s="43">
        <f t="shared" ca="1" si="188"/>
        <v>0.928835801918239</v>
      </c>
      <c r="AM276" s="8">
        <v>1</v>
      </c>
      <c r="AN276" s="42">
        <f t="shared" ca="1" si="170"/>
        <v>323</v>
      </c>
      <c r="AP276" s="43">
        <f t="shared" ca="1" si="189"/>
        <v>0.14090221235257006</v>
      </c>
      <c r="AQ276" s="8">
        <v>1</v>
      </c>
      <c r="AR276" s="42">
        <f t="shared" ca="1" si="171"/>
        <v>142</v>
      </c>
      <c r="AT276" s="43">
        <f t="shared" ca="1" si="190"/>
        <v>0.70562316531668301</v>
      </c>
      <c r="AU276" s="8">
        <v>1</v>
      </c>
      <c r="AV276" s="42">
        <f t="shared" ca="1" si="172"/>
        <v>236</v>
      </c>
      <c r="AX276" s="43">
        <f t="shared" ca="1" si="191"/>
        <v>0.42803641583705243</v>
      </c>
      <c r="AY276" s="8">
        <v>1</v>
      </c>
      <c r="AZ276" s="42">
        <f t="shared" ca="1" si="173"/>
        <v>223</v>
      </c>
      <c r="BB276" s="43">
        <f t="shared" ca="1" si="192"/>
        <v>0.6686315173131443</v>
      </c>
      <c r="BC276" s="8">
        <v>1</v>
      </c>
      <c r="BD276" s="42">
        <f t="shared" ca="1" si="174"/>
        <v>224</v>
      </c>
      <c r="BF276" s="43">
        <f t="shared" ca="1" si="193"/>
        <v>0.61721296252556834</v>
      </c>
      <c r="BG276" s="8">
        <v>1</v>
      </c>
      <c r="BH276" s="42">
        <f t="shared" ca="1" si="175"/>
        <v>183</v>
      </c>
      <c r="BJ276" s="43">
        <f t="shared" ca="1" si="194"/>
        <v>0.33197018026581138</v>
      </c>
      <c r="BK276" s="8">
        <v>1</v>
      </c>
      <c r="BL276" s="42">
        <f t="shared" ca="1" si="176"/>
        <v>191</v>
      </c>
      <c r="BN276" s="43">
        <f t="shared" ca="1" si="195"/>
        <v>0.71201377094059526</v>
      </c>
      <c r="BO276" s="8">
        <v>1</v>
      </c>
      <c r="BP276" s="42">
        <f t="shared" ca="1" si="177"/>
        <v>185</v>
      </c>
      <c r="BR276" s="43">
        <f t="shared" ca="1" si="196"/>
        <v>0.13743642999239636</v>
      </c>
      <c r="BS276" s="8">
        <v>1</v>
      </c>
      <c r="BT276" s="42">
        <f t="shared" ca="1" si="178"/>
        <v>156</v>
      </c>
    </row>
    <row r="277" spans="1:72" x14ac:dyDescent="0.2">
      <c r="A277" s="22">
        <v>44824</v>
      </c>
      <c r="B277" s="43">
        <f t="shared" ca="1" si="179"/>
        <v>0.65439077022863223</v>
      </c>
      <c r="C277" s="8">
        <v>1</v>
      </c>
      <c r="D277" s="42">
        <f t="shared" ca="1" si="161"/>
        <v>108</v>
      </c>
      <c r="F277" s="43">
        <f t="shared" ca="1" si="180"/>
        <v>0.50683343969721217</v>
      </c>
      <c r="G277" s="8">
        <v>1</v>
      </c>
      <c r="H277" s="42">
        <f t="shared" ca="1" si="162"/>
        <v>217</v>
      </c>
      <c r="J277" s="43">
        <f t="shared" ca="1" si="181"/>
        <v>0.58129503405031657</v>
      </c>
      <c r="K277" s="8">
        <v>1</v>
      </c>
      <c r="L277" s="42">
        <f t="shared" ca="1" si="163"/>
        <v>159</v>
      </c>
      <c r="N277" s="43">
        <f t="shared" ca="1" si="182"/>
        <v>0.18699489680663839</v>
      </c>
      <c r="O277" s="8">
        <v>1</v>
      </c>
      <c r="P277" s="42">
        <f t="shared" ca="1" si="164"/>
        <v>175</v>
      </c>
      <c r="R277" s="43">
        <f t="shared" ca="1" si="183"/>
        <v>0.3103674764825668</v>
      </c>
      <c r="S277" s="8">
        <v>1</v>
      </c>
      <c r="T277" s="42">
        <f t="shared" ca="1" si="165"/>
        <v>121</v>
      </c>
      <c r="V277" s="43">
        <f t="shared" ca="1" si="184"/>
        <v>0.2030015809853879</v>
      </c>
      <c r="W277" s="8">
        <v>1</v>
      </c>
      <c r="X277" s="42">
        <f t="shared" ca="1" si="166"/>
        <v>176</v>
      </c>
      <c r="Z277" s="43">
        <f t="shared" ca="1" si="185"/>
        <v>0.36915825518940049</v>
      </c>
      <c r="AA277" s="8">
        <v>1</v>
      </c>
      <c r="AB277" s="42">
        <f t="shared" ca="1" si="167"/>
        <v>246</v>
      </c>
      <c r="AD277" s="43">
        <f t="shared" ca="1" si="186"/>
        <v>0.55595886184444498</v>
      </c>
      <c r="AE277" s="8">
        <v>1</v>
      </c>
      <c r="AF277" s="42">
        <f t="shared" ca="1" si="168"/>
        <v>340</v>
      </c>
      <c r="AH277" s="43">
        <f t="shared" ca="1" si="187"/>
        <v>2.7566176743755277E-2</v>
      </c>
      <c r="AI277" s="8">
        <v>1</v>
      </c>
      <c r="AJ277" s="42">
        <f t="shared" ca="1" si="169"/>
        <v>84</v>
      </c>
      <c r="AL277" s="43">
        <f t="shared" ca="1" si="188"/>
        <v>0.27469628907698729</v>
      </c>
      <c r="AM277" s="8">
        <v>1</v>
      </c>
      <c r="AN277" s="42">
        <f t="shared" ca="1" si="170"/>
        <v>196</v>
      </c>
      <c r="AP277" s="43">
        <f t="shared" ca="1" si="189"/>
        <v>0.14579891447137194</v>
      </c>
      <c r="AQ277" s="8">
        <v>1</v>
      </c>
      <c r="AR277" s="42">
        <f t="shared" ca="1" si="171"/>
        <v>143</v>
      </c>
      <c r="AT277" s="43">
        <f t="shared" ca="1" si="190"/>
        <v>4.9303190572549171E-2</v>
      </c>
      <c r="AU277" s="8">
        <v>1</v>
      </c>
      <c r="AV277" s="42">
        <f t="shared" ca="1" si="172"/>
        <v>115</v>
      </c>
      <c r="AX277" s="43">
        <f t="shared" ca="1" si="191"/>
        <v>0.82747029774138658</v>
      </c>
      <c r="AY277" s="8">
        <v>1</v>
      </c>
      <c r="AZ277" s="42">
        <f t="shared" ca="1" si="173"/>
        <v>293</v>
      </c>
      <c r="BB277" s="43">
        <f t="shared" ca="1" si="192"/>
        <v>0.44671926264551032</v>
      </c>
      <c r="BC277" s="8">
        <v>1</v>
      </c>
      <c r="BD277" s="42">
        <f t="shared" ca="1" si="174"/>
        <v>194</v>
      </c>
      <c r="BF277" s="43">
        <f t="shared" ca="1" si="193"/>
        <v>0.67280079142476112</v>
      </c>
      <c r="BG277" s="8">
        <v>1</v>
      </c>
      <c r="BH277" s="42">
        <f t="shared" ca="1" si="175"/>
        <v>189</v>
      </c>
      <c r="BJ277" s="43">
        <f t="shared" ca="1" si="194"/>
        <v>9.1000315508365404E-2</v>
      </c>
      <c r="BK277" s="8">
        <v>1</v>
      </c>
      <c r="BL277" s="42">
        <f t="shared" ca="1" si="176"/>
        <v>139</v>
      </c>
      <c r="BN277" s="43">
        <f t="shared" ca="1" si="195"/>
        <v>0.77344600824103471</v>
      </c>
      <c r="BO277" s="8">
        <v>1</v>
      </c>
      <c r="BP277" s="42">
        <f t="shared" ca="1" si="177"/>
        <v>193</v>
      </c>
      <c r="BR277" s="43">
        <f t="shared" ca="1" si="196"/>
        <v>0.1696507101153204</v>
      </c>
      <c r="BS277" s="8">
        <v>1</v>
      </c>
      <c r="BT277" s="42">
        <f t="shared" ca="1" si="178"/>
        <v>164</v>
      </c>
    </row>
    <row r="278" spans="1:72" x14ac:dyDescent="0.2">
      <c r="A278" s="22">
        <v>44825</v>
      </c>
      <c r="B278" s="43">
        <f t="shared" ca="1" si="179"/>
        <v>0.79113520960909267</v>
      </c>
      <c r="C278" s="8">
        <v>1</v>
      </c>
      <c r="D278" s="42">
        <f t="shared" ca="1" si="161"/>
        <v>117</v>
      </c>
      <c r="F278" s="43">
        <f t="shared" ca="1" si="180"/>
        <v>0.82430952835312155</v>
      </c>
      <c r="G278" s="8">
        <v>1</v>
      </c>
      <c r="H278" s="42">
        <f t="shared" ca="1" si="162"/>
        <v>269</v>
      </c>
      <c r="J278" s="43">
        <f t="shared" ca="1" si="181"/>
        <v>0.17189884240128595</v>
      </c>
      <c r="K278" s="8">
        <v>1</v>
      </c>
      <c r="L278" s="42">
        <f t="shared" ca="1" si="163"/>
        <v>113</v>
      </c>
      <c r="N278" s="43">
        <f t="shared" ca="1" si="182"/>
        <v>0.69223367964948657</v>
      </c>
      <c r="O278" s="8">
        <v>1</v>
      </c>
      <c r="P278" s="42">
        <f t="shared" ca="1" si="164"/>
        <v>261</v>
      </c>
      <c r="R278" s="43">
        <f t="shared" ca="1" si="183"/>
        <v>0.36038910582244266</v>
      </c>
      <c r="S278" s="8">
        <v>1</v>
      </c>
      <c r="T278" s="42">
        <f t="shared" ca="1" si="165"/>
        <v>126</v>
      </c>
      <c r="V278" s="43">
        <f t="shared" ca="1" si="184"/>
        <v>0.30712812610021789</v>
      </c>
      <c r="W278" s="8">
        <v>1</v>
      </c>
      <c r="X278" s="42">
        <f t="shared" ca="1" si="166"/>
        <v>195</v>
      </c>
      <c r="Z278" s="43">
        <f t="shared" ca="1" si="185"/>
        <v>3.6975029910648605E-3</v>
      </c>
      <c r="AA278" s="8">
        <v>1</v>
      </c>
      <c r="AB278" s="42">
        <f t="shared" ca="1" si="167"/>
        <v>78</v>
      </c>
      <c r="AD278" s="43">
        <f t="shared" ca="1" si="186"/>
        <v>0.54192268459326443</v>
      </c>
      <c r="AE278" s="8">
        <v>1</v>
      </c>
      <c r="AF278" s="42">
        <f t="shared" ca="1" si="168"/>
        <v>337</v>
      </c>
      <c r="AH278" s="43">
        <f t="shared" ca="1" si="187"/>
        <v>0.54782611348703658</v>
      </c>
      <c r="AI278" s="8">
        <v>1</v>
      </c>
      <c r="AJ278" s="42">
        <f t="shared" ca="1" si="169"/>
        <v>176</v>
      </c>
      <c r="AL278" s="43">
        <f t="shared" ca="1" si="188"/>
        <v>0.45062770620886317</v>
      </c>
      <c r="AM278" s="8">
        <v>1</v>
      </c>
      <c r="AN278" s="42">
        <f t="shared" ca="1" si="170"/>
        <v>225</v>
      </c>
      <c r="AP278" s="43">
        <f t="shared" ca="1" si="189"/>
        <v>5.2249463217772685E-2</v>
      </c>
      <c r="AQ278" s="8">
        <v>1</v>
      </c>
      <c r="AR278" s="42">
        <f t="shared" ca="1" si="171"/>
        <v>113</v>
      </c>
      <c r="AT278" s="43">
        <f t="shared" ca="1" si="190"/>
        <v>5.7178981100022397E-2</v>
      </c>
      <c r="AU278" s="8">
        <v>1</v>
      </c>
      <c r="AV278" s="42">
        <f t="shared" ca="1" si="172"/>
        <v>119</v>
      </c>
      <c r="AX278" s="43">
        <f t="shared" ca="1" si="191"/>
        <v>2.3223421642344255E-2</v>
      </c>
      <c r="AY278" s="8">
        <v>1</v>
      </c>
      <c r="AZ278" s="42">
        <f t="shared" ca="1" si="173"/>
        <v>110</v>
      </c>
      <c r="BB278" s="43">
        <f t="shared" ca="1" si="192"/>
        <v>0.19162103560487109</v>
      </c>
      <c r="BC278" s="8">
        <v>1</v>
      </c>
      <c r="BD278" s="42">
        <f t="shared" ca="1" si="174"/>
        <v>154</v>
      </c>
      <c r="BF278" s="43">
        <f t="shared" ca="1" si="193"/>
        <v>0.15008426154660759</v>
      </c>
      <c r="BG278" s="8">
        <v>1</v>
      </c>
      <c r="BH278" s="42">
        <f t="shared" ca="1" si="175"/>
        <v>123</v>
      </c>
      <c r="BJ278" s="43">
        <f t="shared" ca="1" si="194"/>
        <v>5.1558813674358106E-2</v>
      </c>
      <c r="BK278" s="8">
        <v>1</v>
      </c>
      <c r="BL278" s="42">
        <f t="shared" ca="1" si="176"/>
        <v>122</v>
      </c>
      <c r="BN278" s="43">
        <f t="shared" ca="1" si="195"/>
        <v>0.52418173978775517</v>
      </c>
      <c r="BO278" s="8">
        <v>1</v>
      </c>
      <c r="BP278" s="42">
        <f t="shared" ca="1" si="177"/>
        <v>164</v>
      </c>
      <c r="BR278" s="43">
        <f t="shared" ca="1" si="196"/>
        <v>0.52233324437338413</v>
      </c>
      <c r="BS278" s="8">
        <v>1</v>
      </c>
      <c r="BT278" s="42">
        <f t="shared" ca="1" si="178"/>
        <v>223</v>
      </c>
    </row>
    <row r="279" spans="1:72" x14ac:dyDescent="0.2">
      <c r="A279" s="22">
        <v>44826</v>
      </c>
      <c r="B279" s="43">
        <f t="shared" ca="1" si="179"/>
        <v>0.30334041198697903</v>
      </c>
      <c r="C279" s="8">
        <v>1</v>
      </c>
      <c r="D279" s="42">
        <f t="shared" ca="1" si="161"/>
        <v>90</v>
      </c>
      <c r="F279" s="43">
        <f t="shared" ca="1" si="180"/>
        <v>0.91735472513761529</v>
      </c>
      <c r="G279" s="8">
        <v>1</v>
      </c>
      <c r="H279" s="42">
        <f t="shared" ca="1" si="162"/>
        <v>296</v>
      </c>
      <c r="J279" s="43">
        <f t="shared" ca="1" si="181"/>
        <v>0.59770861855476409</v>
      </c>
      <c r="K279" s="8">
        <v>1</v>
      </c>
      <c r="L279" s="42">
        <f t="shared" ca="1" si="163"/>
        <v>160</v>
      </c>
      <c r="N279" s="43">
        <f t="shared" ca="1" si="182"/>
        <v>0.22501594097361755</v>
      </c>
      <c r="O279" s="8">
        <v>1</v>
      </c>
      <c r="P279" s="42">
        <f t="shared" ca="1" si="164"/>
        <v>184</v>
      </c>
      <c r="R279" s="43">
        <f t="shared" ca="1" si="183"/>
        <v>0.80367345441751437</v>
      </c>
      <c r="S279" s="8">
        <v>1</v>
      </c>
      <c r="T279" s="42">
        <f t="shared" ca="1" si="165"/>
        <v>171</v>
      </c>
      <c r="V279" s="43">
        <f t="shared" ca="1" si="184"/>
        <v>0.73314619931824143</v>
      </c>
      <c r="W279" s="8">
        <v>1</v>
      </c>
      <c r="X279" s="42">
        <f t="shared" ca="1" si="166"/>
        <v>263</v>
      </c>
      <c r="Z279" s="43">
        <f t="shared" ca="1" si="185"/>
        <v>2.9786216264059084E-2</v>
      </c>
      <c r="AA279" s="8">
        <v>1</v>
      </c>
      <c r="AB279" s="42">
        <f t="shared" ca="1" si="167"/>
        <v>135</v>
      </c>
      <c r="AD279" s="43">
        <f t="shared" ca="1" si="186"/>
        <v>0.97726528709704452</v>
      </c>
      <c r="AE279" s="8">
        <v>1</v>
      </c>
      <c r="AF279" s="42">
        <f t="shared" ca="1" si="168"/>
        <v>502</v>
      </c>
      <c r="AH279" s="43">
        <f t="shared" ca="1" si="187"/>
        <v>0.93271930653835511</v>
      </c>
      <c r="AI279" s="8">
        <v>1</v>
      </c>
      <c r="AJ279" s="42">
        <f t="shared" ca="1" si="169"/>
        <v>239</v>
      </c>
      <c r="AL279" s="43">
        <f t="shared" ca="1" si="188"/>
        <v>0.36670422468438546</v>
      </c>
      <c r="AM279" s="8">
        <v>1</v>
      </c>
      <c r="AN279" s="42">
        <f t="shared" ca="1" si="170"/>
        <v>211</v>
      </c>
      <c r="AP279" s="43">
        <f t="shared" ca="1" si="189"/>
        <v>0.77526182729935988</v>
      </c>
      <c r="AQ279" s="8">
        <v>1</v>
      </c>
      <c r="AR279" s="42">
        <f t="shared" ca="1" si="171"/>
        <v>238</v>
      </c>
      <c r="AT279" s="43">
        <f t="shared" ca="1" si="190"/>
        <v>0.54133065127151991</v>
      </c>
      <c r="AU279" s="8">
        <v>1</v>
      </c>
      <c r="AV279" s="42">
        <f t="shared" ca="1" si="172"/>
        <v>212</v>
      </c>
      <c r="AX279" s="43">
        <f t="shared" ca="1" si="191"/>
        <v>0.78495427889215763</v>
      </c>
      <c r="AY279" s="8">
        <v>1</v>
      </c>
      <c r="AZ279" s="42">
        <f t="shared" ca="1" si="173"/>
        <v>283</v>
      </c>
      <c r="BB279" s="43">
        <f t="shared" ca="1" si="192"/>
        <v>6.0512833696859447E-2</v>
      </c>
      <c r="BC279" s="8">
        <v>1</v>
      </c>
      <c r="BD279" s="42">
        <f t="shared" ca="1" si="174"/>
        <v>118</v>
      </c>
      <c r="BF279" s="43">
        <f t="shared" ca="1" si="193"/>
        <v>0.3663561934356353</v>
      </c>
      <c r="BG279" s="8">
        <v>1</v>
      </c>
      <c r="BH279" s="42">
        <f t="shared" ca="1" si="175"/>
        <v>154</v>
      </c>
      <c r="BJ279" s="43">
        <f t="shared" ca="1" si="194"/>
        <v>0.44571512577351768</v>
      </c>
      <c r="BK279" s="8">
        <v>1</v>
      </c>
      <c r="BL279" s="42">
        <f t="shared" ca="1" si="176"/>
        <v>208</v>
      </c>
      <c r="BN279" s="43">
        <f t="shared" ca="1" si="195"/>
        <v>0.59481105131989898</v>
      </c>
      <c r="BO279" s="8">
        <v>1</v>
      </c>
      <c r="BP279" s="42">
        <f t="shared" ca="1" si="177"/>
        <v>171</v>
      </c>
      <c r="BR279" s="43">
        <f t="shared" ca="1" si="196"/>
        <v>0.5570876952593139</v>
      </c>
      <c r="BS279" s="8">
        <v>1</v>
      </c>
      <c r="BT279" s="42">
        <f t="shared" ca="1" si="178"/>
        <v>228</v>
      </c>
    </row>
    <row r="280" spans="1:72" x14ac:dyDescent="0.2">
      <c r="A280" s="22">
        <v>44827</v>
      </c>
      <c r="B280" s="43">
        <f t="shared" ca="1" si="179"/>
        <v>0.73476783902646736</v>
      </c>
      <c r="C280" s="8">
        <v>1</v>
      </c>
      <c r="D280" s="42">
        <f t="shared" ca="1" si="161"/>
        <v>113</v>
      </c>
      <c r="F280" s="43">
        <f t="shared" ca="1" si="180"/>
        <v>0.3528876427734291</v>
      </c>
      <c r="G280" s="8">
        <v>1</v>
      </c>
      <c r="H280" s="42">
        <f t="shared" ca="1" si="162"/>
        <v>194</v>
      </c>
      <c r="J280" s="43">
        <f t="shared" ca="1" si="181"/>
        <v>0.62648426174474992</v>
      </c>
      <c r="K280" s="8">
        <v>1</v>
      </c>
      <c r="L280" s="42">
        <f t="shared" ca="1" si="163"/>
        <v>163</v>
      </c>
      <c r="N280" s="43">
        <f t="shared" ca="1" si="182"/>
        <v>0.59925763345867888</v>
      </c>
      <c r="O280" s="8">
        <v>1</v>
      </c>
      <c r="P280" s="42">
        <f t="shared" ca="1" si="164"/>
        <v>245</v>
      </c>
      <c r="R280" s="43">
        <f t="shared" ca="1" si="183"/>
        <v>0.89710048724628333</v>
      </c>
      <c r="S280" s="8">
        <v>1</v>
      </c>
      <c r="T280" s="42">
        <f t="shared" ca="1" si="165"/>
        <v>186</v>
      </c>
      <c r="V280" s="43">
        <f t="shared" ca="1" si="184"/>
        <v>0.52886081151354103</v>
      </c>
      <c r="W280" s="8">
        <v>1</v>
      </c>
      <c r="X280" s="42">
        <f t="shared" ca="1" si="166"/>
        <v>230</v>
      </c>
      <c r="Z280" s="43">
        <f t="shared" ca="1" si="185"/>
        <v>0.46664207975598426</v>
      </c>
      <c r="AA280" s="8">
        <v>1</v>
      </c>
      <c r="AB280" s="42">
        <f t="shared" ca="1" si="167"/>
        <v>264</v>
      </c>
      <c r="AD280" s="43">
        <f t="shared" ca="1" si="186"/>
        <v>1.6203409293295445E-2</v>
      </c>
      <c r="AE280" s="8">
        <v>1</v>
      </c>
      <c r="AF280" s="42">
        <f t="shared" ca="1" si="168"/>
        <v>141</v>
      </c>
      <c r="AH280" s="43">
        <f t="shared" ca="1" si="187"/>
        <v>8.7095927166849108E-2</v>
      </c>
      <c r="AI280" s="8">
        <v>1</v>
      </c>
      <c r="AJ280" s="42">
        <f t="shared" ca="1" si="169"/>
        <v>109</v>
      </c>
      <c r="AL280" s="43">
        <f t="shared" ca="1" si="188"/>
        <v>0.69999723954849047</v>
      </c>
      <c r="AM280" s="8">
        <v>1</v>
      </c>
      <c r="AN280" s="42">
        <f t="shared" ca="1" si="170"/>
        <v>265</v>
      </c>
      <c r="AP280" s="43">
        <f t="shared" ca="1" si="189"/>
        <v>0.6720379386621057</v>
      </c>
      <c r="AQ280" s="8">
        <v>1</v>
      </c>
      <c r="AR280" s="42">
        <f t="shared" ca="1" si="171"/>
        <v>222</v>
      </c>
      <c r="AT280" s="43">
        <f t="shared" ca="1" si="190"/>
        <v>0.37783805590543107</v>
      </c>
      <c r="AU280" s="8">
        <v>1</v>
      </c>
      <c r="AV280" s="42">
        <f t="shared" ca="1" si="172"/>
        <v>189</v>
      </c>
      <c r="AX280" s="43">
        <f t="shared" ca="1" si="191"/>
        <v>0.17506917779296893</v>
      </c>
      <c r="AY280" s="8">
        <v>1</v>
      </c>
      <c r="AZ280" s="42">
        <f t="shared" ca="1" si="173"/>
        <v>176</v>
      </c>
      <c r="BB280" s="43">
        <f t="shared" ca="1" si="192"/>
        <v>0.35770107618446523</v>
      </c>
      <c r="BC280" s="8">
        <v>1</v>
      </c>
      <c r="BD280" s="42">
        <f t="shared" ca="1" si="174"/>
        <v>182</v>
      </c>
      <c r="BF280" s="43">
        <f t="shared" ca="1" si="193"/>
        <v>0.97465098367331304</v>
      </c>
      <c r="BG280" s="8">
        <v>1</v>
      </c>
      <c r="BH280" s="42">
        <f t="shared" ca="1" si="175"/>
        <v>257</v>
      </c>
      <c r="BJ280" s="43">
        <f t="shared" ca="1" si="194"/>
        <v>0.58220260657392597</v>
      </c>
      <c r="BK280" s="8">
        <v>1</v>
      </c>
      <c r="BL280" s="42">
        <f t="shared" ca="1" si="176"/>
        <v>228</v>
      </c>
      <c r="BN280" s="43">
        <f t="shared" ca="1" si="195"/>
        <v>0.14947353048020973</v>
      </c>
      <c r="BO280" s="8">
        <v>1</v>
      </c>
      <c r="BP280" s="42">
        <f t="shared" ca="1" si="177"/>
        <v>117</v>
      </c>
      <c r="BR280" s="43">
        <f t="shared" ca="1" si="196"/>
        <v>0.58836951904336399</v>
      </c>
      <c r="BS280" s="8">
        <v>1</v>
      </c>
      <c r="BT280" s="42">
        <f t="shared" ca="1" si="178"/>
        <v>233</v>
      </c>
    </row>
    <row r="281" spans="1:72" x14ac:dyDescent="0.2">
      <c r="A281" s="22">
        <v>44828</v>
      </c>
      <c r="B281" s="43">
        <f t="shared" ca="1" si="179"/>
        <v>0.9579505540873946</v>
      </c>
      <c r="C281" s="8">
        <v>1</v>
      </c>
      <c r="D281" s="42">
        <f t="shared" ca="1" si="161"/>
        <v>135</v>
      </c>
      <c r="F281" s="43">
        <f t="shared" ca="1" si="180"/>
        <v>8.4646399423996876E-2</v>
      </c>
      <c r="G281" s="8">
        <v>1</v>
      </c>
      <c r="H281" s="42">
        <f t="shared" ca="1" si="162"/>
        <v>137</v>
      </c>
      <c r="J281" s="43">
        <f t="shared" ca="1" si="181"/>
        <v>0.39924683825798823</v>
      </c>
      <c r="K281" s="8">
        <v>1</v>
      </c>
      <c r="L281" s="42">
        <f t="shared" ca="1" si="163"/>
        <v>140</v>
      </c>
      <c r="N281" s="43">
        <f t="shared" ca="1" si="182"/>
        <v>0.95328665996708428</v>
      </c>
      <c r="O281" s="8">
        <v>1</v>
      </c>
      <c r="P281" s="42">
        <f t="shared" ca="1" si="164"/>
        <v>332</v>
      </c>
      <c r="R281" s="43">
        <f t="shared" ca="1" si="183"/>
        <v>0.70178447144531431</v>
      </c>
      <c r="S281" s="8">
        <v>1</v>
      </c>
      <c r="T281" s="42">
        <f t="shared" ca="1" si="165"/>
        <v>159</v>
      </c>
      <c r="V281" s="43">
        <f t="shared" ca="1" si="184"/>
        <v>0.14028614727054012</v>
      </c>
      <c r="W281" s="8">
        <v>1</v>
      </c>
      <c r="X281" s="42">
        <f t="shared" ca="1" si="166"/>
        <v>161</v>
      </c>
      <c r="Z281" s="43">
        <f t="shared" ca="1" si="185"/>
        <v>0.33478566213052552</v>
      </c>
      <c r="AA281" s="8">
        <v>1</v>
      </c>
      <c r="AB281" s="42">
        <f t="shared" ca="1" si="167"/>
        <v>240</v>
      </c>
      <c r="AD281" s="43">
        <f t="shared" ca="1" si="186"/>
        <v>0.25417545863571689</v>
      </c>
      <c r="AE281" s="8">
        <v>1</v>
      </c>
      <c r="AF281" s="42">
        <f t="shared" ca="1" si="168"/>
        <v>270</v>
      </c>
      <c r="AH281" s="43">
        <f t="shared" ca="1" si="187"/>
        <v>0.56419639549667489</v>
      </c>
      <c r="AI281" s="8">
        <v>1</v>
      </c>
      <c r="AJ281" s="42">
        <f t="shared" ca="1" si="169"/>
        <v>178</v>
      </c>
      <c r="AL281" s="43">
        <f t="shared" ca="1" si="188"/>
        <v>0.70351273440634388</v>
      </c>
      <c r="AM281" s="8">
        <v>1</v>
      </c>
      <c r="AN281" s="42">
        <f t="shared" ca="1" si="170"/>
        <v>266</v>
      </c>
      <c r="AP281" s="43">
        <f t="shared" ca="1" si="189"/>
        <v>0.96924619559773972</v>
      </c>
      <c r="AQ281" s="8">
        <v>1</v>
      </c>
      <c r="AR281" s="42">
        <f t="shared" ca="1" si="171"/>
        <v>297</v>
      </c>
      <c r="AT281" s="43">
        <f t="shared" ca="1" si="190"/>
        <v>0.15346503946356493</v>
      </c>
      <c r="AU281" s="8">
        <v>1</v>
      </c>
      <c r="AV281" s="42">
        <f t="shared" ca="1" si="172"/>
        <v>150</v>
      </c>
      <c r="AX281" s="43">
        <f t="shared" ca="1" si="191"/>
        <v>0.41324210479547596</v>
      </c>
      <c r="AY281" s="8">
        <v>1</v>
      </c>
      <c r="AZ281" s="42">
        <f t="shared" ca="1" si="173"/>
        <v>220</v>
      </c>
      <c r="BB281" s="43">
        <f t="shared" ca="1" si="192"/>
        <v>0.1003728824782264</v>
      </c>
      <c r="BC281" s="8">
        <v>1</v>
      </c>
      <c r="BD281" s="42">
        <f t="shared" ca="1" si="174"/>
        <v>133</v>
      </c>
      <c r="BF281" s="43">
        <f t="shared" ca="1" si="193"/>
        <v>0.15822054919008788</v>
      </c>
      <c r="BG281" s="8">
        <v>1</v>
      </c>
      <c r="BH281" s="42">
        <f t="shared" ca="1" si="175"/>
        <v>124</v>
      </c>
      <c r="BJ281" s="43">
        <f t="shared" ca="1" si="194"/>
        <v>0.94050334972960459</v>
      </c>
      <c r="BK281" s="8">
        <v>1</v>
      </c>
      <c r="BL281" s="42">
        <f t="shared" ca="1" si="176"/>
        <v>306</v>
      </c>
      <c r="BN281" s="43">
        <f t="shared" ca="1" si="195"/>
        <v>0.15337315104967231</v>
      </c>
      <c r="BO281" s="8">
        <v>1</v>
      </c>
      <c r="BP281" s="42">
        <f t="shared" ca="1" si="177"/>
        <v>117</v>
      </c>
      <c r="BR281" s="43">
        <f t="shared" ca="1" si="196"/>
        <v>0.14445622929324242</v>
      </c>
      <c r="BS281" s="8">
        <v>1</v>
      </c>
      <c r="BT281" s="42">
        <f t="shared" ca="1" si="178"/>
        <v>158</v>
      </c>
    </row>
    <row r="282" spans="1:72" x14ac:dyDescent="0.2">
      <c r="A282" s="22">
        <v>44829</v>
      </c>
      <c r="B282" s="43">
        <f t="shared" ca="1" si="179"/>
        <v>0.94010180842363122</v>
      </c>
      <c r="C282" s="8">
        <v>1</v>
      </c>
      <c r="D282" s="42">
        <f t="shared" ca="1" si="161"/>
        <v>132</v>
      </c>
      <c r="F282" s="43">
        <f t="shared" ca="1" si="180"/>
        <v>0.35914967380610141</v>
      </c>
      <c r="G282" s="8">
        <v>1</v>
      </c>
      <c r="H282" s="42">
        <f t="shared" ca="1" si="162"/>
        <v>195</v>
      </c>
      <c r="J282" s="43">
        <f t="shared" ca="1" si="181"/>
        <v>0.62737024066661373</v>
      </c>
      <c r="K282" s="8">
        <v>1</v>
      </c>
      <c r="L282" s="42">
        <f t="shared" ca="1" si="163"/>
        <v>163</v>
      </c>
      <c r="N282" s="43">
        <f t="shared" ca="1" si="182"/>
        <v>0.16207149671816934</v>
      </c>
      <c r="O282" s="8">
        <v>1</v>
      </c>
      <c r="P282" s="42">
        <f t="shared" ca="1" si="164"/>
        <v>170</v>
      </c>
      <c r="R282" s="43">
        <f t="shared" ca="1" si="183"/>
        <v>0.70534307284655606</v>
      </c>
      <c r="S282" s="8">
        <v>1</v>
      </c>
      <c r="T282" s="42">
        <f t="shared" ca="1" si="165"/>
        <v>159</v>
      </c>
      <c r="V282" s="43">
        <f t="shared" ca="1" si="184"/>
        <v>0.12073621307712668</v>
      </c>
      <c r="W282" s="8">
        <v>1</v>
      </c>
      <c r="X282" s="42">
        <f t="shared" ca="1" si="166"/>
        <v>155</v>
      </c>
      <c r="Z282" s="43">
        <f t="shared" ca="1" si="185"/>
        <v>0.2598977513565458</v>
      </c>
      <c r="AA282" s="8">
        <v>1</v>
      </c>
      <c r="AB282" s="42">
        <f t="shared" ca="1" si="167"/>
        <v>224</v>
      </c>
      <c r="AD282" s="43">
        <f t="shared" ca="1" si="186"/>
        <v>0.50016464769936975</v>
      </c>
      <c r="AE282" s="8">
        <v>1</v>
      </c>
      <c r="AF282" s="42">
        <f t="shared" ca="1" si="168"/>
        <v>328</v>
      </c>
      <c r="AH282" s="43">
        <f t="shared" ca="1" si="187"/>
        <v>0.93949797689981829</v>
      </c>
      <c r="AI282" s="8">
        <v>1</v>
      </c>
      <c r="AJ282" s="42">
        <f t="shared" ca="1" si="169"/>
        <v>241</v>
      </c>
      <c r="AL282" s="43">
        <f t="shared" ca="1" si="188"/>
        <v>0.38778999799734082</v>
      </c>
      <c r="AM282" s="8">
        <v>1</v>
      </c>
      <c r="AN282" s="42">
        <f t="shared" ca="1" si="170"/>
        <v>215</v>
      </c>
      <c r="AP282" s="43">
        <f t="shared" ca="1" si="189"/>
        <v>0.61898366103531155</v>
      </c>
      <c r="AQ282" s="8">
        <v>1</v>
      </c>
      <c r="AR282" s="42">
        <f t="shared" ca="1" si="171"/>
        <v>214</v>
      </c>
      <c r="AT282" s="43">
        <f t="shared" ca="1" si="190"/>
        <v>0.6822977664065073</v>
      </c>
      <c r="AU282" s="8">
        <v>1</v>
      </c>
      <c r="AV282" s="42">
        <f t="shared" ca="1" si="172"/>
        <v>232</v>
      </c>
      <c r="AX282" s="43">
        <f t="shared" ca="1" si="191"/>
        <v>0.34193010763691922</v>
      </c>
      <c r="AY282" s="8">
        <v>1</v>
      </c>
      <c r="AZ282" s="42">
        <f t="shared" ca="1" si="173"/>
        <v>209</v>
      </c>
      <c r="BB282" s="43">
        <f t="shared" ca="1" si="192"/>
        <v>0.41251526704135255</v>
      </c>
      <c r="BC282" s="8">
        <v>1</v>
      </c>
      <c r="BD282" s="42">
        <f t="shared" ca="1" si="174"/>
        <v>189</v>
      </c>
      <c r="BF282" s="43">
        <f t="shared" ca="1" si="193"/>
        <v>0.96107430800254245</v>
      </c>
      <c r="BG282" s="8">
        <v>1</v>
      </c>
      <c r="BH282" s="42">
        <f t="shared" ca="1" si="175"/>
        <v>248</v>
      </c>
      <c r="BJ282" s="43">
        <f t="shared" ca="1" si="194"/>
        <v>0.29289226732094198</v>
      </c>
      <c r="BK282" s="8">
        <v>1</v>
      </c>
      <c r="BL282" s="42">
        <f t="shared" ca="1" si="176"/>
        <v>185</v>
      </c>
      <c r="BN282" s="43">
        <f t="shared" ca="1" si="195"/>
        <v>0.12141634988507499</v>
      </c>
      <c r="BO282" s="8">
        <v>1</v>
      </c>
      <c r="BP282" s="42">
        <f t="shared" ca="1" si="177"/>
        <v>111</v>
      </c>
      <c r="BR282" s="43">
        <f t="shared" ca="1" si="196"/>
        <v>0.27802701064827395</v>
      </c>
      <c r="BS282" s="8">
        <v>1</v>
      </c>
      <c r="BT282" s="42">
        <f t="shared" ca="1" si="178"/>
        <v>185</v>
      </c>
    </row>
    <row r="283" spans="1:72" x14ac:dyDescent="0.2">
      <c r="A283" s="22">
        <v>44830</v>
      </c>
      <c r="B283" s="43">
        <f t="shared" ca="1" si="179"/>
        <v>0.5585770747812604</v>
      </c>
      <c r="C283" s="8">
        <v>1</v>
      </c>
      <c r="D283" s="42">
        <f t="shared" ca="1" si="161"/>
        <v>103</v>
      </c>
      <c r="F283" s="43">
        <f t="shared" ca="1" si="180"/>
        <v>0.37645928649616567</v>
      </c>
      <c r="G283" s="8">
        <v>1</v>
      </c>
      <c r="H283" s="42">
        <f t="shared" ca="1" si="162"/>
        <v>198</v>
      </c>
      <c r="J283" s="43">
        <f t="shared" ca="1" si="181"/>
        <v>0.26124842464085463</v>
      </c>
      <c r="K283" s="8">
        <v>1</v>
      </c>
      <c r="L283" s="42">
        <f t="shared" ca="1" si="163"/>
        <v>125</v>
      </c>
      <c r="N283" s="43">
        <f t="shared" ca="1" si="182"/>
        <v>0.65993694871253705</v>
      </c>
      <c r="O283" s="8">
        <v>1</v>
      </c>
      <c r="P283" s="42">
        <f t="shared" ca="1" si="164"/>
        <v>255</v>
      </c>
      <c r="R283" s="43">
        <f t="shared" ca="1" si="183"/>
        <v>0.81074902496656409</v>
      </c>
      <c r="S283" s="8">
        <v>1</v>
      </c>
      <c r="T283" s="42">
        <f t="shared" ca="1" si="165"/>
        <v>172</v>
      </c>
      <c r="V283" s="43">
        <f t="shared" ca="1" si="184"/>
        <v>0.91989093215154283</v>
      </c>
      <c r="W283" s="8">
        <v>1</v>
      </c>
      <c r="X283" s="42">
        <f t="shared" ca="1" si="166"/>
        <v>310</v>
      </c>
      <c r="Z283" s="43">
        <f t="shared" ca="1" si="185"/>
        <v>0.43645308196750721</v>
      </c>
      <c r="AA283" s="8">
        <v>1</v>
      </c>
      <c r="AB283" s="42">
        <f t="shared" ca="1" si="167"/>
        <v>259</v>
      </c>
      <c r="AD283" s="43">
        <f t="shared" ca="1" si="186"/>
        <v>0.89497034866685643</v>
      </c>
      <c r="AE283" s="8">
        <v>1</v>
      </c>
      <c r="AF283" s="42">
        <f t="shared" ca="1" si="168"/>
        <v>437</v>
      </c>
      <c r="AH283" s="43">
        <f t="shared" ca="1" si="187"/>
        <v>0.83122559394103823</v>
      </c>
      <c r="AI283" s="8">
        <v>1</v>
      </c>
      <c r="AJ283" s="42">
        <f t="shared" ca="1" si="169"/>
        <v>214</v>
      </c>
      <c r="AL283" s="43">
        <f t="shared" ca="1" si="188"/>
        <v>0.79233007870853644</v>
      </c>
      <c r="AM283" s="8">
        <v>1</v>
      </c>
      <c r="AN283" s="42">
        <f t="shared" ca="1" si="170"/>
        <v>283</v>
      </c>
      <c r="AP283" s="43">
        <f t="shared" ca="1" si="189"/>
        <v>0.63094379286686597</v>
      </c>
      <c r="AQ283" s="8">
        <v>1</v>
      </c>
      <c r="AR283" s="42">
        <f t="shared" ca="1" si="171"/>
        <v>216</v>
      </c>
      <c r="AT283" s="43">
        <f t="shared" ca="1" si="190"/>
        <v>0.22482631392302677</v>
      </c>
      <c r="AU283" s="8">
        <v>1</v>
      </c>
      <c r="AV283" s="42">
        <f t="shared" ca="1" si="172"/>
        <v>165</v>
      </c>
      <c r="AX283" s="43">
        <f t="shared" ca="1" si="191"/>
        <v>0.8885544395050311</v>
      </c>
      <c r="AY283" s="8">
        <v>1</v>
      </c>
      <c r="AZ283" s="42">
        <f t="shared" ca="1" si="173"/>
        <v>310</v>
      </c>
      <c r="BB283" s="43">
        <f t="shared" ca="1" si="192"/>
        <v>0.95786735915821908</v>
      </c>
      <c r="BC283" s="8">
        <v>1</v>
      </c>
      <c r="BD283" s="42">
        <f t="shared" ca="1" si="174"/>
        <v>293</v>
      </c>
      <c r="BF283" s="43">
        <f t="shared" ca="1" si="193"/>
        <v>0.45732094091383613</v>
      </c>
      <c r="BG283" s="8">
        <v>1</v>
      </c>
      <c r="BH283" s="42">
        <f t="shared" ca="1" si="175"/>
        <v>164</v>
      </c>
      <c r="BJ283" s="43">
        <f t="shared" ca="1" si="194"/>
        <v>0.11430593464725147</v>
      </c>
      <c r="BK283" s="8">
        <v>1</v>
      </c>
      <c r="BL283" s="42">
        <f t="shared" ca="1" si="176"/>
        <v>147</v>
      </c>
      <c r="BN283" s="43">
        <f t="shared" ca="1" si="195"/>
        <v>0.36720675443240713</v>
      </c>
      <c r="BO283" s="8">
        <v>1</v>
      </c>
      <c r="BP283" s="42">
        <f t="shared" ca="1" si="177"/>
        <v>147</v>
      </c>
      <c r="BR283" s="43">
        <f t="shared" ca="1" si="196"/>
        <v>0.95962570850065143</v>
      </c>
      <c r="BS283" s="8">
        <v>1</v>
      </c>
      <c r="BT283" s="42">
        <f t="shared" ca="1" si="178"/>
        <v>322</v>
      </c>
    </row>
    <row r="284" spans="1:72" x14ac:dyDescent="0.2">
      <c r="A284" s="22">
        <v>44831</v>
      </c>
      <c r="B284" s="43">
        <f t="shared" ca="1" si="179"/>
        <v>0.95697944374912025</v>
      </c>
      <c r="C284" s="8">
        <v>1</v>
      </c>
      <c r="D284" s="42">
        <f t="shared" ca="1" si="161"/>
        <v>135</v>
      </c>
      <c r="F284" s="43">
        <f t="shared" ca="1" si="180"/>
        <v>0.67738187476251921</v>
      </c>
      <c r="G284" s="8">
        <v>1</v>
      </c>
      <c r="H284" s="42">
        <f t="shared" ca="1" si="162"/>
        <v>242</v>
      </c>
      <c r="J284" s="43">
        <f t="shared" ca="1" si="181"/>
        <v>0.42888021764343132</v>
      </c>
      <c r="K284" s="8">
        <v>1</v>
      </c>
      <c r="L284" s="42">
        <f t="shared" ca="1" si="163"/>
        <v>143</v>
      </c>
      <c r="N284" s="43">
        <f t="shared" ca="1" si="182"/>
        <v>0.86362440060178125</v>
      </c>
      <c r="O284" s="8">
        <v>1</v>
      </c>
      <c r="P284" s="42">
        <f t="shared" ca="1" si="164"/>
        <v>297</v>
      </c>
      <c r="R284" s="43">
        <f t="shared" ca="1" si="183"/>
        <v>0.30966850202986784</v>
      </c>
      <c r="S284" s="8">
        <v>1</v>
      </c>
      <c r="T284" s="42">
        <f t="shared" ca="1" si="165"/>
        <v>121</v>
      </c>
      <c r="V284" s="43">
        <f t="shared" ca="1" si="184"/>
        <v>0.28662873932718158</v>
      </c>
      <c r="W284" s="8">
        <v>1</v>
      </c>
      <c r="X284" s="42">
        <f t="shared" ca="1" si="166"/>
        <v>192</v>
      </c>
      <c r="Z284" s="43">
        <f t="shared" ca="1" si="185"/>
        <v>0.61665195664193229</v>
      </c>
      <c r="AA284" s="8">
        <v>1</v>
      </c>
      <c r="AB284" s="42">
        <f t="shared" ca="1" si="167"/>
        <v>292</v>
      </c>
      <c r="AD284" s="43">
        <f t="shared" ca="1" si="186"/>
        <v>0.43168650492054772</v>
      </c>
      <c r="AE284" s="8">
        <v>1</v>
      </c>
      <c r="AF284" s="42">
        <f t="shared" ca="1" si="168"/>
        <v>312</v>
      </c>
      <c r="AH284" s="43">
        <f t="shared" ca="1" si="187"/>
        <v>0.51998135416449964</v>
      </c>
      <c r="AI284" s="8">
        <v>1</v>
      </c>
      <c r="AJ284" s="42">
        <f t="shared" ca="1" si="169"/>
        <v>173</v>
      </c>
      <c r="AL284" s="43">
        <f t="shared" ca="1" si="188"/>
        <v>0.35163848463717362</v>
      </c>
      <c r="AM284" s="8">
        <v>1</v>
      </c>
      <c r="AN284" s="42">
        <f t="shared" ca="1" si="170"/>
        <v>209</v>
      </c>
      <c r="AP284" s="43">
        <f t="shared" ca="1" si="189"/>
        <v>0.91787811985295598</v>
      </c>
      <c r="AQ284" s="8">
        <v>1</v>
      </c>
      <c r="AR284" s="42">
        <f t="shared" ca="1" si="171"/>
        <v>272</v>
      </c>
      <c r="AT284" s="43">
        <f t="shared" ca="1" si="190"/>
        <v>3.4365903575599321E-2</v>
      </c>
      <c r="AU284" s="8">
        <v>1</v>
      </c>
      <c r="AV284" s="42">
        <f t="shared" ca="1" si="172"/>
        <v>106</v>
      </c>
      <c r="AX284" s="43">
        <f t="shared" ca="1" si="191"/>
        <v>0.75948097335263609</v>
      </c>
      <c r="AY284" s="8">
        <v>1</v>
      </c>
      <c r="AZ284" s="42">
        <f t="shared" ca="1" si="173"/>
        <v>278</v>
      </c>
      <c r="BB284" s="43">
        <f t="shared" ca="1" si="192"/>
        <v>0.95535437873059492</v>
      </c>
      <c r="BC284" s="8">
        <v>1</v>
      </c>
      <c r="BD284" s="42">
        <f t="shared" ca="1" si="174"/>
        <v>292</v>
      </c>
      <c r="BF284" s="43">
        <f t="shared" ca="1" si="193"/>
        <v>2.7071635566009444E-3</v>
      </c>
      <c r="BG284" s="8">
        <v>1</v>
      </c>
      <c r="BH284" s="42">
        <f t="shared" ca="1" si="175"/>
        <v>44</v>
      </c>
      <c r="BJ284" s="43">
        <f t="shared" ca="1" si="194"/>
        <v>0.1081872438056235</v>
      </c>
      <c r="BK284" s="8">
        <v>1</v>
      </c>
      <c r="BL284" s="42">
        <f t="shared" ca="1" si="176"/>
        <v>145</v>
      </c>
      <c r="BN284" s="43">
        <f t="shared" ca="1" si="195"/>
        <v>0.58808556072498042</v>
      </c>
      <c r="BO284" s="8">
        <v>1</v>
      </c>
      <c r="BP284" s="42">
        <f t="shared" ca="1" si="177"/>
        <v>171</v>
      </c>
      <c r="BR284" s="43">
        <f t="shared" ca="1" si="196"/>
        <v>0.63548723080937042</v>
      </c>
      <c r="BS284" s="8">
        <v>1</v>
      </c>
      <c r="BT284" s="42">
        <f t="shared" ca="1" si="178"/>
        <v>240</v>
      </c>
    </row>
    <row r="285" spans="1:72" x14ac:dyDescent="0.2">
      <c r="A285" s="22">
        <v>44832</v>
      </c>
      <c r="B285" s="43">
        <f t="shared" ca="1" si="179"/>
        <v>0.27182611149908364</v>
      </c>
      <c r="C285" s="8">
        <v>1</v>
      </c>
      <c r="D285" s="42">
        <f t="shared" ca="1" si="161"/>
        <v>88</v>
      </c>
      <c r="F285" s="43">
        <f t="shared" ca="1" si="180"/>
        <v>0.52900529509595706</v>
      </c>
      <c r="G285" s="8">
        <v>1</v>
      </c>
      <c r="H285" s="42">
        <f t="shared" ca="1" si="162"/>
        <v>220</v>
      </c>
      <c r="J285" s="43">
        <f t="shared" ca="1" si="181"/>
        <v>1.0561964026623571E-2</v>
      </c>
      <c r="K285" s="8">
        <v>1</v>
      </c>
      <c r="L285" s="42">
        <f t="shared" ca="1" si="163"/>
        <v>58</v>
      </c>
      <c r="N285" s="43">
        <f t="shared" ca="1" si="182"/>
        <v>0.34379810905124208</v>
      </c>
      <c r="O285" s="8">
        <v>1</v>
      </c>
      <c r="P285" s="42">
        <f t="shared" ca="1" si="164"/>
        <v>205</v>
      </c>
      <c r="R285" s="43">
        <f t="shared" ca="1" si="183"/>
        <v>0.27042550012503108</v>
      </c>
      <c r="S285" s="8">
        <v>1</v>
      </c>
      <c r="T285" s="42">
        <f t="shared" ca="1" si="165"/>
        <v>117</v>
      </c>
      <c r="V285" s="43">
        <f t="shared" ca="1" si="184"/>
        <v>0.54270455995398503</v>
      </c>
      <c r="W285" s="8">
        <v>1</v>
      </c>
      <c r="X285" s="42">
        <f t="shared" ca="1" si="166"/>
        <v>232</v>
      </c>
      <c r="Z285" s="43">
        <f t="shared" ca="1" si="185"/>
        <v>0.37441970879838671</v>
      </c>
      <c r="AA285" s="8">
        <v>1</v>
      </c>
      <c r="AB285" s="42">
        <f t="shared" ca="1" si="167"/>
        <v>247</v>
      </c>
      <c r="AD285" s="43">
        <f t="shared" ca="1" si="186"/>
        <v>0.30338088773289718</v>
      </c>
      <c r="AE285" s="8">
        <v>1</v>
      </c>
      <c r="AF285" s="42">
        <f t="shared" ca="1" si="168"/>
        <v>283</v>
      </c>
      <c r="AH285" s="43">
        <f t="shared" ca="1" si="187"/>
        <v>0.41470295548934311</v>
      </c>
      <c r="AI285" s="8">
        <v>1</v>
      </c>
      <c r="AJ285" s="42">
        <f t="shared" ca="1" si="169"/>
        <v>161</v>
      </c>
      <c r="AL285" s="43">
        <f t="shared" ca="1" si="188"/>
        <v>0.47089821167934476</v>
      </c>
      <c r="AM285" s="8">
        <v>1</v>
      </c>
      <c r="AN285" s="42">
        <f t="shared" ca="1" si="170"/>
        <v>228</v>
      </c>
      <c r="AP285" s="43">
        <f t="shared" ca="1" si="189"/>
        <v>0.72158300104384099</v>
      </c>
      <c r="AQ285" s="8">
        <v>1</v>
      </c>
      <c r="AR285" s="42">
        <f t="shared" ca="1" si="171"/>
        <v>230</v>
      </c>
      <c r="AT285" s="43">
        <f t="shared" ca="1" si="190"/>
        <v>0.20851118286752501</v>
      </c>
      <c r="AU285" s="8">
        <v>1</v>
      </c>
      <c r="AV285" s="42">
        <f t="shared" ca="1" si="172"/>
        <v>162</v>
      </c>
      <c r="AX285" s="43">
        <f t="shared" ca="1" si="191"/>
        <v>0.1666014298680959</v>
      </c>
      <c r="AY285" s="8">
        <v>1</v>
      </c>
      <c r="AZ285" s="42">
        <f t="shared" ca="1" si="173"/>
        <v>174</v>
      </c>
      <c r="BB285" s="43">
        <f t="shared" ca="1" si="192"/>
        <v>0.9035220106790689</v>
      </c>
      <c r="BC285" s="8">
        <v>1</v>
      </c>
      <c r="BD285" s="42">
        <f t="shared" ca="1" si="174"/>
        <v>271</v>
      </c>
      <c r="BF285" s="43">
        <f t="shared" ca="1" si="193"/>
        <v>0.71045963375058307</v>
      </c>
      <c r="BG285" s="8">
        <v>1</v>
      </c>
      <c r="BH285" s="42">
        <f t="shared" ca="1" si="175"/>
        <v>194</v>
      </c>
      <c r="BJ285" s="43">
        <f t="shared" ca="1" si="194"/>
        <v>0.48975296905492494</v>
      </c>
      <c r="BK285" s="8">
        <v>1</v>
      </c>
      <c r="BL285" s="42">
        <f t="shared" ca="1" si="176"/>
        <v>215</v>
      </c>
      <c r="BN285" s="43">
        <f t="shared" ca="1" si="195"/>
        <v>0.60158415912915963</v>
      </c>
      <c r="BO285" s="8">
        <v>1</v>
      </c>
      <c r="BP285" s="42">
        <f t="shared" ca="1" si="177"/>
        <v>172</v>
      </c>
      <c r="BR285" s="43">
        <f t="shared" ca="1" si="196"/>
        <v>0.27961605984368731</v>
      </c>
      <c r="BS285" s="8">
        <v>1</v>
      </c>
      <c r="BT285" s="42">
        <f t="shared" ca="1" si="178"/>
        <v>186</v>
      </c>
    </row>
    <row r="286" spans="1:72" x14ac:dyDescent="0.2">
      <c r="A286" s="22">
        <v>44833</v>
      </c>
      <c r="B286" s="43">
        <f t="shared" ca="1" si="179"/>
        <v>0.90907349086636779</v>
      </c>
      <c r="C286" s="8">
        <v>1</v>
      </c>
      <c r="D286" s="42">
        <f t="shared" ca="1" si="161"/>
        <v>127</v>
      </c>
      <c r="F286" s="43">
        <f t="shared" ca="1" si="180"/>
        <v>0.71999234713208937</v>
      </c>
      <c r="G286" s="8">
        <v>1</v>
      </c>
      <c r="H286" s="42">
        <f t="shared" ca="1" si="162"/>
        <v>249</v>
      </c>
      <c r="J286" s="43">
        <f t="shared" ca="1" si="181"/>
        <v>0.75953207052158744</v>
      </c>
      <c r="K286" s="8">
        <v>1</v>
      </c>
      <c r="L286" s="42">
        <f t="shared" ca="1" si="163"/>
        <v>179</v>
      </c>
      <c r="N286" s="43">
        <f t="shared" ca="1" si="182"/>
        <v>0.47385606215154308</v>
      </c>
      <c r="O286" s="8">
        <v>1</v>
      </c>
      <c r="P286" s="42">
        <f t="shared" ca="1" si="164"/>
        <v>226</v>
      </c>
      <c r="R286" s="43">
        <f t="shared" ca="1" si="183"/>
        <v>0.54424639397313135</v>
      </c>
      <c r="S286" s="8">
        <v>1</v>
      </c>
      <c r="T286" s="42">
        <f t="shared" ca="1" si="165"/>
        <v>143</v>
      </c>
      <c r="V286" s="43">
        <f t="shared" ca="1" si="184"/>
        <v>0.40250171761001496</v>
      </c>
      <c r="W286" s="8">
        <v>1</v>
      </c>
      <c r="X286" s="42">
        <f t="shared" ca="1" si="166"/>
        <v>211</v>
      </c>
      <c r="Z286" s="43">
        <f t="shared" ca="1" si="185"/>
        <v>0.7299234597632539</v>
      </c>
      <c r="AA286" s="8">
        <v>1</v>
      </c>
      <c r="AB286" s="42">
        <f t="shared" ca="1" si="167"/>
        <v>315</v>
      </c>
      <c r="AD286" s="43">
        <f t="shared" ca="1" si="186"/>
        <v>0.88717444761665043</v>
      </c>
      <c r="AE286" s="8">
        <v>1</v>
      </c>
      <c r="AF286" s="42">
        <f t="shared" ca="1" si="168"/>
        <v>433</v>
      </c>
      <c r="AH286" s="43">
        <f t="shared" ca="1" si="187"/>
        <v>0.13172515940625396</v>
      </c>
      <c r="AI286" s="8">
        <v>1</v>
      </c>
      <c r="AJ286" s="42">
        <f t="shared" ca="1" si="169"/>
        <v>120</v>
      </c>
      <c r="AL286" s="43">
        <f t="shared" ca="1" si="188"/>
        <v>0.4158636724927689</v>
      </c>
      <c r="AM286" s="8">
        <v>1</v>
      </c>
      <c r="AN286" s="42">
        <f t="shared" ca="1" si="170"/>
        <v>219</v>
      </c>
      <c r="AP286" s="43">
        <f t="shared" ca="1" si="189"/>
        <v>0.23813334016032717</v>
      </c>
      <c r="AQ286" s="8">
        <v>1</v>
      </c>
      <c r="AR286" s="42">
        <f t="shared" ca="1" si="171"/>
        <v>161</v>
      </c>
      <c r="AT286" s="43">
        <f t="shared" ca="1" si="190"/>
        <v>0.38366832489634095</v>
      </c>
      <c r="AU286" s="8">
        <v>1</v>
      </c>
      <c r="AV286" s="42">
        <f t="shared" ca="1" si="172"/>
        <v>190</v>
      </c>
      <c r="AX286" s="43">
        <f t="shared" ca="1" si="191"/>
        <v>0.64518245133193519</v>
      </c>
      <c r="AY286" s="8">
        <v>1</v>
      </c>
      <c r="AZ286" s="42">
        <f t="shared" ca="1" si="173"/>
        <v>257</v>
      </c>
      <c r="BB286" s="43">
        <f t="shared" ca="1" si="192"/>
        <v>0.23238301913985915</v>
      </c>
      <c r="BC286" s="8">
        <v>1</v>
      </c>
      <c r="BD286" s="42">
        <f t="shared" ca="1" si="174"/>
        <v>162</v>
      </c>
      <c r="BF286" s="43">
        <f t="shared" ca="1" si="193"/>
        <v>0.19053407140325085</v>
      </c>
      <c r="BG286" s="8">
        <v>1</v>
      </c>
      <c r="BH286" s="42">
        <f t="shared" ca="1" si="175"/>
        <v>130</v>
      </c>
      <c r="BJ286" s="43">
        <f t="shared" ca="1" si="194"/>
        <v>0.94183180773484432</v>
      </c>
      <c r="BK286" s="8">
        <v>1</v>
      </c>
      <c r="BL286" s="42">
        <f t="shared" ca="1" si="176"/>
        <v>307</v>
      </c>
      <c r="BN286" s="43">
        <f t="shared" ca="1" si="195"/>
        <v>0.74432867463080044</v>
      </c>
      <c r="BO286" s="8">
        <v>1</v>
      </c>
      <c r="BP286" s="42">
        <f t="shared" ca="1" si="177"/>
        <v>189</v>
      </c>
      <c r="BR286" s="43">
        <f t="shared" ca="1" si="196"/>
        <v>0.33060453942272572</v>
      </c>
      <c r="BS286" s="8">
        <v>1</v>
      </c>
      <c r="BT286" s="42">
        <f t="shared" ca="1" si="178"/>
        <v>194</v>
      </c>
    </row>
    <row r="287" spans="1:72" x14ac:dyDescent="0.2">
      <c r="A287" s="22">
        <v>44834</v>
      </c>
      <c r="B287" s="43">
        <f t="shared" ca="1" si="179"/>
        <v>0.7367330521884633</v>
      </c>
      <c r="C287" s="8">
        <v>1</v>
      </c>
      <c r="D287" s="42">
        <f t="shared" ca="1" si="161"/>
        <v>113</v>
      </c>
      <c r="F287" s="43">
        <f t="shared" ca="1" si="180"/>
        <v>0.5824086335090114</v>
      </c>
      <c r="G287" s="8">
        <v>1</v>
      </c>
      <c r="H287" s="42">
        <f t="shared" ca="1" si="162"/>
        <v>228</v>
      </c>
      <c r="J287" s="43">
        <f t="shared" ca="1" si="181"/>
        <v>0.96761091842319702</v>
      </c>
      <c r="K287" s="8">
        <v>1</v>
      </c>
      <c r="L287" s="42">
        <f t="shared" ca="1" si="163"/>
        <v>224</v>
      </c>
      <c r="N287" s="43">
        <f t="shared" ca="1" si="182"/>
        <v>0.99766486556193434</v>
      </c>
      <c r="O287" s="8">
        <v>1</v>
      </c>
      <c r="P287" s="42">
        <f t="shared" ca="1" si="164"/>
        <v>403</v>
      </c>
      <c r="R287" s="43">
        <f t="shared" ca="1" si="183"/>
        <v>1.4740585334824363E-2</v>
      </c>
      <c r="S287" s="8">
        <v>1</v>
      </c>
      <c r="T287" s="42">
        <f t="shared" ca="1" si="165"/>
        <v>59</v>
      </c>
      <c r="V287" s="43">
        <f t="shared" ca="1" si="184"/>
        <v>3.4440966140471208E-2</v>
      </c>
      <c r="W287" s="8">
        <v>1</v>
      </c>
      <c r="X287" s="42">
        <f t="shared" ca="1" si="166"/>
        <v>116</v>
      </c>
      <c r="Z287" s="43">
        <f t="shared" ca="1" si="185"/>
        <v>0.87747766003320293</v>
      </c>
      <c r="AA287" s="8">
        <v>1</v>
      </c>
      <c r="AB287" s="42">
        <f t="shared" ca="1" si="167"/>
        <v>354</v>
      </c>
      <c r="AD287" s="43">
        <f t="shared" ca="1" si="186"/>
        <v>0.96074295278426791</v>
      </c>
      <c r="AE287" s="8">
        <v>1</v>
      </c>
      <c r="AF287" s="42">
        <f t="shared" ca="1" si="168"/>
        <v>481</v>
      </c>
      <c r="AH287" s="43">
        <f t="shared" ca="1" si="187"/>
        <v>7.7781048271935216E-2</v>
      </c>
      <c r="AI287" s="8">
        <v>1</v>
      </c>
      <c r="AJ287" s="42">
        <f t="shared" ca="1" si="169"/>
        <v>106</v>
      </c>
      <c r="AL287" s="43">
        <f t="shared" ca="1" si="188"/>
        <v>5.2701994906851235E-2</v>
      </c>
      <c r="AM287" s="8">
        <v>1</v>
      </c>
      <c r="AN287" s="42">
        <f t="shared" ca="1" si="170"/>
        <v>132</v>
      </c>
      <c r="AP287" s="43">
        <f t="shared" ca="1" si="189"/>
        <v>0.65821221484139891</v>
      </c>
      <c r="AQ287" s="8">
        <v>1</v>
      </c>
      <c r="AR287" s="42">
        <f t="shared" ca="1" si="171"/>
        <v>220</v>
      </c>
      <c r="AT287" s="43">
        <f t="shared" ca="1" si="190"/>
        <v>0.48867306123292675</v>
      </c>
      <c r="AU287" s="8">
        <v>1</v>
      </c>
      <c r="AV287" s="42">
        <f t="shared" ca="1" si="172"/>
        <v>204</v>
      </c>
      <c r="AX287" s="43">
        <f t="shared" ca="1" si="191"/>
        <v>0.94798065370374007</v>
      </c>
      <c r="AY287" s="8">
        <v>1</v>
      </c>
      <c r="AZ287" s="42">
        <f t="shared" ca="1" si="173"/>
        <v>335</v>
      </c>
      <c r="BB287" s="43">
        <f t="shared" ca="1" si="192"/>
        <v>0.74131679239988812</v>
      </c>
      <c r="BC287" s="8">
        <v>1</v>
      </c>
      <c r="BD287" s="42">
        <f t="shared" ca="1" si="174"/>
        <v>236</v>
      </c>
      <c r="BF287" s="43">
        <f t="shared" ca="1" si="193"/>
        <v>0.91497119302706509</v>
      </c>
      <c r="BG287" s="8">
        <v>1</v>
      </c>
      <c r="BH287" s="42">
        <f t="shared" ca="1" si="175"/>
        <v>231</v>
      </c>
      <c r="BJ287" s="43">
        <f t="shared" ca="1" si="194"/>
        <v>0.88947668453600359</v>
      </c>
      <c r="BK287" s="8">
        <v>1</v>
      </c>
      <c r="BL287" s="42">
        <f t="shared" ca="1" si="176"/>
        <v>287</v>
      </c>
      <c r="BN287" s="43">
        <f t="shared" ca="1" si="195"/>
        <v>8.5420302801266779E-2</v>
      </c>
      <c r="BO287" s="8">
        <v>1</v>
      </c>
      <c r="BP287" s="42">
        <f t="shared" ca="1" si="177"/>
        <v>102</v>
      </c>
      <c r="BR287" s="43">
        <f t="shared" ca="1" si="196"/>
        <v>0.26371580204759359</v>
      </c>
      <c r="BS287" s="8">
        <v>1</v>
      </c>
      <c r="BT287" s="42">
        <f t="shared" ca="1" si="178"/>
        <v>183</v>
      </c>
    </row>
    <row r="288" spans="1:72" x14ac:dyDescent="0.2">
      <c r="A288" s="22">
        <v>44835</v>
      </c>
      <c r="B288" s="43">
        <f t="shared" ca="1" si="179"/>
        <v>0.35052222120322685</v>
      </c>
      <c r="C288" s="8">
        <v>1</v>
      </c>
      <c r="D288" s="42">
        <f t="shared" ca="1" si="161"/>
        <v>93</v>
      </c>
      <c r="F288" s="43">
        <f t="shared" ca="1" si="180"/>
        <v>0.69041196659145909</v>
      </c>
      <c r="G288" s="8">
        <v>1</v>
      </c>
      <c r="H288" s="42">
        <f t="shared" ca="1" si="162"/>
        <v>244</v>
      </c>
      <c r="J288" s="43">
        <f t="shared" ca="1" si="181"/>
        <v>0.85792856156507458</v>
      </c>
      <c r="K288" s="8">
        <v>1</v>
      </c>
      <c r="L288" s="42">
        <f t="shared" ca="1" si="163"/>
        <v>193</v>
      </c>
      <c r="N288" s="43">
        <f t="shared" ca="1" si="182"/>
        <v>0.13577384415886884</v>
      </c>
      <c r="O288" s="8">
        <v>1</v>
      </c>
      <c r="P288" s="42">
        <f t="shared" ca="1" si="164"/>
        <v>163</v>
      </c>
      <c r="R288" s="43">
        <f t="shared" ca="1" si="183"/>
        <v>0.60833179270099214</v>
      </c>
      <c r="S288" s="8">
        <v>1</v>
      </c>
      <c r="T288" s="42">
        <f t="shared" ca="1" si="165"/>
        <v>149</v>
      </c>
      <c r="V288" s="43">
        <f t="shared" ca="1" si="184"/>
        <v>0.1623845119029852</v>
      </c>
      <c r="W288" s="8">
        <v>1</v>
      </c>
      <c r="X288" s="42">
        <f t="shared" ca="1" si="166"/>
        <v>166</v>
      </c>
      <c r="Z288" s="43">
        <f t="shared" ca="1" si="185"/>
        <v>0.80634609063849849</v>
      </c>
      <c r="AA288" s="8">
        <v>1</v>
      </c>
      <c r="AB288" s="42">
        <f t="shared" ca="1" si="167"/>
        <v>333</v>
      </c>
      <c r="AD288" s="43">
        <f t="shared" ca="1" si="186"/>
        <v>0.84304522559717487</v>
      </c>
      <c r="AE288" s="8">
        <v>1</v>
      </c>
      <c r="AF288" s="42">
        <f t="shared" ca="1" si="168"/>
        <v>415</v>
      </c>
      <c r="AH288" s="43">
        <f t="shared" ca="1" si="187"/>
        <v>0.26310316739495965</v>
      </c>
      <c r="AI288" s="8">
        <v>1</v>
      </c>
      <c r="AJ288" s="42">
        <f t="shared" ca="1" si="169"/>
        <v>142</v>
      </c>
      <c r="AL288" s="43">
        <f t="shared" ca="1" si="188"/>
        <v>0.35331832856125012</v>
      </c>
      <c r="AM288" s="8">
        <v>1</v>
      </c>
      <c r="AN288" s="42">
        <f t="shared" ca="1" si="170"/>
        <v>209</v>
      </c>
      <c r="AP288" s="43">
        <f t="shared" ca="1" si="189"/>
        <v>0.35259125262986546</v>
      </c>
      <c r="AQ288" s="8">
        <v>1</v>
      </c>
      <c r="AR288" s="42">
        <f t="shared" ca="1" si="171"/>
        <v>179</v>
      </c>
      <c r="AT288" s="43">
        <f t="shared" ca="1" si="190"/>
        <v>0.90402144693311082</v>
      </c>
      <c r="AU288" s="8">
        <v>1</v>
      </c>
      <c r="AV288" s="42">
        <f t="shared" ca="1" si="172"/>
        <v>278</v>
      </c>
      <c r="AX288" s="43">
        <f t="shared" ca="1" si="191"/>
        <v>0.64519061186474957</v>
      </c>
      <c r="AY288" s="8">
        <v>1</v>
      </c>
      <c r="AZ288" s="42">
        <f t="shared" ca="1" si="173"/>
        <v>257</v>
      </c>
      <c r="BB288" s="43">
        <f t="shared" ca="1" si="192"/>
        <v>0.21700345213247041</v>
      </c>
      <c r="BC288" s="8">
        <v>1</v>
      </c>
      <c r="BD288" s="42">
        <f t="shared" ca="1" si="174"/>
        <v>159</v>
      </c>
      <c r="BF288" s="43">
        <f t="shared" ca="1" si="193"/>
        <v>0.61205712798149536</v>
      </c>
      <c r="BG288" s="8">
        <v>1</v>
      </c>
      <c r="BH288" s="42">
        <f t="shared" ca="1" si="175"/>
        <v>182</v>
      </c>
      <c r="BJ288" s="43">
        <f t="shared" ca="1" si="194"/>
        <v>0.87717551006100669</v>
      </c>
      <c r="BK288" s="8">
        <v>1</v>
      </c>
      <c r="BL288" s="42">
        <f t="shared" ca="1" si="176"/>
        <v>283</v>
      </c>
      <c r="BN288" s="43">
        <f t="shared" ca="1" si="195"/>
        <v>0.57758488667418006</v>
      </c>
      <c r="BO288" s="8">
        <v>1</v>
      </c>
      <c r="BP288" s="42">
        <f t="shared" ca="1" si="177"/>
        <v>170</v>
      </c>
      <c r="BR288" s="43">
        <f t="shared" ca="1" si="196"/>
        <v>0.86428108410333027</v>
      </c>
      <c r="BS288" s="8">
        <v>1</v>
      </c>
      <c r="BT288" s="42">
        <f t="shared" ca="1" si="178"/>
        <v>284</v>
      </c>
    </row>
    <row r="289" spans="1:72" x14ac:dyDescent="0.2">
      <c r="A289" s="22">
        <v>44836</v>
      </c>
      <c r="B289" s="43">
        <f t="shared" ca="1" si="179"/>
        <v>0.43991652377589507</v>
      </c>
      <c r="C289" s="8">
        <v>1</v>
      </c>
      <c r="D289" s="42">
        <f t="shared" ca="1" si="161"/>
        <v>97</v>
      </c>
      <c r="F289" s="43">
        <f t="shared" ca="1" si="180"/>
        <v>0.67463784709405306</v>
      </c>
      <c r="G289" s="8">
        <v>1</v>
      </c>
      <c r="H289" s="42">
        <f t="shared" ca="1" si="162"/>
        <v>242</v>
      </c>
      <c r="J289" s="43">
        <f t="shared" ca="1" si="181"/>
        <v>0.44072849938877867</v>
      </c>
      <c r="K289" s="8">
        <v>1</v>
      </c>
      <c r="L289" s="42">
        <f t="shared" ca="1" si="163"/>
        <v>145</v>
      </c>
      <c r="N289" s="43">
        <f t="shared" ca="1" si="182"/>
        <v>0.95785575830752734</v>
      </c>
      <c r="O289" s="8">
        <v>1</v>
      </c>
      <c r="P289" s="42">
        <f t="shared" ca="1" si="164"/>
        <v>335</v>
      </c>
      <c r="R289" s="43">
        <f t="shared" ca="1" si="183"/>
        <v>0.68736241286004751</v>
      </c>
      <c r="S289" s="8">
        <v>1</v>
      </c>
      <c r="T289" s="42">
        <f t="shared" ca="1" si="165"/>
        <v>157</v>
      </c>
      <c r="V289" s="43">
        <f t="shared" ca="1" si="184"/>
        <v>0.27200653827244048</v>
      </c>
      <c r="W289" s="8">
        <v>1</v>
      </c>
      <c r="X289" s="42">
        <f t="shared" ca="1" si="166"/>
        <v>189</v>
      </c>
      <c r="Z289" s="43">
        <f t="shared" ca="1" si="185"/>
        <v>0.94171251804245604</v>
      </c>
      <c r="AA289" s="8">
        <v>1</v>
      </c>
      <c r="AB289" s="42">
        <f t="shared" ca="1" si="167"/>
        <v>383</v>
      </c>
      <c r="AD289" s="43">
        <f t="shared" ca="1" si="186"/>
        <v>5.3670225302332675E-2</v>
      </c>
      <c r="AE289" s="8">
        <v>1</v>
      </c>
      <c r="AF289" s="42">
        <f t="shared" ca="1" si="168"/>
        <v>187</v>
      </c>
      <c r="AH289" s="43">
        <f t="shared" ca="1" si="187"/>
        <v>0.44875339992243757</v>
      </c>
      <c r="AI289" s="8">
        <v>1</v>
      </c>
      <c r="AJ289" s="42">
        <f t="shared" ca="1" si="169"/>
        <v>165</v>
      </c>
      <c r="AL289" s="43">
        <f t="shared" ca="1" si="188"/>
        <v>0.38191370894592358</v>
      </c>
      <c r="AM289" s="8">
        <v>1</v>
      </c>
      <c r="AN289" s="42">
        <f t="shared" ca="1" si="170"/>
        <v>214</v>
      </c>
      <c r="AP289" s="43">
        <f t="shared" ca="1" si="189"/>
        <v>0.98504116915200346</v>
      </c>
      <c r="AQ289" s="8">
        <v>1</v>
      </c>
      <c r="AR289" s="42">
        <f t="shared" ca="1" si="171"/>
        <v>313</v>
      </c>
      <c r="AT289" s="43">
        <f t="shared" ca="1" si="190"/>
        <v>0.98826634869238617</v>
      </c>
      <c r="AU289" s="8">
        <v>1</v>
      </c>
      <c r="AV289" s="42">
        <f t="shared" ca="1" si="172"/>
        <v>330</v>
      </c>
      <c r="AX289" s="43">
        <f t="shared" ca="1" si="191"/>
        <v>0.76464653541355587</v>
      </c>
      <c r="AY289" s="8">
        <v>1</v>
      </c>
      <c r="AZ289" s="42">
        <f t="shared" ca="1" si="173"/>
        <v>279</v>
      </c>
      <c r="BB289" s="43">
        <f t="shared" ca="1" si="192"/>
        <v>5.5995468120720759E-2</v>
      </c>
      <c r="BC289" s="8">
        <v>1</v>
      </c>
      <c r="BD289" s="42">
        <f t="shared" ca="1" si="174"/>
        <v>116</v>
      </c>
      <c r="BF289" s="43">
        <f t="shared" ca="1" si="193"/>
        <v>0.938446989673976</v>
      </c>
      <c r="BG289" s="8">
        <v>1</v>
      </c>
      <c r="BH289" s="42">
        <f t="shared" ca="1" si="175"/>
        <v>238</v>
      </c>
      <c r="BJ289" s="43">
        <f t="shared" ca="1" si="194"/>
        <v>0.39383268674652205</v>
      </c>
      <c r="BK289" s="8">
        <v>1</v>
      </c>
      <c r="BL289" s="42">
        <f t="shared" ca="1" si="176"/>
        <v>201</v>
      </c>
      <c r="BN289" s="43">
        <f t="shared" ca="1" si="195"/>
        <v>0.12403847163195514</v>
      </c>
      <c r="BO289" s="8">
        <v>1</v>
      </c>
      <c r="BP289" s="42">
        <f t="shared" ca="1" si="177"/>
        <v>112</v>
      </c>
      <c r="BR289" s="43">
        <f t="shared" ca="1" si="196"/>
        <v>0.46961332754530438</v>
      </c>
      <c r="BS289" s="8">
        <v>1</v>
      </c>
      <c r="BT289" s="42">
        <f t="shared" ca="1" si="178"/>
        <v>215</v>
      </c>
    </row>
    <row r="290" spans="1:72" x14ac:dyDescent="0.2">
      <c r="A290" s="22">
        <v>44837</v>
      </c>
      <c r="B290" s="43">
        <f t="shared" ca="1" si="179"/>
        <v>0.88311870708915396</v>
      </c>
      <c r="C290" s="8">
        <v>1</v>
      </c>
      <c r="D290" s="42">
        <f t="shared" ca="1" si="161"/>
        <v>124</v>
      </c>
      <c r="F290" s="43">
        <f t="shared" ca="1" si="180"/>
        <v>0.53917768209454453</v>
      </c>
      <c r="G290" s="8">
        <v>1</v>
      </c>
      <c r="H290" s="42">
        <f t="shared" ca="1" si="162"/>
        <v>222</v>
      </c>
      <c r="J290" s="43">
        <f t="shared" ca="1" si="181"/>
        <v>0.54079377020321806</v>
      </c>
      <c r="K290" s="8">
        <v>1</v>
      </c>
      <c r="L290" s="42">
        <f t="shared" ca="1" si="163"/>
        <v>155</v>
      </c>
      <c r="N290" s="43">
        <f t="shared" ca="1" si="182"/>
        <v>0.59603439414578829</v>
      </c>
      <c r="O290" s="8">
        <v>1</v>
      </c>
      <c r="P290" s="42">
        <f t="shared" ca="1" si="164"/>
        <v>245</v>
      </c>
      <c r="R290" s="43">
        <f t="shared" ca="1" si="183"/>
        <v>0.52589977379003172</v>
      </c>
      <c r="S290" s="8">
        <v>1</v>
      </c>
      <c r="T290" s="42">
        <f t="shared" ca="1" si="165"/>
        <v>142</v>
      </c>
      <c r="V290" s="43">
        <f t="shared" ca="1" si="184"/>
        <v>0.88895406640725061</v>
      </c>
      <c r="W290" s="8">
        <v>1</v>
      </c>
      <c r="X290" s="42">
        <f t="shared" ca="1" si="166"/>
        <v>299</v>
      </c>
      <c r="Z290" s="43">
        <f t="shared" ca="1" si="185"/>
        <v>0.26870206859161405</v>
      </c>
      <c r="AA290" s="8">
        <v>1</v>
      </c>
      <c r="AB290" s="42">
        <f t="shared" ca="1" si="167"/>
        <v>226</v>
      </c>
      <c r="AD290" s="43">
        <f t="shared" ca="1" si="186"/>
        <v>0.39287995058268388</v>
      </c>
      <c r="AE290" s="8">
        <v>1</v>
      </c>
      <c r="AF290" s="42">
        <f t="shared" ca="1" si="168"/>
        <v>304</v>
      </c>
      <c r="AH290" s="43">
        <f t="shared" ca="1" si="187"/>
        <v>0.99026559389511148</v>
      </c>
      <c r="AI290" s="8">
        <v>1</v>
      </c>
      <c r="AJ290" s="42">
        <f t="shared" ca="1" si="169"/>
        <v>277</v>
      </c>
      <c r="AL290" s="43">
        <f t="shared" ca="1" si="188"/>
        <v>0.54422762937425129</v>
      </c>
      <c r="AM290" s="8">
        <v>1</v>
      </c>
      <c r="AN290" s="42">
        <f t="shared" ca="1" si="170"/>
        <v>239</v>
      </c>
      <c r="AP290" s="43">
        <f t="shared" ca="1" si="189"/>
        <v>0.53701097233215078</v>
      </c>
      <c r="AQ290" s="8">
        <v>1</v>
      </c>
      <c r="AR290" s="42">
        <f t="shared" ca="1" si="171"/>
        <v>203</v>
      </c>
      <c r="AT290" s="43">
        <f t="shared" ca="1" si="190"/>
        <v>0.12184502006901987</v>
      </c>
      <c r="AU290" s="8">
        <v>1</v>
      </c>
      <c r="AV290" s="42">
        <f t="shared" ca="1" si="172"/>
        <v>142</v>
      </c>
      <c r="AX290" s="43">
        <f t="shared" ca="1" si="191"/>
        <v>1.5405751683779112E-3</v>
      </c>
      <c r="AY290" s="8">
        <v>1</v>
      </c>
      <c r="AZ290" s="42">
        <f t="shared" ca="1" si="173"/>
        <v>50</v>
      </c>
      <c r="BB290" s="43">
        <f t="shared" ca="1" si="192"/>
        <v>0.56173387469833047</v>
      </c>
      <c r="BC290" s="8">
        <v>1</v>
      </c>
      <c r="BD290" s="42">
        <f t="shared" ca="1" si="174"/>
        <v>209</v>
      </c>
      <c r="BF290" s="43">
        <f t="shared" ca="1" si="193"/>
        <v>0.93753658766076298</v>
      </c>
      <c r="BG290" s="8">
        <v>1</v>
      </c>
      <c r="BH290" s="42">
        <f t="shared" ca="1" si="175"/>
        <v>238</v>
      </c>
      <c r="BJ290" s="43">
        <f t="shared" ca="1" si="194"/>
        <v>0.5251373619407127</v>
      </c>
      <c r="BK290" s="8">
        <v>1</v>
      </c>
      <c r="BL290" s="42">
        <f t="shared" ca="1" si="176"/>
        <v>220</v>
      </c>
      <c r="BN290" s="43">
        <f t="shared" ca="1" si="195"/>
        <v>0.26701796090867314</v>
      </c>
      <c r="BO290" s="8">
        <v>1</v>
      </c>
      <c r="BP290" s="42">
        <f t="shared" ca="1" si="177"/>
        <v>135</v>
      </c>
      <c r="BR290" s="43">
        <f t="shared" ca="1" si="196"/>
        <v>0.5962301888690863</v>
      </c>
      <c r="BS290" s="8">
        <v>1</v>
      </c>
      <c r="BT290" s="42">
        <f t="shared" ca="1" si="178"/>
        <v>234</v>
      </c>
    </row>
    <row r="291" spans="1:72" x14ac:dyDescent="0.2">
      <c r="A291" s="22">
        <v>44838</v>
      </c>
      <c r="B291" s="43">
        <f t="shared" ca="1" si="179"/>
        <v>0.95355626651508973</v>
      </c>
      <c r="C291" s="8">
        <v>1</v>
      </c>
      <c r="D291" s="42">
        <f t="shared" ca="1" si="161"/>
        <v>134</v>
      </c>
      <c r="F291" s="43">
        <f t="shared" ca="1" si="180"/>
        <v>8.0651048574721385E-2</v>
      </c>
      <c r="G291" s="8">
        <v>1</v>
      </c>
      <c r="H291" s="42">
        <f t="shared" ca="1" si="162"/>
        <v>135</v>
      </c>
      <c r="J291" s="43">
        <f t="shared" ca="1" si="181"/>
        <v>0.54251190150336881</v>
      </c>
      <c r="K291" s="8">
        <v>1</v>
      </c>
      <c r="L291" s="42">
        <f t="shared" ca="1" si="163"/>
        <v>155</v>
      </c>
      <c r="N291" s="43">
        <f t="shared" ca="1" si="182"/>
        <v>0.35366712704317571</v>
      </c>
      <c r="O291" s="8">
        <v>1</v>
      </c>
      <c r="P291" s="42">
        <f t="shared" ca="1" si="164"/>
        <v>207</v>
      </c>
      <c r="R291" s="43">
        <f t="shared" ca="1" si="183"/>
        <v>0.79787035671532391</v>
      </c>
      <c r="S291" s="8">
        <v>1</v>
      </c>
      <c r="T291" s="42">
        <f t="shared" ca="1" si="165"/>
        <v>170</v>
      </c>
      <c r="V291" s="43">
        <f t="shared" ca="1" si="184"/>
        <v>0.98184157133822325</v>
      </c>
      <c r="W291" s="8">
        <v>1</v>
      </c>
      <c r="X291" s="42">
        <f t="shared" ca="1" si="166"/>
        <v>351</v>
      </c>
      <c r="Z291" s="43">
        <f t="shared" ca="1" si="185"/>
        <v>0.81370521614558289</v>
      </c>
      <c r="AA291" s="8">
        <v>1</v>
      </c>
      <c r="AB291" s="42">
        <f t="shared" ca="1" si="167"/>
        <v>335</v>
      </c>
      <c r="AD291" s="43">
        <f t="shared" ca="1" si="186"/>
        <v>0.40508120998844988</v>
      </c>
      <c r="AE291" s="8">
        <v>1</v>
      </c>
      <c r="AF291" s="42">
        <f t="shared" ca="1" si="168"/>
        <v>307</v>
      </c>
      <c r="AH291" s="43">
        <f t="shared" ca="1" si="187"/>
        <v>0.35025957422285103</v>
      </c>
      <c r="AI291" s="8">
        <v>1</v>
      </c>
      <c r="AJ291" s="42">
        <f t="shared" ca="1" si="169"/>
        <v>153</v>
      </c>
      <c r="AL291" s="43">
        <f t="shared" ca="1" si="188"/>
        <v>4.7224139498671325E-2</v>
      </c>
      <c r="AM291" s="8">
        <v>1</v>
      </c>
      <c r="AN291" s="42">
        <f t="shared" ca="1" si="170"/>
        <v>129</v>
      </c>
      <c r="AP291" s="43">
        <f t="shared" ca="1" si="189"/>
        <v>0.32587711618428006</v>
      </c>
      <c r="AQ291" s="8">
        <v>1</v>
      </c>
      <c r="AR291" s="42">
        <f t="shared" ca="1" si="171"/>
        <v>175</v>
      </c>
      <c r="AT291" s="43">
        <f t="shared" ca="1" si="190"/>
        <v>0.14849766807079956</v>
      </c>
      <c r="AU291" s="8">
        <v>1</v>
      </c>
      <c r="AV291" s="42">
        <f t="shared" ca="1" si="172"/>
        <v>149</v>
      </c>
      <c r="AX291" s="43">
        <f t="shared" ca="1" si="191"/>
        <v>0.44106363014725469</v>
      </c>
      <c r="AY291" s="8">
        <v>1</v>
      </c>
      <c r="AZ291" s="42">
        <f t="shared" ca="1" si="173"/>
        <v>225</v>
      </c>
      <c r="BB291" s="43">
        <f t="shared" ca="1" si="192"/>
        <v>0.67863533251808017</v>
      </c>
      <c r="BC291" s="8">
        <v>1</v>
      </c>
      <c r="BD291" s="42">
        <f t="shared" ca="1" si="174"/>
        <v>226</v>
      </c>
      <c r="BF291" s="43">
        <f t="shared" ca="1" si="193"/>
        <v>0.11143667253083966</v>
      </c>
      <c r="BG291" s="8">
        <v>1</v>
      </c>
      <c r="BH291" s="42">
        <f t="shared" ca="1" si="175"/>
        <v>114</v>
      </c>
      <c r="BJ291" s="43">
        <f t="shared" ca="1" si="194"/>
        <v>0.46391996972657457</v>
      </c>
      <c r="BK291" s="8">
        <v>1</v>
      </c>
      <c r="BL291" s="42">
        <f t="shared" ca="1" si="176"/>
        <v>211</v>
      </c>
      <c r="BN291" s="43">
        <f t="shared" ca="1" si="195"/>
        <v>0.54660908965556854</v>
      </c>
      <c r="BO291" s="8">
        <v>1</v>
      </c>
      <c r="BP291" s="42">
        <f t="shared" ca="1" si="177"/>
        <v>166</v>
      </c>
      <c r="BR291" s="43">
        <f t="shared" ca="1" si="196"/>
        <v>0.1044148102315029</v>
      </c>
      <c r="BS291" s="8">
        <v>1</v>
      </c>
      <c r="BT291" s="42">
        <f t="shared" ca="1" si="178"/>
        <v>146</v>
      </c>
    </row>
    <row r="292" spans="1:72" x14ac:dyDescent="0.2">
      <c r="A292" s="22">
        <v>44839</v>
      </c>
      <c r="B292" s="43">
        <f t="shared" ca="1" si="179"/>
        <v>0.16636016701532907</v>
      </c>
      <c r="C292" s="8">
        <v>1</v>
      </c>
      <c r="D292" s="42">
        <f t="shared" ca="1" si="161"/>
        <v>81</v>
      </c>
      <c r="F292" s="43">
        <f t="shared" ca="1" si="180"/>
        <v>0.40193654484405306</v>
      </c>
      <c r="G292" s="8">
        <v>1</v>
      </c>
      <c r="H292" s="42">
        <f t="shared" ca="1" si="162"/>
        <v>202</v>
      </c>
      <c r="J292" s="43">
        <f t="shared" ca="1" si="181"/>
        <v>0.8014985009358544</v>
      </c>
      <c r="K292" s="8">
        <v>1</v>
      </c>
      <c r="L292" s="42">
        <f t="shared" ca="1" si="163"/>
        <v>184</v>
      </c>
      <c r="N292" s="43">
        <f t="shared" ca="1" si="182"/>
        <v>0.76406339939372325</v>
      </c>
      <c r="O292" s="8">
        <v>1</v>
      </c>
      <c r="P292" s="42">
        <f t="shared" ca="1" si="164"/>
        <v>274</v>
      </c>
      <c r="R292" s="43">
        <f t="shared" ca="1" si="183"/>
        <v>0.25763730110791028</v>
      </c>
      <c r="S292" s="8">
        <v>1</v>
      </c>
      <c r="T292" s="42">
        <f t="shared" ca="1" si="165"/>
        <v>115</v>
      </c>
      <c r="V292" s="43">
        <f t="shared" ca="1" si="184"/>
        <v>0.23959910427421116</v>
      </c>
      <c r="W292" s="8">
        <v>1</v>
      </c>
      <c r="X292" s="42">
        <f t="shared" ca="1" si="166"/>
        <v>183</v>
      </c>
      <c r="Z292" s="43">
        <f t="shared" ca="1" si="185"/>
        <v>0.2790452997699604</v>
      </c>
      <c r="AA292" s="8">
        <v>1</v>
      </c>
      <c r="AB292" s="42">
        <f t="shared" ca="1" si="167"/>
        <v>228</v>
      </c>
      <c r="AD292" s="43">
        <f t="shared" ca="1" si="186"/>
        <v>9.9581090946203821E-2</v>
      </c>
      <c r="AE292" s="8">
        <v>1</v>
      </c>
      <c r="AF292" s="42">
        <f t="shared" ca="1" si="168"/>
        <v>216</v>
      </c>
      <c r="AH292" s="43">
        <f t="shared" ca="1" si="187"/>
        <v>5.9017688824209991E-3</v>
      </c>
      <c r="AI292" s="8">
        <v>1</v>
      </c>
      <c r="AJ292" s="42">
        <f t="shared" ca="1" si="169"/>
        <v>56</v>
      </c>
      <c r="AL292" s="43">
        <f t="shared" ca="1" si="188"/>
        <v>9.6065104067497242E-2</v>
      </c>
      <c r="AM292" s="8">
        <v>1</v>
      </c>
      <c r="AN292" s="42">
        <f t="shared" ca="1" si="170"/>
        <v>152</v>
      </c>
      <c r="AP292" s="43">
        <f t="shared" ca="1" si="189"/>
        <v>0.20219421482627553</v>
      </c>
      <c r="AQ292" s="8">
        <v>1</v>
      </c>
      <c r="AR292" s="42">
        <f t="shared" ca="1" si="171"/>
        <v>154</v>
      </c>
      <c r="AT292" s="43">
        <f t="shared" ca="1" si="190"/>
        <v>0.33766151057631555</v>
      </c>
      <c r="AU292" s="8">
        <v>1</v>
      </c>
      <c r="AV292" s="42">
        <f t="shared" ca="1" si="172"/>
        <v>183</v>
      </c>
      <c r="AX292" s="43">
        <f t="shared" ca="1" si="191"/>
        <v>0.33833431329257713</v>
      </c>
      <c r="AY292" s="8">
        <v>1</v>
      </c>
      <c r="AZ292" s="42">
        <f t="shared" ca="1" si="173"/>
        <v>208</v>
      </c>
      <c r="BB292" s="43">
        <f t="shared" ca="1" si="192"/>
        <v>0.4577467079979155</v>
      </c>
      <c r="BC292" s="8">
        <v>1</v>
      </c>
      <c r="BD292" s="42">
        <f t="shared" ca="1" si="174"/>
        <v>195</v>
      </c>
      <c r="BF292" s="43">
        <f t="shared" ca="1" si="193"/>
        <v>0.94499655220864232</v>
      </c>
      <c r="BG292" s="8">
        <v>1</v>
      </c>
      <c r="BH292" s="42">
        <f t="shared" ca="1" si="175"/>
        <v>241</v>
      </c>
      <c r="BJ292" s="43">
        <f t="shared" ca="1" si="194"/>
        <v>0.35218573070741699</v>
      </c>
      <c r="BK292" s="8">
        <v>1</v>
      </c>
      <c r="BL292" s="42">
        <f t="shared" ca="1" si="176"/>
        <v>194</v>
      </c>
      <c r="BN292" s="43">
        <f t="shared" ca="1" si="195"/>
        <v>0.93082524939853972</v>
      </c>
      <c r="BO292" s="8">
        <v>1</v>
      </c>
      <c r="BP292" s="42">
        <f t="shared" ca="1" si="177"/>
        <v>225</v>
      </c>
      <c r="BR292" s="43">
        <f t="shared" ca="1" si="196"/>
        <v>4.8067259543619012E-2</v>
      </c>
      <c r="BS292" s="8">
        <v>1</v>
      </c>
      <c r="BT292" s="42">
        <f t="shared" ca="1" si="178"/>
        <v>122</v>
      </c>
    </row>
    <row r="293" spans="1:72" x14ac:dyDescent="0.2">
      <c r="A293" s="22">
        <v>44840</v>
      </c>
      <c r="B293" s="43">
        <f t="shared" ca="1" si="179"/>
        <v>0.34271059169759599</v>
      </c>
      <c r="C293" s="8">
        <v>1</v>
      </c>
      <c r="D293" s="42">
        <f t="shared" ca="1" si="161"/>
        <v>92</v>
      </c>
      <c r="F293" s="43">
        <f t="shared" ca="1" si="180"/>
        <v>5.1749981377106957E-2</v>
      </c>
      <c r="G293" s="8">
        <v>1</v>
      </c>
      <c r="H293" s="42">
        <f t="shared" ca="1" si="162"/>
        <v>122</v>
      </c>
      <c r="J293" s="43">
        <f t="shared" ca="1" si="181"/>
        <v>0.97946367482970553</v>
      </c>
      <c r="K293" s="8">
        <v>1</v>
      </c>
      <c r="L293" s="42">
        <f t="shared" ca="1" si="163"/>
        <v>232</v>
      </c>
      <c r="N293" s="43">
        <f t="shared" ca="1" si="182"/>
        <v>0.99829298407287059</v>
      </c>
      <c r="O293" s="8">
        <v>1</v>
      </c>
      <c r="P293" s="42">
        <f t="shared" ca="1" si="164"/>
        <v>409</v>
      </c>
      <c r="R293" s="43">
        <f t="shared" ca="1" si="183"/>
        <v>0.86537695456592545</v>
      </c>
      <c r="S293" s="8">
        <v>1</v>
      </c>
      <c r="T293" s="42">
        <f t="shared" ca="1" si="165"/>
        <v>180</v>
      </c>
      <c r="V293" s="43">
        <f t="shared" ca="1" si="184"/>
        <v>0.10737846732380674</v>
      </c>
      <c r="W293" s="8">
        <v>1</v>
      </c>
      <c r="X293" s="42">
        <f t="shared" ca="1" si="166"/>
        <v>151</v>
      </c>
      <c r="Z293" s="43">
        <f t="shared" ca="1" si="185"/>
        <v>0.15091608843247262</v>
      </c>
      <c r="AA293" s="8">
        <v>1</v>
      </c>
      <c r="AB293" s="42">
        <f t="shared" ca="1" si="167"/>
        <v>196</v>
      </c>
      <c r="AD293" s="43">
        <f t="shared" ca="1" si="186"/>
        <v>0.58902256066533065</v>
      </c>
      <c r="AE293" s="8">
        <v>1</v>
      </c>
      <c r="AF293" s="42">
        <f t="shared" ca="1" si="168"/>
        <v>347</v>
      </c>
      <c r="AH293" s="43">
        <f t="shared" ca="1" si="187"/>
        <v>0.54254914392398712</v>
      </c>
      <c r="AI293" s="8">
        <v>1</v>
      </c>
      <c r="AJ293" s="42">
        <f t="shared" ca="1" si="169"/>
        <v>176</v>
      </c>
      <c r="AL293" s="43">
        <f t="shared" ca="1" si="188"/>
        <v>0.81498746251191956</v>
      </c>
      <c r="AM293" s="8">
        <v>1</v>
      </c>
      <c r="AN293" s="42">
        <f t="shared" ca="1" si="170"/>
        <v>288</v>
      </c>
      <c r="AP293" s="43">
        <f t="shared" ca="1" si="189"/>
        <v>0.7395922930256883</v>
      </c>
      <c r="AQ293" s="8">
        <v>1</v>
      </c>
      <c r="AR293" s="42">
        <f t="shared" ca="1" si="171"/>
        <v>232</v>
      </c>
      <c r="AT293" s="43">
        <f t="shared" ca="1" si="190"/>
        <v>0.92362449275986724</v>
      </c>
      <c r="AU293" s="8">
        <v>1</v>
      </c>
      <c r="AV293" s="42">
        <f t="shared" ca="1" si="172"/>
        <v>284</v>
      </c>
      <c r="AX293" s="43">
        <f t="shared" ca="1" si="191"/>
        <v>0.96567197349695855</v>
      </c>
      <c r="AY293" s="8">
        <v>1</v>
      </c>
      <c r="AZ293" s="42">
        <f t="shared" ca="1" si="173"/>
        <v>347</v>
      </c>
      <c r="BB293" s="43">
        <f t="shared" ca="1" si="192"/>
        <v>8.4676695443091865E-2</v>
      </c>
      <c r="BC293" s="8">
        <v>1</v>
      </c>
      <c r="BD293" s="42">
        <f t="shared" ca="1" si="174"/>
        <v>128</v>
      </c>
      <c r="BF293" s="43">
        <f t="shared" ca="1" si="193"/>
        <v>0.22060864193255547</v>
      </c>
      <c r="BG293" s="8">
        <v>1</v>
      </c>
      <c r="BH293" s="42">
        <f t="shared" ca="1" si="175"/>
        <v>134</v>
      </c>
      <c r="BJ293" s="43">
        <f t="shared" ca="1" si="194"/>
        <v>0.23629615300004103</v>
      </c>
      <c r="BK293" s="8">
        <v>1</v>
      </c>
      <c r="BL293" s="42">
        <f t="shared" ca="1" si="176"/>
        <v>175</v>
      </c>
      <c r="BN293" s="43">
        <f t="shared" ca="1" si="195"/>
        <v>0.41596025994581975</v>
      </c>
      <c r="BO293" s="8">
        <v>1</v>
      </c>
      <c r="BP293" s="42">
        <f t="shared" ca="1" si="177"/>
        <v>152</v>
      </c>
      <c r="BR293" s="43">
        <f t="shared" ca="1" si="196"/>
        <v>1.1849484317353887E-2</v>
      </c>
      <c r="BS293" s="8">
        <v>1</v>
      </c>
      <c r="BT293" s="42">
        <f t="shared" ca="1" si="178"/>
        <v>88</v>
      </c>
    </row>
    <row r="294" spans="1:72" x14ac:dyDescent="0.2">
      <c r="A294" s="22">
        <v>44841</v>
      </c>
      <c r="B294" s="43">
        <f t="shared" ca="1" si="179"/>
        <v>0.19352414308383858</v>
      </c>
      <c r="C294" s="8">
        <v>1</v>
      </c>
      <c r="D294" s="42">
        <f t="shared" ca="1" si="161"/>
        <v>83</v>
      </c>
      <c r="F294" s="43">
        <f t="shared" ca="1" si="180"/>
        <v>0.6448938300562318</v>
      </c>
      <c r="G294" s="8">
        <v>1</v>
      </c>
      <c r="H294" s="42">
        <f t="shared" ca="1" si="162"/>
        <v>237</v>
      </c>
      <c r="J294" s="43">
        <f t="shared" ca="1" si="181"/>
        <v>0.58101861848089587</v>
      </c>
      <c r="K294" s="8">
        <v>1</v>
      </c>
      <c r="L294" s="42">
        <f t="shared" ca="1" si="163"/>
        <v>159</v>
      </c>
      <c r="N294" s="43">
        <f t="shared" ca="1" si="182"/>
        <v>0.57462500018580587</v>
      </c>
      <c r="O294" s="8">
        <v>1</v>
      </c>
      <c r="P294" s="42">
        <f t="shared" ca="1" si="164"/>
        <v>241</v>
      </c>
      <c r="R294" s="43">
        <f t="shared" ca="1" si="183"/>
        <v>0.90933897330435198</v>
      </c>
      <c r="S294" s="8">
        <v>1</v>
      </c>
      <c r="T294" s="42">
        <f t="shared" ca="1" si="165"/>
        <v>189</v>
      </c>
      <c r="V294" s="43">
        <f t="shared" ca="1" si="184"/>
        <v>0.32420345799992023</v>
      </c>
      <c r="W294" s="8">
        <v>1</v>
      </c>
      <c r="X294" s="42">
        <f t="shared" ca="1" si="166"/>
        <v>198</v>
      </c>
      <c r="Z294" s="43">
        <f t="shared" ca="1" si="185"/>
        <v>0.49755567829138214</v>
      </c>
      <c r="AA294" s="8">
        <v>1</v>
      </c>
      <c r="AB294" s="42">
        <f t="shared" ca="1" si="167"/>
        <v>270</v>
      </c>
      <c r="AD294" s="43">
        <f t="shared" ca="1" si="186"/>
        <v>0.10393463056177765</v>
      </c>
      <c r="AE294" s="8">
        <v>1</v>
      </c>
      <c r="AF294" s="42">
        <f t="shared" ca="1" si="168"/>
        <v>218</v>
      </c>
      <c r="AH294" s="43">
        <f t="shared" ca="1" si="187"/>
        <v>9.2417863977853898E-2</v>
      </c>
      <c r="AI294" s="8">
        <v>1</v>
      </c>
      <c r="AJ294" s="42">
        <f t="shared" ca="1" si="169"/>
        <v>111</v>
      </c>
      <c r="AL294" s="43">
        <f t="shared" ca="1" si="188"/>
        <v>3.7720928154129307E-2</v>
      </c>
      <c r="AM294" s="8">
        <v>1</v>
      </c>
      <c r="AN294" s="42">
        <f t="shared" ca="1" si="170"/>
        <v>123</v>
      </c>
      <c r="AP294" s="43">
        <f t="shared" ca="1" si="189"/>
        <v>0.46705836899228892</v>
      </c>
      <c r="AQ294" s="8">
        <v>1</v>
      </c>
      <c r="AR294" s="42">
        <f t="shared" ca="1" si="171"/>
        <v>194</v>
      </c>
      <c r="AT294" s="43">
        <f t="shared" ca="1" si="190"/>
        <v>0.68107732210122218</v>
      </c>
      <c r="AU294" s="8">
        <v>1</v>
      </c>
      <c r="AV294" s="42">
        <f t="shared" ca="1" si="172"/>
        <v>232</v>
      </c>
      <c r="AX294" s="43">
        <f t="shared" ca="1" si="191"/>
        <v>0.95288031139638973</v>
      </c>
      <c r="AY294" s="8">
        <v>1</v>
      </c>
      <c r="AZ294" s="42">
        <f t="shared" ca="1" si="173"/>
        <v>338</v>
      </c>
      <c r="BB294" s="43">
        <f t="shared" ca="1" si="192"/>
        <v>0.8980342676982318</v>
      </c>
      <c r="BC294" s="8">
        <v>1</v>
      </c>
      <c r="BD294" s="42">
        <f t="shared" ca="1" si="174"/>
        <v>269</v>
      </c>
      <c r="BF294" s="43">
        <f t="shared" ca="1" si="193"/>
        <v>0.67177866025150679</v>
      </c>
      <c r="BG294" s="8">
        <v>1</v>
      </c>
      <c r="BH294" s="42">
        <f t="shared" ca="1" si="175"/>
        <v>189</v>
      </c>
      <c r="BJ294" s="43">
        <f t="shared" ca="1" si="194"/>
        <v>0.33607142086913866</v>
      </c>
      <c r="BK294" s="8">
        <v>1</v>
      </c>
      <c r="BL294" s="42">
        <f t="shared" ca="1" si="176"/>
        <v>192</v>
      </c>
      <c r="BN294" s="43">
        <f t="shared" ca="1" si="195"/>
        <v>0.33552815348462595</v>
      </c>
      <c r="BO294" s="8">
        <v>1</v>
      </c>
      <c r="BP294" s="42">
        <f t="shared" ca="1" si="177"/>
        <v>143</v>
      </c>
      <c r="BR294" s="43">
        <f t="shared" ca="1" si="196"/>
        <v>0.11182455911592071</v>
      </c>
      <c r="BS294" s="8">
        <v>1</v>
      </c>
      <c r="BT294" s="42">
        <f t="shared" ca="1" si="178"/>
        <v>149</v>
      </c>
    </row>
    <row r="295" spans="1:72" x14ac:dyDescent="0.2">
      <c r="A295" s="22">
        <v>44842</v>
      </c>
      <c r="B295" s="43">
        <f t="shared" ca="1" si="179"/>
        <v>0.93306616320710545</v>
      </c>
      <c r="C295" s="8">
        <v>1</v>
      </c>
      <c r="D295" s="42">
        <f t="shared" ca="1" si="161"/>
        <v>130</v>
      </c>
      <c r="F295" s="43">
        <f t="shared" ca="1" si="180"/>
        <v>0.94220532053284389</v>
      </c>
      <c r="G295" s="8">
        <v>1</v>
      </c>
      <c r="H295" s="42">
        <f t="shared" ca="1" si="162"/>
        <v>306</v>
      </c>
      <c r="J295" s="43">
        <f t="shared" ca="1" si="181"/>
        <v>9.8446774433409767E-2</v>
      </c>
      <c r="K295" s="8">
        <v>1</v>
      </c>
      <c r="L295" s="42">
        <f t="shared" ca="1" si="163"/>
        <v>99</v>
      </c>
      <c r="N295" s="43">
        <f t="shared" ca="1" si="182"/>
        <v>0.56379820458824847</v>
      </c>
      <c r="O295" s="8">
        <v>1</v>
      </c>
      <c r="P295" s="42">
        <f t="shared" ca="1" si="164"/>
        <v>240</v>
      </c>
      <c r="R295" s="43">
        <f t="shared" ca="1" si="183"/>
        <v>0.12280750170157406</v>
      </c>
      <c r="S295" s="8">
        <v>1</v>
      </c>
      <c r="T295" s="42">
        <f t="shared" ca="1" si="165"/>
        <v>96</v>
      </c>
      <c r="V295" s="43">
        <f t="shared" ca="1" si="184"/>
        <v>0.94371311391786383</v>
      </c>
      <c r="W295" s="8">
        <v>1</v>
      </c>
      <c r="X295" s="42">
        <f t="shared" ca="1" si="166"/>
        <v>321</v>
      </c>
      <c r="Z295" s="43">
        <f t="shared" ca="1" si="185"/>
        <v>0.63824269980669046</v>
      </c>
      <c r="AA295" s="8">
        <v>1</v>
      </c>
      <c r="AB295" s="42">
        <f t="shared" ca="1" si="167"/>
        <v>296</v>
      </c>
      <c r="AD295" s="43">
        <f t="shared" ca="1" si="186"/>
        <v>0.86691442008671016</v>
      </c>
      <c r="AE295" s="8">
        <v>1</v>
      </c>
      <c r="AF295" s="42">
        <f t="shared" ca="1" si="168"/>
        <v>424</v>
      </c>
      <c r="AH295" s="43">
        <f t="shared" ca="1" si="187"/>
        <v>0.80096831600233698</v>
      </c>
      <c r="AI295" s="8">
        <v>1</v>
      </c>
      <c r="AJ295" s="42">
        <f t="shared" ca="1" si="169"/>
        <v>209</v>
      </c>
      <c r="AL295" s="43">
        <f t="shared" ca="1" si="188"/>
        <v>0.86127561925325058</v>
      </c>
      <c r="AM295" s="8">
        <v>1</v>
      </c>
      <c r="AN295" s="42">
        <f t="shared" ca="1" si="170"/>
        <v>300</v>
      </c>
      <c r="AP295" s="43">
        <f t="shared" ca="1" si="189"/>
        <v>0.16009811700224452</v>
      </c>
      <c r="AQ295" s="8">
        <v>1</v>
      </c>
      <c r="AR295" s="42">
        <f t="shared" ca="1" si="171"/>
        <v>146</v>
      </c>
      <c r="AT295" s="43">
        <f t="shared" ca="1" si="190"/>
        <v>0.40697803203787442</v>
      </c>
      <c r="AU295" s="8">
        <v>1</v>
      </c>
      <c r="AV295" s="42">
        <f t="shared" ca="1" si="172"/>
        <v>193</v>
      </c>
      <c r="AX295" s="43">
        <f t="shared" ca="1" si="191"/>
        <v>0.11625938952778181</v>
      </c>
      <c r="AY295" s="8">
        <v>1</v>
      </c>
      <c r="AZ295" s="42">
        <f t="shared" ca="1" si="173"/>
        <v>160</v>
      </c>
      <c r="BB295" s="43">
        <f t="shared" ca="1" si="192"/>
        <v>7.1528942650135652E-2</v>
      </c>
      <c r="BC295" s="8">
        <v>1</v>
      </c>
      <c r="BD295" s="42">
        <f t="shared" ca="1" si="174"/>
        <v>123</v>
      </c>
      <c r="BF295" s="43">
        <f t="shared" ca="1" si="193"/>
        <v>0.94973082136986897</v>
      </c>
      <c r="BG295" s="8">
        <v>1</v>
      </c>
      <c r="BH295" s="42">
        <f t="shared" ca="1" si="175"/>
        <v>243</v>
      </c>
      <c r="BJ295" s="43">
        <f t="shared" ca="1" si="194"/>
        <v>0.49940171546663825</v>
      </c>
      <c r="BK295" s="8">
        <v>1</v>
      </c>
      <c r="BL295" s="42">
        <f t="shared" ca="1" si="176"/>
        <v>216</v>
      </c>
      <c r="BN295" s="43">
        <f t="shared" ca="1" si="195"/>
        <v>0.60520360752662949</v>
      </c>
      <c r="BO295" s="8">
        <v>1</v>
      </c>
      <c r="BP295" s="42">
        <f t="shared" ca="1" si="177"/>
        <v>173</v>
      </c>
      <c r="BR295" s="43">
        <f t="shared" ca="1" si="196"/>
        <v>0.14640677653359868</v>
      </c>
      <c r="BS295" s="8">
        <v>1</v>
      </c>
      <c r="BT295" s="42">
        <f t="shared" ca="1" si="178"/>
        <v>158</v>
      </c>
    </row>
    <row r="296" spans="1:72" x14ac:dyDescent="0.2">
      <c r="A296" s="22">
        <v>44843</v>
      </c>
      <c r="B296" s="43">
        <f t="shared" ca="1" si="179"/>
        <v>0.38805013111627984</v>
      </c>
      <c r="C296" s="8">
        <v>1</v>
      </c>
      <c r="D296" s="42">
        <f t="shared" ca="1" si="161"/>
        <v>95</v>
      </c>
      <c r="F296" s="43">
        <f t="shared" ca="1" si="180"/>
        <v>0.64939118295711229</v>
      </c>
      <c r="G296" s="8">
        <v>1</v>
      </c>
      <c r="H296" s="42">
        <f t="shared" ca="1" si="162"/>
        <v>238</v>
      </c>
      <c r="J296" s="43">
        <f t="shared" ca="1" si="181"/>
        <v>0.6451635500013867</v>
      </c>
      <c r="K296" s="8">
        <v>1</v>
      </c>
      <c r="L296" s="42">
        <f t="shared" ca="1" si="163"/>
        <v>165</v>
      </c>
      <c r="N296" s="43">
        <f t="shared" ca="1" si="182"/>
        <v>0.15221322416712846</v>
      </c>
      <c r="O296" s="8">
        <v>1</v>
      </c>
      <c r="P296" s="42">
        <f t="shared" ca="1" si="164"/>
        <v>167</v>
      </c>
      <c r="R296" s="43">
        <f t="shared" ca="1" si="183"/>
        <v>0.17485689464049359</v>
      </c>
      <c r="S296" s="8">
        <v>1</v>
      </c>
      <c r="T296" s="42">
        <f t="shared" ca="1" si="165"/>
        <v>105</v>
      </c>
      <c r="V296" s="43">
        <f t="shared" ca="1" si="184"/>
        <v>0.7138963908942807</v>
      </c>
      <c r="W296" s="8">
        <v>1</v>
      </c>
      <c r="X296" s="42">
        <f t="shared" ca="1" si="166"/>
        <v>259</v>
      </c>
      <c r="Z296" s="43">
        <f t="shared" ca="1" si="185"/>
        <v>0.86685769828160708</v>
      </c>
      <c r="AA296" s="8">
        <v>1</v>
      </c>
      <c r="AB296" s="42">
        <f t="shared" ca="1" si="167"/>
        <v>351</v>
      </c>
      <c r="AD296" s="43">
        <f t="shared" ca="1" si="186"/>
        <v>0.31006099234136375</v>
      </c>
      <c r="AE296" s="8">
        <v>1</v>
      </c>
      <c r="AF296" s="42">
        <f t="shared" ca="1" si="168"/>
        <v>284</v>
      </c>
      <c r="AH296" s="43">
        <f t="shared" ca="1" si="187"/>
        <v>0.59326648248345759</v>
      </c>
      <c r="AI296" s="8">
        <v>1</v>
      </c>
      <c r="AJ296" s="42">
        <f t="shared" ca="1" si="169"/>
        <v>182</v>
      </c>
      <c r="AL296" s="43">
        <f t="shared" ca="1" si="188"/>
        <v>0.76855182000192335</v>
      </c>
      <c r="AM296" s="8">
        <v>1</v>
      </c>
      <c r="AN296" s="42">
        <f t="shared" ca="1" si="170"/>
        <v>278</v>
      </c>
      <c r="AP296" s="43">
        <f t="shared" ca="1" si="189"/>
        <v>0.36109542968617858</v>
      </c>
      <c r="AQ296" s="8">
        <v>1</v>
      </c>
      <c r="AR296" s="42">
        <f t="shared" ca="1" si="171"/>
        <v>180</v>
      </c>
      <c r="AT296" s="43">
        <f t="shared" ca="1" si="190"/>
        <v>0.63537628156592352</v>
      </c>
      <c r="AU296" s="8">
        <v>1</v>
      </c>
      <c r="AV296" s="42">
        <f t="shared" ca="1" si="172"/>
        <v>225</v>
      </c>
      <c r="AX296" s="43">
        <f t="shared" ca="1" si="191"/>
        <v>0.53624656486020272</v>
      </c>
      <c r="AY296" s="8">
        <v>1</v>
      </c>
      <c r="AZ296" s="42">
        <f t="shared" ca="1" si="173"/>
        <v>240</v>
      </c>
      <c r="BB296" s="43">
        <f t="shared" ca="1" si="192"/>
        <v>0.33876695080647035</v>
      </c>
      <c r="BC296" s="8">
        <v>1</v>
      </c>
      <c r="BD296" s="42">
        <f t="shared" ca="1" si="174"/>
        <v>179</v>
      </c>
      <c r="BF296" s="43">
        <f t="shared" ca="1" si="193"/>
        <v>0.32608276882465514</v>
      </c>
      <c r="BG296" s="8">
        <v>1</v>
      </c>
      <c r="BH296" s="42">
        <f t="shared" ca="1" si="175"/>
        <v>149</v>
      </c>
      <c r="BJ296" s="43">
        <f t="shared" ca="1" si="194"/>
        <v>0.59446897958200051</v>
      </c>
      <c r="BK296" s="8">
        <v>1</v>
      </c>
      <c r="BL296" s="42">
        <f t="shared" ca="1" si="176"/>
        <v>230</v>
      </c>
      <c r="BN296" s="43">
        <f t="shared" ca="1" si="195"/>
        <v>0.94670844091905615</v>
      </c>
      <c r="BO296" s="8">
        <v>1</v>
      </c>
      <c r="BP296" s="42">
        <f t="shared" ca="1" si="177"/>
        <v>230</v>
      </c>
      <c r="BR296" s="43">
        <f t="shared" ca="1" si="196"/>
        <v>1.7385009106259619E-2</v>
      </c>
      <c r="BS296" s="8">
        <v>1</v>
      </c>
      <c r="BT296" s="42">
        <f t="shared" ca="1" si="178"/>
        <v>96</v>
      </c>
    </row>
    <row r="297" spans="1:72" x14ac:dyDescent="0.2">
      <c r="A297" s="22">
        <v>44844</v>
      </c>
      <c r="B297" s="43">
        <f t="shared" ca="1" si="179"/>
        <v>0.5271917766360894</v>
      </c>
      <c r="C297" s="8">
        <v>1</v>
      </c>
      <c r="D297" s="42">
        <f t="shared" ca="1" si="161"/>
        <v>102</v>
      </c>
      <c r="F297" s="43">
        <f t="shared" ca="1" si="180"/>
        <v>0.14542467565825057</v>
      </c>
      <c r="G297" s="8">
        <v>1</v>
      </c>
      <c r="H297" s="42">
        <f t="shared" ca="1" si="162"/>
        <v>155</v>
      </c>
      <c r="J297" s="43">
        <f t="shared" ca="1" si="181"/>
        <v>0.55229197304004241</v>
      </c>
      <c r="K297" s="8">
        <v>1</v>
      </c>
      <c r="L297" s="42">
        <f t="shared" ca="1" si="163"/>
        <v>156</v>
      </c>
      <c r="N297" s="43">
        <f t="shared" ca="1" si="182"/>
        <v>0.19065455787831564</v>
      </c>
      <c r="O297" s="8">
        <v>1</v>
      </c>
      <c r="P297" s="42">
        <f t="shared" ca="1" si="164"/>
        <v>176</v>
      </c>
      <c r="R297" s="43">
        <f t="shared" ca="1" si="183"/>
        <v>0.36108168866181356</v>
      </c>
      <c r="S297" s="8">
        <v>1</v>
      </c>
      <c r="T297" s="42">
        <f t="shared" ca="1" si="165"/>
        <v>126</v>
      </c>
      <c r="V297" s="43">
        <f t="shared" ca="1" si="184"/>
        <v>0.89575563626209609</v>
      </c>
      <c r="W297" s="8">
        <v>1</v>
      </c>
      <c r="X297" s="42">
        <f t="shared" ca="1" si="166"/>
        <v>301</v>
      </c>
      <c r="Z297" s="43">
        <f t="shared" ca="1" si="185"/>
        <v>0.97411339010161191</v>
      </c>
      <c r="AA297" s="8">
        <v>1</v>
      </c>
      <c r="AB297" s="42">
        <f t="shared" ca="1" si="167"/>
        <v>411</v>
      </c>
      <c r="AD297" s="43">
        <f t="shared" ca="1" si="186"/>
        <v>0.57771156151640468</v>
      </c>
      <c r="AE297" s="8">
        <v>1</v>
      </c>
      <c r="AF297" s="42">
        <f t="shared" ca="1" si="168"/>
        <v>345</v>
      </c>
      <c r="AH297" s="43">
        <f t="shared" ca="1" si="187"/>
        <v>0.8798408230620941</v>
      </c>
      <c r="AI297" s="8">
        <v>1</v>
      </c>
      <c r="AJ297" s="42">
        <f t="shared" ca="1" si="169"/>
        <v>224</v>
      </c>
      <c r="AL297" s="43">
        <f t="shared" ca="1" si="188"/>
        <v>0.61693481726263455</v>
      </c>
      <c r="AM297" s="8">
        <v>1</v>
      </c>
      <c r="AN297" s="42">
        <f t="shared" ca="1" si="170"/>
        <v>251</v>
      </c>
      <c r="AP297" s="43">
        <f t="shared" ca="1" si="189"/>
        <v>0.52972780551872667</v>
      </c>
      <c r="AQ297" s="8">
        <v>1</v>
      </c>
      <c r="AR297" s="42">
        <f t="shared" ca="1" si="171"/>
        <v>202</v>
      </c>
      <c r="AT297" s="43">
        <f t="shared" ca="1" si="190"/>
        <v>0.50084228349481508</v>
      </c>
      <c r="AU297" s="8">
        <v>1</v>
      </c>
      <c r="AV297" s="42">
        <f t="shared" ca="1" si="172"/>
        <v>206</v>
      </c>
      <c r="AX297" s="43">
        <f t="shared" ca="1" si="191"/>
        <v>0.95913590340993604</v>
      </c>
      <c r="AY297" s="8">
        <v>1</v>
      </c>
      <c r="AZ297" s="42">
        <f t="shared" ca="1" si="173"/>
        <v>342</v>
      </c>
      <c r="BB297" s="43">
        <f t="shared" ca="1" si="192"/>
        <v>0.30980768868986908</v>
      </c>
      <c r="BC297" s="8">
        <v>1</v>
      </c>
      <c r="BD297" s="42">
        <f t="shared" ca="1" si="174"/>
        <v>175</v>
      </c>
      <c r="BF297" s="43">
        <f t="shared" ca="1" si="193"/>
        <v>0.27621047300887014</v>
      </c>
      <c r="BG297" s="8">
        <v>1</v>
      </c>
      <c r="BH297" s="42">
        <f t="shared" ca="1" si="175"/>
        <v>142</v>
      </c>
      <c r="BJ297" s="43">
        <f t="shared" ca="1" si="194"/>
        <v>0.43417572753009603</v>
      </c>
      <c r="BK297" s="8">
        <v>1</v>
      </c>
      <c r="BL297" s="42">
        <f t="shared" ca="1" si="176"/>
        <v>207</v>
      </c>
      <c r="BN297" s="43">
        <f t="shared" ca="1" si="195"/>
        <v>0.71838871485082401</v>
      </c>
      <c r="BO297" s="8">
        <v>1</v>
      </c>
      <c r="BP297" s="42">
        <f t="shared" ca="1" si="177"/>
        <v>186</v>
      </c>
      <c r="BR297" s="43">
        <f t="shared" ca="1" si="196"/>
        <v>0.23404275570978827</v>
      </c>
      <c r="BS297" s="8">
        <v>1</v>
      </c>
      <c r="BT297" s="42">
        <f t="shared" ca="1" si="178"/>
        <v>177</v>
      </c>
    </row>
    <row r="298" spans="1:72" x14ac:dyDescent="0.2">
      <c r="A298" s="22">
        <v>44845</v>
      </c>
      <c r="B298" s="43">
        <f t="shared" ca="1" si="179"/>
        <v>0.25068439278805965</v>
      </c>
      <c r="C298" s="8">
        <v>1</v>
      </c>
      <c r="D298" s="42">
        <f t="shared" ca="1" si="161"/>
        <v>87</v>
      </c>
      <c r="F298" s="43">
        <f t="shared" ca="1" si="180"/>
        <v>0.90769976665927998</v>
      </c>
      <c r="G298" s="8">
        <v>1</v>
      </c>
      <c r="H298" s="42">
        <f t="shared" ca="1" si="162"/>
        <v>292</v>
      </c>
      <c r="J298" s="43">
        <f t="shared" ca="1" si="181"/>
        <v>0.34398475642184334</v>
      </c>
      <c r="K298" s="8">
        <v>1</v>
      </c>
      <c r="L298" s="42">
        <f t="shared" ca="1" si="163"/>
        <v>134</v>
      </c>
      <c r="N298" s="43">
        <f t="shared" ca="1" si="182"/>
        <v>0.74990834789600436</v>
      </c>
      <c r="O298" s="8">
        <v>1</v>
      </c>
      <c r="P298" s="42">
        <f t="shared" ca="1" si="164"/>
        <v>271</v>
      </c>
      <c r="R298" s="43">
        <f t="shared" ca="1" si="183"/>
        <v>0.79596763709080054</v>
      </c>
      <c r="S298" s="8">
        <v>1</v>
      </c>
      <c r="T298" s="42">
        <f t="shared" ca="1" si="165"/>
        <v>170</v>
      </c>
      <c r="V298" s="43">
        <f t="shared" ca="1" si="184"/>
        <v>0.86403097888637059</v>
      </c>
      <c r="W298" s="8">
        <v>1</v>
      </c>
      <c r="X298" s="42">
        <f t="shared" ca="1" si="166"/>
        <v>291</v>
      </c>
      <c r="Z298" s="43">
        <f t="shared" ca="1" si="185"/>
        <v>9.9460603185433594E-2</v>
      </c>
      <c r="AA298" s="8">
        <v>1</v>
      </c>
      <c r="AB298" s="42">
        <f t="shared" ca="1" si="167"/>
        <v>178</v>
      </c>
      <c r="AD298" s="43">
        <f t="shared" ca="1" si="186"/>
        <v>0.22962793899497314</v>
      </c>
      <c r="AE298" s="8">
        <v>1</v>
      </c>
      <c r="AF298" s="42">
        <f t="shared" ca="1" si="168"/>
        <v>263</v>
      </c>
      <c r="AH298" s="43">
        <f t="shared" ca="1" si="187"/>
        <v>0.66828321219780884</v>
      </c>
      <c r="AI298" s="8">
        <v>1</v>
      </c>
      <c r="AJ298" s="42">
        <f t="shared" ca="1" si="169"/>
        <v>191</v>
      </c>
      <c r="AL298" s="43">
        <f t="shared" ca="1" si="188"/>
        <v>0.96970471508883593</v>
      </c>
      <c r="AM298" s="8">
        <v>1</v>
      </c>
      <c r="AN298" s="42">
        <f t="shared" ca="1" si="170"/>
        <v>349</v>
      </c>
      <c r="AP298" s="43">
        <f t="shared" ca="1" si="189"/>
        <v>0.94580077486306535</v>
      </c>
      <c r="AQ298" s="8">
        <v>1</v>
      </c>
      <c r="AR298" s="42">
        <f t="shared" ca="1" si="171"/>
        <v>283</v>
      </c>
      <c r="AT298" s="43">
        <f t="shared" ca="1" si="190"/>
        <v>0.24893743477454433</v>
      </c>
      <c r="AU298" s="8">
        <v>1</v>
      </c>
      <c r="AV298" s="42">
        <f t="shared" ca="1" si="172"/>
        <v>169</v>
      </c>
      <c r="AX298" s="43">
        <f t="shared" ca="1" si="191"/>
        <v>4.5154458845550582E-2</v>
      </c>
      <c r="AY298" s="8">
        <v>1</v>
      </c>
      <c r="AZ298" s="42">
        <f t="shared" ca="1" si="173"/>
        <v>129</v>
      </c>
      <c r="BB298" s="43">
        <f t="shared" ca="1" si="192"/>
        <v>0.51975896293223123</v>
      </c>
      <c r="BC298" s="8">
        <v>1</v>
      </c>
      <c r="BD298" s="42">
        <f t="shared" ca="1" si="174"/>
        <v>204</v>
      </c>
      <c r="BF298" s="43">
        <f t="shared" ca="1" si="193"/>
        <v>0.22602239407562985</v>
      </c>
      <c r="BG298" s="8">
        <v>1</v>
      </c>
      <c r="BH298" s="42">
        <f t="shared" ca="1" si="175"/>
        <v>135</v>
      </c>
      <c r="BJ298" s="43">
        <f t="shared" ca="1" si="194"/>
        <v>0.89771897864943573</v>
      </c>
      <c r="BK298" s="8">
        <v>1</v>
      </c>
      <c r="BL298" s="42">
        <f t="shared" ca="1" si="176"/>
        <v>289</v>
      </c>
      <c r="BN298" s="43">
        <f t="shared" ca="1" si="195"/>
        <v>7.1138028721199675E-2</v>
      </c>
      <c r="BO298" s="8">
        <v>1</v>
      </c>
      <c r="BP298" s="42">
        <f t="shared" ca="1" si="177"/>
        <v>98</v>
      </c>
      <c r="BR298" s="43">
        <f t="shared" ca="1" si="196"/>
        <v>0.14836828261504398</v>
      </c>
      <c r="BS298" s="8">
        <v>1</v>
      </c>
      <c r="BT298" s="42">
        <f t="shared" ca="1" si="178"/>
        <v>159</v>
      </c>
    </row>
    <row r="299" spans="1:72" x14ac:dyDescent="0.2">
      <c r="A299" s="22">
        <v>44846</v>
      </c>
      <c r="B299" s="43">
        <f t="shared" ca="1" si="179"/>
        <v>0.30480998072279375</v>
      </c>
      <c r="C299" s="8">
        <v>1</v>
      </c>
      <c r="D299" s="42">
        <f t="shared" ca="1" si="161"/>
        <v>90</v>
      </c>
      <c r="F299" s="43">
        <f t="shared" ca="1" si="180"/>
        <v>0.56531815396664498</v>
      </c>
      <c r="G299" s="8">
        <v>1</v>
      </c>
      <c r="H299" s="42">
        <f t="shared" ca="1" si="162"/>
        <v>225</v>
      </c>
      <c r="J299" s="43">
        <f t="shared" ca="1" si="181"/>
        <v>0.91690707569784913</v>
      </c>
      <c r="K299" s="8">
        <v>1</v>
      </c>
      <c r="L299" s="42">
        <f t="shared" ca="1" si="163"/>
        <v>206</v>
      </c>
      <c r="N299" s="43">
        <f t="shared" ca="1" si="182"/>
        <v>0.50193060762012742</v>
      </c>
      <c r="O299" s="8">
        <v>1</v>
      </c>
      <c r="P299" s="42">
        <f t="shared" ca="1" si="164"/>
        <v>230</v>
      </c>
      <c r="R299" s="43">
        <f t="shared" ca="1" si="183"/>
        <v>0.92094905075456868</v>
      </c>
      <c r="S299" s="8">
        <v>1</v>
      </c>
      <c r="T299" s="42">
        <f t="shared" ca="1" si="165"/>
        <v>191</v>
      </c>
      <c r="V299" s="43">
        <f t="shared" ca="1" si="184"/>
        <v>0.33345201387054357</v>
      </c>
      <c r="W299" s="8">
        <v>1</v>
      </c>
      <c r="X299" s="42">
        <f t="shared" ca="1" si="166"/>
        <v>200</v>
      </c>
      <c r="Z299" s="43">
        <f t="shared" ca="1" si="185"/>
        <v>0.48919282961511723</v>
      </c>
      <c r="AA299" s="8">
        <v>1</v>
      </c>
      <c r="AB299" s="42">
        <f t="shared" ca="1" si="167"/>
        <v>269</v>
      </c>
      <c r="AD299" s="43">
        <f t="shared" ca="1" si="186"/>
        <v>4.4599018648725508E-2</v>
      </c>
      <c r="AE299" s="8">
        <v>1</v>
      </c>
      <c r="AF299" s="42">
        <f t="shared" ca="1" si="168"/>
        <v>179</v>
      </c>
      <c r="AH299" s="43">
        <f t="shared" ca="1" si="187"/>
        <v>0.26295533032890706</v>
      </c>
      <c r="AI299" s="8">
        <v>1</v>
      </c>
      <c r="AJ299" s="42">
        <f t="shared" ca="1" si="169"/>
        <v>142</v>
      </c>
      <c r="AL299" s="43">
        <f t="shared" ca="1" si="188"/>
        <v>0.46936286983983422</v>
      </c>
      <c r="AM299" s="8">
        <v>1</v>
      </c>
      <c r="AN299" s="42">
        <f t="shared" ca="1" si="170"/>
        <v>228</v>
      </c>
      <c r="AP299" s="43">
        <f t="shared" ca="1" si="189"/>
        <v>0.7209984254341445</v>
      </c>
      <c r="AQ299" s="8">
        <v>1</v>
      </c>
      <c r="AR299" s="42">
        <f t="shared" ca="1" si="171"/>
        <v>229</v>
      </c>
      <c r="AT299" s="43">
        <f t="shared" ca="1" si="190"/>
        <v>0.46168441432879193</v>
      </c>
      <c r="AU299" s="8">
        <v>1</v>
      </c>
      <c r="AV299" s="42">
        <f t="shared" ca="1" si="172"/>
        <v>201</v>
      </c>
      <c r="AX299" s="43">
        <f t="shared" ca="1" si="191"/>
        <v>0.41562298041948309</v>
      </c>
      <c r="AY299" s="8">
        <v>1</v>
      </c>
      <c r="AZ299" s="42">
        <f t="shared" ca="1" si="173"/>
        <v>221</v>
      </c>
      <c r="BB299" s="43">
        <f t="shared" ca="1" si="192"/>
        <v>0.50476401267359028</v>
      </c>
      <c r="BC299" s="8">
        <v>1</v>
      </c>
      <c r="BD299" s="42">
        <f t="shared" ca="1" si="174"/>
        <v>202</v>
      </c>
      <c r="BF299" s="43">
        <f t="shared" ca="1" si="193"/>
        <v>0.78997808023171379</v>
      </c>
      <c r="BG299" s="8">
        <v>1</v>
      </c>
      <c r="BH299" s="42">
        <f t="shared" ca="1" si="175"/>
        <v>205</v>
      </c>
      <c r="BJ299" s="43">
        <f t="shared" ca="1" si="194"/>
        <v>0.9167833807868937</v>
      </c>
      <c r="BK299" s="8">
        <v>1</v>
      </c>
      <c r="BL299" s="42">
        <f t="shared" ca="1" si="176"/>
        <v>296</v>
      </c>
      <c r="BN299" s="43">
        <f t="shared" ca="1" si="195"/>
        <v>0.97926255662591521</v>
      </c>
      <c r="BO299" s="8">
        <v>1</v>
      </c>
      <c r="BP299" s="42">
        <f t="shared" ca="1" si="177"/>
        <v>248</v>
      </c>
      <c r="BR299" s="43">
        <f t="shared" ca="1" si="196"/>
        <v>0.31387717628294265</v>
      </c>
      <c r="BS299" s="8">
        <v>1</v>
      </c>
      <c r="BT299" s="42">
        <f t="shared" ca="1" si="178"/>
        <v>191</v>
      </c>
    </row>
    <row r="300" spans="1:72" x14ac:dyDescent="0.2">
      <c r="A300" s="22">
        <v>44847</v>
      </c>
      <c r="B300" s="43">
        <f t="shared" ca="1" si="179"/>
        <v>0.34035672070952327</v>
      </c>
      <c r="C300" s="8">
        <v>1</v>
      </c>
      <c r="D300" s="42">
        <f t="shared" ca="1" si="161"/>
        <v>92</v>
      </c>
      <c r="F300" s="43">
        <f t="shared" ca="1" si="180"/>
        <v>0.36822158432282981</v>
      </c>
      <c r="G300" s="8">
        <v>1</v>
      </c>
      <c r="H300" s="42">
        <f t="shared" ca="1" si="162"/>
        <v>197</v>
      </c>
      <c r="J300" s="43">
        <f t="shared" ca="1" si="181"/>
        <v>0.82580096531123603</v>
      </c>
      <c r="K300" s="8">
        <v>1</v>
      </c>
      <c r="L300" s="42">
        <f t="shared" ca="1" si="163"/>
        <v>188</v>
      </c>
      <c r="N300" s="43">
        <f t="shared" ca="1" si="182"/>
        <v>0.13063720963119807</v>
      </c>
      <c r="O300" s="8">
        <v>1</v>
      </c>
      <c r="P300" s="42">
        <f t="shared" ca="1" si="164"/>
        <v>161</v>
      </c>
      <c r="R300" s="43">
        <f t="shared" ca="1" si="183"/>
        <v>0.13058275649838413</v>
      </c>
      <c r="S300" s="8">
        <v>1</v>
      </c>
      <c r="T300" s="42">
        <f t="shared" ca="1" si="165"/>
        <v>98</v>
      </c>
      <c r="V300" s="43">
        <f t="shared" ca="1" si="184"/>
        <v>0.25866751287187983</v>
      </c>
      <c r="W300" s="8">
        <v>1</v>
      </c>
      <c r="X300" s="42">
        <f t="shared" ca="1" si="166"/>
        <v>187</v>
      </c>
      <c r="Z300" s="43">
        <f t="shared" ca="1" si="185"/>
        <v>0.69184206443607443</v>
      </c>
      <c r="AA300" s="8">
        <v>1</v>
      </c>
      <c r="AB300" s="42">
        <f t="shared" ca="1" si="167"/>
        <v>307</v>
      </c>
      <c r="AD300" s="43">
        <f t="shared" ca="1" si="186"/>
        <v>0.66617726396445198</v>
      </c>
      <c r="AE300" s="8">
        <v>1</v>
      </c>
      <c r="AF300" s="42">
        <f t="shared" ca="1" si="168"/>
        <v>365</v>
      </c>
      <c r="AH300" s="43">
        <f t="shared" ca="1" si="187"/>
        <v>3.0615310913451932E-2</v>
      </c>
      <c r="AI300" s="8">
        <v>1</v>
      </c>
      <c r="AJ300" s="42">
        <f t="shared" ca="1" si="169"/>
        <v>86</v>
      </c>
      <c r="AL300" s="43">
        <f t="shared" ca="1" si="188"/>
        <v>0.59761376274146849</v>
      </c>
      <c r="AM300" s="8">
        <v>1</v>
      </c>
      <c r="AN300" s="42">
        <f t="shared" ca="1" si="170"/>
        <v>248</v>
      </c>
      <c r="AP300" s="43">
        <f t="shared" ca="1" si="189"/>
        <v>0.18730990676358639</v>
      </c>
      <c r="AQ300" s="8">
        <v>1</v>
      </c>
      <c r="AR300" s="42">
        <f t="shared" ca="1" si="171"/>
        <v>152</v>
      </c>
      <c r="AT300" s="43">
        <f t="shared" ca="1" si="190"/>
        <v>0.51736294992807763</v>
      </c>
      <c r="AU300" s="8">
        <v>1</v>
      </c>
      <c r="AV300" s="42">
        <f t="shared" ca="1" si="172"/>
        <v>208</v>
      </c>
      <c r="AX300" s="43">
        <f t="shared" ca="1" si="191"/>
        <v>0.30980245084441671</v>
      </c>
      <c r="AY300" s="8">
        <v>1</v>
      </c>
      <c r="AZ300" s="42">
        <f t="shared" ca="1" si="173"/>
        <v>203</v>
      </c>
      <c r="BB300" s="43">
        <f t="shared" ca="1" si="192"/>
        <v>0.22642465213753626</v>
      </c>
      <c r="BC300" s="8">
        <v>1</v>
      </c>
      <c r="BD300" s="42">
        <f t="shared" ca="1" si="174"/>
        <v>161</v>
      </c>
      <c r="BF300" s="43">
        <f t="shared" ca="1" si="193"/>
        <v>0.21998641304054656</v>
      </c>
      <c r="BG300" s="8">
        <v>1</v>
      </c>
      <c r="BH300" s="42">
        <f t="shared" ca="1" si="175"/>
        <v>134</v>
      </c>
      <c r="BJ300" s="43">
        <f t="shared" ca="1" si="194"/>
        <v>0.61624233020267039</v>
      </c>
      <c r="BK300" s="8">
        <v>1</v>
      </c>
      <c r="BL300" s="42">
        <f t="shared" ca="1" si="176"/>
        <v>233</v>
      </c>
      <c r="BN300" s="43">
        <f t="shared" ca="1" si="195"/>
        <v>0.13768497896938237</v>
      </c>
      <c r="BO300" s="8">
        <v>1</v>
      </c>
      <c r="BP300" s="42">
        <f t="shared" ca="1" si="177"/>
        <v>114</v>
      </c>
      <c r="BR300" s="43">
        <f t="shared" ca="1" si="196"/>
        <v>0.62660900160689137</v>
      </c>
      <c r="BS300" s="8">
        <v>1</v>
      </c>
      <c r="BT300" s="42">
        <f t="shared" ca="1" si="178"/>
        <v>239</v>
      </c>
    </row>
    <row r="301" spans="1:72" x14ac:dyDescent="0.2">
      <c r="A301" s="22">
        <v>44848</v>
      </c>
      <c r="B301" s="43">
        <f t="shared" ca="1" si="179"/>
        <v>0.22396071779567917</v>
      </c>
      <c r="C301" s="8">
        <v>1</v>
      </c>
      <c r="D301" s="42">
        <f t="shared" ca="1" si="161"/>
        <v>85</v>
      </c>
      <c r="F301" s="43">
        <f t="shared" ca="1" si="180"/>
        <v>0.9869910432646094</v>
      </c>
      <c r="G301" s="8">
        <v>1</v>
      </c>
      <c r="H301" s="42">
        <f t="shared" ca="1" si="162"/>
        <v>344</v>
      </c>
      <c r="J301" s="43">
        <f t="shared" ca="1" si="181"/>
        <v>0.69761090102275547</v>
      </c>
      <c r="K301" s="8">
        <v>1</v>
      </c>
      <c r="L301" s="42">
        <f t="shared" ca="1" si="163"/>
        <v>171</v>
      </c>
      <c r="N301" s="43">
        <f t="shared" ca="1" si="182"/>
        <v>0.55375562507529108</v>
      </c>
      <c r="O301" s="8">
        <v>1</v>
      </c>
      <c r="P301" s="42">
        <f t="shared" ca="1" si="164"/>
        <v>238</v>
      </c>
      <c r="R301" s="43">
        <f t="shared" ca="1" si="183"/>
        <v>0.61557015928792269</v>
      </c>
      <c r="S301" s="8">
        <v>1</v>
      </c>
      <c r="T301" s="42">
        <f t="shared" ca="1" si="165"/>
        <v>150</v>
      </c>
      <c r="V301" s="43">
        <f t="shared" ca="1" si="184"/>
        <v>0.89370054870891469</v>
      </c>
      <c r="W301" s="8">
        <v>1</v>
      </c>
      <c r="X301" s="42">
        <f t="shared" ca="1" si="166"/>
        <v>300</v>
      </c>
      <c r="Z301" s="43">
        <f t="shared" ca="1" si="185"/>
        <v>0.29308200050923738</v>
      </c>
      <c r="AA301" s="8">
        <v>1</v>
      </c>
      <c r="AB301" s="42">
        <f t="shared" ca="1" si="167"/>
        <v>231</v>
      </c>
      <c r="AD301" s="43">
        <f t="shared" ca="1" si="186"/>
        <v>0.29845250576445137</v>
      </c>
      <c r="AE301" s="8">
        <v>1</v>
      </c>
      <c r="AF301" s="42">
        <f t="shared" ca="1" si="168"/>
        <v>281</v>
      </c>
      <c r="AH301" s="43">
        <f t="shared" ca="1" si="187"/>
        <v>0.94755255637083102</v>
      </c>
      <c r="AI301" s="8">
        <v>1</v>
      </c>
      <c r="AJ301" s="42">
        <f t="shared" ca="1" si="169"/>
        <v>245</v>
      </c>
      <c r="AL301" s="43">
        <f t="shared" ca="1" si="188"/>
        <v>2.6954700989735292E-2</v>
      </c>
      <c r="AM301" s="8">
        <v>1</v>
      </c>
      <c r="AN301" s="42">
        <f t="shared" ca="1" si="170"/>
        <v>113</v>
      </c>
      <c r="AP301" s="43">
        <f t="shared" ca="1" si="189"/>
        <v>1.5390791074817778E-2</v>
      </c>
      <c r="AQ301" s="8">
        <v>1</v>
      </c>
      <c r="AR301" s="42">
        <f t="shared" ca="1" si="171"/>
        <v>84</v>
      </c>
      <c r="AT301" s="43">
        <f t="shared" ca="1" si="190"/>
        <v>0.17656091429131338</v>
      </c>
      <c r="AU301" s="8">
        <v>1</v>
      </c>
      <c r="AV301" s="42">
        <f t="shared" ca="1" si="172"/>
        <v>155</v>
      </c>
      <c r="AX301" s="43">
        <f t="shared" ca="1" si="191"/>
        <v>0.87821373910674405</v>
      </c>
      <c r="AY301" s="8">
        <v>1</v>
      </c>
      <c r="AZ301" s="42">
        <f t="shared" ca="1" si="173"/>
        <v>307</v>
      </c>
      <c r="BB301" s="43">
        <f t="shared" ca="1" si="192"/>
        <v>0.90377351957880259</v>
      </c>
      <c r="BC301" s="8">
        <v>1</v>
      </c>
      <c r="BD301" s="42">
        <f t="shared" ca="1" si="174"/>
        <v>271</v>
      </c>
      <c r="BF301" s="43">
        <f t="shared" ca="1" si="193"/>
        <v>0.29126054172081972</v>
      </c>
      <c r="BG301" s="8">
        <v>1</v>
      </c>
      <c r="BH301" s="42">
        <f t="shared" ca="1" si="175"/>
        <v>144</v>
      </c>
      <c r="BJ301" s="43">
        <f t="shared" ca="1" si="194"/>
        <v>3.1731043996828578E-2</v>
      </c>
      <c r="BK301" s="8">
        <v>1</v>
      </c>
      <c r="BL301" s="42">
        <f t="shared" ca="1" si="176"/>
        <v>109</v>
      </c>
      <c r="BN301" s="43">
        <f t="shared" ca="1" si="195"/>
        <v>0.36185492961892707</v>
      </c>
      <c r="BO301" s="8">
        <v>1</v>
      </c>
      <c r="BP301" s="42">
        <f t="shared" ca="1" si="177"/>
        <v>146</v>
      </c>
      <c r="BR301" s="43">
        <f t="shared" ca="1" si="196"/>
        <v>0.29991743692415251</v>
      </c>
      <c r="BS301" s="8">
        <v>1</v>
      </c>
      <c r="BT301" s="42">
        <f t="shared" ca="1" si="178"/>
        <v>189</v>
      </c>
    </row>
    <row r="302" spans="1:72" x14ac:dyDescent="0.2">
      <c r="A302" s="22">
        <v>44849</v>
      </c>
      <c r="B302" s="43">
        <f t="shared" ca="1" si="179"/>
        <v>0.40559388786195005</v>
      </c>
      <c r="C302" s="8">
        <v>1</v>
      </c>
      <c r="D302" s="42">
        <f t="shared" ca="1" si="161"/>
        <v>96</v>
      </c>
      <c r="F302" s="43">
        <f t="shared" ca="1" si="180"/>
        <v>0.59318706063808213</v>
      </c>
      <c r="G302" s="8">
        <v>1</v>
      </c>
      <c r="H302" s="42">
        <f t="shared" ca="1" si="162"/>
        <v>229</v>
      </c>
      <c r="J302" s="43">
        <f t="shared" ca="1" si="181"/>
        <v>0.28229970366580925</v>
      </c>
      <c r="K302" s="8">
        <v>1</v>
      </c>
      <c r="L302" s="42">
        <f t="shared" ca="1" si="163"/>
        <v>127</v>
      </c>
      <c r="N302" s="43">
        <f t="shared" ca="1" si="182"/>
        <v>0.6466139056332747</v>
      </c>
      <c r="O302" s="8">
        <v>1</v>
      </c>
      <c r="P302" s="42">
        <f t="shared" ca="1" si="164"/>
        <v>253</v>
      </c>
      <c r="R302" s="43">
        <f t="shared" ca="1" si="183"/>
        <v>5.4064367445472938E-2</v>
      </c>
      <c r="S302" s="8">
        <v>1</v>
      </c>
      <c r="T302" s="42">
        <f t="shared" ca="1" si="165"/>
        <v>80</v>
      </c>
      <c r="V302" s="43">
        <f t="shared" ca="1" si="184"/>
        <v>0.21507031929373888</v>
      </c>
      <c r="W302" s="8">
        <v>1</v>
      </c>
      <c r="X302" s="42">
        <f t="shared" ca="1" si="166"/>
        <v>178</v>
      </c>
      <c r="Z302" s="43">
        <f t="shared" ca="1" si="185"/>
        <v>0.58405478973377634</v>
      </c>
      <c r="AA302" s="8">
        <v>1</v>
      </c>
      <c r="AB302" s="42">
        <f t="shared" ca="1" si="167"/>
        <v>286</v>
      </c>
      <c r="AD302" s="43">
        <f t="shared" ca="1" si="186"/>
        <v>0.56453883338933231</v>
      </c>
      <c r="AE302" s="8">
        <v>1</v>
      </c>
      <c r="AF302" s="42">
        <f t="shared" ca="1" si="168"/>
        <v>342</v>
      </c>
      <c r="AH302" s="43">
        <f t="shared" ca="1" si="187"/>
        <v>0.37038956586476968</v>
      </c>
      <c r="AI302" s="8">
        <v>1</v>
      </c>
      <c r="AJ302" s="42">
        <f t="shared" ca="1" si="169"/>
        <v>156</v>
      </c>
      <c r="AL302" s="43">
        <f t="shared" ca="1" si="188"/>
        <v>0.63541203539150792</v>
      </c>
      <c r="AM302" s="8">
        <v>1</v>
      </c>
      <c r="AN302" s="42">
        <f t="shared" ca="1" si="170"/>
        <v>254</v>
      </c>
      <c r="AP302" s="43">
        <f t="shared" ca="1" si="189"/>
        <v>0.56035008897966987</v>
      </c>
      <c r="AQ302" s="8">
        <v>1</v>
      </c>
      <c r="AR302" s="42">
        <f t="shared" ca="1" si="171"/>
        <v>207</v>
      </c>
      <c r="AT302" s="43">
        <f t="shared" ca="1" si="190"/>
        <v>0.59339013926436324</v>
      </c>
      <c r="AU302" s="8">
        <v>1</v>
      </c>
      <c r="AV302" s="42">
        <f t="shared" ca="1" si="172"/>
        <v>219</v>
      </c>
      <c r="AX302" s="43">
        <f t="shared" ca="1" si="191"/>
        <v>1.7495075884484956E-2</v>
      </c>
      <c r="AY302" s="8">
        <v>1</v>
      </c>
      <c r="AZ302" s="42">
        <f t="shared" ca="1" si="173"/>
        <v>103</v>
      </c>
      <c r="BB302" s="43">
        <f t="shared" ca="1" si="192"/>
        <v>0.71626039176694789</v>
      </c>
      <c r="BC302" s="8">
        <v>1</v>
      </c>
      <c r="BD302" s="42">
        <f t="shared" ca="1" si="174"/>
        <v>232</v>
      </c>
      <c r="BF302" s="43">
        <f t="shared" ca="1" si="193"/>
        <v>0.91555138024023497</v>
      </c>
      <c r="BG302" s="8">
        <v>1</v>
      </c>
      <c r="BH302" s="42">
        <f t="shared" ca="1" si="175"/>
        <v>231</v>
      </c>
      <c r="BJ302" s="43">
        <f t="shared" ca="1" si="194"/>
        <v>0.40018504887240081</v>
      </c>
      <c r="BK302" s="8">
        <v>1</v>
      </c>
      <c r="BL302" s="42">
        <f t="shared" ca="1" si="176"/>
        <v>202</v>
      </c>
      <c r="BN302" s="43">
        <f t="shared" ca="1" si="195"/>
        <v>4.1576553450497045E-2</v>
      </c>
      <c r="BO302" s="8">
        <v>1</v>
      </c>
      <c r="BP302" s="42">
        <f t="shared" ca="1" si="177"/>
        <v>87</v>
      </c>
      <c r="BR302" s="43">
        <f t="shared" ca="1" si="196"/>
        <v>0.80040284499764081</v>
      </c>
      <c r="BS302" s="8">
        <v>1</v>
      </c>
      <c r="BT302" s="42">
        <f t="shared" ca="1" si="178"/>
        <v>269</v>
      </c>
    </row>
    <row r="303" spans="1:72" x14ac:dyDescent="0.2">
      <c r="A303" s="22">
        <v>44850</v>
      </c>
      <c r="B303" s="43">
        <f t="shared" ca="1" si="179"/>
        <v>0.14219666672136433</v>
      </c>
      <c r="C303" s="8">
        <v>1</v>
      </c>
      <c r="D303" s="42">
        <f t="shared" ca="1" si="161"/>
        <v>79</v>
      </c>
      <c r="F303" s="43">
        <f t="shared" ca="1" si="180"/>
        <v>0.9152728770426164</v>
      </c>
      <c r="G303" s="8">
        <v>1</v>
      </c>
      <c r="H303" s="42">
        <f t="shared" ca="1" si="162"/>
        <v>295</v>
      </c>
      <c r="J303" s="43">
        <f t="shared" ca="1" si="181"/>
        <v>0.56680897304518296</v>
      </c>
      <c r="K303" s="8">
        <v>1</v>
      </c>
      <c r="L303" s="42">
        <f t="shared" ca="1" si="163"/>
        <v>157</v>
      </c>
      <c r="N303" s="43">
        <f t="shared" ca="1" si="182"/>
        <v>0.77958831099121917</v>
      </c>
      <c r="O303" s="8">
        <v>1</v>
      </c>
      <c r="P303" s="42">
        <f t="shared" ca="1" si="164"/>
        <v>277</v>
      </c>
      <c r="R303" s="43">
        <f t="shared" ca="1" si="183"/>
        <v>0.84213865653973796</v>
      </c>
      <c r="S303" s="8">
        <v>1</v>
      </c>
      <c r="T303" s="42">
        <f t="shared" ca="1" si="165"/>
        <v>176</v>
      </c>
      <c r="V303" s="43">
        <f t="shared" ca="1" si="184"/>
        <v>7.3774882679433773E-2</v>
      </c>
      <c r="W303" s="8">
        <v>1</v>
      </c>
      <c r="X303" s="42">
        <f t="shared" ca="1" si="166"/>
        <v>139</v>
      </c>
      <c r="Z303" s="43">
        <f t="shared" ca="1" si="185"/>
        <v>0.84221631515932194</v>
      </c>
      <c r="AA303" s="8">
        <v>1</v>
      </c>
      <c r="AB303" s="42">
        <f t="shared" ca="1" si="167"/>
        <v>343</v>
      </c>
      <c r="AD303" s="43">
        <f t="shared" ca="1" si="186"/>
        <v>0.77280395352855336</v>
      </c>
      <c r="AE303" s="8">
        <v>1</v>
      </c>
      <c r="AF303" s="42">
        <f t="shared" ca="1" si="168"/>
        <v>393</v>
      </c>
      <c r="AH303" s="43">
        <f t="shared" ca="1" si="187"/>
        <v>0.78022829703446783</v>
      </c>
      <c r="AI303" s="8">
        <v>1</v>
      </c>
      <c r="AJ303" s="42">
        <f t="shared" ca="1" si="169"/>
        <v>206</v>
      </c>
      <c r="AL303" s="43">
        <f t="shared" ca="1" si="188"/>
        <v>0.19949764723605112</v>
      </c>
      <c r="AM303" s="8">
        <v>1</v>
      </c>
      <c r="AN303" s="42">
        <f t="shared" ca="1" si="170"/>
        <v>180</v>
      </c>
      <c r="AP303" s="43">
        <f t="shared" ca="1" si="189"/>
        <v>0.3938818437123669</v>
      </c>
      <c r="AQ303" s="8">
        <v>1</v>
      </c>
      <c r="AR303" s="42">
        <f t="shared" ca="1" si="171"/>
        <v>184</v>
      </c>
      <c r="AT303" s="43">
        <f t="shared" ca="1" si="190"/>
        <v>0.52392815126432546</v>
      </c>
      <c r="AU303" s="8">
        <v>1</v>
      </c>
      <c r="AV303" s="42">
        <f t="shared" ca="1" si="172"/>
        <v>209</v>
      </c>
      <c r="AX303" s="43">
        <f t="shared" ca="1" si="191"/>
        <v>0.21829117980954416</v>
      </c>
      <c r="AY303" s="8">
        <v>1</v>
      </c>
      <c r="AZ303" s="42">
        <f t="shared" ca="1" si="173"/>
        <v>186</v>
      </c>
      <c r="BB303" s="43">
        <f t="shared" ca="1" si="192"/>
        <v>2.3734261826325209E-2</v>
      </c>
      <c r="BC303" s="8">
        <v>1</v>
      </c>
      <c r="BD303" s="42">
        <f t="shared" ca="1" si="174"/>
        <v>95</v>
      </c>
      <c r="BF303" s="43">
        <f t="shared" ca="1" si="193"/>
        <v>0.58197049450168481</v>
      </c>
      <c r="BG303" s="8">
        <v>1</v>
      </c>
      <c r="BH303" s="42">
        <f t="shared" ca="1" si="175"/>
        <v>178</v>
      </c>
      <c r="BJ303" s="43">
        <f t="shared" ca="1" si="194"/>
        <v>0.53373388699095325</v>
      </c>
      <c r="BK303" s="8">
        <v>1</v>
      </c>
      <c r="BL303" s="42">
        <f t="shared" ca="1" si="176"/>
        <v>221</v>
      </c>
      <c r="BN303" s="43">
        <f t="shared" ca="1" si="195"/>
        <v>0.82902053652639218</v>
      </c>
      <c r="BO303" s="8">
        <v>1</v>
      </c>
      <c r="BP303" s="42">
        <f t="shared" ca="1" si="177"/>
        <v>202</v>
      </c>
      <c r="BR303" s="43">
        <f t="shared" ca="1" si="196"/>
        <v>0.16766720313495309</v>
      </c>
      <c r="BS303" s="8">
        <v>1</v>
      </c>
      <c r="BT303" s="42">
        <f t="shared" ca="1" si="178"/>
        <v>163</v>
      </c>
    </row>
    <row r="304" spans="1:72" x14ac:dyDescent="0.2">
      <c r="A304" s="22">
        <v>44851</v>
      </c>
      <c r="B304" s="43">
        <f t="shared" ca="1" si="179"/>
        <v>0.77011559686759412</v>
      </c>
      <c r="C304" s="8">
        <v>1</v>
      </c>
      <c r="D304" s="42">
        <v>0</v>
      </c>
      <c r="F304" s="43">
        <f t="shared" ca="1" si="180"/>
        <v>0.36372311730756901</v>
      </c>
      <c r="G304" s="8">
        <v>1</v>
      </c>
      <c r="H304" s="42">
        <v>0</v>
      </c>
      <c r="J304" s="43">
        <f t="shared" ca="1" si="181"/>
        <v>0.78229711206078711</v>
      </c>
      <c r="K304" s="8">
        <v>1</v>
      </c>
      <c r="L304" s="42">
        <v>0</v>
      </c>
      <c r="N304" s="43">
        <f t="shared" ca="1" si="182"/>
        <v>0.76494835195111477</v>
      </c>
      <c r="O304" s="8">
        <v>1</v>
      </c>
      <c r="P304" s="42">
        <v>0</v>
      </c>
      <c r="R304" s="43">
        <f t="shared" ca="1" si="183"/>
        <v>5.7857262687199817E-4</v>
      </c>
      <c r="S304" s="8">
        <v>1</v>
      </c>
      <c r="T304" s="42">
        <v>0</v>
      </c>
      <c r="V304" s="43">
        <f t="shared" ca="1" si="184"/>
        <v>3.9210073769231912E-2</v>
      </c>
      <c r="W304" s="8">
        <v>1</v>
      </c>
      <c r="X304" s="42">
        <v>0</v>
      </c>
      <c r="Z304" s="43">
        <f t="shared" ca="1" si="185"/>
        <v>0.7933462928015379</v>
      </c>
      <c r="AA304" s="8">
        <v>1</v>
      </c>
      <c r="AB304" s="42">
        <v>0</v>
      </c>
      <c r="AD304" s="43">
        <f t="shared" ca="1" si="186"/>
        <v>0.85361711648898264</v>
      </c>
      <c r="AE304" s="8">
        <v>1</v>
      </c>
      <c r="AF304" s="42">
        <v>0</v>
      </c>
      <c r="AH304" s="43">
        <f t="shared" ca="1" si="187"/>
        <v>0.18158202314329797</v>
      </c>
      <c r="AI304" s="8">
        <v>1</v>
      </c>
      <c r="AJ304" s="42">
        <v>0</v>
      </c>
      <c r="AL304" s="43">
        <f t="shared" ca="1" si="188"/>
        <v>0.13660028176776629</v>
      </c>
      <c r="AM304" s="8">
        <v>1</v>
      </c>
      <c r="AN304" s="42">
        <v>0</v>
      </c>
      <c r="AP304" s="43">
        <f t="shared" ca="1" si="189"/>
        <v>4.6201905259397269E-2</v>
      </c>
      <c r="AQ304" s="8">
        <v>1</v>
      </c>
      <c r="AR304" s="42">
        <v>0</v>
      </c>
      <c r="AT304" s="43">
        <f t="shared" ca="1" si="190"/>
        <v>0.6326922630888403</v>
      </c>
      <c r="AU304" s="8">
        <v>1</v>
      </c>
      <c r="AV304" s="42">
        <v>0</v>
      </c>
      <c r="AX304" s="43">
        <f t="shared" ca="1" si="191"/>
        <v>0.51565193249565722</v>
      </c>
      <c r="AY304" s="8">
        <v>1</v>
      </c>
      <c r="AZ304" s="42">
        <v>0</v>
      </c>
      <c r="BB304" s="43">
        <f t="shared" ca="1" si="192"/>
        <v>0.28117037052638649</v>
      </c>
      <c r="BC304" s="8">
        <v>1</v>
      </c>
      <c r="BD304" s="42">
        <v>0</v>
      </c>
      <c r="BF304" s="43">
        <f t="shared" ca="1" si="193"/>
        <v>0.1509832294714013</v>
      </c>
      <c r="BG304" s="8">
        <v>1</v>
      </c>
      <c r="BH304" s="42">
        <v>0</v>
      </c>
      <c r="BJ304" s="43">
        <f t="shared" ca="1" si="194"/>
        <v>0.51307843612035731</v>
      </c>
      <c r="BK304" s="8">
        <v>1</v>
      </c>
      <c r="BL304" s="42">
        <v>0</v>
      </c>
      <c r="BN304" s="43">
        <f t="shared" ca="1" si="195"/>
        <v>0.9638684157100863</v>
      </c>
      <c r="BO304" s="8">
        <v>1</v>
      </c>
      <c r="BP304" s="42">
        <v>0</v>
      </c>
      <c r="BR304" s="43">
        <f t="shared" ca="1" si="196"/>
        <v>0.14271351014093858</v>
      </c>
      <c r="BS304" s="8">
        <v>1</v>
      </c>
      <c r="BT304" s="42">
        <v>0</v>
      </c>
    </row>
    <row r="305" spans="1:72" x14ac:dyDescent="0.2">
      <c r="A305" s="22">
        <v>44852</v>
      </c>
      <c r="B305" s="43">
        <f t="shared" ca="1" si="179"/>
        <v>0.26554881781989703</v>
      </c>
      <c r="C305" s="8">
        <v>1</v>
      </c>
      <c r="D305" s="42">
        <v>0</v>
      </c>
      <c r="F305" s="43">
        <f t="shared" ca="1" si="180"/>
        <v>0.46111389447405027</v>
      </c>
      <c r="G305" s="8">
        <v>1</v>
      </c>
      <c r="H305" s="42">
        <v>0</v>
      </c>
      <c r="J305" s="43">
        <f t="shared" ca="1" si="181"/>
        <v>9.6416974591692517E-2</v>
      </c>
      <c r="K305" s="8">
        <v>1</v>
      </c>
      <c r="L305" s="42">
        <v>0</v>
      </c>
      <c r="N305" s="43">
        <f t="shared" ca="1" si="182"/>
        <v>0.50078547103773674</v>
      </c>
      <c r="O305" s="8">
        <v>1</v>
      </c>
      <c r="P305" s="42">
        <v>0</v>
      </c>
      <c r="R305" s="43">
        <f t="shared" ca="1" si="183"/>
        <v>0.72434179931162479</v>
      </c>
      <c r="S305" s="8">
        <v>1</v>
      </c>
      <c r="T305" s="42">
        <v>0</v>
      </c>
      <c r="V305" s="43">
        <f t="shared" ca="1" si="184"/>
        <v>0.84086964953058452</v>
      </c>
      <c r="W305" s="8">
        <v>1</v>
      </c>
      <c r="X305" s="42">
        <v>0</v>
      </c>
      <c r="Z305" s="43">
        <f t="shared" ca="1" si="185"/>
        <v>0.46592083244112037</v>
      </c>
      <c r="AA305" s="8">
        <v>1</v>
      </c>
      <c r="AB305" s="42">
        <v>0</v>
      </c>
      <c r="AD305" s="43">
        <f t="shared" ca="1" si="186"/>
        <v>0.68086713924951014</v>
      </c>
      <c r="AE305" s="8">
        <v>1</v>
      </c>
      <c r="AF305" s="42">
        <v>0</v>
      </c>
      <c r="AH305" s="43">
        <f t="shared" ca="1" si="187"/>
        <v>0.29422882681364615</v>
      </c>
      <c r="AI305" s="8">
        <v>1</v>
      </c>
      <c r="AJ305" s="42">
        <v>0</v>
      </c>
      <c r="AL305" s="43">
        <f t="shared" ca="1" si="188"/>
        <v>0.10905040046523595</v>
      </c>
      <c r="AM305" s="8">
        <v>1</v>
      </c>
      <c r="AN305" s="42">
        <v>0</v>
      </c>
      <c r="AP305" s="43">
        <f t="shared" ca="1" si="189"/>
        <v>0.74276597999467964</v>
      </c>
      <c r="AQ305" s="8">
        <v>1</v>
      </c>
      <c r="AR305" s="42">
        <v>0</v>
      </c>
      <c r="AT305" s="43">
        <f t="shared" ca="1" si="190"/>
        <v>0.79771977278106354</v>
      </c>
      <c r="AU305" s="8">
        <v>1</v>
      </c>
      <c r="AV305" s="42">
        <v>0</v>
      </c>
      <c r="AX305" s="43">
        <f t="shared" ca="1" si="191"/>
        <v>0.60773986840155392</v>
      </c>
      <c r="AY305" s="8">
        <v>1</v>
      </c>
      <c r="AZ305" s="42">
        <v>0</v>
      </c>
      <c r="BB305" s="43">
        <f t="shared" ca="1" si="192"/>
        <v>0.49906879365246859</v>
      </c>
      <c r="BC305" s="8">
        <v>1</v>
      </c>
      <c r="BD305" s="42">
        <v>0</v>
      </c>
      <c r="BF305" s="43">
        <f t="shared" ca="1" si="193"/>
        <v>0.2828286163678907</v>
      </c>
      <c r="BG305" s="8">
        <v>1</v>
      </c>
      <c r="BH305" s="42">
        <v>0</v>
      </c>
      <c r="BJ305" s="43">
        <f t="shared" ca="1" si="194"/>
        <v>0.51614834292917056</v>
      </c>
      <c r="BK305" s="8">
        <v>1</v>
      </c>
      <c r="BL305" s="42">
        <v>0</v>
      </c>
      <c r="BN305" s="43">
        <f t="shared" ca="1" si="195"/>
        <v>0.28947225851828684</v>
      </c>
      <c r="BO305" s="8">
        <v>1</v>
      </c>
      <c r="BP305" s="42">
        <v>0</v>
      </c>
      <c r="BR305" s="43">
        <f t="shared" ca="1" si="196"/>
        <v>0.51421460357698678</v>
      </c>
      <c r="BS305" s="8">
        <v>1</v>
      </c>
      <c r="BT305" s="42">
        <v>0</v>
      </c>
    </row>
    <row r="306" spans="1:72" x14ac:dyDescent="0.2">
      <c r="A306" s="22">
        <v>44853</v>
      </c>
      <c r="B306" s="43">
        <f t="shared" ca="1" si="179"/>
        <v>0.73330049591166913</v>
      </c>
      <c r="C306" s="8">
        <v>1</v>
      </c>
      <c r="D306" s="42">
        <v>0</v>
      </c>
      <c r="F306" s="43">
        <f t="shared" ca="1" si="180"/>
        <v>0.90045053951261533</v>
      </c>
      <c r="G306" s="8">
        <v>1</v>
      </c>
      <c r="H306" s="42">
        <v>0</v>
      </c>
      <c r="J306" s="43">
        <f t="shared" ca="1" si="181"/>
        <v>0.3016073258332207</v>
      </c>
      <c r="K306" s="8">
        <v>1</v>
      </c>
      <c r="L306" s="42">
        <v>0</v>
      </c>
      <c r="N306" s="43">
        <f t="shared" ca="1" si="182"/>
        <v>0.13075837377229782</v>
      </c>
      <c r="O306" s="8">
        <v>1</v>
      </c>
      <c r="P306" s="42">
        <v>0</v>
      </c>
      <c r="R306" s="43">
        <f t="shared" ca="1" si="183"/>
        <v>7.3536853621396947E-2</v>
      </c>
      <c r="S306" s="8">
        <v>1</v>
      </c>
      <c r="T306" s="42">
        <v>0</v>
      </c>
      <c r="V306" s="43">
        <f t="shared" ca="1" si="184"/>
        <v>0.40581210259297928</v>
      </c>
      <c r="W306" s="8">
        <v>1</v>
      </c>
      <c r="X306" s="42">
        <v>0</v>
      </c>
      <c r="Z306" s="43">
        <f t="shared" ca="1" si="185"/>
        <v>0.88422219129164725</v>
      </c>
      <c r="AA306" s="8">
        <v>1</v>
      </c>
      <c r="AB306" s="42">
        <v>0</v>
      </c>
      <c r="AD306" s="43">
        <f t="shared" ca="1" si="186"/>
        <v>0.72822638289529873</v>
      </c>
      <c r="AE306" s="8">
        <v>1</v>
      </c>
      <c r="AF306" s="42">
        <v>0</v>
      </c>
      <c r="AH306" s="43">
        <f t="shared" ca="1" si="187"/>
        <v>9.7667770546632338E-2</v>
      </c>
      <c r="AI306" s="8">
        <v>1</v>
      </c>
      <c r="AJ306" s="42">
        <v>0</v>
      </c>
      <c r="AL306" s="43">
        <f t="shared" ca="1" si="188"/>
        <v>0.68270458579722171</v>
      </c>
      <c r="AM306" s="8">
        <v>1</v>
      </c>
      <c r="AN306" s="42">
        <v>0</v>
      </c>
      <c r="AP306" s="43">
        <f t="shared" ca="1" si="189"/>
        <v>0.74272367346731893</v>
      </c>
      <c r="AQ306" s="8">
        <v>1</v>
      </c>
      <c r="AR306" s="42">
        <v>0</v>
      </c>
      <c r="AT306" s="43">
        <f t="shared" ca="1" si="190"/>
        <v>0.12571324378971505</v>
      </c>
      <c r="AU306" s="8">
        <v>1</v>
      </c>
      <c r="AV306" s="42">
        <v>0</v>
      </c>
      <c r="AX306" s="43">
        <f t="shared" ca="1" si="191"/>
        <v>0.15460259033389767</v>
      </c>
      <c r="AY306" s="8">
        <v>1</v>
      </c>
      <c r="AZ306" s="42">
        <v>0</v>
      </c>
      <c r="BB306" s="43">
        <f t="shared" ca="1" si="192"/>
        <v>8.7179387266179797E-2</v>
      </c>
      <c r="BC306" s="8">
        <v>1</v>
      </c>
      <c r="BD306" s="42">
        <v>0</v>
      </c>
      <c r="BF306" s="43">
        <f t="shared" ca="1" si="193"/>
        <v>0.80120421241399242</v>
      </c>
      <c r="BG306" s="8">
        <v>1</v>
      </c>
      <c r="BH306" s="42">
        <v>0</v>
      </c>
      <c r="BJ306" s="43">
        <f t="shared" ca="1" si="194"/>
        <v>0.72296886594800003</v>
      </c>
      <c r="BK306" s="8">
        <v>1</v>
      </c>
      <c r="BL306" s="42">
        <v>0</v>
      </c>
      <c r="BN306" s="43">
        <f t="shared" ca="1" si="195"/>
        <v>0.29113133354262644</v>
      </c>
      <c r="BO306" s="8">
        <v>1</v>
      </c>
      <c r="BP306" s="42">
        <v>0</v>
      </c>
      <c r="BR306" s="43">
        <f t="shared" ca="1" si="196"/>
        <v>0.128356948177061</v>
      </c>
      <c r="BS306" s="8">
        <v>1</v>
      </c>
      <c r="BT306" s="42">
        <v>0</v>
      </c>
    </row>
    <row r="307" spans="1:72" x14ac:dyDescent="0.2">
      <c r="A307" s="22">
        <v>44854</v>
      </c>
      <c r="B307" s="43">
        <f t="shared" ca="1" si="179"/>
        <v>6.8999890268784725E-2</v>
      </c>
      <c r="C307" s="8">
        <v>1</v>
      </c>
      <c r="D307" s="42">
        <v>0</v>
      </c>
      <c r="F307" s="43">
        <f t="shared" ca="1" si="180"/>
        <v>0.40134827110431459</v>
      </c>
      <c r="G307" s="8">
        <v>1</v>
      </c>
      <c r="H307" s="42">
        <v>0</v>
      </c>
      <c r="J307" s="43">
        <f t="shared" ca="1" si="181"/>
        <v>0.4668093548202914</v>
      </c>
      <c r="K307" s="8">
        <v>1</v>
      </c>
      <c r="L307" s="42">
        <v>0</v>
      </c>
      <c r="N307" s="43">
        <f t="shared" ca="1" si="182"/>
        <v>0.9782486031580363</v>
      </c>
      <c r="O307" s="8">
        <v>1</v>
      </c>
      <c r="P307" s="42">
        <v>0</v>
      </c>
      <c r="R307" s="43">
        <f t="shared" ca="1" si="183"/>
        <v>0.87647033431563293</v>
      </c>
      <c r="S307" s="8">
        <v>1</v>
      </c>
      <c r="T307" s="42">
        <v>0</v>
      </c>
      <c r="V307" s="43">
        <f t="shared" ca="1" si="184"/>
        <v>0.26701703252638542</v>
      </c>
      <c r="W307" s="8">
        <v>1</v>
      </c>
      <c r="X307" s="42">
        <v>0</v>
      </c>
      <c r="Z307" s="43">
        <f t="shared" ca="1" si="185"/>
        <v>0.74890991435032517</v>
      </c>
      <c r="AA307" s="8">
        <v>1</v>
      </c>
      <c r="AB307" s="42">
        <v>0</v>
      </c>
      <c r="AD307" s="43">
        <f t="shared" ca="1" si="186"/>
        <v>0.36241054970592168</v>
      </c>
      <c r="AE307" s="8">
        <v>1</v>
      </c>
      <c r="AF307" s="42">
        <v>0</v>
      </c>
      <c r="AH307" s="43">
        <f t="shared" ca="1" si="187"/>
        <v>0.44678364692478101</v>
      </c>
      <c r="AI307" s="8">
        <v>1</v>
      </c>
      <c r="AJ307" s="42">
        <v>0</v>
      </c>
      <c r="AL307" s="43">
        <f t="shared" ca="1" si="188"/>
        <v>0.66498795942106481</v>
      </c>
      <c r="AM307" s="8">
        <v>1</v>
      </c>
      <c r="AN307" s="42">
        <v>0</v>
      </c>
      <c r="AP307" s="43">
        <f t="shared" ca="1" si="189"/>
        <v>0.67788640528474187</v>
      </c>
      <c r="AQ307" s="8">
        <v>1</v>
      </c>
      <c r="AR307" s="42">
        <v>0</v>
      </c>
      <c r="AT307" s="43">
        <f t="shared" ca="1" si="190"/>
        <v>1.523106973773114E-2</v>
      </c>
      <c r="AU307" s="8">
        <v>1</v>
      </c>
      <c r="AV307" s="42">
        <v>0</v>
      </c>
      <c r="AX307" s="43">
        <f t="shared" ca="1" si="191"/>
        <v>0.8842451730030898</v>
      </c>
      <c r="AY307" s="8">
        <v>1</v>
      </c>
      <c r="AZ307" s="42">
        <v>0</v>
      </c>
      <c r="BB307" s="43">
        <f t="shared" ca="1" si="192"/>
        <v>0.20439334694990019</v>
      </c>
      <c r="BC307" s="8">
        <v>1</v>
      </c>
      <c r="BD307" s="42">
        <v>0</v>
      </c>
      <c r="BF307" s="43">
        <f t="shared" ca="1" si="193"/>
        <v>0.17414435763648239</v>
      </c>
      <c r="BG307" s="8">
        <v>1</v>
      </c>
      <c r="BH307" s="42">
        <v>0</v>
      </c>
      <c r="BJ307" s="43">
        <f t="shared" ca="1" si="194"/>
        <v>0.82187046679473585</v>
      </c>
      <c r="BK307" s="8">
        <v>1</v>
      </c>
      <c r="BL307" s="42">
        <v>0</v>
      </c>
      <c r="BN307" s="43">
        <f t="shared" ca="1" si="195"/>
        <v>0.6313482612890573</v>
      </c>
      <c r="BO307" s="8">
        <v>1</v>
      </c>
      <c r="BP307" s="42">
        <v>0</v>
      </c>
      <c r="BR307" s="43">
        <f t="shared" ca="1" si="196"/>
        <v>0.17912916248446797</v>
      </c>
      <c r="BS307" s="8">
        <v>1</v>
      </c>
      <c r="BT307" s="42">
        <v>0</v>
      </c>
    </row>
    <row r="308" spans="1:72" x14ac:dyDescent="0.2">
      <c r="A308" s="22">
        <v>44855</v>
      </c>
      <c r="B308" s="43">
        <f t="shared" ca="1" si="179"/>
        <v>0.81765193276920578</v>
      </c>
      <c r="C308" s="8">
        <v>1</v>
      </c>
      <c r="D308" s="42">
        <v>0</v>
      </c>
      <c r="F308" s="43">
        <f t="shared" ca="1" si="180"/>
        <v>3.5419483373971938E-2</v>
      </c>
      <c r="G308" s="8">
        <v>1</v>
      </c>
      <c r="H308" s="42">
        <v>0</v>
      </c>
      <c r="J308" s="43">
        <f t="shared" ca="1" si="181"/>
        <v>0.7557594531101911</v>
      </c>
      <c r="K308" s="8">
        <v>1</v>
      </c>
      <c r="L308" s="42">
        <v>0</v>
      </c>
      <c r="N308" s="43">
        <f t="shared" ca="1" si="182"/>
        <v>0.36820906820897059</v>
      </c>
      <c r="O308" s="8">
        <v>1</v>
      </c>
      <c r="P308" s="42">
        <v>0</v>
      </c>
      <c r="R308" s="43">
        <f t="shared" ca="1" si="183"/>
        <v>0.35552501407613546</v>
      </c>
      <c r="S308" s="8">
        <v>1</v>
      </c>
      <c r="T308" s="42">
        <v>0</v>
      </c>
      <c r="V308" s="43">
        <f t="shared" ca="1" si="184"/>
        <v>0.7936945046818773</v>
      </c>
      <c r="W308" s="8">
        <v>1</v>
      </c>
      <c r="X308" s="42">
        <v>0</v>
      </c>
      <c r="Z308" s="43">
        <f t="shared" ca="1" si="185"/>
        <v>3.2487482967699988E-2</v>
      </c>
      <c r="AA308" s="8">
        <v>1</v>
      </c>
      <c r="AB308" s="42">
        <v>0</v>
      </c>
      <c r="AD308" s="43">
        <f t="shared" ca="1" si="186"/>
        <v>0.15646185712936256</v>
      </c>
      <c r="AE308" s="8">
        <v>1</v>
      </c>
      <c r="AF308" s="42">
        <v>0</v>
      </c>
      <c r="AH308" s="43">
        <f t="shared" ca="1" si="187"/>
        <v>0.71298246824329259</v>
      </c>
      <c r="AI308" s="8">
        <v>1</v>
      </c>
      <c r="AJ308" s="42">
        <v>0</v>
      </c>
      <c r="AL308" s="43">
        <f t="shared" ca="1" si="188"/>
        <v>0.85249937599211001</v>
      </c>
      <c r="AM308" s="8">
        <v>1</v>
      </c>
      <c r="AN308" s="42">
        <v>0</v>
      </c>
      <c r="AP308" s="43">
        <f t="shared" ca="1" si="189"/>
        <v>0.38405716018140568</v>
      </c>
      <c r="AQ308" s="8">
        <v>1</v>
      </c>
      <c r="AR308" s="42">
        <v>0</v>
      </c>
      <c r="AT308" s="43">
        <f t="shared" ca="1" si="190"/>
        <v>0.13147065135271252</v>
      </c>
      <c r="AU308" s="8">
        <v>1</v>
      </c>
      <c r="AV308" s="42">
        <v>0</v>
      </c>
      <c r="AX308" s="43">
        <f t="shared" ca="1" si="191"/>
        <v>0.47166735679667737</v>
      </c>
      <c r="AY308" s="8">
        <v>1</v>
      </c>
      <c r="AZ308" s="42">
        <v>0</v>
      </c>
      <c r="BB308" s="43">
        <f t="shared" ca="1" si="192"/>
        <v>0.62170720129740464</v>
      </c>
      <c r="BC308" s="8">
        <v>1</v>
      </c>
      <c r="BD308" s="42">
        <v>0</v>
      </c>
      <c r="BF308" s="43">
        <f t="shared" ca="1" si="193"/>
        <v>0.3240004961868953</v>
      </c>
      <c r="BG308" s="8">
        <v>1</v>
      </c>
      <c r="BH308" s="42">
        <v>0</v>
      </c>
      <c r="BJ308" s="43">
        <f t="shared" ca="1" si="194"/>
        <v>0.84519399718255805</v>
      </c>
      <c r="BK308" s="8">
        <v>1</v>
      </c>
      <c r="BL308" s="42">
        <v>0</v>
      </c>
      <c r="BN308" s="43">
        <f t="shared" ca="1" si="195"/>
        <v>0.8753110787831011</v>
      </c>
      <c r="BO308" s="8">
        <v>1</v>
      </c>
      <c r="BP308" s="42">
        <v>0</v>
      </c>
      <c r="BR308" s="43">
        <f t="shared" ca="1" si="196"/>
        <v>0.99240838105714269</v>
      </c>
      <c r="BS308" s="8">
        <v>1</v>
      </c>
      <c r="BT308" s="42">
        <v>0</v>
      </c>
    </row>
    <row r="309" spans="1:72" x14ac:dyDescent="0.2">
      <c r="A309" s="22">
        <v>44856</v>
      </c>
      <c r="B309" s="43">
        <f t="shared" ca="1" si="179"/>
        <v>0.16584910050965029</v>
      </c>
      <c r="C309" s="8">
        <v>1</v>
      </c>
      <c r="D309" s="42">
        <v>0</v>
      </c>
      <c r="F309" s="43">
        <f t="shared" ca="1" si="180"/>
        <v>0.71565152541704502</v>
      </c>
      <c r="G309" s="8">
        <v>1</v>
      </c>
      <c r="H309" s="42">
        <v>0</v>
      </c>
      <c r="J309" s="43">
        <f t="shared" ca="1" si="181"/>
        <v>0.56822579691562503</v>
      </c>
      <c r="K309" s="8">
        <v>1</v>
      </c>
      <c r="L309" s="42">
        <v>0</v>
      </c>
      <c r="N309" s="43">
        <f t="shared" ca="1" si="182"/>
        <v>0.45928535335721943</v>
      </c>
      <c r="O309" s="8">
        <v>1</v>
      </c>
      <c r="P309" s="42">
        <v>0</v>
      </c>
      <c r="R309" s="43">
        <f t="shared" ca="1" si="183"/>
        <v>0.58217641550517596</v>
      </c>
      <c r="S309" s="8">
        <v>1</v>
      </c>
      <c r="T309" s="42">
        <v>0</v>
      </c>
      <c r="V309" s="43">
        <f t="shared" ca="1" si="184"/>
        <v>6.6558471214499648E-2</v>
      </c>
      <c r="W309" s="8">
        <v>1</v>
      </c>
      <c r="X309" s="42">
        <v>0</v>
      </c>
      <c r="Z309" s="43">
        <f t="shared" ca="1" si="185"/>
        <v>0.24106857145967353</v>
      </c>
      <c r="AA309" s="8">
        <v>1</v>
      </c>
      <c r="AB309" s="42">
        <v>0</v>
      </c>
      <c r="AD309" s="43">
        <f t="shared" ca="1" si="186"/>
        <v>0.20589678885946394</v>
      </c>
      <c r="AE309" s="8">
        <v>1</v>
      </c>
      <c r="AF309" s="42">
        <v>0</v>
      </c>
      <c r="AH309" s="43">
        <f t="shared" ca="1" si="187"/>
        <v>1.0543271125502018E-2</v>
      </c>
      <c r="AI309" s="8">
        <v>1</v>
      </c>
      <c r="AJ309" s="42">
        <v>0</v>
      </c>
      <c r="AL309" s="43">
        <f t="shared" ca="1" si="188"/>
        <v>0.84188046077521039</v>
      </c>
      <c r="AM309" s="8">
        <v>1</v>
      </c>
      <c r="AN309" s="42">
        <v>0</v>
      </c>
      <c r="AP309" s="43">
        <f t="shared" ca="1" si="189"/>
        <v>0.61091133695533395</v>
      </c>
      <c r="AQ309" s="8">
        <v>1</v>
      </c>
      <c r="AR309" s="42">
        <v>0</v>
      </c>
      <c r="AT309" s="43">
        <f t="shared" ca="1" si="190"/>
        <v>0.98769608652540131</v>
      </c>
      <c r="AU309" s="8">
        <v>1</v>
      </c>
      <c r="AV309" s="42">
        <v>0</v>
      </c>
      <c r="AX309" s="43">
        <f t="shared" ca="1" si="191"/>
        <v>0.64480724623411545</v>
      </c>
      <c r="AY309" s="8">
        <v>1</v>
      </c>
      <c r="AZ309" s="42">
        <v>0</v>
      </c>
      <c r="BB309" s="43">
        <f t="shared" ca="1" si="192"/>
        <v>0.74206688198348181</v>
      </c>
      <c r="BC309" s="8">
        <v>1</v>
      </c>
      <c r="BD309" s="42">
        <v>0</v>
      </c>
      <c r="BF309" s="43">
        <f t="shared" ca="1" si="193"/>
        <v>7.3360737559895028E-2</v>
      </c>
      <c r="BG309" s="8">
        <v>1</v>
      </c>
      <c r="BH309" s="42">
        <v>0</v>
      </c>
      <c r="BJ309" s="43">
        <f t="shared" ca="1" si="194"/>
        <v>0.80009582542872104</v>
      </c>
      <c r="BK309" s="8">
        <v>1</v>
      </c>
      <c r="BL309" s="42">
        <v>0</v>
      </c>
      <c r="BN309" s="43">
        <f t="shared" ca="1" si="195"/>
        <v>0.97583373858239808</v>
      </c>
      <c r="BO309" s="8">
        <v>1</v>
      </c>
      <c r="BP309" s="42">
        <v>0</v>
      </c>
      <c r="BR309" s="43">
        <f t="shared" ca="1" si="196"/>
        <v>0.19471058535786967</v>
      </c>
      <c r="BS309" s="8">
        <v>1</v>
      </c>
      <c r="BT309" s="42">
        <v>0</v>
      </c>
    </row>
    <row r="310" spans="1:72" x14ac:dyDescent="0.2">
      <c r="A310" s="22">
        <v>44857</v>
      </c>
      <c r="B310" s="43">
        <f t="shared" ca="1" si="179"/>
        <v>0.23681698222040304</v>
      </c>
      <c r="C310" s="8">
        <v>1</v>
      </c>
      <c r="D310" s="42">
        <v>0</v>
      </c>
      <c r="F310" s="43">
        <f t="shared" ca="1" si="180"/>
        <v>0.18940740512511878</v>
      </c>
      <c r="G310" s="8">
        <v>1</v>
      </c>
      <c r="H310" s="42">
        <v>0</v>
      </c>
      <c r="J310" s="43">
        <f t="shared" ca="1" si="181"/>
        <v>0.44156834848749604</v>
      </c>
      <c r="K310" s="8">
        <v>1</v>
      </c>
      <c r="L310" s="42">
        <v>0</v>
      </c>
      <c r="N310" s="43">
        <f t="shared" ca="1" si="182"/>
        <v>0.45421050918635097</v>
      </c>
      <c r="O310" s="8">
        <v>1</v>
      </c>
      <c r="P310" s="42">
        <v>0</v>
      </c>
      <c r="R310" s="43">
        <f t="shared" ca="1" si="183"/>
        <v>4.3980305616900028E-2</v>
      </c>
      <c r="S310" s="8">
        <v>1</v>
      </c>
      <c r="T310" s="42">
        <v>0</v>
      </c>
      <c r="V310" s="43">
        <f t="shared" ca="1" si="184"/>
        <v>0.76015190045159264</v>
      </c>
      <c r="W310" s="8">
        <v>1</v>
      </c>
      <c r="X310" s="42">
        <v>0</v>
      </c>
      <c r="Z310" s="43">
        <f t="shared" ca="1" si="185"/>
        <v>0.9691220460238158</v>
      </c>
      <c r="AA310" s="8">
        <v>1</v>
      </c>
      <c r="AB310" s="42">
        <v>0</v>
      </c>
      <c r="AD310" s="43">
        <f t="shared" ca="1" si="186"/>
        <v>0.71108793867525244</v>
      </c>
      <c r="AE310" s="8">
        <v>1</v>
      </c>
      <c r="AF310" s="42">
        <v>0</v>
      </c>
      <c r="AH310" s="43">
        <f t="shared" ca="1" si="187"/>
        <v>0.80089744453986034</v>
      </c>
      <c r="AI310" s="8">
        <v>1</v>
      </c>
      <c r="AJ310" s="42">
        <v>0</v>
      </c>
      <c r="AL310" s="43">
        <f t="shared" ca="1" si="188"/>
        <v>0.16024045453520874</v>
      </c>
      <c r="AM310" s="8">
        <v>1</v>
      </c>
      <c r="AN310" s="42">
        <v>0</v>
      </c>
      <c r="AP310" s="43">
        <f t="shared" ca="1" si="189"/>
        <v>0.76803727376023689</v>
      </c>
      <c r="AQ310" s="8">
        <v>1</v>
      </c>
      <c r="AR310" s="42">
        <v>0</v>
      </c>
      <c r="AT310" s="43">
        <f t="shared" ca="1" si="190"/>
        <v>1.4438383616962147E-2</v>
      </c>
      <c r="AU310" s="8">
        <v>1</v>
      </c>
      <c r="AV310" s="42">
        <v>0</v>
      </c>
      <c r="AX310" s="43">
        <f t="shared" ca="1" si="191"/>
        <v>0.53216519555326003</v>
      </c>
      <c r="AY310" s="8">
        <v>1</v>
      </c>
      <c r="AZ310" s="42">
        <v>0</v>
      </c>
      <c r="BB310" s="43">
        <f t="shared" ca="1" si="192"/>
        <v>0.57574350756141002</v>
      </c>
      <c r="BC310" s="8">
        <v>1</v>
      </c>
      <c r="BD310" s="42">
        <v>0</v>
      </c>
      <c r="BF310" s="43">
        <f t="shared" ca="1" si="193"/>
        <v>0.76696837680189867</v>
      </c>
      <c r="BG310" s="8">
        <v>1</v>
      </c>
      <c r="BH310" s="42">
        <v>0</v>
      </c>
      <c r="BJ310" s="43">
        <f t="shared" ca="1" si="194"/>
        <v>3.4501645075302734E-2</v>
      </c>
      <c r="BK310" s="8">
        <v>1</v>
      </c>
      <c r="BL310" s="42">
        <v>0</v>
      </c>
      <c r="BN310" s="43">
        <f t="shared" ca="1" si="195"/>
        <v>0.71569842193155242</v>
      </c>
      <c r="BO310" s="8">
        <v>1</v>
      </c>
      <c r="BP310" s="42">
        <v>0</v>
      </c>
      <c r="BR310" s="43">
        <f t="shared" ca="1" si="196"/>
        <v>0.44155186718326345</v>
      </c>
      <c r="BS310" s="8">
        <v>1</v>
      </c>
      <c r="BT310" s="42">
        <v>0</v>
      </c>
    </row>
    <row r="311" spans="1:72" x14ac:dyDescent="0.2">
      <c r="A311" s="22">
        <v>44858</v>
      </c>
      <c r="B311" s="43">
        <f t="shared" ca="1" si="179"/>
        <v>0.56147745619692024</v>
      </c>
      <c r="C311" s="8">
        <v>1</v>
      </c>
      <c r="D311" s="42">
        <v>0</v>
      </c>
      <c r="F311" s="43">
        <f t="shared" ca="1" si="180"/>
        <v>0.247742429491418</v>
      </c>
      <c r="G311" s="8">
        <v>1</v>
      </c>
      <c r="H311" s="42">
        <v>0</v>
      </c>
      <c r="J311" s="43">
        <f t="shared" ca="1" si="181"/>
        <v>0.88791973769153432</v>
      </c>
      <c r="K311" s="8">
        <v>1</v>
      </c>
      <c r="L311" s="42">
        <v>0</v>
      </c>
      <c r="N311" s="43">
        <f t="shared" ca="1" si="182"/>
        <v>0.42558483993623863</v>
      </c>
      <c r="O311" s="8">
        <v>1</v>
      </c>
      <c r="P311" s="42">
        <v>0</v>
      </c>
      <c r="R311" s="43">
        <f t="shared" ca="1" si="183"/>
        <v>0.8278588601533946</v>
      </c>
      <c r="S311" s="8">
        <v>1</v>
      </c>
      <c r="T311" s="42">
        <v>0</v>
      </c>
      <c r="V311" s="43">
        <f t="shared" ca="1" si="184"/>
        <v>0.3024570204489937</v>
      </c>
      <c r="W311" s="8">
        <v>1</v>
      </c>
      <c r="X311" s="42">
        <v>0</v>
      </c>
      <c r="Z311" s="43">
        <f t="shared" ca="1" si="185"/>
        <v>0.64730060713757087</v>
      </c>
      <c r="AA311" s="8">
        <v>1</v>
      </c>
      <c r="AB311" s="42">
        <v>0</v>
      </c>
      <c r="AD311" s="43">
        <f t="shared" ca="1" si="186"/>
        <v>0.32022666217482842</v>
      </c>
      <c r="AE311" s="8">
        <v>1</v>
      </c>
      <c r="AF311" s="42">
        <v>0</v>
      </c>
      <c r="AH311" s="43">
        <f t="shared" ca="1" si="187"/>
        <v>0.43905057818893511</v>
      </c>
      <c r="AI311" s="8">
        <v>1</v>
      </c>
      <c r="AJ311" s="42">
        <v>0</v>
      </c>
      <c r="AL311" s="43">
        <f t="shared" ca="1" si="188"/>
        <v>0.38327482664247048</v>
      </c>
      <c r="AM311" s="8">
        <v>1</v>
      </c>
      <c r="AN311" s="42">
        <v>0</v>
      </c>
      <c r="AP311" s="43">
        <f t="shared" ca="1" si="189"/>
        <v>0.80135839131929187</v>
      </c>
      <c r="AQ311" s="8">
        <v>1</v>
      </c>
      <c r="AR311" s="42">
        <v>0</v>
      </c>
      <c r="AT311" s="43">
        <f t="shared" ca="1" si="190"/>
        <v>0.13165834881551164</v>
      </c>
      <c r="AU311" s="8">
        <v>1</v>
      </c>
      <c r="AV311" s="42">
        <v>0</v>
      </c>
      <c r="AX311" s="43">
        <f t="shared" ca="1" si="191"/>
        <v>0.99590576997965474</v>
      </c>
      <c r="AY311" s="8">
        <v>1</v>
      </c>
      <c r="AZ311" s="42">
        <v>0</v>
      </c>
      <c r="BB311" s="43">
        <f t="shared" ca="1" si="192"/>
        <v>0.3613708298447379</v>
      </c>
      <c r="BC311" s="8">
        <v>1</v>
      </c>
      <c r="BD311" s="42">
        <v>0</v>
      </c>
      <c r="BF311" s="43">
        <f t="shared" ca="1" si="193"/>
        <v>0.58178903944081806</v>
      </c>
      <c r="BG311" s="8">
        <v>1</v>
      </c>
      <c r="BH311" s="42">
        <v>0</v>
      </c>
      <c r="BJ311" s="43">
        <f t="shared" ca="1" si="194"/>
        <v>0.37799078018020582</v>
      </c>
      <c r="BK311" s="8">
        <v>1</v>
      </c>
      <c r="BL311" s="42">
        <v>0</v>
      </c>
      <c r="BN311" s="43">
        <f t="shared" ca="1" si="195"/>
        <v>0.8613157487612737</v>
      </c>
      <c r="BO311" s="8">
        <v>1</v>
      </c>
      <c r="BP311" s="42">
        <v>0</v>
      </c>
      <c r="BR311" s="43">
        <f t="shared" ca="1" si="196"/>
        <v>0.88215015036151101</v>
      </c>
      <c r="BS311" s="8">
        <v>1</v>
      </c>
      <c r="BT311" s="42">
        <v>0</v>
      </c>
    </row>
    <row r="312" spans="1:72" x14ac:dyDescent="0.2">
      <c r="A312" s="22">
        <v>44859</v>
      </c>
      <c r="B312" s="43">
        <f t="shared" ca="1" si="179"/>
        <v>0.78919725514568617</v>
      </c>
      <c r="C312" s="8">
        <v>1</v>
      </c>
      <c r="D312" s="42">
        <v>0</v>
      </c>
      <c r="F312" s="43">
        <f t="shared" ca="1" si="180"/>
        <v>0.70241218818734807</v>
      </c>
      <c r="G312" s="8">
        <v>1</v>
      </c>
      <c r="H312" s="42">
        <v>0</v>
      </c>
      <c r="J312" s="43">
        <f t="shared" ca="1" si="181"/>
        <v>0.39883070856738967</v>
      </c>
      <c r="K312" s="8">
        <v>1</v>
      </c>
      <c r="L312" s="42">
        <v>0</v>
      </c>
      <c r="N312" s="43">
        <f t="shared" ca="1" si="182"/>
        <v>0.52283923286333889</v>
      </c>
      <c r="O312" s="8">
        <v>1</v>
      </c>
      <c r="P312" s="42">
        <v>0</v>
      </c>
      <c r="R312" s="43">
        <f t="shared" ca="1" si="183"/>
        <v>4.7099070144835053E-2</v>
      </c>
      <c r="S312" s="8">
        <v>1</v>
      </c>
      <c r="T312" s="42">
        <v>0</v>
      </c>
      <c r="V312" s="43">
        <f t="shared" ca="1" si="184"/>
        <v>0.3148645936914285</v>
      </c>
      <c r="W312" s="8">
        <v>1</v>
      </c>
      <c r="X312" s="42">
        <v>0</v>
      </c>
      <c r="Z312" s="43">
        <f t="shared" ca="1" si="185"/>
        <v>0.53802546734146228</v>
      </c>
      <c r="AA312" s="8">
        <v>1</v>
      </c>
      <c r="AB312" s="42">
        <v>0</v>
      </c>
      <c r="AD312" s="43">
        <f t="shared" ca="1" si="186"/>
        <v>0.50170783977974842</v>
      </c>
      <c r="AE312" s="8">
        <v>1</v>
      </c>
      <c r="AF312" s="42">
        <v>0</v>
      </c>
      <c r="AH312" s="43">
        <f t="shared" ca="1" si="187"/>
        <v>0.78780988092185034</v>
      </c>
      <c r="AI312" s="8">
        <v>1</v>
      </c>
      <c r="AJ312" s="42">
        <v>0</v>
      </c>
      <c r="AL312" s="43">
        <f t="shared" ca="1" si="188"/>
        <v>0.61642922274757062</v>
      </c>
      <c r="AM312" s="8">
        <v>1</v>
      </c>
      <c r="AN312" s="42">
        <v>0</v>
      </c>
      <c r="AP312" s="43">
        <f t="shared" ca="1" si="189"/>
        <v>0.82253350855651386</v>
      </c>
      <c r="AQ312" s="8">
        <v>1</v>
      </c>
      <c r="AR312" s="42">
        <v>0</v>
      </c>
      <c r="AT312" s="43">
        <f t="shared" ca="1" si="190"/>
        <v>0.519797265302545</v>
      </c>
      <c r="AU312" s="8">
        <v>1</v>
      </c>
      <c r="AV312" s="42">
        <v>0</v>
      </c>
      <c r="AX312" s="43">
        <f t="shared" ca="1" si="191"/>
        <v>0.76660596320585495</v>
      </c>
      <c r="AY312" s="8">
        <v>1</v>
      </c>
      <c r="AZ312" s="42">
        <v>0</v>
      </c>
      <c r="BB312" s="43">
        <f t="shared" ca="1" si="192"/>
        <v>0.65724368636337416</v>
      </c>
      <c r="BC312" s="8">
        <v>1</v>
      </c>
      <c r="BD312" s="42">
        <v>0</v>
      </c>
      <c r="BF312" s="43">
        <f t="shared" ca="1" si="193"/>
        <v>0.18897911602816753</v>
      </c>
      <c r="BG312" s="8">
        <v>1</v>
      </c>
      <c r="BH312" s="42">
        <v>0</v>
      </c>
      <c r="BJ312" s="43">
        <f t="shared" ca="1" si="194"/>
        <v>0.18929909350771001</v>
      </c>
      <c r="BK312" s="8">
        <v>1</v>
      </c>
      <c r="BL312" s="42">
        <v>0</v>
      </c>
      <c r="BN312" s="43">
        <f t="shared" ca="1" si="195"/>
        <v>0.79995329016724326</v>
      </c>
      <c r="BO312" s="8">
        <v>1</v>
      </c>
      <c r="BP312" s="42">
        <v>0</v>
      </c>
      <c r="BR312" s="43">
        <f t="shared" ca="1" si="196"/>
        <v>2.6619602695996836E-2</v>
      </c>
      <c r="BS312" s="8">
        <v>1</v>
      </c>
      <c r="BT312" s="42">
        <v>0</v>
      </c>
    </row>
    <row r="313" spans="1:72" x14ac:dyDescent="0.2">
      <c r="A313" s="22">
        <v>44860</v>
      </c>
      <c r="B313" s="43">
        <f t="shared" ca="1" si="179"/>
        <v>0.7587627692520662</v>
      </c>
      <c r="C313" s="8">
        <v>1</v>
      </c>
      <c r="D313" s="42">
        <f t="shared" ref="D313:D366" ca="1" si="197">ROUNDUP(_xlfn.NORM.INV(B313,C$4*C313,C$6*C313),0)</f>
        <v>115</v>
      </c>
      <c r="F313" s="43">
        <f t="shared" ca="1" si="180"/>
        <v>0.90543202313018756</v>
      </c>
      <c r="G313" s="8">
        <v>1</v>
      </c>
      <c r="H313" s="42">
        <f t="shared" ref="H313:H366" ca="1" si="198">ROUNDUP(_xlfn.NORM.INV(F313,G$4*G313,G$6*G313),0)</f>
        <v>291</v>
      </c>
      <c r="J313" s="43">
        <f t="shared" ca="1" si="181"/>
        <v>7.4918780903997839E-2</v>
      </c>
      <c r="K313" s="8">
        <v>1</v>
      </c>
      <c r="L313" s="42">
        <f t="shared" ref="L313:L366" ca="1" si="199">ROUNDUP(_xlfn.NORM.INV(J313,K$4*K313,K$6*K313),0)</f>
        <v>93</v>
      </c>
      <c r="N313" s="43">
        <f t="shared" ca="1" si="182"/>
        <v>0.44633319139000538</v>
      </c>
      <c r="O313" s="8">
        <v>1</v>
      </c>
      <c r="P313" s="42">
        <f t="shared" ref="P313:P366" ca="1" si="200">ROUNDUP(_xlfn.NORM.INV(N313,O$4*O313,O$6*O313),0)</f>
        <v>222</v>
      </c>
      <c r="R313" s="43">
        <f t="shared" ca="1" si="183"/>
        <v>0.47563070457828149</v>
      </c>
      <c r="S313" s="8">
        <v>1</v>
      </c>
      <c r="T313" s="42">
        <f t="shared" ref="T313:T366" ca="1" si="201">ROUNDUP(_xlfn.NORM.INV(R313,S$4*S313,S$6*S313),0)</f>
        <v>137</v>
      </c>
      <c r="V313" s="43">
        <f t="shared" ca="1" si="184"/>
        <v>0.2238306564412379</v>
      </c>
      <c r="W313" s="8">
        <v>1</v>
      </c>
      <c r="X313" s="42">
        <f t="shared" ref="X313:X366" ca="1" si="202">ROUNDUP(_xlfn.NORM.INV(V313,W$4*W313,W$6*W313),0)</f>
        <v>180</v>
      </c>
      <c r="Z313" s="43">
        <f t="shared" ca="1" si="185"/>
        <v>0.89723498610672636</v>
      </c>
      <c r="AA313" s="8">
        <v>1</v>
      </c>
      <c r="AB313" s="42">
        <f t="shared" ref="AB313:AB366" ca="1" si="203">ROUNDUP(_xlfn.NORM.INV(Z313,AA$4*AA313,AA$6*AA313),0)</f>
        <v>362</v>
      </c>
      <c r="AD313" s="43">
        <f t="shared" ca="1" si="186"/>
        <v>2.9273625948048498E-2</v>
      </c>
      <c r="AE313" s="8">
        <v>1</v>
      </c>
      <c r="AF313" s="42">
        <f t="shared" ref="AF313:AF366" ca="1" si="204">ROUNDUP(_xlfn.NORM.INV(AD313,AE$4*AE313,AE$6*AE313),0)</f>
        <v>163</v>
      </c>
      <c r="AH313" s="43">
        <f t="shared" ca="1" si="187"/>
        <v>0.73474814725764803</v>
      </c>
      <c r="AI313" s="8">
        <v>1</v>
      </c>
      <c r="AJ313" s="42">
        <f t="shared" ref="AJ313:AJ366" ca="1" si="205">ROUNDUP(_xlfn.NORM.INV(AH313,AI$4*AI313,AI$6*AI313),0)</f>
        <v>199</v>
      </c>
      <c r="AL313" s="43">
        <f t="shared" ca="1" si="188"/>
        <v>0.57899189475632551</v>
      </c>
      <c r="AM313" s="8">
        <v>1</v>
      </c>
      <c r="AN313" s="42">
        <f t="shared" ref="AN313:AN366" ca="1" si="206">ROUNDUP(_xlfn.NORM.INV(AL313,AM$4*AM313,AM$6*AM313),0)</f>
        <v>245</v>
      </c>
      <c r="AP313" s="43">
        <f t="shared" ca="1" si="189"/>
        <v>0.43234762483095357</v>
      </c>
      <c r="AQ313" s="8">
        <v>1</v>
      </c>
      <c r="AR313" s="42">
        <f t="shared" ref="AR313:AR366" ca="1" si="207">ROUNDUP(_xlfn.NORM.INV(AP313,AQ$4*AQ313,AQ$6*AQ313),0)</f>
        <v>190</v>
      </c>
      <c r="AT313" s="43">
        <f t="shared" ca="1" si="190"/>
        <v>0.19190385320139447</v>
      </c>
      <c r="AU313" s="8">
        <v>1</v>
      </c>
      <c r="AV313" s="42">
        <f t="shared" ref="AV313:AV366" ca="1" si="208">ROUNDUP(_xlfn.NORM.INV(AT313,AU$4*AU313,AU$6*AU313),0)</f>
        <v>158</v>
      </c>
      <c r="AX313" s="43">
        <f t="shared" ca="1" si="191"/>
        <v>0.40131282260075174</v>
      </c>
      <c r="AY313" s="8">
        <v>1</v>
      </c>
      <c r="AZ313" s="42">
        <f t="shared" ref="AZ313:AZ366" ca="1" si="209">ROUNDUP(_xlfn.NORM.INV(AX313,AY$4*AY313,AY$6*AY313),0)</f>
        <v>218</v>
      </c>
      <c r="BB313" s="43">
        <f t="shared" ca="1" si="192"/>
        <v>0.23516528537995041</v>
      </c>
      <c r="BC313" s="8">
        <v>1</v>
      </c>
      <c r="BD313" s="42">
        <f t="shared" ref="BD313:BD366" ca="1" si="210">ROUNDUP(_xlfn.NORM.INV(BB313,BC$4*BC313,BC$6*BC313),0)</f>
        <v>162</v>
      </c>
      <c r="BF313" s="43">
        <f t="shared" ca="1" si="193"/>
        <v>2.5768626403847472E-2</v>
      </c>
      <c r="BG313" s="8">
        <v>1</v>
      </c>
      <c r="BH313" s="42">
        <f t="shared" ref="BH313:BH366" ca="1" si="211">ROUNDUP(_xlfn.NORM.INV(BF313,BG$4*BG313,BG$6*BG313),0)</f>
        <v>82</v>
      </c>
      <c r="BJ313" s="43">
        <f t="shared" ca="1" si="194"/>
        <v>0.63313946338890859</v>
      </c>
      <c r="BK313" s="8">
        <v>1</v>
      </c>
      <c r="BL313" s="42">
        <f t="shared" ref="BL313:BL366" ca="1" si="212">ROUNDUP(_xlfn.NORM.INV(BJ313,BK$4*BK313,BK$6*BK313),0)</f>
        <v>236</v>
      </c>
      <c r="BN313" s="43">
        <f t="shared" ca="1" si="195"/>
        <v>0.73611712858479939</v>
      </c>
      <c r="BO313" s="8">
        <v>1</v>
      </c>
      <c r="BP313" s="42">
        <f t="shared" ref="BP313:BP366" ca="1" si="213">ROUNDUP(_xlfn.NORM.INV(BN313,BO$4*BO313,BO$6*BO313),0)</f>
        <v>188</v>
      </c>
      <c r="BR313" s="43">
        <f t="shared" ca="1" si="196"/>
        <v>0.57301584801685745</v>
      </c>
      <c r="BS313" s="8">
        <v>1</v>
      </c>
      <c r="BT313" s="42">
        <f t="shared" ref="BT313:BT366" ca="1" si="214">ROUNDUP(_xlfn.NORM.INV(BR313,BS$4*BS313,BS$6*BS313),0)</f>
        <v>231</v>
      </c>
    </row>
    <row r="314" spans="1:72" x14ac:dyDescent="0.2">
      <c r="A314" s="22">
        <v>44861</v>
      </c>
      <c r="B314" s="43">
        <f t="shared" ca="1" si="179"/>
        <v>0.55920647614791141</v>
      </c>
      <c r="C314" s="8">
        <v>1</v>
      </c>
      <c r="D314" s="42">
        <f t="shared" ca="1" si="197"/>
        <v>103</v>
      </c>
      <c r="F314" s="43">
        <f t="shared" ca="1" si="180"/>
        <v>0.73095140061400155</v>
      </c>
      <c r="G314" s="8">
        <v>1</v>
      </c>
      <c r="H314" s="42">
        <f t="shared" ca="1" si="198"/>
        <v>251</v>
      </c>
      <c r="J314" s="43">
        <f t="shared" ca="1" si="181"/>
        <v>0.39385829832547115</v>
      </c>
      <c r="K314" s="8">
        <v>1</v>
      </c>
      <c r="L314" s="42">
        <f t="shared" ca="1" si="199"/>
        <v>140</v>
      </c>
      <c r="N314" s="43">
        <f t="shared" ca="1" si="182"/>
        <v>0.47783113473207406</v>
      </c>
      <c r="O314" s="8">
        <v>1</v>
      </c>
      <c r="P314" s="42">
        <f t="shared" ca="1" si="200"/>
        <v>226</v>
      </c>
      <c r="R314" s="43">
        <f t="shared" ca="1" si="183"/>
        <v>0.69110166762483738</v>
      </c>
      <c r="S314" s="8">
        <v>1</v>
      </c>
      <c r="T314" s="42">
        <f t="shared" ca="1" si="201"/>
        <v>158</v>
      </c>
      <c r="V314" s="43">
        <f t="shared" ca="1" si="184"/>
        <v>0.88025370079068188</v>
      </c>
      <c r="W314" s="8">
        <v>1</v>
      </c>
      <c r="X314" s="42">
        <f t="shared" ca="1" si="202"/>
        <v>296</v>
      </c>
      <c r="Z314" s="43">
        <f t="shared" ca="1" si="185"/>
        <v>0.17901353758466843</v>
      </c>
      <c r="AA314" s="8">
        <v>1</v>
      </c>
      <c r="AB314" s="42">
        <f t="shared" ca="1" si="203"/>
        <v>204</v>
      </c>
      <c r="AD314" s="43">
        <f t="shared" ca="1" si="186"/>
        <v>0.1574372580170067</v>
      </c>
      <c r="AE314" s="8">
        <v>1</v>
      </c>
      <c r="AF314" s="42">
        <f t="shared" ca="1" si="204"/>
        <v>240</v>
      </c>
      <c r="AH314" s="43">
        <f t="shared" ca="1" si="187"/>
        <v>0.45696430451959114</v>
      </c>
      <c r="AI314" s="8">
        <v>1</v>
      </c>
      <c r="AJ314" s="42">
        <f t="shared" ca="1" si="205"/>
        <v>166</v>
      </c>
      <c r="AL314" s="43">
        <f t="shared" ca="1" si="188"/>
        <v>0.95518266652441086</v>
      </c>
      <c r="AM314" s="8">
        <v>1</v>
      </c>
      <c r="AN314" s="42">
        <f t="shared" ca="1" si="206"/>
        <v>338</v>
      </c>
      <c r="AP314" s="43">
        <f t="shared" ca="1" si="189"/>
        <v>0.60000154597183142</v>
      </c>
      <c r="AQ314" s="8">
        <v>1</v>
      </c>
      <c r="AR314" s="42">
        <f t="shared" ca="1" si="207"/>
        <v>212</v>
      </c>
      <c r="AT314" s="43">
        <f t="shared" ca="1" si="190"/>
        <v>0.76733866147100871</v>
      </c>
      <c r="AU314" s="8">
        <v>1</v>
      </c>
      <c r="AV314" s="42">
        <f t="shared" ca="1" si="208"/>
        <v>246</v>
      </c>
      <c r="AX314" s="43">
        <f t="shared" ca="1" si="191"/>
        <v>0.69048692938388478</v>
      </c>
      <c r="AY314" s="8">
        <v>1</v>
      </c>
      <c r="AZ314" s="42">
        <f t="shared" ca="1" si="209"/>
        <v>265</v>
      </c>
      <c r="BB314" s="43">
        <f t="shared" ca="1" si="192"/>
        <v>0.6047644740640391</v>
      </c>
      <c r="BC314" s="8">
        <v>1</v>
      </c>
      <c r="BD314" s="42">
        <f t="shared" ca="1" si="210"/>
        <v>215</v>
      </c>
      <c r="BF314" s="43">
        <f t="shared" ca="1" si="193"/>
        <v>0.49594206912971983</v>
      </c>
      <c r="BG314" s="8">
        <v>1</v>
      </c>
      <c r="BH314" s="42">
        <f t="shared" ca="1" si="211"/>
        <v>169</v>
      </c>
      <c r="BJ314" s="43">
        <f t="shared" ca="1" si="194"/>
        <v>0.77956827447365318</v>
      </c>
      <c r="BK314" s="8">
        <v>1</v>
      </c>
      <c r="BL314" s="42">
        <f t="shared" ca="1" si="212"/>
        <v>261</v>
      </c>
      <c r="BN314" s="43">
        <f t="shared" ca="1" si="195"/>
        <v>0.19822454124897015</v>
      </c>
      <c r="BO314" s="8">
        <v>1</v>
      </c>
      <c r="BP314" s="42">
        <f t="shared" ca="1" si="213"/>
        <v>125</v>
      </c>
      <c r="BR314" s="43">
        <f t="shared" ca="1" si="196"/>
        <v>0.67321493948183719</v>
      </c>
      <c r="BS314" s="8">
        <v>1</v>
      </c>
      <c r="BT314" s="42">
        <f t="shared" ca="1" si="214"/>
        <v>246</v>
      </c>
    </row>
    <row r="315" spans="1:72" x14ac:dyDescent="0.2">
      <c r="A315" s="22">
        <v>44862</v>
      </c>
      <c r="B315" s="43">
        <f t="shared" ca="1" si="179"/>
        <v>0.86227616301194088</v>
      </c>
      <c r="C315" s="8">
        <v>1</v>
      </c>
      <c r="D315" s="42">
        <f t="shared" ca="1" si="197"/>
        <v>122</v>
      </c>
      <c r="F315" s="43">
        <f t="shared" ca="1" si="180"/>
        <v>0.5034978463118589</v>
      </c>
      <c r="G315" s="8">
        <v>1</v>
      </c>
      <c r="H315" s="42">
        <f t="shared" ca="1" si="198"/>
        <v>216</v>
      </c>
      <c r="J315" s="43">
        <f t="shared" ca="1" si="181"/>
        <v>0.3288600275086454</v>
      </c>
      <c r="K315" s="8">
        <v>1</v>
      </c>
      <c r="L315" s="42">
        <f t="shared" ca="1" si="199"/>
        <v>133</v>
      </c>
      <c r="N315" s="43">
        <f t="shared" ca="1" si="182"/>
        <v>0.17909433316467316</v>
      </c>
      <c r="O315" s="8">
        <v>1</v>
      </c>
      <c r="P315" s="42">
        <f t="shared" ca="1" si="200"/>
        <v>174</v>
      </c>
      <c r="R315" s="43">
        <f t="shared" ca="1" si="183"/>
        <v>0.27068106776455791</v>
      </c>
      <c r="S315" s="8">
        <v>1</v>
      </c>
      <c r="T315" s="42">
        <f t="shared" ca="1" si="201"/>
        <v>117</v>
      </c>
      <c r="V315" s="43">
        <f t="shared" ca="1" si="184"/>
        <v>0.32389858680611072</v>
      </c>
      <c r="W315" s="8">
        <v>1</v>
      </c>
      <c r="X315" s="42">
        <f t="shared" ca="1" si="202"/>
        <v>198</v>
      </c>
      <c r="Z315" s="43">
        <f t="shared" ca="1" si="185"/>
        <v>0.36997522206595812</v>
      </c>
      <c r="AA315" s="8">
        <v>1</v>
      </c>
      <c r="AB315" s="42">
        <f t="shared" ca="1" si="203"/>
        <v>247</v>
      </c>
      <c r="AD315" s="43">
        <f t="shared" ca="1" si="186"/>
        <v>0.34654975882442796</v>
      </c>
      <c r="AE315" s="8">
        <v>1</v>
      </c>
      <c r="AF315" s="42">
        <f t="shared" ca="1" si="204"/>
        <v>293</v>
      </c>
      <c r="AH315" s="43">
        <f t="shared" ca="1" si="187"/>
        <v>0.36121095771556755</v>
      </c>
      <c r="AI315" s="8">
        <v>1</v>
      </c>
      <c r="AJ315" s="42">
        <f t="shared" ca="1" si="205"/>
        <v>155</v>
      </c>
      <c r="AL315" s="43">
        <f t="shared" ca="1" si="188"/>
        <v>0.80125199825817961</v>
      </c>
      <c r="AM315" s="8">
        <v>1</v>
      </c>
      <c r="AN315" s="42">
        <f t="shared" ca="1" si="206"/>
        <v>285</v>
      </c>
      <c r="AP315" s="43">
        <f t="shared" ca="1" si="189"/>
        <v>0.4700893840183975</v>
      </c>
      <c r="AQ315" s="8">
        <v>1</v>
      </c>
      <c r="AR315" s="42">
        <f t="shared" ca="1" si="207"/>
        <v>195</v>
      </c>
      <c r="AT315" s="43">
        <f t="shared" ca="1" si="190"/>
        <v>0.94844685454567912</v>
      </c>
      <c r="AU315" s="8">
        <v>1</v>
      </c>
      <c r="AV315" s="42">
        <f t="shared" ca="1" si="208"/>
        <v>295</v>
      </c>
      <c r="AX315" s="43">
        <f t="shared" ca="1" si="191"/>
        <v>0.31772597950068038</v>
      </c>
      <c r="AY315" s="8">
        <v>1</v>
      </c>
      <c r="AZ315" s="42">
        <f t="shared" ca="1" si="209"/>
        <v>205</v>
      </c>
      <c r="BB315" s="43">
        <f t="shared" ca="1" si="192"/>
        <v>0.51235362512092486</v>
      </c>
      <c r="BC315" s="8">
        <v>1</v>
      </c>
      <c r="BD315" s="42">
        <f t="shared" ca="1" si="210"/>
        <v>203</v>
      </c>
      <c r="BF315" s="43">
        <f t="shared" ca="1" si="193"/>
        <v>0.15838978298502404</v>
      </c>
      <c r="BG315" s="8">
        <v>1</v>
      </c>
      <c r="BH315" s="42">
        <f t="shared" ca="1" si="211"/>
        <v>124</v>
      </c>
      <c r="BJ315" s="43">
        <f t="shared" ca="1" si="194"/>
        <v>0.84868253437309005</v>
      </c>
      <c r="BK315" s="8">
        <v>1</v>
      </c>
      <c r="BL315" s="42">
        <f t="shared" ca="1" si="212"/>
        <v>275</v>
      </c>
      <c r="BN315" s="43">
        <f t="shared" ca="1" si="195"/>
        <v>0.44699290341452746</v>
      </c>
      <c r="BO315" s="8">
        <v>1</v>
      </c>
      <c r="BP315" s="42">
        <f t="shared" ca="1" si="213"/>
        <v>155</v>
      </c>
      <c r="BR315" s="43">
        <f t="shared" ca="1" si="196"/>
        <v>0.27291738194693715</v>
      </c>
      <c r="BS315" s="8">
        <v>1</v>
      </c>
      <c r="BT315" s="42">
        <f t="shared" ca="1" si="214"/>
        <v>184</v>
      </c>
    </row>
    <row r="316" spans="1:72" x14ac:dyDescent="0.2">
      <c r="A316" s="22">
        <v>44863</v>
      </c>
      <c r="B316" s="43">
        <f t="shared" ca="1" si="179"/>
        <v>0.98540530673498106</v>
      </c>
      <c r="C316" s="8">
        <v>1</v>
      </c>
      <c r="D316" s="42">
        <f t="shared" ca="1" si="197"/>
        <v>144</v>
      </c>
      <c r="F316" s="43">
        <f t="shared" ca="1" si="180"/>
        <v>3.8543014339844528E-2</v>
      </c>
      <c r="G316" s="8">
        <v>1</v>
      </c>
      <c r="H316" s="42">
        <f t="shared" ca="1" si="198"/>
        <v>114</v>
      </c>
      <c r="J316" s="43">
        <f t="shared" ca="1" si="181"/>
        <v>0.32542120737053337</v>
      </c>
      <c r="K316" s="8">
        <v>1</v>
      </c>
      <c r="L316" s="42">
        <f t="shared" ca="1" si="199"/>
        <v>132</v>
      </c>
      <c r="N316" s="43">
        <f t="shared" ca="1" si="182"/>
        <v>6.8370890352349556E-2</v>
      </c>
      <c r="O316" s="8">
        <v>1</v>
      </c>
      <c r="P316" s="42">
        <f t="shared" ca="1" si="200"/>
        <v>139</v>
      </c>
      <c r="R316" s="43">
        <f t="shared" ca="1" si="183"/>
        <v>0.80701208972326477</v>
      </c>
      <c r="S316" s="8">
        <v>1</v>
      </c>
      <c r="T316" s="42">
        <f t="shared" ca="1" si="201"/>
        <v>171</v>
      </c>
      <c r="V316" s="43">
        <f t="shared" ca="1" si="184"/>
        <v>0.34153484430399139</v>
      </c>
      <c r="W316" s="8">
        <v>1</v>
      </c>
      <c r="X316" s="42">
        <f t="shared" ca="1" si="202"/>
        <v>201</v>
      </c>
      <c r="Z316" s="43">
        <f t="shared" ca="1" si="185"/>
        <v>0.21507359910347268</v>
      </c>
      <c r="AA316" s="8">
        <v>1</v>
      </c>
      <c r="AB316" s="42">
        <f t="shared" ca="1" si="203"/>
        <v>214</v>
      </c>
      <c r="AD316" s="43">
        <f t="shared" ca="1" si="186"/>
        <v>0.23301250645695459</v>
      </c>
      <c r="AE316" s="8">
        <v>1</v>
      </c>
      <c r="AF316" s="42">
        <f t="shared" ca="1" si="204"/>
        <v>264</v>
      </c>
      <c r="AH316" s="43">
        <f t="shared" ca="1" si="187"/>
        <v>0.44579339894657444</v>
      </c>
      <c r="AI316" s="8">
        <v>1</v>
      </c>
      <c r="AJ316" s="42">
        <f t="shared" ca="1" si="205"/>
        <v>165</v>
      </c>
      <c r="AL316" s="43">
        <f t="shared" ca="1" si="188"/>
        <v>0.54530677569077468</v>
      </c>
      <c r="AM316" s="8">
        <v>1</v>
      </c>
      <c r="AN316" s="42">
        <f t="shared" ca="1" si="206"/>
        <v>240</v>
      </c>
      <c r="AP316" s="43">
        <f t="shared" ca="1" si="189"/>
        <v>0.24821986782678318</v>
      </c>
      <c r="AQ316" s="8">
        <v>1</v>
      </c>
      <c r="AR316" s="42">
        <f t="shared" ca="1" si="207"/>
        <v>163</v>
      </c>
      <c r="AT316" s="43">
        <f t="shared" ca="1" si="190"/>
        <v>0.8426561417329308</v>
      </c>
      <c r="AU316" s="8">
        <v>1</v>
      </c>
      <c r="AV316" s="42">
        <f t="shared" ca="1" si="208"/>
        <v>261</v>
      </c>
      <c r="AX316" s="43">
        <f t="shared" ca="1" si="191"/>
        <v>0.62618608791160191</v>
      </c>
      <c r="AY316" s="8">
        <v>1</v>
      </c>
      <c r="AZ316" s="42">
        <f t="shared" ca="1" si="209"/>
        <v>254</v>
      </c>
      <c r="BB316" s="43">
        <f t="shared" ca="1" si="192"/>
        <v>0.72807460111447952</v>
      </c>
      <c r="BC316" s="8">
        <v>1</v>
      </c>
      <c r="BD316" s="42">
        <f t="shared" ca="1" si="210"/>
        <v>234</v>
      </c>
      <c r="BF316" s="43">
        <f t="shared" ca="1" si="193"/>
        <v>0.51615179638892672</v>
      </c>
      <c r="BG316" s="8">
        <v>1</v>
      </c>
      <c r="BH316" s="42">
        <f t="shared" ca="1" si="211"/>
        <v>171</v>
      </c>
      <c r="BJ316" s="43">
        <f t="shared" ca="1" si="194"/>
        <v>0.5532248972865792</v>
      </c>
      <c r="BK316" s="8">
        <v>1</v>
      </c>
      <c r="BL316" s="42">
        <f t="shared" ca="1" si="212"/>
        <v>224</v>
      </c>
      <c r="BN316" s="43">
        <f t="shared" ca="1" si="195"/>
        <v>0.98354997780028641</v>
      </c>
      <c r="BO316" s="8">
        <v>1</v>
      </c>
      <c r="BP316" s="42">
        <f t="shared" ca="1" si="213"/>
        <v>253</v>
      </c>
      <c r="BR316" s="43">
        <f t="shared" ca="1" si="196"/>
        <v>0.64712117307704153</v>
      </c>
      <c r="BS316" s="8">
        <v>1</v>
      </c>
      <c r="BT316" s="42">
        <f t="shared" ca="1" si="214"/>
        <v>242</v>
      </c>
    </row>
    <row r="317" spans="1:72" x14ac:dyDescent="0.2">
      <c r="A317" s="22">
        <v>44864</v>
      </c>
      <c r="B317" s="43">
        <f t="shared" ca="1" si="179"/>
        <v>0.45506537084784604</v>
      </c>
      <c r="C317" s="8">
        <v>1</v>
      </c>
      <c r="D317" s="42">
        <f t="shared" ca="1" si="197"/>
        <v>98</v>
      </c>
      <c r="F317" s="43">
        <f t="shared" ca="1" si="180"/>
        <v>0.81191981677007397</v>
      </c>
      <c r="G317" s="8">
        <v>1</v>
      </c>
      <c r="H317" s="42">
        <f t="shared" ca="1" si="198"/>
        <v>267</v>
      </c>
      <c r="J317" s="43">
        <f t="shared" ca="1" si="181"/>
        <v>0.4455843008902054</v>
      </c>
      <c r="K317" s="8">
        <v>1</v>
      </c>
      <c r="L317" s="42">
        <f t="shared" ca="1" si="199"/>
        <v>145</v>
      </c>
      <c r="N317" s="43">
        <f t="shared" ca="1" si="182"/>
        <v>0.58148252208261575</v>
      </c>
      <c r="O317" s="8">
        <v>1</v>
      </c>
      <c r="P317" s="42">
        <f t="shared" ca="1" si="200"/>
        <v>242</v>
      </c>
      <c r="R317" s="43">
        <f t="shared" ca="1" si="183"/>
        <v>0.20018077275666502</v>
      </c>
      <c r="S317" s="8">
        <v>1</v>
      </c>
      <c r="T317" s="42">
        <f t="shared" ca="1" si="201"/>
        <v>108</v>
      </c>
      <c r="V317" s="43">
        <f t="shared" ca="1" si="184"/>
        <v>0.61329287037864189</v>
      </c>
      <c r="W317" s="8">
        <v>1</v>
      </c>
      <c r="X317" s="42">
        <f t="shared" ca="1" si="202"/>
        <v>243</v>
      </c>
      <c r="Z317" s="43">
        <f t="shared" ca="1" si="185"/>
        <v>0.84775766185626822</v>
      </c>
      <c r="AA317" s="8">
        <v>1</v>
      </c>
      <c r="AB317" s="42">
        <f t="shared" ca="1" si="203"/>
        <v>344</v>
      </c>
      <c r="AD317" s="43">
        <f t="shared" ca="1" si="186"/>
        <v>0.98923065601431326</v>
      </c>
      <c r="AE317" s="8">
        <v>1</v>
      </c>
      <c r="AF317" s="42">
        <f t="shared" ca="1" si="204"/>
        <v>528</v>
      </c>
      <c r="AH317" s="43">
        <f t="shared" ca="1" si="187"/>
        <v>0.58633931404305561</v>
      </c>
      <c r="AI317" s="8">
        <v>1</v>
      </c>
      <c r="AJ317" s="42">
        <f t="shared" ca="1" si="205"/>
        <v>181</v>
      </c>
      <c r="AL317" s="43">
        <f t="shared" ca="1" si="188"/>
        <v>0.59891649004837022</v>
      </c>
      <c r="AM317" s="8">
        <v>1</v>
      </c>
      <c r="AN317" s="42">
        <f t="shared" ca="1" si="206"/>
        <v>248</v>
      </c>
      <c r="AP317" s="43">
        <f t="shared" ca="1" si="189"/>
        <v>0.9791313063754431</v>
      </c>
      <c r="AQ317" s="8">
        <v>1</v>
      </c>
      <c r="AR317" s="42">
        <f t="shared" ca="1" si="207"/>
        <v>306</v>
      </c>
      <c r="AT317" s="43">
        <f t="shared" ca="1" si="190"/>
        <v>0.3559581375930444</v>
      </c>
      <c r="AU317" s="8">
        <v>1</v>
      </c>
      <c r="AV317" s="42">
        <f t="shared" ca="1" si="208"/>
        <v>186</v>
      </c>
      <c r="AX317" s="43">
        <f t="shared" ca="1" si="191"/>
        <v>0.15666527039922029</v>
      </c>
      <c r="AY317" s="8">
        <v>1</v>
      </c>
      <c r="AZ317" s="42">
        <f t="shared" ca="1" si="209"/>
        <v>171</v>
      </c>
      <c r="BB317" s="43">
        <f t="shared" ca="1" si="192"/>
        <v>0.82796048423388469</v>
      </c>
      <c r="BC317" s="8">
        <v>1</v>
      </c>
      <c r="BD317" s="42">
        <f t="shared" ca="1" si="210"/>
        <v>252</v>
      </c>
      <c r="BF317" s="43">
        <f t="shared" ca="1" si="193"/>
        <v>0.93502307717473809</v>
      </c>
      <c r="BG317" s="8">
        <v>1</v>
      </c>
      <c r="BH317" s="42">
        <f t="shared" ca="1" si="211"/>
        <v>237</v>
      </c>
      <c r="BJ317" s="43">
        <f t="shared" ca="1" si="194"/>
        <v>0.39772539569757293</v>
      </c>
      <c r="BK317" s="8">
        <v>1</v>
      </c>
      <c r="BL317" s="42">
        <f t="shared" ca="1" si="212"/>
        <v>201</v>
      </c>
      <c r="BN317" s="43">
        <f t="shared" ca="1" si="195"/>
        <v>0.44510646882314897</v>
      </c>
      <c r="BO317" s="8">
        <v>1</v>
      </c>
      <c r="BP317" s="42">
        <f t="shared" ca="1" si="213"/>
        <v>155</v>
      </c>
      <c r="BR317" s="43">
        <f t="shared" ca="1" si="196"/>
        <v>7.6218968234443629E-2</v>
      </c>
      <c r="BS317" s="8">
        <v>1</v>
      </c>
      <c r="BT317" s="42">
        <f t="shared" ca="1" si="214"/>
        <v>136</v>
      </c>
    </row>
    <row r="318" spans="1:72" x14ac:dyDescent="0.2">
      <c r="A318" s="22">
        <v>44865</v>
      </c>
      <c r="B318" s="43">
        <f t="shared" ca="1" si="179"/>
        <v>0.26688015992885983</v>
      </c>
      <c r="C318" s="8">
        <v>1</v>
      </c>
      <c r="D318" s="42">
        <f t="shared" ca="1" si="197"/>
        <v>88</v>
      </c>
      <c r="F318" s="43">
        <f t="shared" ca="1" si="180"/>
        <v>0.683252684887242</v>
      </c>
      <c r="G318" s="8">
        <v>1</v>
      </c>
      <c r="H318" s="42">
        <f t="shared" ca="1" si="198"/>
        <v>243</v>
      </c>
      <c r="J318" s="43">
        <f t="shared" ca="1" si="181"/>
        <v>0.28574520052750352</v>
      </c>
      <c r="K318" s="8">
        <v>1</v>
      </c>
      <c r="L318" s="42">
        <f t="shared" ca="1" si="199"/>
        <v>128</v>
      </c>
      <c r="N318" s="43">
        <f t="shared" ca="1" si="182"/>
        <v>0.86557021085248953</v>
      </c>
      <c r="O318" s="8">
        <v>1</v>
      </c>
      <c r="P318" s="42">
        <f t="shared" ca="1" si="200"/>
        <v>297</v>
      </c>
      <c r="R318" s="43">
        <f t="shared" ca="1" si="183"/>
        <v>0.42122685129758519</v>
      </c>
      <c r="S318" s="8">
        <v>1</v>
      </c>
      <c r="T318" s="42">
        <f t="shared" ca="1" si="201"/>
        <v>132</v>
      </c>
      <c r="V318" s="43">
        <f t="shared" ca="1" si="184"/>
        <v>0.95856370751431663</v>
      </c>
      <c r="W318" s="8">
        <v>1</v>
      </c>
      <c r="X318" s="42">
        <f t="shared" ca="1" si="202"/>
        <v>330</v>
      </c>
      <c r="Z318" s="43">
        <f t="shared" ca="1" si="185"/>
        <v>0.92630695316212741</v>
      </c>
      <c r="AA318" s="8">
        <v>1</v>
      </c>
      <c r="AB318" s="42">
        <f t="shared" ca="1" si="203"/>
        <v>375</v>
      </c>
      <c r="AD318" s="43">
        <f t="shared" ca="1" si="186"/>
        <v>0.18227477269443759</v>
      </c>
      <c r="AE318" s="8">
        <v>1</v>
      </c>
      <c r="AF318" s="42">
        <f t="shared" ca="1" si="204"/>
        <v>248</v>
      </c>
      <c r="AH318" s="43">
        <f t="shared" ca="1" si="187"/>
        <v>0.66340407954412683</v>
      </c>
      <c r="AI318" s="8">
        <v>1</v>
      </c>
      <c r="AJ318" s="42">
        <f t="shared" ca="1" si="205"/>
        <v>190</v>
      </c>
      <c r="AL318" s="43">
        <f t="shared" ca="1" si="188"/>
        <v>0.93707614683838703</v>
      </c>
      <c r="AM318" s="8">
        <v>1</v>
      </c>
      <c r="AN318" s="42">
        <f t="shared" ca="1" si="206"/>
        <v>327</v>
      </c>
      <c r="AP318" s="43">
        <f t="shared" ca="1" si="189"/>
        <v>0.46393108581300679</v>
      </c>
      <c r="AQ318" s="8">
        <v>1</v>
      </c>
      <c r="AR318" s="42">
        <f t="shared" ca="1" si="207"/>
        <v>194</v>
      </c>
      <c r="AT318" s="43">
        <f t="shared" ca="1" si="190"/>
        <v>0.62371972230874229</v>
      </c>
      <c r="AU318" s="8">
        <v>1</v>
      </c>
      <c r="AV318" s="42">
        <f t="shared" ca="1" si="208"/>
        <v>223</v>
      </c>
      <c r="AX318" s="43">
        <f t="shared" ca="1" si="191"/>
        <v>0.39947862711800286</v>
      </c>
      <c r="AY318" s="8">
        <v>1</v>
      </c>
      <c r="AZ318" s="42">
        <f t="shared" ca="1" si="209"/>
        <v>218</v>
      </c>
      <c r="BB318" s="43">
        <f t="shared" ca="1" si="192"/>
        <v>0.6827991422742159</v>
      </c>
      <c r="BC318" s="8">
        <v>1</v>
      </c>
      <c r="BD318" s="42">
        <f t="shared" ca="1" si="210"/>
        <v>226</v>
      </c>
      <c r="BF318" s="43">
        <f t="shared" ca="1" si="193"/>
        <v>0.39398961767560881</v>
      </c>
      <c r="BG318" s="8">
        <v>1</v>
      </c>
      <c r="BH318" s="42">
        <f t="shared" ca="1" si="211"/>
        <v>157</v>
      </c>
      <c r="BJ318" s="43">
        <f t="shared" ca="1" si="194"/>
        <v>4.1497373135727544E-2</v>
      </c>
      <c r="BK318" s="8">
        <v>1</v>
      </c>
      <c r="BL318" s="42">
        <f t="shared" ca="1" si="212"/>
        <v>116</v>
      </c>
      <c r="BN318" s="43">
        <f t="shared" ca="1" si="195"/>
        <v>0.70135574674549706</v>
      </c>
      <c r="BO318" s="8">
        <v>1</v>
      </c>
      <c r="BP318" s="42">
        <f t="shared" ca="1" si="213"/>
        <v>184</v>
      </c>
      <c r="BR318" s="43">
        <f t="shared" ca="1" si="196"/>
        <v>0.12841608354171741</v>
      </c>
      <c r="BS318" s="8">
        <v>1</v>
      </c>
      <c r="BT318" s="42">
        <f t="shared" ca="1" si="214"/>
        <v>153</v>
      </c>
    </row>
    <row r="319" spans="1:72" x14ac:dyDescent="0.2">
      <c r="A319" s="22">
        <v>44866</v>
      </c>
      <c r="B319" s="43">
        <f t="shared" ca="1" si="179"/>
        <v>0.14853231559009827</v>
      </c>
      <c r="C319" s="8">
        <v>1</v>
      </c>
      <c r="D319" s="42">
        <f t="shared" ca="1" si="197"/>
        <v>80</v>
      </c>
      <c r="F319" s="43">
        <f t="shared" ca="1" si="180"/>
        <v>0.91397469570370737</v>
      </c>
      <c r="G319" s="8">
        <v>1</v>
      </c>
      <c r="H319" s="42">
        <f t="shared" ca="1" si="198"/>
        <v>294</v>
      </c>
      <c r="J319" s="43">
        <f t="shared" ca="1" si="181"/>
        <v>0.32317520175856662</v>
      </c>
      <c r="K319" s="8">
        <v>1</v>
      </c>
      <c r="L319" s="42">
        <f t="shared" ca="1" si="199"/>
        <v>132</v>
      </c>
      <c r="N319" s="43">
        <f t="shared" ca="1" si="182"/>
        <v>7.4141423299123765E-2</v>
      </c>
      <c r="O319" s="8">
        <v>1</v>
      </c>
      <c r="P319" s="42">
        <f t="shared" ca="1" si="200"/>
        <v>141</v>
      </c>
      <c r="R319" s="43">
        <f t="shared" ca="1" si="183"/>
        <v>0.99177946552486063</v>
      </c>
      <c r="S319" s="8">
        <v>1</v>
      </c>
      <c r="T319" s="42">
        <f t="shared" ca="1" si="201"/>
        <v>228</v>
      </c>
      <c r="V319" s="43">
        <f t="shared" ca="1" si="184"/>
        <v>0.50934928566852722</v>
      </c>
      <c r="W319" s="8">
        <v>1</v>
      </c>
      <c r="X319" s="42">
        <f t="shared" ca="1" si="202"/>
        <v>227</v>
      </c>
      <c r="Z319" s="43">
        <f t="shared" ca="1" si="185"/>
        <v>0.36658233491547898</v>
      </c>
      <c r="AA319" s="8">
        <v>1</v>
      </c>
      <c r="AB319" s="42">
        <f t="shared" ca="1" si="203"/>
        <v>246</v>
      </c>
      <c r="AD319" s="43">
        <f t="shared" ca="1" si="186"/>
        <v>0.14268019139683119</v>
      </c>
      <c r="AE319" s="8">
        <v>1</v>
      </c>
      <c r="AF319" s="42">
        <f t="shared" ca="1" si="204"/>
        <v>234</v>
      </c>
      <c r="AH319" s="43">
        <f t="shared" ca="1" si="187"/>
        <v>0.71711605239475606</v>
      </c>
      <c r="AI319" s="8">
        <v>1</v>
      </c>
      <c r="AJ319" s="42">
        <f t="shared" ca="1" si="205"/>
        <v>197</v>
      </c>
      <c r="AL319" s="43">
        <f t="shared" ca="1" si="188"/>
        <v>0.63197868395844092</v>
      </c>
      <c r="AM319" s="8">
        <v>1</v>
      </c>
      <c r="AN319" s="42">
        <f t="shared" ca="1" si="206"/>
        <v>253</v>
      </c>
      <c r="AP319" s="43">
        <f t="shared" ca="1" si="189"/>
        <v>0.8880849285284339</v>
      </c>
      <c r="AQ319" s="8">
        <v>1</v>
      </c>
      <c r="AR319" s="42">
        <f t="shared" ca="1" si="207"/>
        <v>263</v>
      </c>
      <c r="AT319" s="43">
        <f t="shared" ca="1" si="190"/>
        <v>0.12579893320214608</v>
      </c>
      <c r="AU319" s="8">
        <v>1</v>
      </c>
      <c r="AV319" s="42">
        <f t="shared" ca="1" si="208"/>
        <v>143</v>
      </c>
      <c r="AX319" s="43">
        <f t="shared" ca="1" si="191"/>
        <v>0.42018955279137926</v>
      </c>
      <c r="AY319" s="8">
        <v>1</v>
      </c>
      <c r="AZ319" s="42">
        <f t="shared" ca="1" si="209"/>
        <v>222</v>
      </c>
      <c r="BB319" s="43">
        <f t="shared" ca="1" si="192"/>
        <v>0.50348920814626097</v>
      </c>
      <c r="BC319" s="8">
        <v>1</v>
      </c>
      <c r="BD319" s="42">
        <f t="shared" ca="1" si="210"/>
        <v>202</v>
      </c>
      <c r="BF319" s="43">
        <f t="shared" ca="1" si="193"/>
        <v>5.3582491582927383E-2</v>
      </c>
      <c r="BG319" s="8">
        <v>1</v>
      </c>
      <c r="BH319" s="42">
        <f t="shared" ca="1" si="211"/>
        <v>97</v>
      </c>
      <c r="BJ319" s="43">
        <f t="shared" ca="1" si="194"/>
        <v>0.93766916947620915</v>
      </c>
      <c r="BK319" s="8">
        <v>1</v>
      </c>
      <c r="BL319" s="42">
        <f t="shared" ca="1" si="212"/>
        <v>305</v>
      </c>
      <c r="BN319" s="43">
        <f t="shared" ca="1" si="195"/>
        <v>0.96244156783043333</v>
      </c>
      <c r="BO319" s="8">
        <v>1</v>
      </c>
      <c r="BP319" s="42">
        <f t="shared" ca="1" si="213"/>
        <v>237</v>
      </c>
      <c r="BR319" s="43">
        <f t="shared" ca="1" si="196"/>
        <v>0.18404279368775889</v>
      </c>
      <c r="BS319" s="8">
        <v>1</v>
      </c>
      <c r="BT319" s="42">
        <f t="shared" ca="1" si="214"/>
        <v>167</v>
      </c>
    </row>
    <row r="320" spans="1:72" x14ac:dyDescent="0.2">
      <c r="A320" s="22">
        <v>44867</v>
      </c>
      <c r="B320" s="43">
        <f t="shared" ca="1" si="179"/>
        <v>0.99200483076439594</v>
      </c>
      <c r="C320" s="8">
        <v>1</v>
      </c>
      <c r="D320" s="42">
        <f t="shared" ca="1" si="197"/>
        <v>149</v>
      </c>
      <c r="F320" s="43">
        <f t="shared" ca="1" si="180"/>
        <v>0.57925841547237733</v>
      </c>
      <c r="G320" s="8">
        <v>1</v>
      </c>
      <c r="H320" s="42">
        <f t="shared" ca="1" si="198"/>
        <v>227</v>
      </c>
      <c r="J320" s="43">
        <f t="shared" ca="1" si="181"/>
        <v>0.60295067831587379</v>
      </c>
      <c r="K320" s="8">
        <v>1</v>
      </c>
      <c r="L320" s="42">
        <f t="shared" ca="1" si="199"/>
        <v>161</v>
      </c>
      <c r="N320" s="43">
        <f t="shared" ca="1" si="182"/>
        <v>0.33764752282391342</v>
      </c>
      <c r="O320" s="8">
        <v>1</v>
      </c>
      <c r="P320" s="42">
        <f t="shared" ca="1" si="200"/>
        <v>204</v>
      </c>
      <c r="R320" s="43">
        <f t="shared" ca="1" si="183"/>
        <v>0.57828837745814687</v>
      </c>
      <c r="S320" s="8">
        <v>1</v>
      </c>
      <c r="T320" s="42">
        <f t="shared" ca="1" si="201"/>
        <v>147</v>
      </c>
      <c r="V320" s="43">
        <f t="shared" ca="1" si="184"/>
        <v>0.64810652965508264</v>
      </c>
      <c r="W320" s="8">
        <v>1</v>
      </c>
      <c r="X320" s="42">
        <f t="shared" ca="1" si="202"/>
        <v>248</v>
      </c>
      <c r="Z320" s="43">
        <f t="shared" ca="1" si="185"/>
        <v>0.80040356783150546</v>
      </c>
      <c r="AA320" s="8">
        <v>1</v>
      </c>
      <c r="AB320" s="42">
        <f t="shared" ca="1" si="203"/>
        <v>331</v>
      </c>
      <c r="AD320" s="43">
        <f t="shared" ca="1" si="186"/>
        <v>0.6620667758554396</v>
      </c>
      <c r="AE320" s="8">
        <v>1</v>
      </c>
      <c r="AF320" s="42">
        <f t="shared" ca="1" si="204"/>
        <v>364</v>
      </c>
      <c r="AH320" s="43">
        <f t="shared" ca="1" si="187"/>
        <v>0.8971076934486546</v>
      </c>
      <c r="AI320" s="8">
        <v>1</v>
      </c>
      <c r="AJ320" s="42">
        <f t="shared" ca="1" si="205"/>
        <v>228</v>
      </c>
      <c r="AL320" s="43">
        <f t="shared" ca="1" si="188"/>
        <v>0.62018788780299061</v>
      </c>
      <c r="AM320" s="8">
        <v>1</v>
      </c>
      <c r="AN320" s="42">
        <f t="shared" ca="1" si="206"/>
        <v>251</v>
      </c>
      <c r="AP320" s="43">
        <f t="shared" ca="1" si="189"/>
        <v>0.47386937172325161</v>
      </c>
      <c r="AQ320" s="8">
        <v>1</v>
      </c>
      <c r="AR320" s="42">
        <f t="shared" ca="1" si="207"/>
        <v>195</v>
      </c>
      <c r="AT320" s="43">
        <f t="shared" ca="1" si="190"/>
        <v>0.74380556548769139</v>
      </c>
      <c r="AU320" s="8">
        <v>1</v>
      </c>
      <c r="AV320" s="42">
        <f t="shared" ca="1" si="208"/>
        <v>242</v>
      </c>
      <c r="AX320" s="43">
        <f t="shared" ca="1" si="191"/>
        <v>0.75325139076166236</v>
      </c>
      <c r="AY320" s="8">
        <v>1</v>
      </c>
      <c r="AZ320" s="42">
        <f t="shared" ca="1" si="209"/>
        <v>277</v>
      </c>
      <c r="BB320" s="43">
        <f t="shared" ca="1" si="192"/>
        <v>0.1305349281781657</v>
      </c>
      <c r="BC320" s="8">
        <v>1</v>
      </c>
      <c r="BD320" s="42">
        <f t="shared" ca="1" si="210"/>
        <v>141</v>
      </c>
      <c r="BF320" s="43">
        <f t="shared" ca="1" si="193"/>
        <v>0.90864783149896622</v>
      </c>
      <c r="BG320" s="8">
        <v>1</v>
      </c>
      <c r="BH320" s="42">
        <f t="shared" ca="1" si="211"/>
        <v>229</v>
      </c>
      <c r="BJ320" s="43">
        <f t="shared" ca="1" si="194"/>
        <v>0.29030975916783552</v>
      </c>
      <c r="BK320" s="8">
        <v>1</v>
      </c>
      <c r="BL320" s="42">
        <f t="shared" ca="1" si="212"/>
        <v>184</v>
      </c>
      <c r="BN320" s="43">
        <f t="shared" ca="1" si="195"/>
        <v>0.46889459124545707</v>
      </c>
      <c r="BO320" s="8">
        <v>1</v>
      </c>
      <c r="BP320" s="42">
        <f t="shared" ca="1" si="213"/>
        <v>158</v>
      </c>
      <c r="BR320" s="43">
        <f t="shared" ca="1" si="196"/>
        <v>0.51330916219193579</v>
      </c>
      <c r="BS320" s="8">
        <v>1</v>
      </c>
      <c r="BT320" s="42">
        <f t="shared" ca="1" si="214"/>
        <v>222</v>
      </c>
    </row>
    <row r="321" spans="1:72" x14ac:dyDescent="0.2">
      <c r="A321" s="22">
        <v>44868</v>
      </c>
      <c r="B321" s="43">
        <f t="shared" ca="1" si="179"/>
        <v>0.43612679282758759</v>
      </c>
      <c r="C321" s="8">
        <v>1</v>
      </c>
      <c r="D321" s="42">
        <f t="shared" ca="1" si="197"/>
        <v>97</v>
      </c>
      <c r="F321" s="43">
        <f t="shared" ca="1" si="180"/>
        <v>0.72089280900838792</v>
      </c>
      <c r="G321" s="8">
        <v>1</v>
      </c>
      <c r="H321" s="42">
        <f t="shared" ca="1" si="198"/>
        <v>250</v>
      </c>
      <c r="J321" s="43">
        <f t="shared" ca="1" si="181"/>
        <v>0.43111551194144637</v>
      </c>
      <c r="K321" s="8">
        <v>1</v>
      </c>
      <c r="L321" s="42">
        <f t="shared" ca="1" si="199"/>
        <v>144</v>
      </c>
      <c r="N321" s="43">
        <f t="shared" ca="1" si="182"/>
        <v>0.91187863636528199</v>
      </c>
      <c r="O321" s="8">
        <v>1</v>
      </c>
      <c r="P321" s="42">
        <f t="shared" ca="1" si="200"/>
        <v>313</v>
      </c>
      <c r="R321" s="43">
        <f t="shared" ca="1" si="183"/>
        <v>0.40421956781209789</v>
      </c>
      <c r="S321" s="8">
        <v>1</v>
      </c>
      <c r="T321" s="42">
        <f t="shared" ca="1" si="201"/>
        <v>130</v>
      </c>
      <c r="V321" s="43">
        <f t="shared" ca="1" si="184"/>
        <v>0.54826322777034209</v>
      </c>
      <c r="W321" s="8">
        <v>1</v>
      </c>
      <c r="X321" s="42">
        <f t="shared" ca="1" si="202"/>
        <v>233</v>
      </c>
      <c r="Z321" s="43">
        <f t="shared" ca="1" si="185"/>
        <v>0.16847181470768446</v>
      </c>
      <c r="AA321" s="8">
        <v>1</v>
      </c>
      <c r="AB321" s="42">
        <f t="shared" ca="1" si="203"/>
        <v>201</v>
      </c>
      <c r="AD321" s="43">
        <f t="shared" ca="1" si="186"/>
        <v>0.69398304064862515</v>
      </c>
      <c r="AE321" s="8">
        <v>1</v>
      </c>
      <c r="AF321" s="42">
        <f t="shared" ca="1" si="204"/>
        <v>372</v>
      </c>
      <c r="AH321" s="43">
        <f t="shared" ca="1" si="187"/>
        <v>3.8078331824669576E-2</v>
      </c>
      <c r="AI321" s="8">
        <v>1</v>
      </c>
      <c r="AJ321" s="42">
        <f t="shared" ca="1" si="205"/>
        <v>90</v>
      </c>
      <c r="AL321" s="43">
        <f t="shared" ca="1" si="188"/>
        <v>0.28721832097864941</v>
      </c>
      <c r="AM321" s="8">
        <v>1</v>
      </c>
      <c r="AN321" s="42">
        <f t="shared" ca="1" si="206"/>
        <v>198</v>
      </c>
      <c r="AP321" s="43">
        <f t="shared" ca="1" si="189"/>
        <v>0.96863047605253572</v>
      </c>
      <c r="AQ321" s="8">
        <v>1</v>
      </c>
      <c r="AR321" s="42">
        <f t="shared" ca="1" si="207"/>
        <v>297</v>
      </c>
      <c r="AT321" s="43">
        <f t="shared" ca="1" si="190"/>
        <v>0.94143069685747083</v>
      </c>
      <c r="AU321" s="8">
        <v>1</v>
      </c>
      <c r="AV321" s="42">
        <f t="shared" ca="1" si="208"/>
        <v>292</v>
      </c>
      <c r="AX321" s="43">
        <f t="shared" ca="1" si="191"/>
        <v>0.19779357809575604</v>
      </c>
      <c r="AY321" s="8">
        <v>1</v>
      </c>
      <c r="AZ321" s="42">
        <f t="shared" ca="1" si="209"/>
        <v>181</v>
      </c>
      <c r="BB321" s="43">
        <f t="shared" ca="1" si="192"/>
        <v>0.41354069055239706</v>
      </c>
      <c r="BC321" s="8">
        <v>1</v>
      </c>
      <c r="BD321" s="42">
        <f t="shared" ca="1" si="210"/>
        <v>189</v>
      </c>
      <c r="BF321" s="43">
        <f t="shared" ca="1" si="193"/>
        <v>0.97836747814431035</v>
      </c>
      <c r="BG321" s="8">
        <v>1</v>
      </c>
      <c r="BH321" s="42">
        <f t="shared" ca="1" si="211"/>
        <v>260</v>
      </c>
      <c r="BJ321" s="43">
        <f t="shared" ca="1" si="194"/>
        <v>0.3656404962458929</v>
      </c>
      <c r="BK321" s="8">
        <v>1</v>
      </c>
      <c r="BL321" s="42">
        <f t="shared" ca="1" si="212"/>
        <v>196</v>
      </c>
      <c r="BN321" s="43">
        <f t="shared" ca="1" si="195"/>
        <v>0.65706706920369717</v>
      </c>
      <c r="BO321" s="8">
        <v>1</v>
      </c>
      <c r="BP321" s="42">
        <f t="shared" ca="1" si="213"/>
        <v>178</v>
      </c>
      <c r="BR321" s="43">
        <f t="shared" ca="1" si="196"/>
        <v>0.85037935429566636</v>
      </c>
      <c r="BS321" s="8">
        <v>1</v>
      </c>
      <c r="BT321" s="42">
        <f t="shared" ca="1" si="214"/>
        <v>281</v>
      </c>
    </row>
    <row r="322" spans="1:72" x14ac:dyDescent="0.2">
      <c r="A322" s="22">
        <v>44869</v>
      </c>
      <c r="B322" s="43">
        <f t="shared" ca="1" si="179"/>
        <v>0.42830654524666478</v>
      </c>
      <c r="C322" s="8">
        <v>1</v>
      </c>
      <c r="D322" s="42">
        <f t="shared" ca="1" si="197"/>
        <v>97</v>
      </c>
      <c r="F322" s="43">
        <f t="shared" ca="1" si="180"/>
        <v>0.20270917243254927</v>
      </c>
      <c r="G322" s="8">
        <v>1</v>
      </c>
      <c r="H322" s="42">
        <f t="shared" ca="1" si="198"/>
        <v>168</v>
      </c>
      <c r="J322" s="43">
        <f t="shared" ca="1" si="181"/>
        <v>9.1213965712616085E-2</v>
      </c>
      <c r="K322" s="8">
        <v>1</v>
      </c>
      <c r="L322" s="42">
        <f t="shared" ca="1" si="199"/>
        <v>97</v>
      </c>
      <c r="N322" s="43">
        <f t="shared" ca="1" si="182"/>
        <v>0.97534993174349571</v>
      </c>
      <c r="O322" s="8">
        <v>1</v>
      </c>
      <c r="P322" s="42">
        <f t="shared" ca="1" si="200"/>
        <v>350</v>
      </c>
      <c r="R322" s="43">
        <f t="shared" ca="1" si="183"/>
        <v>0.68280231019790449</v>
      </c>
      <c r="S322" s="8">
        <v>1</v>
      </c>
      <c r="T322" s="42">
        <f t="shared" ca="1" si="201"/>
        <v>157</v>
      </c>
      <c r="V322" s="43">
        <f t="shared" ca="1" si="184"/>
        <v>0.45662959694089567</v>
      </c>
      <c r="W322" s="8">
        <v>1</v>
      </c>
      <c r="X322" s="42">
        <f t="shared" ca="1" si="202"/>
        <v>219</v>
      </c>
      <c r="Z322" s="43">
        <f t="shared" ca="1" si="185"/>
        <v>0.18559269237861376</v>
      </c>
      <c r="AA322" s="8">
        <v>1</v>
      </c>
      <c r="AB322" s="42">
        <f t="shared" ca="1" si="203"/>
        <v>206</v>
      </c>
      <c r="AD322" s="43">
        <f t="shared" ca="1" si="186"/>
        <v>0.42891612251380284</v>
      </c>
      <c r="AE322" s="8">
        <v>1</v>
      </c>
      <c r="AF322" s="42">
        <f t="shared" ca="1" si="204"/>
        <v>312</v>
      </c>
      <c r="AH322" s="43">
        <f t="shared" ca="1" si="187"/>
        <v>0.66462108316107682</v>
      </c>
      <c r="AI322" s="8">
        <v>1</v>
      </c>
      <c r="AJ322" s="42">
        <f t="shared" ca="1" si="205"/>
        <v>190</v>
      </c>
      <c r="AL322" s="43">
        <f t="shared" ca="1" si="188"/>
        <v>0.50602404842549986</v>
      </c>
      <c r="AM322" s="8">
        <v>1</v>
      </c>
      <c r="AN322" s="42">
        <f t="shared" ca="1" si="206"/>
        <v>233</v>
      </c>
      <c r="AP322" s="43">
        <f t="shared" ca="1" si="189"/>
        <v>0.83415601570075515</v>
      </c>
      <c r="AQ322" s="8">
        <v>1</v>
      </c>
      <c r="AR322" s="42">
        <f t="shared" ca="1" si="207"/>
        <v>250</v>
      </c>
      <c r="AT322" s="43">
        <f t="shared" ca="1" si="190"/>
        <v>0.82894050644711104</v>
      </c>
      <c r="AU322" s="8">
        <v>1</v>
      </c>
      <c r="AV322" s="42">
        <f t="shared" ca="1" si="208"/>
        <v>258</v>
      </c>
      <c r="AX322" s="43">
        <f t="shared" ca="1" si="191"/>
        <v>8.1582152834373423E-2</v>
      </c>
      <c r="AY322" s="8">
        <v>1</v>
      </c>
      <c r="AZ322" s="42">
        <f t="shared" ca="1" si="209"/>
        <v>147</v>
      </c>
      <c r="BB322" s="43">
        <f t="shared" ca="1" si="192"/>
        <v>0.17197578931789714</v>
      </c>
      <c r="BC322" s="8">
        <v>1</v>
      </c>
      <c r="BD322" s="42">
        <f t="shared" ca="1" si="210"/>
        <v>150</v>
      </c>
      <c r="BF322" s="43">
        <f t="shared" ca="1" si="193"/>
        <v>0.34607307048865621</v>
      </c>
      <c r="BG322" s="8">
        <v>1</v>
      </c>
      <c r="BH322" s="42">
        <f t="shared" ca="1" si="211"/>
        <v>151</v>
      </c>
      <c r="BJ322" s="43">
        <f t="shared" ca="1" si="194"/>
        <v>0.14580456190056557</v>
      </c>
      <c r="BK322" s="8">
        <v>1</v>
      </c>
      <c r="BL322" s="42">
        <f t="shared" ca="1" si="212"/>
        <v>156</v>
      </c>
      <c r="BN322" s="43">
        <f t="shared" ca="1" si="195"/>
        <v>0.74234497932356958</v>
      </c>
      <c r="BO322" s="8">
        <v>1</v>
      </c>
      <c r="BP322" s="42">
        <f t="shared" ca="1" si="213"/>
        <v>189</v>
      </c>
      <c r="BR322" s="43">
        <f t="shared" ca="1" si="196"/>
        <v>0.4873307274915839</v>
      </c>
      <c r="BS322" s="8">
        <v>1</v>
      </c>
      <c r="BT322" s="42">
        <f t="shared" ca="1" si="214"/>
        <v>218</v>
      </c>
    </row>
    <row r="323" spans="1:72" x14ac:dyDescent="0.2">
      <c r="A323" s="22">
        <v>44870</v>
      </c>
      <c r="B323" s="43">
        <f t="shared" ca="1" si="179"/>
        <v>0.79547956875690962</v>
      </c>
      <c r="C323" s="8">
        <v>1</v>
      </c>
      <c r="D323" s="42">
        <f t="shared" ca="1" si="197"/>
        <v>117</v>
      </c>
      <c r="F323" s="43">
        <f t="shared" ca="1" si="180"/>
        <v>0.92980872469652476</v>
      </c>
      <c r="G323" s="8">
        <v>1</v>
      </c>
      <c r="H323" s="42">
        <f t="shared" ca="1" si="198"/>
        <v>301</v>
      </c>
      <c r="J323" s="43">
        <f t="shared" ca="1" si="181"/>
        <v>0.64154899151195299</v>
      </c>
      <c r="K323" s="8">
        <v>1</v>
      </c>
      <c r="L323" s="42">
        <f t="shared" ca="1" si="199"/>
        <v>165</v>
      </c>
      <c r="N323" s="43">
        <f t="shared" ca="1" si="182"/>
        <v>0.66291325295017489</v>
      </c>
      <c r="O323" s="8">
        <v>1</v>
      </c>
      <c r="P323" s="42">
        <f t="shared" ca="1" si="200"/>
        <v>256</v>
      </c>
      <c r="R323" s="43">
        <f t="shared" ca="1" si="183"/>
        <v>0.18971058147501418</v>
      </c>
      <c r="S323" s="8">
        <v>1</v>
      </c>
      <c r="T323" s="42">
        <f t="shared" ca="1" si="201"/>
        <v>107</v>
      </c>
      <c r="V323" s="43">
        <f t="shared" ca="1" si="184"/>
        <v>0.15455041382960233</v>
      </c>
      <c r="W323" s="8">
        <v>1</v>
      </c>
      <c r="X323" s="42">
        <f t="shared" ca="1" si="202"/>
        <v>164</v>
      </c>
      <c r="Z323" s="43">
        <f t="shared" ca="1" si="185"/>
        <v>0.63415886972223212</v>
      </c>
      <c r="AA323" s="8">
        <v>1</v>
      </c>
      <c r="AB323" s="42">
        <f t="shared" ca="1" si="203"/>
        <v>295</v>
      </c>
      <c r="AD323" s="43">
        <f t="shared" ca="1" si="186"/>
        <v>9.8582058511286874E-2</v>
      </c>
      <c r="AE323" s="8">
        <v>1</v>
      </c>
      <c r="AF323" s="42">
        <f t="shared" ca="1" si="204"/>
        <v>215</v>
      </c>
      <c r="AH323" s="43">
        <f t="shared" ca="1" si="187"/>
        <v>0.35814625720866178</v>
      </c>
      <c r="AI323" s="8">
        <v>1</v>
      </c>
      <c r="AJ323" s="42">
        <f t="shared" ca="1" si="205"/>
        <v>154</v>
      </c>
      <c r="AL323" s="43">
        <f t="shared" ca="1" si="188"/>
        <v>0.87209890569452264</v>
      </c>
      <c r="AM323" s="8">
        <v>1</v>
      </c>
      <c r="AN323" s="42">
        <f t="shared" ca="1" si="206"/>
        <v>303</v>
      </c>
      <c r="AP323" s="43">
        <f t="shared" ca="1" si="189"/>
        <v>0.71528209925046293</v>
      </c>
      <c r="AQ323" s="8">
        <v>1</v>
      </c>
      <c r="AR323" s="42">
        <f t="shared" ca="1" si="207"/>
        <v>229</v>
      </c>
      <c r="AT323" s="43">
        <f t="shared" ca="1" si="190"/>
        <v>0.24002532841404622</v>
      </c>
      <c r="AU323" s="8">
        <v>1</v>
      </c>
      <c r="AV323" s="42">
        <f t="shared" ca="1" si="208"/>
        <v>167</v>
      </c>
      <c r="AX323" s="43">
        <f t="shared" ca="1" si="191"/>
        <v>0.58192987338180757</v>
      </c>
      <c r="AY323" s="8">
        <v>1</v>
      </c>
      <c r="AZ323" s="42">
        <f t="shared" ca="1" si="209"/>
        <v>247</v>
      </c>
      <c r="BB323" s="43">
        <f t="shared" ca="1" si="192"/>
        <v>0.90963149008523536</v>
      </c>
      <c r="BC323" s="8">
        <v>1</v>
      </c>
      <c r="BD323" s="42">
        <f t="shared" ca="1" si="210"/>
        <v>273</v>
      </c>
      <c r="BF323" s="43">
        <f t="shared" ca="1" si="193"/>
        <v>0.69640474576182598</v>
      </c>
      <c r="BG323" s="8">
        <v>1</v>
      </c>
      <c r="BH323" s="42">
        <f t="shared" ca="1" si="211"/>
        <v>192</v>
      </c>
      <c r="BJ323" s="43">
        <f t="shared" ca="1" si="194"/>
        <v>0.65243107620298413</v>
      </c>
      <c r="BK323" s="8">
        <v>1</v>
      </c>
      <c r="BL323" s="42">
        <f t="shared" ca="1" si="212"/>
        <v>239</v>
      </c>
      <c r="BN323" s="43">
        <f t="shared" ca="1" si="195"/>
        <v>0.55108154867298842</v>
      </c>
      <c r="BO323" s="8">
        <v>1</v>
      </c>
      <c r="BP323" s="42">
        <f t="shared" ca="1" si="213"/>
        <v>167</v>
      </c>
      <c r="BR323" s="43">
        <f t="shared" ca="1" si="196"/>
        <v>0.79536267874676825</v>
      </c>
      <c r="BS323" s="8">
        <v>1</v>
      </c>
      <c r="BT323" s="42">
        <f t="shared" ca="1" si="214"/>
        <v>268</v>
      </c>
    </row>
    <row r="324" spans="1:72" x14ac:dyDescent="0.2">
      <c r="A324" s="22">
        <v>44871</v>
      </c>
      <c r="B324" s="43">
        <f t="shared" ca="1" si="179"/>
        <v>0.71989349216667953</v>
      </c>
      <c r="C324" s="8">
        <v>1</v>
      </c>
      <c r="D324" s="42">
        <f t="shared" ca="1" si="197"/>
        <v>112</v>
      </c>
      <c r="F324" s="43">
        <f t="shared" ca="1" si="180"/>
        <v>0.41121047043498538</v>
      </c>
      <c r="G324" s="8">
        <v>1</v>
      </c>
      <c r="H324" s="42">
        <f t="shared" ca="1" si="198"/>
        <v>203</v>
      </c>
      <c r="J324" s="43">
        <f t="shared" ca="1" si="181"/>
        <v>0.21663441503813841</v>
      </c>
      <c r="K324" s="8">
        <v>1</v>
      </c>
      <c r="L324" s="42">
        <f t="shared" ca="1" si="199"/>
        <v>119</v>
      </c>
      <c r="N324" s="43">
        <f t="shared" ca="1" si="182"/>
        <v>0.60030415686944183</v>
      </c>
      <c r="O324" s="8">
        <v>1</v>
      </c>
      <c r="P324" s="42">
        <f t="shared" ca="1" si="200"/>
        <v>245</v>
      </c>
      <c r="R324" s="43">
        <f t="shared" ca="1" si="183"/>
        <v>0.14866290274290883</v>
      </c>
      <c r="S324" s="8">
        <v>1</v>
      </c>
      <c r="T324" s="42">
        <f t="shared" ca="1" si="201"/>
        <v>101</v>
      </c>
      <c r="V324" s="43">
        <f t="shared" ca="1" si="184"/>
        <v>0.82876984479717641</v>
      </c>
      <c r="W324" s="8">
        <v>1</v>
      </c>
      <c r="X324" s="42">
        <f t="shared" ca="1" si="202"/>
        <v>282</v>
      </c>
      <c r="Z324" s="43">
        <f t="shared" ca="1" si="185"/>
        <v>0.85214851394530011</v>
      </c>
      <c r="AA324" s="8">
        <v>1</v>
      </c>
      <c r="AB324" s="42">
        <f t="shared" ca="1" si="203"/>
        <v>346</v>
      </c>
      <c r="AD324" s="43">
        <f t="shared" ca="1" si="186"/>
        <v>0.24996124101448058</v>
      </c>
      <c r="AE324" s="8">
        <v>1</v>
      </c>
      <c r="AF324" s="42">
        <f t="shared" ca="1" si="204"/>
        <v>269</v>
      </c>
      <c r="AH324" s="43">
        <f t="shared" ca="1" si="187"/>
        <v>0.82821746424030551</v>
      </c>
      <c r="AI324" s="8">
        <v>1</v>
      </c>
      <c r="AJ324" s="42">
        <f t="shared" ca="1" si="205"/>
        <v>214</v>
      </c>
      <c r="AL324" s="43">
        <f t="shared" ca="1" si="188"/>
        <v>0.6250452276868308</v>
      </c>
      <c r="AM324" s="8">
        <v>1</v>
      </c>
      <c r="AN324" s="42">
        <f t="shared" ca="1" si="206"/>
        <v>252</v>
      </c>
      <c r="AP324" s="43">
        <f t="shared" ca="1" si="189"/>
        <v>0.78808791877874962</v>
      </c>
      <c r="AQ324" s="8">
        <v>1</v>
      </c>
      <c r="AR324" s="42">
        <f t="shared" ca="1" si="207"/>
        <v>241</v>
      </c>
      <c r="AT324" s="43">
        <f t="shared" ca="1" si="190"/>
        <v>0.64441487886908477</v>
      </c>
      <c r="AU324" s="8">
        <v>1</v>
      </c>
      <c r="AV324" s="42">
        <f t="shared" ca="1" si="208"/>
        <v>226</v>
      </c>
      <c r="AX324" s="43">
        <f t="shared" ca="1" si="191"/>
        <v>4.8120401403465074E-2</v>
      </c>
      <c r="AY324" s="8">
        <v>1</v>
      </c>
      <c r="AZ324" s="42">
        <f t="shared" ca="1" si="209"/>
        <v>130</v>
      </c>
      <c r="BB324" s="43">
        <f t="shared" ca="1" si="192"/>
        <v>0.63708782865919189</v>
      </c>
      <c r="BC324" s="8">
        <v>1</v>
      </c>
      <c r="BD324" s="42">
        <f t="shared" ca="1" si="210"/>
        <v>220</v>
      </c>
      <c r="BF324" s="43">
        <f t="shared" ca="1" si="193"/>
        <v>0.45866291829467987</v>
      </c>
      <c r="BG324" s="8">
        <v>1</v>
      </c>
      <c r="BH324" s="42">
        <f t="shared" ca="1" si="211"/>
        <v>164</v>
      </c>
      <c r="BJ324" s="43">
        <f t="shared" ca="1" si="194"/>
        <v>0.91315468511552345</v>
      </c>
      <c r="BK324" s="8">
        <v>1</v>
      </c>
      <c r="BL324" s="42">
        <f t="shared" ca="1" si="212"/>
        <v>294</v>
      </c>
      <c r="BN324" s="43">
        <f t="shared" ca="1" si="195"/>
        <v>6.1685876261729389E-2</v>
      </c>
      <c r="BO324" s="8">
        <v>1</v>
      </c>
      <c r="BP324" s="42">
        <f t="shared" ca="1" si="213"/>
        <v>95</v>
      </c>
      <c r="BR324" s="43">
        <f t="shared" ca="1" si="196"/>
        <v>0.94666977794155827</v>
      </c>
      <c r="BS324" s="8">
        <v>1</v>
      </c>
      <c r="BT324" s="42">
        <f t="shared" ca="1" si="214"/>
        <v>314</v>
      </c>
    </row>
    <row r="325" spans="1:72" x14ac:dyDescent="0.2">
      <c r="A325" s="22">
        <v>44872</v>
      </c>
      <c r="B325" s="43">
        <f t="shared" ca="1" si="179"/>
        <v>0.9086454299332658</v>
      </c>
      <c r="C325" s="8">
        <v>1</v>
      </c>
      <c r="D325" s="42">
        <f t="shared" ca="1" si="197"/>
        <v>127</v>
      </c>
      <c r="F325" s="43">
        <f t="shared" ca="1" si="180"/>
        <v>0.84007963621408144</v>
      </c>
      <c r="G325" s="8">
        <v>1</v>
      </c>
      <c r="H325" s="42">
        <f t="shared" ca="1" si="198"/>
        <v>273</v>
      </c>
      <c r="J325" s="43">
        <f t="shared" ca="1" si="181"/>
        <v>0.99913637512541564</v>
      </c>
      <c r="K325" s="8">
        <v>1</v>
      </c>
      <c r="L325" s="42">
        <f t="shared" ca="1" si="199"/>
        <v>276</v>
      </c>
      <c r="N325" s="43">
        <f t="shared" ca="1" si="182"/>
        <v>0.41727460572137443</v>
      </c>
      <c r="O325" s="8">
        <v>1</v>
      </c>
      <c r="P325" s="42">
        <f t="shared" ca="1" si="200"/>
        <v>217</v>
      </c>
      <c r="R325" s="43">
        <f t="shared" ca="1" si="183"/>
        <v>0.30417476393712284</v>
      </c>
      <c r="S325" s="8">
        <v>1</v>
      </c>
      <c r="T325" s="42">
        <f t="shared" ca="1" si="201"/>
        <v>120</v>
      </c>
      <c r="V325" s="43">
        <f t="shared" ca="1" si="184"/>
        <v>0.75867396425210243</v>
      </c>
      <c r="W325" s="8">
        <v>1</v>
      </c>
      <c r="X325" s="42">
        <f t="shared" ca="1" si="202"/>
        <v>268</v>
      </c>
      <c r="Z325" s="43">
        <f t="shared" ca="1" si="185"/>
        <v>0.11466805950372827</v>
      </c>
      <c r="AA325" s="8">
        <v>1</v>
      </c>
      <c r="AB325" s="42">
        <f t="shared" ca="1" si="203"/>
        <v>184</v>
      </c>
      <c r="AD325" s="43">
        <f t="shared" ca="1" si="186"/>
        <v>0.96955493505520818</v>
      </c>
      <c r="AE325" s="8">
        <v>1</v>
      </c>
      <c r="AF325" s="42">
        <f t="shared" ca="1" si="204"/>
        <v>491</v>
      </c>
      <c r="AH325" s="43">
        <f t="shared" ca="1" si="187"/>
        <v>0.92538822824272515</v>
      </c>
      <c r="AI325" s="8">
        <v>1</v>
      </c>
      <c r="AJ325" s="42">
        <f t="shared" ca="1" si="205"/>
        <v>236</v>
      </c>
      <c r="AL325" s="43">
        <f t="shared" ca="1" si="188"/>
        <v>3.6238326615946281E-2</v>
      </c>
      <c r="AM325" s="8">
        <v>1</v>
      </c>
      <c r="AN325" s="42">
        <f t="shared" ca="1" si="206"/>
        <v>121</v>
      </c>
      <c r="AP325" s="43">
        <f t="shared" ca="1" si="189"/>
        <v>0.35852920722218706</v>
      </c>
      <c r="AQ325" s="8">
        <v>1</v>
      </c>
      <c r="AR325" s="42">
        <f t="shared" ca="1" si="207"/>
        <v>179</v>
      </c>
      <c r="AT325" s="43">
        <f t="shared" ca="1" si="190"/>
        <v>0.38474916328028053</v>
      </c>
      <c r="AU325" s="8">
        <v>1</v>
      </c>
      <c r="AV325" s="42">
        <f t="shared" ca="1" si="208"/>
        <v>190</v>
      </c>
      <c r="AX325" s="43">
        <f t="shared" ca="1" si="191"/>
        <v>0.9986738771185163</v>
      </c>
      <c r="AY325" s="8">
        <v>1</v>
      </c>
      <c r="AZ325" s="42">
        <f t="shared" ca="1" si="209"/>
        <v>421</v>
      </c>
      <c r="BB325" s="43">
        <f t="shared" ca="1" si="192"/>
        <v>0.63870273347768014</v>
      </c>
      <c r="BC325" s="8">
        <v>1</v>
      </c>
      <c r="BD325" s="42">
        <f t="shared" ca="1" si="210"/>
        <v>220</v>
      </c>
      <c r="BF325" s="43">
        <f t="shared" ca="1" si="193"/>
        <v>8.0678361381343766E-2</v>
      </c>
      <c r="BG325" s="8">
        <v>1</v>
      </c>
      <c r="BH325" s="42">
        <f t="shared" ca="1" si="211"/>
        <v>106</v>
      </c>
      <c r="BJ325" s="43">
        <f t="shared" ca="1" si="194"/>
        <v>0.84024168997042603</v>
      </c>
      <c r="BK325" s="8">
        <v>1</v>
      </c>
      <c r="BL325" s="42">
        <f t="shared" ca="1" si="212"/>
        <v>273</v>
      </c>
      <c r="BN325" s="43">
        <f t="shared" ca="1" si="195"/>
        <v>0.63236858257615891</v>
      </c>
      <c r="BO325" s="8">
        <v>1</v>
      </c>
      <c r="BP325" s="42">
        <f t="shared" ca="1" si="213"/>
        <v>176</v>
      </c>
      <c r="BR325" s="43">
        <f t="shared" ca="1" si="196"/>
        <v>0.41693353872700667</v>
      </c>
      <c r="BS325" s="8">
        <v>1</v>
      </c>
      <c r="BT325" s="42">
        <f t="shared" ca="1" si="214"/>
        <v>208</v>
      </c>
    </row>
    <row r="326" spans="1:72" x14ac:dyDescent="0.2">
      <c r="A326" s="22">
        <v>44873</v>
      </c>
      <c r="B326" s="43">
        <f t="shared" ca="1" si="179"/>
        <v>0.43815015254936218</v>
      </c>
      <c r="C326" s="8">
        <v>1</v>
      </c>
      <c r="D326" s="42">
        <f t="shared" ca="1" si="197"/>
        <v>97</v>
      </c>
      <c r="F326" s="43">
        <f t="shared" ca="1" si="180"/>
        <v>9.837437973066443E-2</v>
      </c>
      <c r="G326" s="8">
        <v>1</v>
      </c>
      <c r="H326" s="42">
        <f t="shared" ca="1" si="198"/>
        <v>142</v>
      </c>
      <c r="J326" s="43">
        <f t="shared" ca="1" si="181"/>
        <v>0.46880212044801328</v>
      </c>
      <c r="K326" s="8">
        <v>1</v>
      </c>
      <c r="L326" s="42">
        <f t="shared" ca="1" si="199"/>
        <v>147</v>
      </c>
      <c r="N326" s="43">
        <f t="shared" ca="1" si="182"/>
        <v>0.88569566283216739</v>
      </c>
      <c r="O326" s="8">
        <v>1</v>
      </c>
      <c r="P326" s="42">
        <f t="shared" ca="1" si="200"/>
        <v>303</v>
      </c>
      <c r="R326" s="43">
        <f t="shared" ca="1" si="183"/>
        <v>0.46814496819889417</v>
      </c>
      <c r="S326" s="8">
        <v>1</v>
      </c>
      <c r="T326" s="42">
        <f t="shared" ca="1" si="201"/>
        <v>136</v>
      </c>
      <c r="V326" s="43">
        <f t="shared" ca="1" si="184"/>
        <v>0.41209642513275713</v>
      </c>
      <c r="W326" s="8">
        <v>1</v>
      </c>
      <c r="X326" s="42">
        <f t="shared" ca="1" si="202"/>
        <v>212</v>
      </c>
      <c r="Z326" s="43">
        <f t="shared" ca="1" si="185"/>
        <v>0.13708290937021461</v>
      </c>
      <c r="AA326" s="8">
        <v>1</v>
      </c>
      <c r="AB326" s="42">
        <f t="shared" ca="1" si="203"/>
        <v>192</v>
      </c>
      <c r="AD326" s="43">
        <f t="shared" ca="1" si="186"/>
        <v>0.1187350100719986</v>
      </c>
      <c r="AE326" s="8">
        <v>1</v>
      </c>
      <c r="AF326" s="42">
        <f t="shared" ca="1" si="204"/>
        <v>224</v>
      </c>
      <c r="AH326" s="43">
        <f t="shared" ca="1" si="187"/>
        <v>2.3644161046433076E-2</v>
      </c>
      <c r="AI326" s="8">
        <v>1</v>
      </c>
      <c r="AJ326" s="42">
        <f t="shared" ca="1" si="205"/>
        <v>81</v>
      </c>
      <c r="AL326" s="43">
        <f t="shared" ca="1" si="188"/>
        <v>0.73828069599916235</v>
      </c>
      <c r="AM326" s="8">
        <v>1</v>
      </c>
      <c r="AN326" s="42">
        <f t="shared" ca="1" si="206"/>
        <v>272</v>
      </c>
      <c r="AP326" s="43">
        <f t="shared" ca="1" si="189"/>
        <v>0.67138956430206309</v>
      </c>
      <c r="AQ326" s="8">
        <v>1</v>
      </c>
      <c r="AR326" s="42">
        <f t="shared" ca="1" si="207"/>
        <v>222</v>
      </c>
      <c r="AT326" s="43">
        <f t="shared" ca="1" si="190"/>
        <v>0.94986918920313579</v>
      </c>
      <c r="AU326" s="8">
        <v>1</v>
      </c>
      <c r="AV326" s="42">
        <f t="shared" ca="1" si="208"/>
        <v>296</v>
      </c>
      <c r="AX326" s="43">
        <f t="shared" ca="1" si="191"/>
        <v>0.32206730180738397</v>
      </c>
      <c r="AY326" s="8">
        <v>1</v>
      </c>
      <c r="AZ326" s="42">
        <f t="shared" ca="1" si="209"/>
        <v>205</v>
      </c>
      <c r="BB326" s="43">
        <f t="shared" ca="1" si="192"/>
        <v>0.17668322565091821</v>
      </c>
      <c r="BC326" s="8">
        <v>1</v>
      </c>
      <c r="BD326" s="42">
        <f t="shared" ca="1" si="210"/>
        <v>151</v>
      </c>
      <c r="BF326" s="43">
        <f t="shared" ca="1" si="193"/>
        <v>0.24962703496947913</v>
      </c>
      <c r="BG326" s="8">
        <v>1</v>
      </c>
      <c r="BH326" s="42">
        <f t="shared" ca="1" si="211"/>
        <v>139</v>
      </c>
      <c r="BJ326" s="43">
        <f t="shared" ca="1" si="194"/>
        <v>0.26266519748745865</v>
      </c>
      <c r="BK326" s="8">
        <v>1</v>
      </c>
      <c r="BL326" s="42">
        <f t="shared" ca="1" si="212"/>
        <v>180</v>
      </c>
      <c r="BN326" s="43">
        <f t="shared" ca="1" si="195"/>
        <v>0.33992797904180372</v>
      </c>
      <c r="BO326" s="8">
        <v>1</v>
      </c>
      <c r="BP326" s="42">
        <f t="shared" ca="1" si="213"/>
        <v>143</v>
      </c>
      <c r="BR326" s="43">
        <f t="shared" ca="1" si="196"/>
        <v>0.35314816527588966</v>
      </c>
      <c r="BS326" s="8">
        <v>1</v>
      </c>
      <c r="BT326" s="42">
        <f t="shared" ca="1" si="214"/>
        <v>198</v>
      </c>
    </row>
    <row r="327" spans="1:72" x14ac:dyDescent="0.2">
      <c r="A327" s="22">
        <v>44874</v>
      </c>
      <c r="B327" s="43">
        <f t="shared" ca="1" si="179"/>
        <v>0.12514064836315275</v>
      </c>
      <c r="C327" s="8">
        <v>1</v>
      </c>
      <c r="D327" s="42">
        <f t="shared" ca="1" si="197"/>
        <v>78</v>
      </c>
      <c r="F327" s="43">
        <f t="shared" ca="1" si="180"/>
        <v>0.25160559132465421</v>
      </c>
      <c r="G327" s="8">
        <v>1</v>
      </c>
      <c r="H327" s="42">
        <f t="shared" ca="1" si="198"/>
        <v>177</v>
      </c>
      <c r="J327" s="43">
        <f t="shared" ca="1" si="181"/>
        <v>0.8534516853437154</v>
      </c>
      <c r="K327" s="8">
        <v>1</v>
      </c>
      <c r="L327" s="42">
        <f t="shared" ca="1" si="199"/>
        <v>193</v>
      </c>
      <c r="N327" s="43">
        <f t="shared" ca="1" si="182"/>
        <v>0.91381920403174233</v>
      </c>
      <c r="O327" s="8">
        <v>1</v>
      </c>
      <c r="P327" s="42">
        <f t="shared" ca="1" si="200"/>
        <v>313</v>
      </c>
      <c r="R327" s="43">
        <f t="shared" ca="1" si="183"/>
        <v>0.57067935122364755</v>
      </c>
      <c r="S327" s="8">
        <v>1</v>
      </c>
      <c r="T327" s="42">
        <f t="shared" ca="1" si="201"/>
        <v>146</v>
      </c>
      <c r="V327" s="43">
        <f t="shared" ca="1" si="184"/>
        <v>0.79457022553873446</v>
      </c>
      <c r="W327" s="8">
        <v>1</v>
      </c>
      <c r="X327" s="42">
        <f t="shared" ca="1" si="202"/>
        <v>275</v>
      </c>
      <c r="Z327" s="43">
        <f t="shared" ca="1" si="185"/>
        <v>0.98415163429308439</v>
      </c>
      <c r="AA327" s="8">
        <v>1</v>
      </c>
      <c r="AB327" s="42">
        <f t="shared" ca="1" si="203"/>
        <v>425</v>
      </c>
      <c r="AD327" s="43">
        <f t="shared" ca="1" si="186"/>
        <v>0.7536520466878629</v>
      </c>
      <c r="AE327" s="8">
        <v>1</v>
      </c>
      <c r="AF327" s="42">
        <f t="shared" ca="1" si="204"/>
        <v>387</v>
      </c>
      <c r="AH327" s="43">
        <f t="shared" ca="1" si="187"/>
        <v>0.92357649616219228</v>
      </c>
      <c r="AI327" s="8">
        <v>1</v>
      </c>
      <c r="AJ327" s="42">
        <f t="shared" ca="1" si="205"/>
        <v>236</v>
      </c>
      <c r="AL327" s="43">
        <f t="shared" ca="1" si="188"/>
        <v>7.7477389285646958E-2</v>
      </c>
      <c r="AM327" s="8">
        <v>1</v>
      </c>
      <c r="AN327" s="42">
        <f t="shared" ca="1" si="206"/>
        <v>145</v>
      </c>
      <c r="AP327" s="43">
        <f t="shared" ca="1" si="189"/>
        <v>0.90137857611099215</v>
      </c>
      <c r="AQ327" s="8">
        <v>1</v>
      </c>
      <c r="AR327" s="42">
        <f t="shared" ca="1" si="207"/>
        <v>267</v>
      </c>
      <c r="AT327" s="43">
        <f t="shared" ca="1" si="190"/>
        <v>0.56077135506599818</v>
      </c>
      <c r="AU327" s="8">
        <v>1</v>
      </c>
      <c r="AV327" s="42">
        <f t="shared" ca="1" si="208"/>
        <v>214</v>
      </c>
      <c r="AX327" s="43">
        <f t="shared" ca="1" si="191"/>
        <v>0.23504828455437299</v>
      </c>
      <c r="AY327" s="8">
        <v>1</v>
      </c>
      <c r="AZ327" s="42">
        <f t="shared" ca="1" si="209"/>
        <v>189</v>
      </c>
      <c r="BB327" s="43">
        <f t="shared" ca="1" si="192"/>
        <v>0.34611477372723343</v>
      </c>
      <c r="BC327" s="8">
        <v>1</v>
      </c>
      <c r="BD327" s="42">
        <f t="shared" ca="1" si="210"/>
        <v>180</v>
      </c>
      <c r="BF327" s="43">
        <f t="shared" ca="1" si="193"/>
        <v>0.87556108860035742</v>
      </c>
      <c r="BG327" s="8">
        <v>1</v>
      </c>
      <c r="BH327" s="42">
        <f t="shared" ca="1" si="211"/>
        <v>221</v>
      </c>
      <c r="BJ327" s="43">
        <f t="shared" ca="1" si="194"/>
        <v>0.1422334013480766</v>
      </c>
      <c r="BK327" s="8">
        <v>1</v>
      </c>
      <c r="BL327" s="42">
        <f t="shared" ca="1" si="212"/>
        <v>155</v>
      </c>
      <c r="BN327" s="43">
        <f t="shared" ca="1" si="195"/>
        <v>0.23292223361343367</v>
      </c>
      <c r="BO327" s="8">
        <v>1</v>
      </c>
      <c r="BP327" s="42">
        <f t="shared" ca="1" si="213"/>
        <v>130</v>
      </c>
      <c r="BR327" s="43">
        <f t="shared" ca="1" si="196"/>
        <v>0.2668977159839262</v>
      </c>
      <c r="BS327" s="8">
        <v>1</v>
      </c>
      <c r="BT327" s="42">
        <f t="shared" ca="1" si="214"/>
        <v>183</v>
      </c>
    </row>
    <row r="328" spans="1:72" x14ac:dyDescent="0.2">
      <c r="A328" s="22">
        <v>44875</v>
      </c>
      <c r="B328" s="43">
        <f t="shared" ca="1" si="179"/>
        <v>0.49354688534570079</v>
      </c>
      <c r="C328" s="8">
        <v>1</v>
      </c>
      <c r="D328" s="42">
        <f t="shared" ca="1" si="197"/>
        <v>100</v>
      </c>
      <c r="F328" s="43">
        <f t="shared" ca="1" si="180"/>
        <v>0.83951607641681714</v>
      </c>
      <c r="G328" s="8">
        <v>1</v>
      </c>
      <c r="H328" s="42">
        <f t="shared" ca="1" si="198"/>
        <v>273</v>
      </c>
      <c r="J328" s="43">
        <f t="shared" ca="1" si="181"/>
        <v>0.94790608950035038</v>
      </c>
      <c r="K328" s="8">
        <v>1</v>
      </c>
      <c r="L328" s="42">
        <f t="shared" ca="1" si="199"/>
        <v>215</v>
      </c>
      <c r="N328" s="43">
        <f t="shared" ca="1" si="182"/>
        <v>0.2536592950910902</v>
      </c>
      <c r="O328" s="8">
        <v>1</v>
      </c>
      <c r="P328" s="42">
        <f t="shared" ca="1" si="200"/>
        <v>189</v>
      </c>
      <c r="R328" s="43">
        <f t="shared" ca="1" si="183"/>
        <v>0.80168485198941575</v>
      </c>
      <c r="S328" s="8">
        <v>1</v>
      </c>
      <c r="T328" s="42">
        <f t="shared" ca="1" si="201"/>
        <v>171</v>
      </c>
      <c r="V328" s="43">
        <f t="shared" ca="1" si="184"/>
        <v>0.70509403632473133</v>
      </c>
      <c r="W328" s="8">
        <v>1</v>
      </c>
      <c r="X328" s="42">
        <f t="shared" ca="1" si="202"/>
        <v>258</v>
      </c>
      <c r="Z328" s="43">
        <f t="shared" ca="1" si="185"/>
        <v>0.65489422101648287</v>
      </c>
      <c r="AA328" s="8">
        <v>1</v>
      </c>
      <c r="AB328" s="42">
        <f t="shared" ca="1" si="203"/>
        <v>299</v>
      </c>
      <c r="AD328" s="43">
        <f t="shared" ca="1" si="186"/>
        <v>4.0297194689268068E-2</v>
      </c>
      <c r="AE328" s="8">
        <v>1</v>
      </c>
      <c r="AF328" s="42">
        <f t="shared" ca="1" si="204"/>
        <v>175</v>
      </c>
      <c r="AH328" s="43">
        <f t="shared" ca="1" si="187"/>
        <v>0.26889038481149052</v>
      </c>
      <c r="AI328" s="8">
        <v>1</v>
      </c>
      <c r="AJ328" s="42">
        <f t="shared" ca="1" si="205"/>
        <v>143</v>
      </c>
      <c r="AL328" s="43">
        <f t="shared" ca="1" si="188"/>
        <v>0.98218361076220162</v>
      </c>
      <c r="AM328" s="8">
        <v>1</v>
      </c>
      <c r="AN328" s="42">
        <f t="shared" ca="1" si="206"/>
        <v>363</v>
      </c>
      <c r="AP328" s="43">
        <f t="shared" ca="1" si="189"/>
        <v>0.55711288063509345</v>
      </c>
      <c r="AQ328" s="8">
        <v>1</v>
      </c>
      <c r="AR328" s="42">
        <f t="shared" ca="1" si="207"/>
        <v>206</v>
      </c>
      <c r="AT328" s="43">
        <f t="shared" ca="1" si="190"/>
        <v>0.90369659336520036</v>
      </c>
      <c r="AU328" s="8">
        <v>1</v>
      </c>
      <c r="AV328" s="42">
        <f t="shared" ca="1" si="208"/>
        <v>277</v>
      </c>
      <c r="AX328" s="43">
        <f t="shared" ca="1" si="191"/>
        <v>0.5909011609686039</v>
      </c>
      <c r="AY328" s="8">
        <v>1</v>
      </c>
      <c r="AZ328" s="42">
        <f t="shared" ca="1" si="209"/>
        <v>248</v>
      </c>
      <c r="BB328" s="43">
        <f t="shared" ca="1" si="192"/>
        <v>0.29233347209843363</v>
      </c>
      <c r="BC328" s="8">
        <v>1</v>
      </c>
      <c r="BD328" s="42">
        <f t="shared" ca="1" si="210"/>
        <v>172</v>
      </c>
      <c r="BF328" s="43">
        <f t="shared" ca="1" si="193"/>
        <v>0.4629713669956439</v>
      </c>
      <c r="BG328" s="8">
        <v>1</v>
      </c>
      <c r="BH328" s="42">
        <f t="shared" ca="1" si="211"/>
        <v>165</v>
      </c>
      <c r="BJ328" s="43">
        <f t="shared" ca="1" si="194"/>
        <v>0.85102785607357812</v>
      </c>
      <c r="BK328" s="8">
        <v>1</v>
      </c>
      <c r="BL328" s="42">
        <f t="shared" ca="1" si="212"/>
        <v>276</v>
      </c>
      <c r="BN328" s="43">
        <f t="shared" ca="1" si="195"/>
        <v>0.26611408689550275</v>
      </c>
      <c r="BO328" s="8">
        <v>1</v>
      </c>
      <c r="BP328" s="42">
        <f t="shared" ca="1" si="213"/>
        <v>134</v>
      </c>
      <c r="BR328" s="43">
        <f t="shared" ca="1" si="196"/>
        <v>7.5497397105983466E-2</v>
      </c>
      <c r="BS328" s="8">
        <v>1</v>
      </c>
      <c r="BT328" s="42">
        <f t="shared" ca="1" si="214"/>
        <v>136</v>
      </c>
    </row>
    <row r="329" spans="1:72" x14ac:dyDescent="0.2">
      <c r="A329" s="22">
        <v>44876</v>
      </c>
      <c r="B329" s="43">
        <f t="shared" ca="1" si="179"/>
        <v>0.45510444089088076</v>
      </c>
      <c r="C329" s="8">
        <v>1</v>
      </c>
      <c r="D329" s="42">
        <f t="shared" ca="1" si="197"/>
        <v>98</v>
      </c>
      <c r="F329" s="43">
        <f t="shared" ca="1" si="180"/>
        <v>0.35402204998848819</v>
      </c>
      <c r="G329" s="8">
        <v>1</v>
      </c>
      <c r="H329" s="42">
        <f t="shared" ca="1" si="198"/>
        <v>194</v>
      </c>
      <c r="J329" s="43">
        <f t="shared" ca="1" si="181"/>
        <v>0.95748436392085945</v>
      </c>
      <c r="K329" s="8">
        <v>1</v>
      </c>
      <c r="L329" s="42">
        <f t="shared" ca="1" si="199"/>
        <v>219</v>
      </c>
      <c r="N329" s="43">
        <f t="shared" ca="1" si="182"/>
        <v>0.38999360770080649</v>
      </c>
      <c r="O329" s="8">
        <v>1</v>
      </c>
      <c r="P329" s="42">
        <f t="shared" ca="1" si="200"/>
        <v>213</v>
      </c>
      <c r="R329" s="43">
        <f t="shared" ca="1" si="183"/>
        <v>0.37541889735270728</v>
      </c>
      <c r="S329" s="8">
        <v>1</v>
      </c>
      <c r="T329" s="42">
        <f t="shared" ca="1" si="201"/>
        <v>128</v>
      </c>
      <c r="V329" s="43">
        <f t="shared" ca="1" si="184"/>
        <v>0.20521953353798184</v>
      </c>
      <c r="W329" s="8">
        <v>1</v>
      </c>
      <c r="X329" s="42">
        <f t="shared" ca="1" si="202"/>
        <v>176</v>
      </c>
      <c r="Z329" s="43">
        <f t="shared" ca="1" si="185"/>
        <v>0.14107266379961692</v>
      </c>
      <c r="AA329" s="8">
        <v>1</v>
      </c>
      <c r="AB329" s="42">
        <f t="shared" ca="1" si="203"/>
        <v>193</v>
      </c>
      <c r="AD329" s="43">
        <f t="shared" ca="1" si="186"/>
        <v>0.45422180360319919</v>
      </c>
      <c r="AE329" s="8">
        <v>1</v>
      </c>
      <c r="AF329" s="42">
        <f t="shared" ca="1" si="204"/>
        <v>317</v>
      </c>
      <c r="AH329" s="43">
        <f t="shared" ca="1" si="187"/>
        <v>0.46701782612193232</v>
      </c>
      <c r="AI329" s="8">
        <v>1</v>
      </c>
      <c r="AJ329" s="42">
        <f t="shared" ca="1" si="205"/>
        <v>167</v>
      </c>
      <c r="AL329" s="43">
        <f t="shared" ca="1" si="188"/>
        <v>0.91850508789813012</v>
      </c>
      <c r="AM329" s="8">
        <v>1</v>
      </c>
      <c r="AN329" s="42">
        <f t="shared" ca="1" si="206"/>
        <v>319</v>
      </c>
      <c r="AP329" s="43">
        <f t="shared" ca="1" si="189"/>
        <v>0.88798239083478669</v>
      </c>
      <c r="AQ329" s="8">
        <v>1</v>
      </c>
      <c r="AR329" s="42">
        <f t="shared" ca="1" si="207"/>
        <v>263</v>
      </c>
      <c r="AT329" s="43">
        <f t="shared" ca="1" si="190"/>
        <v>0.60676947514197344</v>
      </c>
      <c r="AU329" s="8">
        <v>1</v>
      </c>
      <c r="AV329" s="42">
        <f t="shared" ca="1" si="208"/>
        <v>221</v>
      </c>
      <c r="AX329" s="43">
        <f t="shared" ca="1" si="191"/>
        <v>0.27416762731731503</v>
      </c>
      <c r="AY329" s="8">
        <v>1</v>
      </c>
      <c r="AZ329" s="42">
        <f t="shared" ca="1" si="209"/>
        <v>197</v>
      </c>
      <c r="BB329" s="43">
        <f t="shared" ca="1" si="192"/>
        <v>0.77912455869042663</v>
      </c>
      <c r="BC329" s="8">
        <v>1</v>
      </c>
      <c r="BD329" s="42">
        <f t="shared" ca="1" si="210"/>
        <v>242</v>
      </c>
      <c r="BF329" s="43">
        <f t="shared" ca="1" si="193"/>
        <v>0.78105899405983936</v>
      </c>
      <c r="BG329" s="8">
        <v>1</v>
      </c>
      <c r="BH329" s="42">
        <f t="shared" ca="1" si="211"/>
        <v>204</v>
      </c>
      <c r="BJ329" s="43">
        <f t="shared" ca="1" si="194"/>
        <v>0.16315623295508286</v>
      </c>
      <c r="BK329" s="8">
        <v>1</v>
      </c>
      <c r="BL329" s="42">
        <f t="shared" ca="1" si="212"/>
        <v>160</v>
      </c>
      <c r="BN329" s="43">
        <f t="shared" ca="1" si="195"/>
        <v>0.32500416771377594</v>
      </c>
      <c r="BO329" s="8">
        <v>1</v>
      </c>
      <c r="BP329" s="42">
        <f t="shared" ca="1" si="213"/>
        <v>142</v>
      </c>
      <c r="BR329" s="43">
        <f t="shared" ca="1" si="196"/>
        <v>0.60288051224719819</v>
      </c>
      <c r="BS329" s="8">
        <v>1</v>
      </c>
      <c r="BT329" s="42">
        <f t="shared" ca="1" si="214"/>
        <v>235</v>
      </c>
    </row>
    <row r="330" spans="1:72" x14ac:dyDescent="0.2">
      <c r="A330" s="22">
        <v>44877</v>
      </c>
      <c r="B330" s="43">
        <f t="shared" ca="1" si="179"/>
        <v>0.88818249522522763</v>
      </c>
      <c r="C330" s="8">
        <v>1</v>
      </c>
      <c r="D330" s="42">
        <f t="shared" ca="1" si="197"/>
        <v>125</v>
      </c>
      <c r="F330" s="43">
        <f t="shared" ca="1" si="180"/>
        <v>0.12759707487882199</v>
      </c>
      <c r="G330" s="8">
        <v>1</v>
      </c>
      <c r="H330" s="42">
        <f t="shared" ca="1" si="198"/>
        <v>151</v>
      </c>
      <c r="J330" s="43">
        <f t="shared" ca="1" si="181"/>
        <v>0.11996173285384071</v>
      </c>
      <c r="K330" s="8">
        <v>1</v>
      </c>
      <c r="L330" s="42">
        <f t="shared" ca="1" si="199"/>
        <v>103</v>
      </c>
      <c r="N330" s="43">
        <f t="shared" ca="1" si="182"/>
        <v>0.25197813883750153</v>
      </c>
      <c r="O330" s="8">
        <v>1</v>
      </c>
      <c r="P330" s="42">
        <f t="shared" ca="1" si="200"/>
        <v>189</v>
      </c>
      <c r="R330" s="43">
        <f t="shared" ca="1" si="183"/>
        <v>5.9858318169002001E-2</v>
      </c>
      <c r="S330" s="8">
        <v>1</v>
      </c>
      <c r="T330" s="42">
        <f t="shared" ca="1" si="201"/>
        <v>82</v>
      </c>
      <c r="V330" s="43">
        <f t="shared" ca="1" si="184"/>
        <v>0.9392223176089306</v>
      </c>
      <c r="W330" s="8">
        <v>1</v>
      </c>
      <c r="X330" s="42">
        <f t="shared" ca="1" si="202"/>
        <v>318</v>
      </c>
      <c r="Z330" s="43">
        <f t="shared" ca="1" si="185"/>
        <v>0.18041765779328645</v>
      </c>
      <c r="AA330" s="8">
        <v>1</v>
      </c>
      <c r="AB330" s="42">
        <f t="shared" ca="1" si="203"/>
        <v>205</v>
      </c>
      <c r="AD330" s="43">
        <f t="shared" ca="1" si="186"/>
        <v>0.7747568206050206</v>
      </c>
      <c r="AE330" s="8">
        <v>1</v>
      </c>
      <c r="AF330" s="42">
        <f t="shared" ca="1" si="204"/>
        <v>393</v>
      </c>
      <c r="AH330" s="43">
        <f t="shared" ca="1" si="187"/>
        <v>0.86593384340883772</v>
      </c>
      <c r="AI330" s="8">
        <v>1</v>
      </c>
      <c r="AJ330" s="42">
        <f t="shared" ca="1" si="205"/>
        <v>221</v>
      </c>
      <c r="AL330" s="43">
        <f t="shared" ca="1" si="188"/>
        <v>0.10492466059778582</v>
      </c>
      <c r="AM330" s="8">
        <v>1</v>
      </c>
      <c r="AN330" s="42">
        <f t="shared" ca="1" si="206"/>
        <v>155</v>
      </c>
      <c r="AP330" s="43">
        <f t="shared" ca="1" si="189"/>
        <v>0.80479560325462118</v>
      </c>
      <c r="AQ330" s="8">
        <v>1</v>
      </c>
      <c r="AR330" s="42">
        <f t="shared" ca="1" si="207"/>
        <v>244</v>
      </c>
      <c r="AT330" s="43">
        <f t="shared" ca="1" si="190"/>
        <v>0.8527951492616741</v>
      </c>
      <c r="AU330" s="8">
        <v>1</v>
      </c>
      <c r="AV330" s="42">
        <f t="shared" ca="1" si="208"/>
        <v>263</v>
      </c>
      <c r="AX330" s="43">
        <f t="shared" ca="1" si="191"/>
        <v>0.33237061977926419</v>
      </c>
      <c r="AY330" s="8">
        <v>1</v>
      </c>
      <c r="AZ330" s="42">
        <f t="shared" ca="1" si="209"/>
        <v>207</v>
      </c>
      <c r="BB330" s="43">
        <f t="shared" ca="1" si="192"/>
        <v>0.5370616478308714</v>
      </c>
      <c r="BC330" s="8">
        <v>1</v>
      </c>
      <c r="BD330" s="42">
        <f t="shared" ca="1" si="210"/>
        <v>206</v>
      </c>
      <c r="BF330" s="43">
        <f t="shared" ca="1" si="193"/>
        <v>0.60589503815751511</v>
      </c>
      <c r="BG330" s="8">
        <v>1</v>
      </c>
      <c r="BH330" s="42">
        <f t="shared" ca="1" si="211"/>
        <v>181</v>
      </c>
      <c r="BJ330" s="43">
        <f t="shared" ca="1" si="194"/>
        <v>0.16209753981075503</v>
      </c>
      <c r="BK330" s="8">
        <v>1</v>
      </c>
      <c r="BL330" s="42">
        <f t="shared" ca="1" si="212"/>
        <v>159</v>
      </c>
      <c r="BN330" s="43">
        <f t="shared" ca="1" si="195"/>
        <v>0.57258512083857716</v>
      </c>
      <c r="BO330" s="8">
        <v>1</v>
      </c>
      <c r="BP330" s="42">
        <f t="shared" ca="1" si="213"/>
        <v>169</v>
      </c>
      <c r="BR330" s="43">
        <f t="shared" ca="1" si="196"/>
        <v>7.9810694027830031E-2</v>
      </c>
      <c r="BS330" s="8">
        <v>1</v>
      </c>
      <c r="BT330" s="42">
        <f t="shared" ca="1" si="214"/>
        <v>138</v>
      </c>
    </row>
    <row r="331" spans="1:72" x14ac:dyDescent="0.2">
      <c r="A331" s="22">
        <v>44878</v>
      </c>
      <c r="B331" s="43">
        <f t="shared" ca="1" si="179"/>
        <v>0.11951373984773817</v>
      </c>
      <c r="C331" s="8">
        <v>1</v>
      </c>
      <c r="D331" s="42">
        <f t="shared" ca="1" si="197"/>
        <v>77</v>
      </c>
      <c r="F331" s="43">
        <f t="shared" ca="1" si="180"/>
        <v>0.8908601314837481</v>
      </c>
      <c r="G331" s="8">
        <v>1</v>
      </c>
      <c r="H331" s="42">
        <f t="shared" ca="1" si="198"/>
        <v>287</v>
      </c>
      <c r="J331" s="43">
        <f t="shared" ca="1" si="181"/>
        <v>0.91854048130992416</v>
      </c>
      <c r="K331" s="8">
        <v>1</v>
      </c>
      <c r="L331" s="42">
        <f t="shared" ca="1" si="199"/>
        <v>206</v>
      </c>
      <c r="N331" s="43">
        <f t="shared" ca="1" si="182"/>
        <v>0.31048530747612302</v>
      </c>
      <c r="O331" s="8">
        <v>1</v>
      </c>
      <c r="P331" s="42">
        <f t="shared" ca="1" si="200"/>
        <v>200</v>
      </c>
      <c r="R331" s="43">
        <f t="shared" ca="1" si="183"/>
        <v>0.51479154761517787</v>
      </c>
      <c r="S331" s="8">
        <v>1</v>
      </c>
      <c r="T331" s="42">
        <f t="shared" ca="1" si="201"/>
        <v>141</v>
      </c>
      <c r="V331" s="43">
        <f t="shared" ca="1" si="184"/>
        <v>5.2294144037236312E-2</v>
      </c>
      <c r="W331" s="8">
        <v>1</v>
      </c>
      <c r="X331" s="42">
        <f t="shared" ca="1" si="202"/>
        <v>128</v>
      </c>
      <c r="Z331" s="43">
        <f t="shared" ca="1" si="185"/>
        <v>0.38604714110085114</v>
      </c>
      <c r="AA331" s="8">
        <v>1</v>
      </c>
      <c r="AB331" s="42">
        <f t="shared" ca="1" si="203"/>
        <v>250</v>
      </c>
      <c r="AD331" s="43">
        <f t="shared" ca="1" si="186"/>
        <v>0.31388767693179753</v>
      </c>
      <c r="AE331" s="8">
        <v>1</v>
      </c>
      <c r="AF331" s="42">
        <f t="shared" ca="1" si="204"/>
        <v>285</v>
      </c>
      <c r="AH331" s="43">
        <f t="shared" ca="1" si="187"/>
        <v>1.9885072816027805E-2</v>
      </c>
      <c r="AI331" s="8">
        <v>1</v>
      </c>
      <c r="AJ331" s="42">
        <f t="shared" ca="1" si="205"/>
        <v>77</v>
      </c>
      <c r="AL331" s="43">
        <f t="shared" ca="1" si="188"/>
        <v>0.69227879598229225</v>
      </c>
      <c r="AM331" s="8">
        <v>1</v>
      </c>
      <c r="AN331" s="42">
        <f t="shared" ca="1" si="206"/>
        <v>264</v>
      </c>
      <c r="AP331" s="43">
        <f t="shared" ca="1" si="189"/>
        <v>0.46797445541138305</v>
      </c>
      <c r="AQ331" s="8">
        <v>1</v>
      </c>
      <c r="AR331" s="42">
        <f t="shared" ca="1" si="207"/>
        <v>194</v>
      </c>
      <c r="AT331" s="43">
        <f t="shared" ca="1" si="190"/>
        <v>0.49632302778965598</v>
      </c>
      <c r="AU331" s="8">
        <v>1</v>
      </c>
      <c r="AV331" s="42">
        <f t="shared" ca="1" si="208"/>
        <v>205</v>
      </c>
      <c r="AX331" s="43">
        <f t="shared" ca="1" si="191"/>
        <v>0.3004667375296326</v>
      </c>
      <c r="AY331" s="8">
        <v>1</v>
      </c>
      <c r="AZ331" s="42">
        <f t="shared" ca="1" si="209"/>
        <v>201</v>
      </c>
      <c r="BB331" s="43">
        <f t="shared" ca="1" si="192"/>
        <v>0.71936441746735214</v>
      </c>
      <c r="BC331" s="8">
        <v>1</v>
      </c>
      <c r="BD331" s="42">
        <f t="shared" ca="1" si="210"/>
        <v>232</v>
      </c>
      <c r="BF331" s="43">
        <f t="shared" ca="1" si="193"/>
        <v>0.23767885041748649</v>
      </c>
      <c r="BG331" s="8">
        <v>1</v>
      </c>
      <c r="BH331" s="42">
        <f t="shared" ca="1" si="211"/>
        <v>137</v>
      </c>
      <c r="BJ331" s="43">
        <f t="shared" ca="1" si="194"/>
        <v>0.8443657382359544</v>
      </c>
      <c r="BK331" s="8">
        <v>1</v>
      </c>
      <c r="BL331" s="42">
        <f t="shared" ca="1" si="212"/>
        <v>274</v>
      </c>
      <c r="BN331" s="43">
        <f t="shared" ca="1" si="195"/>
        <v>0.28411174315182508</v>
      </c>
      <c r="BO331" s="8">
        <v>1</v>
      </c>
      <c r="BP331" s="42">
        <f t="shared" ca="1" si="213"/>
        <v>137</v>
      </c>
      <c r="BR331" s="43">
        <f t="shared" ca="1" si="196"/>
        <v>0.84699361912762694</v>
      </c>
      <c r="BS331" s="8">
        <v>1</v>
      </c>
      <c r="BT331" s="42">
        <f t="shared" ca="1" si="214"/>
        <v>280</v>
      </c>
    </row>
    <row r="332" spans="1:72" x14ac:dyDescent="0.2">
      <c r="A332" s="22">
        <v>44879</v>
      </c>
      <c r="B332" s="43">
        <f t="shared" ca="1" si="179"/>
        <v>0.64163480165643316</v>
      </c>
      <c r="C332" s="8">
        <v>1</v>
      </c>
      <c r="D332" s="42">
        <f t="shared" ca="1" si="197"/>
        <v>108</v>
      </c>
      <c r="F332" s="43">
        <f t="shared" ca="1" si="180"/>
        <v>0.74539468609250259</v>
      </c>
      <c r="G332" s="8">
        <v>1</v>
      </c>
      <c r="H332" s="42">
        <f t="shared" ca="1" si="198"/>
        <v>254</v>
      </c>
      <c r="J332" s="43">
        <f t="shared" ca="1" si="181"/>
        <v>0.30624266878577333</v>
      </c>
      <c r="K332" s="8">
        <v>1</v>
      </c>
      <c r="L332" s="42">
        <f t="shared" ca="1" si="199"/>
        <v>130</v>
      </c>
      <c r="N332" s="43">
        <f t="shared" ca="1" si="182"/>
        <v>0.11335401191582295</v>
      </c>
      <c r="O332" s="8">
        <v>1</v>
      </c>
      <c r="P332" s="42">
        <f t="shared" ca="1" si="200"/>
        <v>156</v>
      </c>
      <c r="R332" s="43">
        <f t="shared" ca="1" si="183"/>
        <v>3.3659998428033799E-2</v>
      </c>
      <c r="S332" s="8">
        <v>1</v>
      </c>
      <c r="T332" s="42">
        <f t="shared" ca="1" si="201"/>
        <v>72</v>
      </c>
      <c r="V332" s="43">
        <f t="shared" ca="1" si="184"/>
        <v>0.1340884049911033</v>
      </c>
      <c r="W332" s="8">
        <v>1</v>
      </c>
      <c r="X332" s="42">
        <f t="shared" ca="1" si="202"/>
        <v>159</v>
      </c>
      <c r="Z332" s="43">
        <f t="shared" ca="1" si="185"/>
        <v>0.77268783221158654</v>
      </c>
      <c r="AA332" s="8">
        <v>1</v>
      </c>
      <c r="AB332" s="42">
        <f t="shared" ca="1" si="203"/>
        <v>324</v>
      </c>
      <c r="AD332" s="43">
        <f t="shared" ca="1" si="186"/>
        <v>0.41998504249376523</v>
      </c>
      <c r="AE332" s="8">
        <v>1</v>
      </c>
      <c r="AF332" s="42">
        <f t="shared" ca="1" si="204"/>
        <v>310</v>
      </c>
      <c r="AH332" s="43">
        <f t="shared" ca="1" si="187"/>
        <v>0.71566160357765118</v>
      </c>
      <c r="AI332" s="8">
        <v>1</v>
      </c>
      <c r="AJ332" s="42">
        <f t="shared" ca="1" si="205"/>
        <v>197</v>
      </c>
      <c r="AL332" s="43">
        <f t="shared" ca="1" si="188"/>
        <v>0.81599342659462193</v>
      </c>
      <c r="AM332" s="8">
        <v>1</v>
      </c>
      <c r="AN332" s="42">
        <f t="shared" ca="1" si="206"/>
        <v>288</v>
      </c>
      <c r="AP332" s="43">
        <f t="shared" ca="1" si="189"/>
        <v>0.84121730160332353</v>
      </c>
      <c r="AQ332" s="8">
        <v>1</v>
      </c>
      <c r="AR332" s="42">
        <f t="shared" ca="1" si="207"/>
        <v>251</v>
      </c>
      <c r="AT332" s="43">
        <f t="shared" ca="1" si="190"/>
        <v>0.29111986045093075</v>
      </c>
      <c r="AU332" s="8">
        <v>1</v>
      </c>
      <c r="AV332" s="42">
        <f t="shared" ca="1" si="208"/>
        <v>176</v>
      </c>
      <c r="AX332" s="43">
        <f t="shared" ca="1" si="191"/>
        <v>0.95394647285115886</v>
      </c>
      <c r="AY332" s="8">
        <v>1</v>
      </c>
      <c r="AZ332" s="42">
        <f t="shared" ca="1" si="209"/>
        <v>339</v>
      </c>
      <c r="BB332" s="43">
        <f t="shared" ca="1" si="192"/>
        <v>0.61414319497244985</v>
      </c>
      <c r="BC332" s="8">
        <v>1</v>
      </c>
      <c r="BD332" s="42">
        <f t="shared" ca="1" si="210"/>
        <v>217</v>
      </c>
      <c r="BF332" s="43">
        <f t="shared" ca="1" si="193"/>
        <v>0.85333237914188209</v>
      </c>
      <c r="BG332" s="8">
        <v>1</v>
      </c>
      <c r="BH332" s="42">
        <f t="shared" ca="1" si="211"/>
        <v>216</v>
      </c>
      <c r="BJ332" s="43">
        <f t="shared" ca="1" si="194"/>
        <v>0.80321396258907096</v>
      </c>
      <c r="BK332" s="8">
        <v>1</v>
      </c>
      <c r="BL332" s="42">
        <f t="shared" ca="1" si="212"/>
        <v>265</v>
      </c>
      <c r="BN332" s="43">
        <f t="shared" ca="1" si="195"/>
        <v>0.32470633221248257</v>
      </c>
      <c r="BO332" s="8">
        <v>1</v>
      </c>
      <c r="BP332" s="42">
        <f t="shared" ca="1" si="213"/>
        <v>142</v>
      </c>
      <c r="BR332" s="43">
        <f t="shared" ca="1" si="196"/>
        <v>0.80487293461592446</v>
      </c>
      <c r="BS332" s="8">
        <v>1</v>
      </c>
      <c r="BT332" s="42">
        <f t="shared" ca="1" si="214"/>
        <v>270</v>
      </c>
    </row>
    <row r="333" spans="1:72" x14ac:dyDescent="0.2">
      <c r="A333" s="22">
        <v>44880</v>
      </c>
      <c r="B333" s="43">
        <f t="shared" ca="1" si="179"/>
        <v>2.3625152123290638E-2</v>
      </c>
      <c r="C333" s="8">
        <v>1</v>
      </c>
      <c r="D333" s="42">
        <f t="shared" ca="1" si="197"/>
        <v>61</v>
      </c>
      <c r="F333" s="43">
        <f t="shared" ca="1" si="180"/>
        <v>0.34758562146483107</v>
      </c>
      <c r="G333" s="8">
        <v>1</v>
      </c>
      <c r="H333" s="42">
        <f t="shared" ca="1" si="198"/>
        <v>193</v>
      </c>
      <c r="J333" s="43">
        <f t="shared" ca="1" si="181"/>
        <v>0.52056997483975631</v>
      </c>
      <c r="K333" s="8">
        <v>1</v>
      </c>
      <c r="L333" s="42">
        <f t="shared" ca="1" si="199"/>
        <v>153</v>
      </c>
      <c r="N333" s="43">
        <f t="shared" ca="1" si="182"/>
        <v>0.56188098300488754</v>
      </c>
      <c r="O333" s="8">
        <v>1</v>
      </c>
      <c r="P333" s="42">
        <f t="shared" ca="1" si="200"/>
        <v>239</v>
      </c>
      <c r="R333" s="43">
        <f t="shared" ca="1" si="183"/>
        <v>0.93736975806940659</v>
      </c>
      <c r="S333" s="8">
        <v>1</v>
      </c>
      <c r="T333" s="42">
        <f t="shared" ca="1" si="201"/>
        <v>196</v>
      </c>
      <c r="V333" s="43">
        <f t="shared" ca="1" si="184"/>
        <v>6.430305650962842E-2</v>
      </c>
      <c r="W333" s="8">
        <v>1</v>
      </c>
      <c r="X333" s="42">
        <f t="shared" ca="1" si="202"/>
        <v>134</v>
      </c>
      <c r="Z333" s="43">
        <f t="shared" ca="1" si="185"/>
        <v>0.12760453299734154</v>
      </c>
      <c r="AA333" s="8">
        <v>1</v>
      </c>
      <c r="AB333" s="42">
        <f t="shared" ca="1" si="203"/>
        <v>189</v>
      </c>
      <c r="AD333" s="43">
        <f t="shared" ca="1" si="186"/>
        <v>7.3907139624324492E-2</v>
      </c>
      <c r="AE333" s="8">
        <v>1</v>
      </c>
      <c r="AF333" s="42">
        <f t="shared" ca="1" si="204"/>
        <v>201</v>
      </c>
      <c r="AH333" s="43">
        <f t="shared" ca="1" si="187"/>
        <v>0.59757435842078832</v>
      </c>
      <c r="AI333" s="8">
        <v>1</v>
      </c>
      <c r="AJ333" s="42">
        <f t="shared" ca="1" si="205"/>
        <v>182</v>
      </c>
      <c r="AL333" s="43">
        <f t="shared" ca="1" si="188"/>
        <v>0.64917430085447081</v>
      </c>
      <c r="AM333" s="8">
        <v>1</v>
      </c>
      <c r="AN333" s="42">
        <f t="shared" ca="1" si="206"/>
        <v>256</v>
      </c>
      <c r="AP333" s="43">
        <f t="shared" ca="1" si="189"/>
        <v>0.85025749994106514</v>
      </c>
      <c r="AQ333" s="8">
        <v>1</v>
      </c>
      <c r="AR333" s="42">
        <f t="shared" ca="1" si="207"/>
        <v>253</v>
      </c>
      <c r="AT333" s="43">
        <f t="shared" ca="1" si="190"/>
        <v>0.55017796059089297</v>
      </c>
      <c r="AU333" s="8">
        <v>1</v>
      </c>
      <c r="AV333" s="42">
        <f t="shared" ca="1" si="208"/>
        <v>213</v>
      </c>
      <c r="AX333" s="43">
        <f t="shared" ca="1" si="191"/>
        <v>0.31925533903923398</v>
      </c>
      <c r="AY333" s="8">
        <v>1</v>
      </c>
      <c r="AZ333" s="42">
        <f t="shared" ca="1" si="209"/>
        <v>205</v>
      </c>
      <c r="BB333" s="43">
        <f t="shared" ca="1" si="192"/>
        <v>0.88264904619393603</v>
      </c>
      <c r="BC333" s="8">
        <v>1</v>
      </c>
      <c r="BD333" s="42">
        <f t="shared" ca="1" si="210"/>
        <v>265</v>
      </c>
      <c r="BF333" s="43">
        <f t="shared" ca="1" si="193"/>
        <v>0.73037756910155982</v>
      </c>
      <c r="BG333" s="8">
        <v>1</v>
      </c>
      <c r="BH333" s="42">
        <f t="shared" ca="1" si="211"/>
        <v>197</v>
      </c>
      <c r="BJ333" s="43">
        <f t="shared" ca="1" si="194"/>
        <v>0.6336554142099281</v>
      </c>
      <c r="BK333" s="8">
        <v>1</v>
      </c>
      <c r="BL333" s="42">
        <f t="shared" ca="1" si="212"/>
        <v>236</v>
      </c>
      <c r="BN333" s="43">
        <f t="shared" ca="1" si="195"/>
        <v>0.73319253998604228</v>
      </c>
      <c r="BO333" s="8">
        <v>1</v>
      </c>
      <c r="BP333" s="42">
        <f t="shared" ca="1" si="213"/>
        <v>188</v>
      </c>
      <c r="BR333" s="43">
        <f t="shared" ca="1" si="196"/>
        <v>0.46349921876281164</v>
      </c>
      <c r="BS333" s="8">
        <v>1</v>
      </c>
      <c r="BT333" s="42">
        <f t="shared" ca="1" si="214"/>
        <v>214</v>
      </c>
    </row>
    <row r="334" spans="1:72" x14ac:dyDescent="0.2">
      <c r="A334" s="22">
        <v>44881</v>
      </c>
      <c r="B334" s="43">
        <f t="shared" ca="1" si="179"/>
        <v>5.2093698240730513E-2</v>
      </c>
      <c r="C334" s="8">
        <v>1</v>
      </c>
      <c r="D334" s="42">
        <f t="shared" ca="1" si="197"/>
        <v>68</v>
      </c>
      <c r="F334" s="43">
        <f t="shared" ca="1" si="180"/>
        <v>0.67492883297866924</v>
      </c>
      <c r="G334" s="8">
        <v>1</v>
      </c>
      <c r="H334" s="42">
        <f t="shared" ca="1" si="198"/>
        <v>242</v>
      </c>
      <c r="J334" s="43">
        <f t="shared" ca="1" si="181"/>
        <v>0.62311146186672128</v>
      </c>
      <c r="K334" s="8">
        <v>1</v>
      </c>
      <c r="L334" s="42">
        <f t="shared" ca="1" si="199"/>
        <v>163</v>
      </c>
      <c r="N334" s="43">
        <f t="shared" ca="1" si="182"/>
        <v>0.14489073253268003</v>
      </c>
      <c r="O334" s="8">
        <v>1</v>
      </c>
      <c r="P334" s="42">
        <f t="shared" ca="1" si="200"/>
        <v>165</v>
      </c>
      <c r="R334" s="43">
        <f t="shared" ca="1" si="183"/>
        <v>0.40402760287229955</v>
      </c>
      <c r="S334" s="8">
        <v>1</v>
      </c>
      <c r="T334" s="42">
        <f t="shared" ca="1" si="201"/>
        <v>130</v>
      </c>
      <c r="V334" s="43">
        <f t="shared" ca="1" si="184"/>
        <v>0.98284590636181046</v>
      </c>
      <c r="W334" s="8">
        <v>1</v>
      </c>
      <c r="X334" s="42">
        <f t="shared" ca="1" si="202"/>
        <v>352</v>
      </c>
      <c r="Z334" s="43">
        <f t="shared" ca="1" si="185"/>
        <v>0.40514148449002629</v>
      </c>
      <c r="AA334" s="8">
        <v>1</v>
      </c>
      <c r="AB334" s="42">
        <f t="shared" ca="1" si="203"/>
        <v>253</v>
      </c>
      <c r="AD334" s="43">
        <f t="shared" ca="1" si="186"/>
        <v>0.27449854698389442</v>
      </c>
      <c r="AE334" s="8">
        <v>1</v>
      </c>
      <c r="AF334" s="42">
        <f t="shared" ca="1" si="204"/>
        <v>275</v>
      </c>
      <c r="AH334" s="43">
        <f t="shared" ca="1" si="187"/>
        <v>0.26681495104602004</v>
      </c>
      <c r="AI334" s="8">
        <v>1</v>
      </c>
      <c r="AJ334" s="42">
        <f t="shared" ca="1" si="205"/>
        <v>143</v>
      </c>
      <c r="AL334" s="43">
        <f t="shared" ca="1" si="188"/>
        <v>0.79307987187057871</v>
      </c>
      <c r="AM334" s="8">
        <v>1</v>
      </c>
      <c r="AN334" s="42">
        <f t="shared" ca="1" si="206"/>
        <v>283</v>
      </c>
      <c r="AP334" s="43">
        <f t="shared" ca="1" si="189"/>
        <v>0.40455379563398075</v>
      </c>
      <c r="AQ334" s="8">
        <v>1</v>
      </c>
      <c r="AR334" s="42">
        <f t="shared" ca="1" si="207"/>
        <v>186</v>
      </c>
      <c r="AT334" s="43">
        <f t="shared" ca="1" si="190"/>
        <v>0.90505156139319143</v>
      </c>
      <c r="AU334" s="8">
        <v>1</v>
      </c>
      <c r="AV334" s="42">
        <f t="shared" ca="1" si="208"/>
        <v>278</v>
      </c>
      <c r="AX334" s="43">
        <f t="shared" ca="1" si="191"/>
        <v>0.92831783074815877</v>
      </c>
      <c r="AY334" s="8">
        <v>1</v>
      </c>
      <c r="AZ334" s="42">
        <f t="shared" ca="1" si="209"/>
        <v>325</v>
      </c>
      <c r="BB334" s="43">
        <f t="shared" ca="1" si="192"/>
        <v>0.2114973372856197</v>
      </c>
      <c r="BC334" s="8">
        <v>1</v>
      </c>
      <c r="BD334" s="42">
        <f t="shared" ca="1" si="210"/>
        <v>158</v>
      </c>
      <c r="BF334" s="43">
        <f t="shared" ca="1" si="193"/>
        <v>0.93926725902940544</v>
      </c>
      <c r="BG334" s="8">
        <v>1</v>
      </c>
      <c r="BH334" s="42">
        <f t="shared" ca="1" si="211"/>
        <v>239</v>
      </c>
      <c r="BJ334" s="43">
        <f t="shared" ca="1" si="194"/>
        <v>0.25958933743972912</v>
      </c>
      <c r="BK334" s="8">
        <v>1</v>
      </c>
      <c r="BL334" s="42">
        <f t="shared" ca="1" si="212"/>
        <v>179</v>
      </c>
      <c r="BN334" s="43">
        <f t="shared" ca="1" si="195"/>
        <v>0.38487402873584475</v>
      </c>
      <c r="BO334" s="8">
        <v>1</v>
      </c>
      <c r="BP334" s="42">
        <f t="shared" ca="1" si="213"/>
        <v>149</v>
      </c>
      <c r="BR334" s="43">
        <f t="shared" ca="1" si="196"/>
        <v>0.84014203844577429</v>
      </c>
      <c r="BS334" s="8">
        <v>1</v>
      </c>
      <c r="BT334" s="42">
        <f t="shared" ca="1" si="214"/>
        <v>278</v>
      </c>
    </row>
    <row r="335" spans="1:72" x14ac:dyDescent="0.2">
      <c r="A335" s="22">
        <v>44882</v>
      </c>
      <c r="B335" s="43">
        <f t="shared" ca="1" si="179"/>
        <v>0.28064910093390205</v>
      </c>
      <c r="C335" s="8">
        <v>1</v>
      </c>
      <c r="D335" s="42">
        <f t="shared" ca="1" si="197"/>
        <v>89</v>
      </c>
      <c r="F335" s="43">
        <f t="shared" ca="1" si="180"/>
        <v>0.50098179340830429</v>
      </c>
      <c r="G335" s="8">
        <v>1</v>
      </c>
      <c r="H335" s="42">
        <f t="shared" ca="1" si="198"/>
        <v>216</v>
      </c>
      <c r="J335" s="43">
        <f t="shared" ca="1" si="181"/>
        <v>0.88455556427567605</v>
      </c>
      <c r="K335" s="8">
        <v>1</v>
      </c>
      <c r="L335" s="42">
        <f t="shared" ca="1" si="199"/>
        <v>198</v>
      </c>
      <c r="N335" s="43">
        <f t="shared" ca="1" si="182"/>
        <v>0.1528134634702768</v>
      </c>
      <c r="O335" s="8">
        <v>1</v>
      </c>
      <c r="P335" s="42">
        <f t="shared" ca="1" si="200"/>
        <v>167</v>
      </c>
      <c r="R335" s="43">
        <f t="shared" ca="1" si="183"/>
        <v>0.77012668997133027</v>
      </c>
      <c r="S335" s="8">
        <v>1</v>
      </c>
      <c r="T335" s="42">
        <f t="shared" ca="1" si="201"/>
        <v>167</v>
      </c>
      <c r="V335" s="43">
        <f t="shared" ca="1" si="184"/>
        <v>5.1726492234792754E-2</v>
      </c>
      <c r="W335" s="8">
        <v>1</v>
      </c>
      <c r="X335" s="42">
        <f t="shared" ca="1" si="202"/>
        <v>128</v>
      </c>
      <c r="Z335" s="43">
        <f t="shared" ca="1" si="185"/>
        <v>9.771539003617602E-2</v>
      </c>
      <c r="AA335" s="8">
        <v>1</v>
      </c>
      <c r="AB335" s="42">
        <f t="shared" ca="1" si="203"/>
        <v>177</v>
      </c>
      <c r="AD335" s="43">
        <f t="shared" ca="1" si="186"/>
        <v>0.94805043751751805</v>
      </c>
      <c r="AE335" s="8">
        <v>1</v>
      </c>
      <c r="AF335" s="42">
        <f t="shared" ca="1" si="204"/>
        <v>469</v>
      </c>
      <c r="AH335" s="43">
        <f t="shared" ca="1" si="187"/>
        <v>8.6496996518385827E-2</v>
      </c>
      <c r="AI335" s="8">
        <v>1</v>
      </c>
      <c r="AJ335" s="42">
        <f t="shared" ca="1" si="205"/>
        <v>109</v>
      </c>
      <c r="AL335" s="43">
        <f t="shared" ca="1" si="188"/>
        <v>0.77356994908024856</v>
      </c>
      <c r="AM335" s="8">
        <v>1</v>
      </c>
      <c r="AN335" s="42">
        <f t="shared" ca="1" si="206"/>
        <v>279</v>
      </c>
      <c r="AP335" s="43">
        <f t="shared" ca="1" si="189"/>
        <v>0.66494235244980981</v>
      </c>
      <c r="AQ335" s="8">
        <v>1</v>
      </c>
      <c r="AR335" s="42">
        <f t="shared" ca="1" si="207"/>
        <v>221</v>
      </c>
      <c r="AT335" s="43">
        <f t="shared" ca="1" si="190"/>
        <v>8.6451620592097211E-2</v>
      </c>
      <c r="AU335" s="8">
        <v>1</v>
      </c>
      <c r="AV335" s="42">
        <f t="shared" ca="1" si="208"/>
        <v>131</v>
      </c>
      <c r="AX335" s="43">
        <f t="shared" ca="1" si="191"/>
        <v>0.10266310860177874</v>
      </c>
      <c r="AY335" s="8">
        <v>1</v>
      </c>
      <c r="AZ335" s="42">
        <f t="shared" ca="1" si="209"/>
        <v>155</v>
      </c>
      <c r="BB335" s="43">
        <f t="shared" ca="1" si="192"/>
        <v>0.23310290447222015</v>
      </c>
      <c r="BC335" s="8">
        <v>1</v>
      </c>
      <c r="BD335" s="42">
        <f t="shared" ca="1" si="210"/>
        <v>162</v>
      </c>
      <c r="BF335" s="43">
        <f t="shared" ca="1" si="193"/>
        <v>0.4300942695735035</v>
      </c>
      <c r="BG335" s="8">
        <v>1</v>
      </c>
      <c r="BH335" s="42">
        <f t="shared" ca="1" si="211"/>
        <v>161</v>
      </c>
      <c r="BJ335" s="43">
        <f t="shared" ca="1" si="194"/>
        <v>3.7171972019488408E-2</v>
      </c>
      <c r="BK335" s="8">
        <v>1</v>
      </c>
      <c r="BL335" s="42">
        <f t="shared" ca="1" si="212"/>
        <v>114</v>
      </c>
      <c r="BN335" s="43">
        <f t="shared" ca="1" si="195"/>
        <v>0.50785585001318911</v>
      </c>
      <c r="BO335" s="8">
        <v>1</v>
      </c>
      <c r="BP335" s="42">
        <f t="shared" ca="1" si="213"/>
        <v>162</v>
      </c>
      <c r="BR335" s="43">
        <f t="shared" ca="1" si="196"/>
        <v>4.5431075986624547E-2</v>
      </c>
      <c r="BS335" s="8">
        <v>1</v>
      </c>
      <c r="BT335" s="42">
        <f t="shared" ca="1" si="214"/>
        <v>121</v>
      </c>
    </row>
    <row r="336" spans="1:72" x14ac:dyDescent="0.2">
      <c r="A336" s="22">
        <v>44883</v>
      </c>
      <c r="B336" s="43">
        <f t="shared" ca="1" si="179"/>
        <v>0.24381232523990048</v>
      </c>
      <c r="C336" s="8">
        <v>1</v>
      </c>
      <c r="D336" s="42">
        <f t="shared" ca="1" si="197"/>
        <v>87</v>
      </c>
      <c r="F336" s="43">
        <f t="shared" ca="1" si="180"/>
        <v>0.11473253813556394</v>
      </c>
      <c r="G336" s="8">
        <v>1</v>
      </c>
      <c r="H336" s="42">
        <f t="shared" ca="1" si="198"/>
        <v>147</v>
      </c>
      <c r="J336" s="43">
        <f t="shared" ca="1" si="181"/>
        <v>0.28946596669059266</v>
      </c>
      <c r="K336" s="8">
        <v>1</v>
      </c>
      <c r="L336" s="42">
        <f t="shared" ca="1" si="199"/>
        <v>128</v>
      </c>
      <c r="N336" s="43">
        <f t="shared" ca="1" si="182"/>
        <v>0.5684150308876097</v>
      </c>
      <c r="O336" s="8">
        <v>1</v>
      </c>
      <c r="P336" s="42">
        <f t="shared" ca="1" si="200"/>
        <v>240</v>
      </c>
      <c r="R336" s="43">
        <f t="shared" ca="1" si="183"/>
        <v>0.91624025151357291</v>
      </c>
      <c r="S336" s="8">
        <v>1</v>
      </c>
      <c r="T336" s="42">
        <f t="shared" ca="1" si="201"/>
        <v>190</v>
      </c>
      <c r="V336" s="43">
        <f t="shared" ca="1" si="184"/>
        <v>0.28594702471470024</v>
      </c>
      <c r="W336" s="8">
        <v>1</v>
      </c>
      <c r="X336" s="42">
        <f t="shared" ca="1" si="202"/>
        <v>192</v>
      </c>
      <c r="Z336" s="43">
        <f t="shared" ca="1" si="185"/>
        <v>0.95402718661266939</v>
      </c>
      <c r="AA336" s="8">
        <v>1</v>
      </c>
      <c r="AB336" s="42">
        <f t="shared" ca="1" si="203"/>
        <v>392</v>
      </c>
      <c r="AD336" s="43">
        <f t="shared" ca="1" si="186"/>
        <v>0.97149889113404875</v>
      </c>
      <c r="AE336" s="8">
        <v>1</v>
      </c>
      <c r="AF336" s="42">
        <f t="shared" ca="1" si="204"/>
        <v>493</v>
      </c>
      <c r="AH336" s="43">
        <f t="shared" ca="1" si="187"/>
        <v>0.90741574894569654</v>
      </c>
      <c r="AI336" s="8">
        <v>1</v>
      </c>
      <c r="AJ336" s="42">
        <f t="shared" ca="1" si="205"/>
        <v>231</v>
      </c>
      <c r="AL336" s="43">
        <f t="shared" ca="1" si="188"/>
        <v>0.31694933836546602</v>
      </c>
      <c r="AM336" s="8">
        <v>1</v>
      </c>
      <c r="AN336" s="42">
        <f t="shared" ca="1" si="206"/>
        <v>203</v>
      </c>
      <c r="AP336" s="43">
        <f t="shared" ca="1" si="189"/>
        <v>0.83972008945310539</v>
      </c>
      <c r="AQ336" s="8">
        <v>1</v>
      </c>
      <c r="AR336" s="42">
        <f t="shared" ca="1" si="207"/>
        <v>251</v>
      </c>
      <c r="AT336" s="43">
        <f t="shared" ca="1" si="190"/>
        <v>0.78098868645550668</v>
      </c>
      <c r="AU336" s="8">
        <v>1</v>
      </c>
      <c r="AV336" s="42">
        <f t="shared" ca="1" si="208"/>
        <v>248</v>
      </c>
      <c r="AX336" s="43">
        <f t="shared" ca="1" si="191"/>
        <v>0.18936256755123682</v>
      </c>
      <c r="AY336" s="8">
        <v>1</v>
      </c>
      <c r="AZ336" s="42">
        <f t="shared" ca="1" si="209"/>
        <v>179</v>
      </c>
      <c r="BB336" s="43">
        <f t="shared" ca="1" si="192"/>
        <v>0.58655489642445968</v>
      </c>
      <c r="BC336" s="8">
        <v>1</v>
      </c>
      <c r="BD336" s="42">
        <f t="shared" ca="1" si="210"/>
        <v>213</v>
      </c>
      <c r="BF336" s="43">
        <f t="shared" ca="1" si="193"/>
        <v>0.62443840572383846</v>
      </c>
      <c r="BG336" s="8">
        <v>1</v>
      </c>
      <c r="BH336" s="42">
        <f t="shared" ca="1" si="211"/>
        <v>183</v>
      </c>
      <c r="BJ336" s="43">
        <f t="shared" ca="1" si="194"/>
        <v>0.55950459122207807</v>
      </c>
      <c r="BK336" s="8">
        <v>1</v>
      </c>
      <c r="BL336" s="42">
        <f t="shared" ca="1" si="212"/>
        <v>225</v>
      </c>
      <c r="BN336" s="43">
        <f t="shared" ca="1" si="195"/>
        <v>0.6686715431690633</v>
      </c>
      <c r="BO336" s="8">
        <v>1</v>
      </c>
      <c r="BP336" s="42">
        <f t="shared" ca="1" si="213"/>
        <v>180</v>
      </c>
      <c r="BR336" s="43">
        <f t="shared" ca="1" si="196"/>
        <v>1.5827041565221744E-3</v>
      </c>
      <c r="BS336" s="8">
        <v>1</v>
      </c>
      <c r="BT336" s="42">
        <f t="shared" ca="1" si="214"/>
        <v>47</v>
      </c>
    </row>
    <row r="337" spans="1:72" x14ac:dyDescent="0.2">
      <c r="A337" s="22">
        <v>44884</v>
      </c>
      <c r="B337" s="43">
        <f t="shared" ca="1" si="179"/>
        <v>0.60689379529284904</v>
      </c>
      <c r="C337" s="8">
        <v>1</v>
      </c>
      <c r="D337" s="42">
        <f t="shared" ca="1" si="197"/>
        <v>106</v>
      </c>
      <c r="F337" s="43">
        <f t="shared" ca="1" si="180"/>
        <v>0.95641824139042708</v>
      </c>
      <c r="G337" s="8">
        <v>1</v>
      </c>
      <c r="H337" s="42">
        <f t="shared" ca="1" si="198"/>
        <v>314</v>
      </c>
      <c r="J337" s="43">
        <f t="shared" ca="1" si="181"/>
        <v>0.73688366562599439</v>
      </c>
      <c r="K337" s="8">
        <v>1</v>
      </c>
      <c r="L337" s="42">
        <f t="shared" ca="1" si="199"/>
        <v>176</v>
      </c>
      <c r="N337" s="43">
        <f t="shared" ca="1" si="182"/>
        <v>0.74068507835130959</v>
      </c>
      <c r="O337" s="8">
        <v>1</v>
      </c>
      <c r="P337" s="42">
        <f t="shared" ca="1" si="200"/>
        <v>269</v>
      </c>
      <c r="R337" s="43">
        <f t="shared" ca="1" si="183"/>
        <v>0.68056458902638706</v>
      </c>
      <c r="S337" s="8">
        <v>1</v>
      </c>
      <c r="T337" s="42">
        <f t="shared" ca="1" si="201"/>
        <v>157</v>
      </c>
      <c r="V337" s="43">
        <f t="shared" ca="1" si="184"/>
        <v>0.14412717914000717</v>
      </c>
      <c r="W337" s="8">
        <v>1</v>
      </c>
      <c r="X337" s="42">
        <f t="shared" ca="1" si="202"/>
        <v>162</v>
      </c>
      <c r="Z337" s="43">
        <f t="shared" ca="1" si="185"/>
        <v>0.36877765919562633</v>
      </c>
      <c r="AA337" s="8">
        <v>1</v>
      </c>
      <c r="AB337" s="42">
        <f t="shared" ca="1" si="203"/>
        <v>246</v>
      </c>
      <c r="AD337" s="43">
        <f t="shared" ca="1" si="186"/>
        <v>0.82011712089568767</v>
      </c>
      <c r="AE337" s="8">
        <v>1</v>
      </c>
      <c r="AF337" s="42">
        <f t="shared" ca="1" si="204"/>
        <v>407</v>
      </c>
      <c r="AH337" s="43">
        <f t="shared" ca="1" si="187"/>
        <v>0.23035970179833998</v>
      </c>
      <c r="AI337" s="8">
        <v>1</v>
      </c>
      <c r="AJ337" s="42">
        <f t="shared" ca="1" si="205"/>
        <v>137</v>
      </c>
      <c r="AL337" s="43">
        <f t="shared" ca="1" si="188"/>
        <v>0.22782388124859343</v>
      </c>
      <c r="AM337" s="8">
        <v>1</v>
      </c>
      <c r="AN337" s="42">
        <f t="shared" ca="1" si="206"/>
        <v>186</v>
      </c>
      <c r="AP337" s="43">
        <f t="shared" ca="1" si="189"/>
        <v>0.24904891518491712</v>
      </c>
      <c r="AQ337" s="8">
        <v>1</v>
      </c>
      <c r="AR337" s="42">
        <f t="shared" ca="1" si="207"/>
        <v>163</v>
      </c>
      <c r="AT337" s="43">
        <f t="shared" ca="1" si="190"/>
        <v>0.55881703624750079</v>
      </c>
      <c r="AU337" s="8">
        <v>1</v>
      </c>
      <c r="AV337" s="42">
        <f t="shared" ca="1" si="208"/>
        <v>214</v>
      </c>
      <c r="AX337" s="43">
        <f t="shared" ca="1" si="191"/>
        <v>0.47618973593061453</v>
      </c>
      <c r="AY337" s="8">
        <v>1</v>
      </c>
      <c r="AZ337" s="42">
        <f t="shared" ca="1" si="209"/>
        <v>230</v>
      </c>
      <c r="BB337" s="43">
        <f t="shared" ca="1" si="192"/>
        <v>0.7427383730351711</v>
      </c>
      <c r="BC337" s="8">
        <v>1</v>
      </c>
      <c r="BD337" s="42">
        <f t="shared" ca="1" si="210"/>
        <v>236</v>
      </c>
      <c r="BF337" s="43">
        <f t="shared" ca="1" si="193"/>
        <v>2.6113950538133479E-2</v>
      </c>
      <c r="BG337" s="8">
        <v>1</v>
      </c>
      <c r="BH337" s="42">
        <f t="shared" ca="1" si="211"/>
        <v>82</v>
      </c>
      <c r="BJ337" s="43">
        <f t="shared" ca="1" si="194"/>
        <v>0.28467263704661883</v>
      </c>
      <c r="BK337" s="8">
        <v>1</v>
      </c>
      <c r="BL337" s="42">
        <f t="shared" ca="1" si="212"/>
        <v>183</v>
      </c>
      <c r="BN337" s="43">
        <f t="shared" ca="1" si="195"/>
        <v>0.15229258196778728</v>
      </c>
      <c r="BO337" s="8">
        <v>1</v>
      </c>
      <c r="BP337" s="42">
        <f t="shared" ca="1" si="213"/>
        <v>117</v>
      </c>
      <c r="BR337" s="43">
        <f t="shared" ca="1" si="196"/>
        <v>0.81273030996286566</v>
      </c>
      <c r="BS337" s="8">
        <v>1</v>
      </c>
      <c r="BT337" s="42">
        <f t="shared" ca="1" si="214"/>
        <v>272</v>
      </c>
    </row>
    <row r="338" spans="1:72" x14ac:dyDescent="0.2">
      <c r="A338" s="22">
        <v>44885</v>
      </c>
      <c r="B338" s="43">
        <f t="shared" ca="1" si="179"/>
        <v>0.26393823315505704</v>
      </c>
      <c r="C338" s="8">
        <v>1</v>
      </c>
      <c r="D338" s="42">
        <f t="shared" ca="1" si="197"/>
        <v>88</v>
      </c>
      <c r="F338" s="43">
        <f t="shared" ca="1" si="180"/>
        <v>0.38223513639173623</v>
      </c>
      <c r="G338" s="8">
        <v>1</v>
      </c>
      <c r="H338" s="42">
        <f t="shared" ca="1" si="198"/>
        <v>199</v>
      </c>
      <c r="J338" s="43">
        <f t="shared" ca="1" si="181"/>
        <v>0.28157994254976881</v>
      </c>
      <c r="K338" s="8">
        <v>1</v>
      </c>
      <c r="L338" s="42">
        <f t="shared" ca="1" si="199"/>
        <v>127</v>
      </c>
      <c r="N338" s="43">
        <f t="shared" ca="1" si="182"/>
        <v>0.42413281542345505</v>
      </c>
      <c r="O338" s="8">
        <v>1</v>
      </c>
      <c r="P338" s="42">
        <f t="shared" ca="1" si="200"/>
        <v>218</v>
      </c>
      <c r="R338" s="43">
        <f t="shared" ca="1" si="183"/>
        <v>0.66248793329865641</v>
      </c>
      <c r="S338" s="8">
        <v>1</v>
      </c>
      <c r="T338" s="42">
        <f t="shared" ca="1" si="201"/>
        <v>155</v>
      </c>
      <c r="V338" s="43">
        <f t="shared" ca="1" si="184"/>
        <v>0.27221439472828113</v>
      </c>
      <c r="W338" s="8">
        <v>1</v>
      </c>
      <c r="X338" s="42">
        <f t="shared" ca="1" si="202"/>
        <v>189</v>
      </c>
      <c r="Z338" s="43">
        <f t="shared" ca="1" si="185"/>
        <v>0.20527008247179201</v>
      </c>
      <c r="AA338" s="8">
        <v>1</v>
      </c>
      <c r="AB338" s="42">
        <f t="shared" ca="1" si="203"/>
        <v>211</v>
      </c>
      <c r="AD338" s="43">
        <f t="shared" ca="1" si="186"/>
        <v>0.93840543987591452</v>
      </c>
      <c r="AE338" s="8">
        <v>1</v>
      </c>
      <c r="AF338" s="42">
        <f t="shared" ca="1" si="204"/>
        <v>462</v>
      </c>
      <c r="AH338" s="43">
        <f t="shared" ca="1" si="187"/>
        <v>0.1352824719054051</v>
      </c>
      <c r="AI338" s="8">
        <v>1</v>
      </c>
      <c r="AJ338" s="42">
        <f t="shared" ca="1" si="205"/>
        <v>121</v>
      </c>
      <c r="AL338" s="43">
        <f t="shared" ca="1" si="188"/>
        <v>0.39486353851487088</v>
      </c>
      <c r="AM338" s="8">
        <v>1</v>
      </c>
      <c r="AN338" s="42">
        <f t="shared" ca="1" si="206"/>
        <v>216</v>
      </c>
      <c r="AP338" s="43">
        <f t="shared" ca="1" si="189"/>
        <v>0.59189720522957578</v>
      </c>
      <c r="AQ338" s="8">
        <v>1</v>
      </c>
      <c r="AR338" s="42">
        <f t="shared" ca="1" si="207"/>
        <v>211</v>
      </c>
      <c r="AT338" s="43">
        <f t="shared" ca="1" si="190"/>
        <v>0.75032773089958726</v>
      </c>
      <c r="AU338" s="8">
        <v>1</v>
      </c>
      <c r="AV338" s="42">
        <f t="shared" ca="1" si="208"/>
        <v>243</v>
      </c>
      <c r="AX338" s="43">
        <f t="shared" ca="1" si="191"/>
        <v>0.73065001568135646</v>
      </c>
      <c r="AY338" s="8">
        <v>1</v>
      </c>
      <c r="AZ338" s="42">
        <f t="shared" ca="1" si="209"/>
        <v>272</v>
      </c>
      <c r="BB338" s="43">
        <f t="shared" ca="1" si="192"/>
        <v>0.18129293114971279</v>
      </c>
      <c r="BC338" s="8">
        <v>1</v>
      </c>
      <c r="BD338" s="42">
        <f t="shared" ca="1" si="210"/>
        <v>152</v>
      </c>
      <c r="BF338" s="43">
        <f t="shared" ca="1" si="193"/>
        <v>0.21083703198765857</v>
      </c>
      <c r="BG338" s="8">
        <v>1</v>
      </c>
      <c r="BH338" s="42">
        <f t="shared" ca="1" si="211"/>
        <v>133</v>
      </c>
      <c r="BJ338" s="43">
        <f t="shared" ca="1" si="194"/>
        <v>0.63240245519047</v>
      </c>
      <c r="BK338" s="8">
        <v>1</v>
      </c>
      <c r="BL338" s="42">
        <f t="shared" ca="1" si="212"/>
        <v>236</v>
      </c>
      <c r="BN338" s="43">
        <f t="shared" ca="1" si="195"/>
        <v>0.37150362775063361</v>
      </c>
      <c r="BO338" s="8">
        <v>1</v>
      </c>
      <c r="BP338" s="42">
        <f t="shared" ca="1" si="213"/>
        <v>147</v>
      </c>
      <c r="BR338" s="43">
        <f t="shared" ca="1" si="196"/>
        <v>6.6636164851463286E-2</v>
      </c>
      <c r="BS338" s="8">
        <v>1</v>
      </c>
      <c r="BT338" s="42">
        <f t="shared" ca="1" si="214"/>
        <v>132</v>
      </c>
    </row>
    <row r="339" spans="1:72" x14ac:dyDescent="0.2">
      <c r="A339" s="22">
        <v>44886</v>
      </c>
      <c r="B339" s="43">
        <f t="shared" ca="1" si="179"/>
        <v>0.34394851015843664</v>
      </c>
      <c r="C339" s="8">
        <v>1</v>
      </c>
      <c r="D339" s="42">
        <f t="shared" ca="1" si="197"/>
        <v>92</v>
      </c>
      <c r="F339" s="43">
        <f t="shared" ca="1" si="180"/>
        <v>0.82716456238892855</v>
      </c>
      <c r="G339" s="8">
        <v>1</v>
      </c>
      <c r="H339" s="42">
        <f t="shared" ca="1" si="198"/>
        <v>270</v>
      </c>
      <c r="J339" s="43">
        <f t="shared" ca="1" si="181"/>
        <v>0.93636247447537269</v>
      </c>
      <c r="K339" s="8">
        <v>1</v>
      </c>
      <c r="L339" s="42">
        <f t="shared" ca="1" si="199"/>
        <v>211</v>
      </c>
      <c r="N339" s="43">
        <f t="shared" ca="1" si="182"/>
        <v>0.5241507147520017</v>
      </c>
      <c r="O339" s="8">
        <v>1</v>
      </c>
      <c r="P339" s="42">
        <f t="shared" ca="1" si="200"/>
        <v>234</v>
      </c>
      <c r="R339" s="43">
        <f t="shared" ca="1" si="183"/>
        <v>0.51889284896464016</v>
      </c>
      <c r="S339" s="8">
        <v>1</v>
      </c>
      <c r="T339" s="42">
        <f t="shared" ca="1" si="201"/>
        <v>141</v>
      </c>
      <c r="V339" s="43">
        <f t="shared" ca="1" si="184"/>
        <v>0.55823354555304028</v>
      </c>
      <c r="W339" s="8">
        <v>1</v>
      </c>
      <c r="X339" s="42">
        <f t="shared" ca="1" si="202"/>
        <v>234</v>
      </c>
      <c r="Z339" s="43">
        <f t="shared" ca="1" si="185"/>
        <v>0.7062022171200214</v>
      </c>
      <c r="AA339" s="8">
        <v>1</v>
      </c>
      <c r="AB339" s="42">
        <f t="shared" ca="1" si="203"/>
        <v>310</v>
      </c>
      <c r="AD339" s="43">
        <f t="shared" ca="1" si="186"/>
        <v>0.38411082469155955</v>
      </c>
      <c r="AE339" s="8">
        <v>1</v>
      </c>
      <c r="AF339" s="42">
        <f t="shared" ca="1" si="204"/>
        <v>302</v>
      </c>
      <c r="AH339" s="43">
        <f t="shared" ca="1" si="187"/>
        <v>0.80182131429785131</v>
      </c>
      <c r="AI339" s="8">
        <v>1</v>
      </c>
      <c r="AJ339" s="42">
        <f t="shared" ca="1" si="205"/>
        <v>209</v>
      </c>
      <c r="AL339" s="43">
        <f t="shared" ca="1" si="188"/>
        <v>0.17487527853825713</v>
      </c>
      <c r="AM339" s="8">
        <v>1</v>
      </c>
      <c r="AN339" s="42">
        <f t="shared" ca="1" si="206"/>
        <v>175</v>
      </c>
      <c r="AP339" s="43">
        <f t="shared" ca="1" si="189"/>
        <v>0.64352167967062235</v>
      </c>
      <c r="AQ339" s="8">
        <v>1</v>
      </c>
      <c r="AR339" s="42">
        <f t="shared" ca="1" si="207"/>
        <v>218</v>
      </c>
      <c r="AT339" s="43">
        <f t="shared" ca="1" si="190"/>
        <v>0.29040135542427903</v>
      </c>
      <c r="AU339" s="8">
        <v>1</v>
      </c>
      <c r="AV339" s="42">
        <f t="shared" ca="1" si="208"/>
        <v>176</v>
      </c>
      <c r="AX339" s="43">
        <f t="shared" ca="1" si="191"/>
        <v>0.2002325332124627</v>
      </c>
      <c r="AY339" s="8">
        <v>1</v>
      </c>
      <c r="AZ339" s="42">
        <f t="shared" ca="1" si="209"/>
        <v>182</v>
      </c>
      <c r="BB339" s="43">
        <f t="shared" ca="1" si="192"/>
        <v>0.63156693579167678</v>
      </c>
      <c r="BC339" s="8">
        <v>1</v>
      </c>
      <c r="BD339" s="42">
        <f t="shared" ca="1" si="210"/>
        <v>219</v>
      </c>
      <c r="BF339" s="43">
        <f t="shared" ca="1" si="193"/>
        <v>0.43148600383169489</v>
      </c>
      <c r="BG339" s="8">
        <v>1</v>
      </c>
      <c r="BH339" s="42">
        <f t="shared" ca="1" si="211"/>
        <v>161</v>
      </c>
      <c r="BJ339" s="43">
        <f t="shared" ca="1" si="194"/>
        <v>0.90023231000578186</v>
      </c>
      <c r="BK339" s="8">
        <v>1</v>
      </c>
      <c r="BL339" s="42">
        <f t="shared" ca="1" si="212"/>
        <v>290</v>
      </c>
      <c r="BN339" s="43">
        <f t="shared" ca="1" si="195"/>
        <v>0.50761619264790769</v>
      </c>
      <c r="BO339" s="8">
        <v>1</v>
      </c>
      <c r="BP339" s="42">
        <f t="shared" ca="1" si="213"/>
        <v>162</v>
      </c>
      <c r="BR339" s="43">
        <f t="shared" ca="1" si="196"/>
        <v>0.93529921116602621</v>
      </c>
      <c r="BS339" s="8">
        <v>1</v>
      </c>
      <c r="BT339" s="42">
        <f t="shared" ca="1" si="214"/>
        <v>308</v>
      </c>
    </row>
    <row r="340" spans="1:72" x14ac:dyDescent="0.2">
      <c r="A340" s="22">
        <v>44887</v>
      </c>
      <c r="B340" s="43">
        <f t="shared" ca="1" si="179"/>
        <v>0.1564604521484384</v>
      </c>
      <c r="C340" s="8">
        <v>1</v>
      </c>
      <c r="D340" s="42">
        <f t="shared" ca="1" si="197"/>
        <v>80</v>
      </c>
      <c r="F340" s="43">
        <f t="shared" ca="1" si="180"/>
        <v>0.10451903104147631</v>
      </c>
      <c r="G340" s="8">
        <v>1</v>
      </c>
      <c r="H340" s="42">
        <f t="shared" ca="1" si="198"/>
        <v>144</v>
      </c>
      <c r="J340" s="43">
        <f t="shared" ca="1" si="181"/>
        <v>0.79798089778634762</v>
      </c>
      <c r="K340" s="8">
        <v>1</v>
      </c>
      <c r="L340" s="42">
        <f t="shared" ca="1" si="199"/>
        <v>184</v>
      </c>
      <c r="N340" s="43">
        <f t="shared" ca="1" si="182"/>
        <v>0.34937715580053563</v>
      </c>
      <c r="O340" s="8">
        <v>1</v>
      </c>
      <c r="P340" s="42">
        <f t="shared" ca="1" si="200"/>
        <v>206</v>
      </c>
      <c r="R340" s="43">
        <f t="shared" ca="1" si="183"/>
        <v>0.71305260129870962</v>
      </c>
      <c r="S340" s="8">
        <v>1</v>
      </c>
      <c r="T340" s="42">
        <f t="shared" ca="1" si="201"/>
        <v>160</v>
      </c>
      <c r="V340" s="43">
        <f t="shared" ca="1" si="184"/>
        <v>0.37472342964423322</v>
      </c>
      <c r="W340" s="8">
        <v>1</v>
      </c>
      <c r="X340" s="42">
        <f t="shared" ca="1" si="202"/>
        <v>206</v>
      </c>
      <c r="Z340" s="43">
        <f t="shared" ca="1" si="185"/>
        <v>0.17906215170213413</v>
      </c>
      <c r="AA340" s="8">
        <v>1</v>
      </c>
      <c r="AB340" s="42">
        <f t="shared" ca="1" si="203"/>
        <v>204</v>
      </c>
      <c r="AD340" s="43">
        <f t="shared" ca="1" si="186"/>
        <v>0.33731889133846549</v>
      </c>
      <c r="AE340" s="8">
        <v>1</v>
      </c>
      <c r="AF340" s="42">
        <f t="shared" ca="1" si="204"/>
        <v>291</v>
      </c>
      <c r="AH340" s="43">
        <f t="shared" ca="1" si="187"/>
        <v>0.80275596955304318</v>
      </c>
      <c r="AI340" s="8">
        <v>1</v>
      </c>
      <c r="AJ340" s="42">
        <f t="shared" ca="1" si="205"/>
        <v>210</v>
      </c>
      <c r="AL340" s="43">
        <f t="shared" ca="1" si="188"/>
        <v>0.60274926062330281</v>
      </c>
      <c r="AM340" s="8">
        <v>1</v>
      </c>
      <c r="AN340" s="42">
        <f t="shared" ca="1" si="206"/>
        <v>249</v>
      </c>
      <c r="AP340" s="43">
        <f t="shared" ca="1" si="189"/>
        <v>0.14629238149102131</v>
      </c>
      <c r="AQ340" s="8">
        <v>1</v>
      </c>
      <c r="AR340" s="42">
        <f t="shared" ca="1" si="207"/>
        <v>143</v>
      </c>
      <c r="AT340" s="43">
        <f t="shared" ca="1" si="190"/>
        <v>0.205545521153638</v>
      </c>
      <c r="AU340" s="8">
        <v>1</v>
      </c>
      <c r="AV340" s="42">
        <f t="shared" ca="1" si="208"/>
        <v>161</v>
      </c>
      <c r="AX340" s="43">
        <f t="shared" ca="1" si="191"/>
        <v>0.48069684200005469</v>
      </c>
      <c r="AY340" s="8">
        <v>1</v>
      </c>
      <c r="AZ340" s="42">
        <f t="shared" ca="1" si="209"/>
        <v>231</v>
      </c>
      <c r="BB340" s="43">
        <f t="shared" ca="1" si="192"/>
        <v>0.58795611562843042</v>
      </c>
      <c r="BC340" s="8">
        <v>1</v>
      </c>
      <c r="BD340" s="42">
        <f t="shared" ca="1" si="210"/>
        <v>213</v>
      </c>
      <c r="BF340" s="43">
        <f t="shared" ca="1" si="193"/>
        <v>0.1587634458699172</v>
      </c>
      <c r="BG340" s="8">
        <v>1</v>
      </c>
      <c r="BH340" s="42">
        <f t="shared" ca="1" si="211"/>
        <v>124</v>
      </c>
      <c r="BJ340" s="43">
        <f t="shared" ca="1" si="194"/>
        <v>2.1942945119847845E-2</v>
      </c>
      <c r="BK340" s="8">
        <v>1</v>
      </c>
      <c r="BL340" s="42">
        <f t="shared" ca="1" si="212"/>
        <v>100</v>
      </c>
      <c r="BN340" s="43">
        <f t="shared" ca="1" si="195"/>
        <v>0.62106258994523067</v>
      </c>
      <c r="BO340" s="8">
        <v>1</v>
      </c>
      <c r="BP340" s="42">
        <f t="shared" ca="1" si="213"/>
        <v>174</v>
      </c>
      <c r="BR340" s="43">
        <f t="shared" ca="1" si="196"/>
        <v>0.20050696381651778</v>
      </c>
      <c r="BS340" s="8">
        <v>1</v>
      </c>
      <c r="BT340" s="42">
        <f t="shared" ca="1" si="214"/>
        <v>171</v>
      </c>
    </row>
    <row r="341" spans="1:72" x14ac:dyDescent="0.2">
      <c r="A341" s="22">
        <v>44888</v>
      </c>
      <c r="B341" s="43">
        <f t="shared" ca="1" si="179"/>
        <v>0.31730378957262328</v>
      </c>
      <c r="C341" s="8">
        <v>1</v>
      </c>
      <c r="D341" s="42">
        <f t="shared" ca="1" si="197"/>
        <v>91</v>
      </c>
      <c r="F341" s="43">
        <f t="shared" ca="1" si="180"/>
        <v>0.38219926091244161</v>
      </c>
      <c r="G341" s="8">
        <v>1</v>
      </c>
      <c r="H341" s="42">
        <f t="shared" ca="1" si="198"/>
        <v>199</v>
      </c>
      <c r="J341" s="43">
        <f t="shared" ca="1" si="181"/>
        <v>0.8180140429536733</v>
      </c>
      <c r="K341" s="8">
        <v>1</v>
      </c>
      <c r="L341" s="42">
        <f t="shared" ca="1" si="199"/>
        <v>187</v>
      </c>
      <c r="N341" s="43">
        <f t="shared" ca="1" si="182"/>
        <v>0.36756033572689895</v>
      </c>
      <c r="O341" s="8">
        <v>1</v>
      </c>
      <c r="P341" s="42">
        <f t="shared" ca="1" si="200"/>
        <v>209</v>
      </c>
      <c r="R341" s="43">
        <f t="shared" ca="1" si="183"/>
        <v>0.24327260622824776</v>
      </c>
      <c r="S341" s="8">
        <v>1</v>
      </c>
      <c r="T341" s="42">
        <f t="shared" ca="1" si="201"/>
        <v>114</v>
      </c>
      <c r="V341" s="43">
        <f t="shared" ca="1" si="184"/>
        <v>0.70385810592873088</v>
      </c>
      <c r="W341" s="8">
        <v>1</v>
      </c>
      <c r="X341" s="42">
        <f t="shared" ca="1" si="202"/>
        <v>258</v>
      </c>
      <c r="Z341" s="43">
        <f t="shared" ca="1" si="185"/>
        <v>0.66930461523492069</v>
      </c>
      <c r="AA341" s="8">
        <v>1</v>
      </c>
      <c r="AB341" s="42">
        <f t="shared" ca="1" si="203"/>
        <v>302</v>
      </c>
      <c r="AD341" s="43">
        <f t="shared" ca="1" si="186"/>
        <v>8.47033395576684E-2</v>
      </c>
      <c r="AE341" s="8">
        <v>1</v>
      </c>
      <c r="AF341" s="42">
        <f t="shared" ca="1" si="204"/>
        <v>208</v>
      </c>
      <c r="AH341" s="43">
        <f t="shared" ca="1" si="187"/>
        <v>0.76754387184488482</v>
      </c>
      <c r="AI341" s="8">
        <v>1</v>
      </c>
      <c r="AJ341" s="42">
        <f t="shared" ca="1" si="205"/>
        <v>204</v>
      </c>
      <c r="AL341" s="43">
        <f t="shared" ca="1" si="188"/>
        <v>0.91624317485115925</v>
      </c>
      <c r="AM341" s="8">
        <v>1</v>
      </c>
      <c r="AN341" s="42">
        <f t="shared" ca="1" si="206"/>
        <v>318</v>
      </c>
      <c r="AP341" s="43">
        <f t="shared" ca="1" si="189"/>
        <v>9.0737625566429614E-2</v>
      </c>
      <c r="AQ341" s="8">
        <v>1</v>
      </c>
      <c r="AR341" s="42">
        <f t="shared" ca="1" si="207"/>
        <v>128</v>
      </c>
      <c r="AT341" s="43">
        <f t="shared" ca="1" si="190"/>
        <v>0.56475780705344059</v>
      </c>
      <c r="AU341" s="8">
        <v>1</v>
      </c>
      <c r="AV341" s="42">
        <f t="shared" ca="1" si="208"/>
        <v>215</v>
      </c>
      <c r="AX341" s="43">
        <f t="shared" ca="1" si="191"/>
        <v>0.38808199575215796</v>
      </c>
      <c r="AY341" s="8">
        <v>1</v>
      </c>
      <c r="AZ341" s="42">
        <f t="shared" ca="1" si="209"/>
        <v>216</v>
      </c>
      <c r="BB341" s="43">
        <f t="shared" ca="1" si="192"/>
        <v>0.11202769200073337</v>
      </c>
      <c r="BC341" s="8">
        <v>1</v>
      </c>
      <c r="BD341" s="42">
        <f t="shared" ca="1" si="210"/>
        <v>136</v>
      </c>
      <c r="BF341" s="43">
        <f t="shared" ca="1" si="193"/>
        <v>0.14480986239159988</v>
      </c>
      <c r="BG341" s="8">
        <v>1</v>
      </c>
      <c r="BH341" s="42">
        <f t="shared" ca="1" si="211"/>
        <v>121</v>
      </c>
      <c r="BJ341" s="43">
        <f t="shared" ca="1" si="194"/>
        <v>0.72250037279820833</v>
      </c>
      <c r="BK341" s="8">
        <v>1</v>
      </c>
      <c r="BL341" s="42">
        <f t="shared" ca="1" si="212"/>
        <v>250</v>
      </c>
      <c r="BN341" s="43">
        <f t="shared" ca="1" si="195"/>
        <v>0.11633204026054633</v>
      </c>
      <c r="BO341" s="8">
        <v>1</v>
      </c>
      <c r="BP341" s="42">
        <f t="shared" ca="1" si="213"/>
        <v>110</v>
      </c>
      <c r="BR341" s="43">
        <f t="shared" ca="1" si="196"/>
        <v>0.53132604314983356</v>
      </c>
      <c r="BS341" s="8">
        <v>1</v>
      </c>
      <c r="BT341" s="42">
        <f t="shared" ca="1" si="214"/>
        <v>224</v>
      </c>
    </row>
    <row r="342" spans="1:72" x14ac:dyDescent="0.2">
      <c r="A342" s="22">
        <v>44889</v>
      </c>
      <c r="B342" s="43">
        <f t="shared" ca="1" si="179"/>
        <v>6.7259166680843196E-2</v>
      </c>
      <c r="C342" s="8">
        <v>1</v>
      </c>
      <c r="D342" s="42">
        <f t="shared" ca="1" si="197"/>
        <v>71</v>
      </c>
      <c r="F342" s="43">
        <f t="shared" ca="1" si="180"/>
        <v>0.14711431599734981</v>
      </c>
      <c r="G342" s="8">
        <v>1</v>
      </c>
      <c r="H342" s="42">
        <f t="shared" ca="1" si="198"/>
        <v>156</v>
      </c>
      <c r="J342" s="43">
        <f t="shared" ca="1" si="181"/>
        <v>6.1809394496242009E-2</v>
      </c>
      <c r="K342" s="8">
        <v>1</v>
      </c>
      <c r="L342" s="42">
        <f t="shared" ca="1" si="199"/>
        <v>89</v>
      </c>
      <c r="N342" s="43">
        <f t="shared" ca="1" si="182"/>
        <v>0.24376146654782349</v>
      </c>
      <c r="O342" s="8">
        <v>1</v>
      </c>
      <c r="P342" s="42">
        <f t="shared" ca="1" si="200"/>
        <v>187</v>
      </c>
      <c r="R342" s="43">
        <f t="shared" ca="1" si="183"/>
        <v>0.83128842110602641</v>
      </c>
      <c r="S342" s="8">
        <v>1</v>
      </c>
      <c r="T342" s="42">
        <f t="shared" ca="1" si="201"/>
        <v>175</v>
      </c>
      <c r="V342" s="43">
        <f t="shared" ca="1" si="184"/>
        <v>0.79057629171111587</v>
      </c>
      <c r="W342" s="8">
        <v>1</v>
      </c>
      <c r="X342" s="42">
        <f t="shared" ca="1" si="202"/>
        <v>274</v>
      </c>
      <c r="Z342" s="43">
        <f t="shared" ca="1" si="185"/>
        <v>0.27523028442156927</v>
      </c>
      <c r="AA342" s="8">
        <v>1</v>
      </c>
      <c r="AB342" s="42">
        <f t="shared" ca="1" si="203"/>
        <v>228</v>
      </c>
      <c r="AD342" s="43">
        <f t="shared" ca="1" si="186"/>
        <v>0.29352161667116861</v>
      </c>
      <c r="AE342" s="8">
        <v>1</v>
      </c>
      <c r="AF342" s="42">
        <f t="shared" ca="1" si="204"/>
        <v>280</v>
      </c>
      <c r="AH342" s="43">
        <f t="shared" ca="1" si="187"/>
        <v>0.96945170376413481</v>
      </c>
      <c r="AI342" s="8">
        <v>1</v>
      </c>
      <c r="AJ342" s="42">
        <f t="shared" ca="1" si="205"/>
        <v>256</v>
      </c>
      <c r="AL342" s="43">
        <f t="shared" ca="1" si="188"/>
        <v>0.14053543159073234</v>
      </c>
      <c r="AM342" s="8">
        <v>1</v>
      </c>
      <c r="AN342" s="42">
        <f t="shared" ca="1" si="206"/>
        <v>166</v>
      </c>
      <c r="AP342" s="43">
        <f t="shared" ca="1" si="189"/>
        <v>0.29878083763460572</v>
      </c>
      <c r="AQ342" s="8">
        <v>1</v>
      </c>
      <c r="AR342" s="42">
        <f t="shared" ca="1" si="207"/>
        <v>171</v>
      </c>
      <c r="AT342" s="43">
        <f t="shared" ca="1" si="190"/>
        <v>0.14431624261398412</v>
      </c>
      <c r="AU342" s="8">
        <v>1</v>
      </c>
      <c r="AV342" s="42">
        <f t="shared" ca="1" si="208"/>
        <v>148</v>
      </c>
      <c r="AX342" s="43">
        <f t="shared" ca="1" si="191"/>
        <v>0.14462744841805841</v>
      </c>
      <c r="AY342" s="8">
        <v>1</v>
      </c>
      <c r="AZ342" s="42">
        <f t="shared" ca="1" si="209"/>
        <v>168</v>
      </c>
      <c r="BB342" s="43">
        <f t="shared" ca="1" si="192"/>
        <v>4.8052983065792754E-2</v>
      </c>
      <c r="BC342" s="8">
        <v>1</v>
      </c>
      <c r="BD342" s="42">
        <f t="shared" ca="1" si="210"/>
        <v>112</v>
      </c>
      <c r="BF342" s="43">
        <f t="shared" ca="1" si="193"/>
        <v>0.93482453096118268</v>
      </c>
      <c r="BG342" s="8">
        <v>1</v>
      </c>
      <c r="BH342" s="42">
        <f t="shared" ca="1" si="211"/>
        <v>237</v>
      </c>
      <c r="BJ342" s="43">
        <f t="shared" ca="1" si="194"/>
        <v>0.27066070263068209</v>
      </c>
      <c r="BK342" s="8">
        <v>1</v>
      </c>
      <c r="BL342" s="42">
        <f t="shared" ca="1" si="212"/>
        <v>181</v>
      </c>
      <c r="BN342" s="43">
        <f t="shared" ca="1" si="195"/>
        <v>0.35009286964226916</v>
      </c>
      <c r="BO342" s="8">
        <v>1</v>
      </c>
      <c r="BP342" s="42">
        <f t="shared" ca="1" si="213"/>
        <v>145</v>
      </c>
      <c r="BR342" s="43">
        <f t="shared" ca="1" si="196"/>
        <v>0.63879293404982973</v>
      </c>
      <c r="BS342" s="8">
        <v>1</v>
      </c>
      <c r="BT342" s="42">
        <f t="shared" ca="1" si="214"/>
        <v>241</v>
      </c>
    </row>
    <row r="343" spans="1:72" x14ac:dyDescent="0.2">
      <c r="A343" s="22">
        <v>44890</v>
      </c>
      <c r="B343" s="43">
        <f t="shared" ca="1" si="179"/>
        <v>0.77055811738564306</v>
      </c>
      <c r="C343" s="8">
        <v>1</v>
      </c>
      <c r="D343" s="42">
        <f t="shared" ca="1" si="197"/>
        <v>115</v>
      </c>
      <c r="F343" s="43">
        <f t="shared" ca="1" si="180"/>
        <v>8.7315672233620911E-2</v>
      </c>
      <c r="G343" s="8">
        <v>1</v>
      </c>
      <c r="H343" s="42">
        <f t="shared" ca="1" si="198"/>
        <v>138</v>
      </c>
      <c r="J343" s="43">
        <f t="shared" ca="1" si="181"/>
        <v>0.73354324601655208</v>
      </c>
      <c r="K343" s="8">
        <v>1</v>
      </c>
      <c r="L343" s="42">
        <f t="shared" ca="1" si="199"/>
        <v>175</v>
      </c>
      <c r="N343" s="43">
        <f t="shared" ca="1" si="182"/>
        <v>0.8209230391447524</v>
      </c>
      <c r="O343" s="8">
        <v>1</v>
      </c>
      <c r="P343" s="42">
        <f t="shared" ca="1" si="200"/>
        <v>286</v>
      </c>
      <c r="R343" s="43">
        <f t="shared" ca="1" si="183"/>
        <v>0.22697467361653156</v>
      </c>
      <c r="S343" s="8">
        <v>1</v>
      </c>
      <c r="T343" s="42">
        <f t="shared" ca="1" si="201"/>
        <v>112</v>
      </c>
      <c r="V343" s="43">
        <f t="shared" ca="1" si="184"/>
        <v>0.13662231404984604</v>
      </c>
      <c r="W343" s="8">
        <v>1</v>
      </c>
      <c r="X343" s="42">
        <f t="shared" ca="1" si="202"/>
        <v>160</v>
      </c>
      <c r="Z343" s="43">
        <f t="shared" ca="1" si="185"/>
        <v>0.12187349544013937</v>
      </c>
      <c r="AA343" s="8">
        <v>1</v>
      </c>
      <c r="AB343" s="42">
        <f t="shared" ca="1" si="203"/>
        <v>187</v>
      </c>
      <c r="AD343" s="43">
        <f t="shared" ca="1" si="186"/>
        <v>0.43397883616449218</v>
      </c>
      <c r="AE343" s="8">
        <v>1</v>
      </c>
      <c r="AF343" s="42">
        <f t="shared" ca="1" si="204"/>
        <v>313</v>
      </c>
      <c r="AH343" s="43">
        <f t="shared" ca="1" si="187"/>
        <v>0.87002103712090584</v>
      </c>
      <c r="AI343" s="8">
        <v>1</v>
      </c>
      <c r="AJ343" s="42">
        <f t="shared" ca="1" si="205"/>
        <v>222</v>
      </c>
      <c r="AL343" s="43">
        <f t="shared" ca="1" si="188"/>
        <v>0.93485518973788806</v>
      </c>
      <c r="AM343" s="8">
        <v>1</v>
      </c>
      <c r="AN343" s="42">
        <f t="shared" ca="1" si="206"/>
        <v>326</v>
      </c>
      <c r="AP343" s="43">
        <f t="shared" ca="1" si="189"/>
        <v>0.11011385671979346</v>
      </c>
      <c r="AQ343" s="8">
        <v>1</v>
      </c>
      <c r="AR343" s="42">
        <f t="shared" ca="1" si="207"/>
        <v>134</v>
      </c>
      <c r="AT343" s="43">
        <f t="shared" ca="1" si="190"/>
        <v>0.55914199335669668</v>
      </c>
      <c r="AU343" s="8">
        <v>1</v>
      </c>
      <c r="AV343" s="42">
        <f t="shared" ca="1" si="208"/>
        <v>214</v>
      </c>
      <c r="AX343" s="43">
        <f t="shared" ca="1" si="191"/>
        <v>0.61953409267578352</v>
      </c>
      <c r="AY343" s="8">
        <v>1</v>
      </c>
      <c r="AZ343" s="42">
        <f t="shared" ca="1" si="209"/>
        <v>253</v>
      </c>
      <c r="BB343" s="43">
        <f t="shared" ca="1" si="192"/>
        <v>4.4566619789789819E-2</v>
      </c>
      <c r="BC343" s="8">
        <v>1</v>
      </c>
      <c r="BD343" s="42">
        <f t="shared" ca="1" si="210"/>
        <v>110</v>
      </c>
      <c r="BF343" s="43">
        <f t="shared" ca="1" si="193"/>
        <v>0.49907760325737194</v>
      </c>
      <c r="BG343" s="8">
        <v>1</v>
      </c>
      <c r="BH343" s="42">
        <f t="shared" ca="1" si="211"/>
        <v>169</v>
      </c>
      <c r="BJ343" s="43">
        <f t="shared" ca="1" si="194"/>
        <v>0.89668792082131032</v>
      </c>
      <c r="BK343" s="8">
        <v>1</v>
      </c>
      <c r="BL343" s="42">
        <f t="shared" ca="1" si="212"/>
        <v>289</v>
      </c>
      <c r="BN343" s="43">
        <f t="shared" ca="1" si="195"/>
        <v>0.17972719893511635</v>
      </c>
      <c r="BO343" s="8">
        <v>1</v>
      </c>
      <c r="BP343" s="42">
        <f t="shared" ca="1" si="213"/>
        <v>122</v>
      </c>
      <c r="BR343" s="43">
        <f t="shared" ca="1" si="196"/>
        <v>0.42663961751779889</v>
      </c>
      <c r="BS343" s="8">
        <v>1</v>
      </c>
      <c r="BT343" s="42">
        <f t="shared" ca="1" si="214"/>
        <v>209</v>
      </c>
    </row>
    <row r="344" spans="1:72" x14ac:dyDescent="0.2">
      <c r="A344" s="22">
        <v>44891</v>
      </c>
      <c r="B344" s="43">
        <f t="shared" ca="1" si="179"/>
        <v>0.23080988788420254</v>
      </c>
      <c r="C344" s="8">
        <v>1</v>
      </c>
      <c r="D344" s="42">
        <f t="shared" ca="1" si="197"/>
        <v>86</v>
      </c>
      <c r="F344" s="43">
        <f t="shared" ca="1" si="180"/>
        <v>0.1039521683148884</v>
      </c>
      <c r="G344" s="8">
        <v>1</v>
      </c>
      <c r="H344" s="42">
        <f t="shared" ca="1" si="198"/>
        <v>144</v>
      </c>
      <c r="J344" s="43">
        <f t="shared" ca="1" si="181"/>
        <v>7.0700385199609861E-2</v>
      </c>
      <c r="K344" s="8">
        <v>1</v>
      </c>
      <c r="L344" s="42">
        <f t="shared" ca="1" si="199"/>
        <v>92</v>
      </c>
      <c r="N344" s="43">
        <f t="shared" ca="1" si="182"/>
        <v>0.59750071346844735</v>
      </c>
      <c r="O344" s="8">
        <v>1</v>
      </c>
      <c r="P344" s="42">
        <f t="shared" ca="1" si="200"/>
        <v>245</v>
      </c>
      <c r="R344" s="43">
        <f t="shared" ca="1" si="183"/>
        <v>0.54940111347719556</v>
      </c>
      <c r="S344" s="8">
        <v>1</v>
      </c>
      <c r="T344" s="42">
        <f t="shared" ca="1" si="201"/>
        <v>144</v>
      </c>
      <c r="V344" s="43">
        <f t="shared" ca="1" si="184"/>
        <v>6.4957367887408246E-3</v>
      </c>
      <c r="W344" s="8">
        <v>1</v>
      </c>
      <c r="X344" s="42">
        <f t="shared" ca="1" si="202"/>
        <v>76</v>
      </c>
      <c r="Z344" s="43">
        <f t="shared" ca="1" si="185"/>
        <v>0.61138605190838513</v>
      </c>
      <c r="AA344" s="8">
        <v>1</v>
      </c>
      <c r="AB344" s="42">
        <f t="shared" ca="1" si="203"/>
        <v>291</v>
      </c>
      <c r="AD344" s="43">
        <f t="shared" ca="1" si="186"/>
        <v>0.74403708471167751</v>
      </c>
      <c r="AE344" s="8">
        <v>1</v>
      </c>
      <c r="AF344" s="42">
        <f t="shared" ca="1" si="204"/>
        <v>385</v>
      </c>
      <c r="AH344" s="43">
        <f t="shared" ca="1" si="187"/>
        <v>0.31485475786309525</v>
      </c>
      <c r="AI344" s="8">
        <v>1</v>
      </c>
      <c r="AJ344" s="42">
        <f t="shared" ca="1" si="205"/>
        <v>149</v>
      </c>
      <c r="AL344" s="43">
        <f t="shared" ca="1" si="188"/>
        <v>0.15976060921714863</v>
      </c>
      <c r="AM344" s="8">
        <v>1</v>
      </c>
      <c r="AN344" s="42">
        <f t="shared" ca="1" si="206"/>
        <v>171</v>
      </c>
      <c r="AP344" s="43">
        <f t="shared" ca="1" si="189"/>
        <v>0.32576964558991184</v>
      </c>
      <c r="AQ344" s="8">
        <v>1</v>
      </c>
      <c r="AR344" s="42">
        <f t="shared" ca="1" si="207"/>
        <v>175</v>
      </c>
      <c r="AT344" s="43">
        <f t="shared" ca="1" si="190"/>
        <v>0.28809443436515225</v>
      </c>
      <c r="AU344" s="8">
        <v>1</v>
      </c>
      <c r="AV344" s="42">
        <f t="shared" ca="1" si="208"/>
        <v>175</v>
      </c>
      <c r="AX344" s="43">
        <f t="shared" ca="1" si="191"/>
        <v>3.3657909493299387E-2</v>
      </c>
      <c r="AY344" s="8">
        <v>1</v>
      </c>
      <c r="AZ344" s="42">
        <f t="shared" ca="1" si="209"/>
        <v>120</v>
      </c>
      <c r="BB344" s="43">
        <f t="shared" ca="1" si="192"/>
        <v>0.83202082776458908</v>
      </c>
      <c r="BC344" s="8">
        <v>1</v>
      </c>
      <c r="BD344" s="42">
        <f t="shared" ca="1" si="210"/>
        <v>253</v>
      </c>
      <c r="BF344" s="43">
        <f t="shared" ca="1" si="193"/>
        <v>0.72014419554273623</v>
      </c>
      <c r="BG344" s="8">
        <v>1</v>
      </c>
      <c r="BH344" s="42">
        <f t="shared" ca="1" si="211"/>
        <v>195</v>
      </c>
      <c r="BJ344" s="43">
        <f t="shared" ca="1" si="194"/>
        <v>0.79336967368918743</v>
      </c>
      <c r="BK344" s="8">
        <v>1</v>
      </c>
      <c r="BL344" s="42">
        <f t="shared" ca="1" si="212"/>
        <v>263</v>
      </c>
      <c r="BN344" s="43">
        <f t="shared" ca="1" si="195"/>
        <v>0.88898355563833309</v>
      </c>
      <c r="BO344" s="8">
        <v>1</v>
      </c>
      <c r="BP344" s="42">
        <f t="shared" ca="1" si="213"/>
        <v>213</v>
      </c>
      <c r="BR344" s="43">
        <f t="shared" ca="1" si="196"/>
        <v>0.19529094307689854</v>
      </c>
      <c r="BS344" s="8">
        <v>1</v>
      </c>
      <c r="BT344" s="42">
        <f t="shared" ca="1" si="214"/>
        <v>170</v>
      </c>
    </row>
    <row r="345" spans="1:72" x14ac:dyDescent="0.2">
      <c r="A345" s="22">
        <v>44892</v>
      </c>
      <c r="B345" s="43">
        <f t="shared" ca="1" si="179"/>
        <v>0.49656066069503557</v>
      </c>
      <c r="C345" s="8">
        <v>1</v>
      </c>
      <c r="D345" s="42">
        <f t="shared" ca="1" si="197"/>
        <v>100</v>
      </c>
      <c r="F345" s="43">
        <f t="shared" ca="1" si="180"/>
        <v>0.33570821129615847</v>
      </c>
      <c r="G345" s="8">
        <v>1</v>
      </c>
      <c r="H345" s="42">
        <f t="shared" ca="1" si="198"/>
        <v>192</v>
      </c>
      <c r="J345" s="43">
        <f t="shared" ca="1" si="181"/>
        <v>0.16033589417832306</v>
      </c>
      <c r="K345" s="8">
        <v>1</v>
      </c>
      <c r="L345" s="42">
        <f t="shared" ca="1" si="199"/>
        <v>111</v>
      </c>
      <c r="N345" s="43">
        <f t="shared" ca="1" si="182"/>
        <v>0.7623261050272272</v>
      </c>
      <c r="O345" s="8">
        <v>1</v>
      </c>
      <c r="P345" s="42">
        <f t="shared" ca="1" si="200"/>
        <v>274</v>
      </c>
      <c r="R345" s="43">
        <f t="shared" ca="1" si="183"/>
        <v>0.39758588581181853</v>
      </c>
      <c r="S345" s="8">
        <v>1</v>
      </c>
      <c r="T345" s="42">
        <f t="shared" ca="1" si="201"/>
        <v>130</v>
      </c>
      <c r="V345" s="43">
        <f t="shared" ca="1" si="184"/>
        <v>0.60985279191662967</v>
      </c>
      <c r="W345" s="8">
        <v>1</v>
      </c>
      <c r="X345" s="42">
        <f t="shared" ca="1" si="202"/>
        <v>242</v>
      </c>
      <c r="Z345" s="43">
        <f t="shared" ca="1" si="185"/>
        <v>0.49738824636699108</v>
      </c>
      <c r="AA345" s="8">
        <v>1</v>
      </c>
      <c r="AB345" s="42">
        <f t="shared" ca="1" si="203"/>
        <v>270</v>
      </c>
      <c r="AD345" s="43">
        <f t="shared" ca="1" si="186"/>
        <v>0.82230487359446447</v>
      </c>
      <c r="AE345" s="8">
        <v>1</v>
      </c>
      <c r="AF345" s="42">
        <f t="shared" ca="1" si="204"/>
        <v>408</v>
      </c>
      <c r="AH345" s="43">
        <f t="shared" ca="1" si="187"/>
        <v>0.60309076550303298</v>
      </c>
      <c r="AI345" s="8">
        <v>1</v>
      </c>
      <c r="AJ345" s="42">
        <f t="shared" ca="1" si="205"/>
        <v>183</v>
      </c>
      <c r="AL345" s="43">
        <f t="shared" ca="1" si="188"/>
        <v>0.19714938453523922</v>
      </c>
      <c r="AM345" s="8">
        <v>1</v>
      </c>
      <c r="AN345" s="42">
        <f t="shared" ca="1" si="206"/>
        <v>180</v>
      </c>
      <c r="AP345" s="43">
        <f t="shared" ca="1" si="189"/>
        <v>4.92359045397186E-2</v>
      </c>
      <c r="AQ345" s="8">
        <v>1</v>
      </c>
      <c r="AR345" s="42">
        <f t="shared" ca="1" si="207"/>
        <v>111</v>
      </c>
      <c r="AT345" s="43">
        <f t="shared" ca="1" si="190"/>
        <v>0.72960444244635714</v>
      </c>
      <c r="AU345" s="8">
        <v>1</v>
      </c>
      <c r="AV345" s="42">
        <f t="shared" ca="1" si="208"/>
        <v>240</v>
      </c>
      <c r="AX345" s="43">
        <f t="shared" ca="1" si="191"/>
        <v>0.81095977696236043</v>
      </c>
      <c r="AY345" s="8">
        <v>1</v>
      </c>
      <c r="AZ345" s="42">
        <f t="shared" ca="1" si="209"/>
        <v>289</v>
      </c>
      <c r="BB345" s="43">
        <f t="shared" ca="1" si="192"/>
        <v>0.72256373389969408</v>
      </c>
      <c r="BC345" s="8">
        <v>1</v>
      </c>
      <c r="BD345" s="42">
        <f t="shared" ca="1" si="210"/>
        <v>233</v>
      </c>
      <c r="BF345" s="43">
        <f t="shared" ca="1" si="193"/>
        <v>0.69390832303362326</v>
      </c>
      <c r="BG345" s="8">
        <v>1</v>
      </c>
      <c r="BH345" s="42">
        <f t="shared" ca="1" si="211"/>
        <v>192</v>
      </c>
      <c r="BJ345" s="43">
        <f t="shared" ca="1" si="194"/>
        <v>0.61295873609898222</v>
      </c>
      <c r="BK345" s="8">
        <v>1</v>
      </c>
      <c r="BL345" s="42">
        <f t="shared" ca="1" si="212"/>
        <v>233</v>
      </c>
      <c r="BN345" s="43">
        <f t="shared" ca="1" si="195"/>
        <v>0.54831187695785522</v>
      </c>
      <c r="BO345" s="8">
        <v>1</v>
      </c>
      <c r="BP345" s="42">
        <f t="shared" ca="1" si="213"/>
        <v>166</v>
      </c>
      <c r="BR345" s="43">
        <f t="shared" ca="1" si="196"/>
        <v>0.44898779846454973</v>
      </c>
      <c r="BS345" s="8">
        <v>1</v>
      </c>
      <c r="BT345" s="42">
        <f t="shared" ca="1" si="214"/>
        <v>212</v>
      </c>
    </row>
    <row r="346" spans="1:72" x14ac:dyDescent="0.2">
      <c r="A346" s="22">
        <v>44893</v>
      </c>
      <c r="B346" s="43">
        <f t="shared" ca="1" si="179"/>
        <v>0.75998258417635633</v>
      </c>
      <c r="C346" s="8">
        <v>1</v>
      </c>
      <c r="D346" s="42">
        <f t="shared" ca="1" si="197"/>
        <v>115</v>
      </c>
      <c r="F346" s="43">
        <f t="shared" ca="1" si="180"/>
        <v>0.64803682367430804</v>
      </c>
      <c r="G346" s="8">
        <v>1</v>
      </c>
      <c r="H346" s="42">
        <f t="shared" ca="1" si="198"/>
        <v>238</v>
      </c>
      <c r="J346" s="43">
        <f t="shared" ca="1" si="181"/>
        <v>0.54537036021173102</v>
      </c>
      <c r="K346" s="8">
        <v>1</v>
      </c>
      <c r="L346" s="42">
        <f t="shared" ca="1" si="199"/>
        <v>155</v>
      </c>
      <c r="N346" s="43">
        <f t="shared" ca="1" si="182"/>
        <v>0.28210574704644897</v>
      </c>
      <c r="O346" s="8">
        <v>1</v>
      </c>
      <c r="P346" s="42">
        <f t="shared" ca="1" si="200"/>
        <v>195</v>
      </c>
      <c r="R346" s="43">
        <f t="shared" ca="1" si="183"/>
        <v>0.58752966837806186</v>
      </c>
      <c r="S346" s="8">
        <v>1</v>
      </c>
      <c r="T346" s="42">
        <f t="shared" ca="1" si="201"/>
        <v>147</v>
      </c>
      <c r="V346" s="43">
        <f t="shared" ca="1" si="184"/>
        <v>0.19227303457339073</v>
      </c>
      <c r="W346" s="8">
        <v>1</v>
      </c>
      <c r="X346" s="42">
        <f t="shared" ca="1" si="202"/>
        <v>173</v>
      </c>
      <c r="Z346" s="43">
        <f t="shared" ca="1" si="185"/>
        <v>0.4236074615598705</v>
      </c>
      <c r="AA346" s="8">
        <v>1</v>
      </c>
      <c r="AB346" s="42">
        <f t="shared" ca="1" si="203"/>
        <v>257</v>
      </c>
      <c r="AD346" s="43">
        <f t="shared" ca="1" si="186"/>
        <v>0.82218265012315284</v>
      </c>
      <c r="AE346" s="8">
        <v>1</v>
      </c>
      <c r="AF346" s="42">
        <f t="shared" ca="1" si="204"/>
        <v>408</v>
      </c>
      <c r="AH346" s="43">
        <f t="shared" ca="1" si="187"/>
        <v>0.6211681418704541</v>
      </c>
      <c r="AI346" s="8">
        <v>1</v>
      </c>
      <c r="AJ346" s="42">
        <f t="shared" ca="1" si="205"/>
        <v>185</v>
      </c>
      <c r="AL346" s="43">
        <f t="shared" ca="1" si="188"/>
        <v>0.79682180077931208</v>
      </c>
      <c r="AM346" s="8">
        <v>1</v>
      </c>
      <c r="AN346" s="42">
        <f t="shared" ca="1" si="206"/>
        <v>284</v>
      </c>
      <c r="AP346" s="43">
        <f t="shared" ca="1" si="189"/>
        <v>0.15839598595730431</v>
      </c>
      <c r="AQ346" s="8">
        <v>1</v>
      </c>
      <c r="AR346" s="42">
        <f t="shared" ca="1" si="207"/>
        <v>146</v>
      </c>
      <c r="AT346" s="43">
        <f t="shared" ca="1" si="190"/>
        <v>0.8213031405640171</v>
      </c>
      <c r="AU346" s="8">
        <v>1</v>
      </c>
      <c r="AV346" s="42">
        <f t="shared" ca="1" si="208"/>
        <v>256</v>
      </c>
      <c r="AX346" s="43">
        <f t="shared" ca="1" si="191"/>
        <v>0.79966482654921367</v>
      </c>
      <c r="AY346" s="8">
        <v>1</v>
      </c>
      <c r="AZ346" s="42">
        <f t="shared" ca="1" si="209"/>
        <v>286</v>
      </c>
      <c r="BB346" s="43">
        <f t="shared" ca="1" si="192"/>
        <v>0.38389494727054241</v>
      </c>
      <c r="BC346" s="8">
        <v>1</v>
      </c>
      <c r="BD346" s="42">
        <f t="shared" ca="1" si="210"/>
        <v>185</v>
      </c>
      <c r="BF346" s="43">
        <f t="shared" ca="1" si="193"/>
        <v>0.32236893899414054</v>
      </c>
      <c r="BG346" s="8">
        <v>1</v>
      </c>
      <c r="BH346" s="42">
        <f t="shared" ca="1" si="211"/>
        <v>148</v>
      </c>
      <c r="BJ346" s="43">
        <f t="shared" ca="1" si="194"/>
        <v>0.60053483052939005</v>
      </c>
      <c r="BK346" s="8">
        <v>1</v>
      </c>
      <c r="BL346" s="42">
        <f t="shared" ca="1" si="212"/>
        <v>231</v>
      </c>
      <c r="BN346" s="43">
        <f t="shared" ca="1" si="195"/>
        <v>0.64681502872900121</v>
      </c>
      <c r="BO346" s="8">
        <v>1</v>
      </c>
      <c r="BP346" s="42">
        <f t="shared" ca="1" si="213"/>
        <v>177</v>
      </c>
      <c r="BR346" s="43">
        <f t="shared" ca="1" si="196"/>
        <v>0.96844911487956498</v>
      </c>
      <c r="BS346" s="8">
        <v>1</v>
      </c>
      <c r="BT346" s="42">
        <f t="shared" ca="1" si="214"/>
        <v>328</v>
      </c>
    </row>
    <row r="347" spans="1:72" x14ac:dyDescent="0.2">
      <c r="A347" s="22">
        <v>44894</v>
      </c>
      <c r="B347" s="43">
        <f t="shared" ca="1" si="179"/>
        <v>0.52760143802458903</v>
      </c>
      <c r="C347" s="8">
        <v>1</v>
      </c>
      <c r="D347" s="42">
        <f t="shared" ca="1" si="197"/>
        <v>102</v>
      </c>
      <c r="F347" s="43">
        <f t="shared" ca="1" si="180"/>
        <v>0.39267933790969145</v>
      </c>
      <c r="G347" s="8">
        <v>1</v>
      </c>
      <c r="H347" s="42">
        <f t="shared" ca="1" si="198"/>
        <v>200</v>
      </c>
      <c r="J347" s="43">
        <f t="shared" ca="1" si="181"/>
        <v>0.9693586678165883</v>
      </c>
      <c r="K347" s="8">
        <v>1</v>
      </c>
      <c r="L347" s="42">
        <f t="shared" ca="1" si="199"/>
        <v>225</v>
      </c>
      <c r="N347" s="43">
        <f t="shared" ca="1" si="182"/>
        <v>0.15067689449625443</v>
      </c>
      <c r="O347" s="8">
        <v>1</v>
      </c>
      <c r="P347" s="42">
        <f t="shared" ca="1" si="200"/>
        <v>167</v>
      </c>
      <c r="R347" s="43">
        <f t="shared" ca="1" si="183"/>
        <v>0.28482197888113625</v>
      </c>
      <c r="S347" s="8">
        <v>1</v>
      </c>
      <c r="T347" s="42">
        <f t="shared" ca="1" si="201"/>
        <v>118</v>
      </c>
      <c r="V347" s="43">
        <f t="shared" ca="1" si="184"/>
        <v>0.98755602698492062</v>
      </c>
      <c r="W347" s="8">
        <v>1</v>
      </c>
      <c r="X347" s="42">
        <f t="shared" ca="1" si="202"/>
        <v>360</v>
      </c>
      <c r="Z347" s="43">
        <f t="shared" ca="1" si="185"/>
        <v>0.49016852352531426</v>
      </c>
      <c r="AA347" s="8">
        <v>1</v>
      </c>
      <c r="AB347" s="42">
        <f t="shared" ca="1" si="203"/>
        <v>269</v>
      </c>
      <c r="AD347" s="43">
        <f t="shared" ca="1" si="186"/>
        <v>0.57327220228870379</v>
      </c>
      <c r="AE347" s="8">
        <v>1</v>
      </c>
      <c r="AF347" s="42">
        <f t="shared" ca="1" si="204"/>
        <v>344</v>
      </c>
      <c r="AH347" s="43">
        <f t="shared" ca="1" si="187"/>
        <v>0.20770117000601629</v>
      </c>
      <c r="AI347" s="8">
        <v>1</v>
      </c>
      <c r="AJ347" s="42">
        <f t="shared" ca="1" si="205"/>
        <v>134</v>
      </c>
      <c r="AL347" s="43">
        <f t="shared" ca="1" si="188"/>
        <v>0.1951006059954361</v>
      </c>
      <c r="AM347" s="8">
        <v>1</v>
      </c>
      <c r="AN347" s="42">
        <f t="shared" ca="1" si="206"/>
        <v>179</v>
      </c>
      <c r="AP347" s="43">
        <f t="shared" ca="1" si="189"/>
        <v>0.59572504060277154</v>
      </c>
      <c r="AQ347" s="8">
        <v>1</v>
      </c>
      <c r="AR347" s="42">
        <f t="shared" ca="1" si="207"/>
        <v>211</v>
      </c>
      <c r="AT347" s="43">
        <f t="shared" ca="1" si="190"/>
        <v>0.27759966826911875</v>
      </c>
      <c r="AU347" s="8">
        <v>1</v>
      </c>
      <c r="AV347" s="42">
        <f t="shared" ca="1" si="208"/>
        <v>174</v>
      </c>
      <c r="AX347" s="43">
        <f t="shared" ca="1" si="191"/>
        <v>0.84577519190983474</v>
      </c>
      <c r="AY347" s="8">
        <v>1</v>
      </c>
      <c r="AZ347" s="42">
        <f t="shared" ca="1" si="209"/>
        <v>297</v>
      </c>
      <c r="BB347" s="43">
        <f t="shared" ca="1" si="192"/>
        <v>0.41386725376314482</v>
      </c>
      <c r="BC347" s="8">
        <v>1</v>
      </c>
      <c r="BD347" s="42">
        <f t="shared" ca="1" si="210"/>
        <v>189</v>
      </c>
      <c r="BF347" s="43">
        <f t="shared" ca="1" si="193"/>
        <v>0.14769288056032637</v>
      </c>
      <c r="BG347" s="8">
        <v>1</v>
      </c>
      <c r="BH347" s="42">
        <f t="shared" ca="1" si="211"/>
        <v>122</v>
      </c>
      <c r="BJ347" s="43">
        <f t="shared" ca="1" si="194"/>
        <v>0.73305746163335472</v>
      </c>
      <c r="BK347" s="8">
        <v>1</v>
      </c>
      <c r="BL347" s="42">
        <f t="shared" ca="1" si="212"/>
        <v>252</v>
      </c>
      <c r="BN347" s="43">
        <f t="shared" ca="1" si="195"/>
        <v>0.19425302364729669</v>
      </c>
      <c r="BO347" s="8">
        <v>1</v>
      </c>
      <c r="BP347" s="42">
        <f t="shared" ca="1" si="213"/>
        <v>124</v>
      </c>
      <c r="BR347" s="43">
        <f t="shared" ca="1" si="196"/>
        <v>0.58099567678847885</v>
      </c>
      <c r="BS347" s="8">
        <v>1</v>
      </c>
      <c r="BT347" s="42">
        <f t="shared" ca="1" si="214"/>
        <v>232</v>
      </c>
    </row>
    <row r="348" spans="1:72" x14ac:dyDescent="0.2">
      <c r="A348" s="22">
        <v>44895</v>
      </c>
      <c r="B348" s="43">
        <f t="shared" ca="1" si="179"/>
        <v>0.10863065268908556</v>
      </c>
      <c r="C348" s="8">
        <v>1</v>
      </c>
      <c r="D348" s="42">
        <f t="shared" ca="1" si="197"/>
        <v>76</v>
      </c>
      <c r="F348" s="43">
        <f t="shared" ca="1" si="180"/>
        <v>0.42975802931011997</v>
      </c>
      <c r="G348" s="8">
        <v>1</v>
      </c>
      <c r="H348" s="42">
        <f t="shared" ca="1" si="198"/>
        <v>206</v>
      </c>
      <c r="J348" s="43">
        <f t="shared" ca="1" si="181"/>
        <v>0.96359214901671986</v>
      </c>
      <c r="K348" s="8">
        <v>1</v>
      </c>
      <c r="L348" s="42">
        <f t="shared" ca="1" si="199"/>
        <v>222</v>
      </c>
      <c r="N348" s="43">
        <f t="shared" ca="1" si="182"/>
        <v>0.13874537843542756</v>
      </c>
      <c r="O348" s="8">
        <v>1</v>
      </c>
      <c r="P348" s="42">
        <f t="shared" ca="1" si="200"/>
        <v>163</v>
      </c>
      <c r="R348" s="43">
        <f t="shared" ca="1" si="183"/>
        <v>0.29323776319924366</v>
      </c>
      <c r="S348" s="8">
        <v>1</v>
      </c>
      <c r="T348" s="42">
        <f t="shared" ca="1" si="201"/>
        <v>119</v>
      </c>
      <c r="V348" s="43">
        <f t="shared" ca="1" si="184"/>
        <v>0.37555397613331898</v>
      </c>
      <c r="W348" s="8">
        <v>1</v>
      </c>
      <c r="X348" s="42">
        <f t="shared" ca="1" si="202"/>
        <v>206</v>
      </c>
      <c r="Z348" s="43">
        <f t="shared" ca="1" si="185"/>
        <v>0.43052099568348523</v>
      </c>
      <c r="AA348" s="8">
        <v>1</v>
      </c>
      <c r="AB348" s="42">
        <f t="shared" ca="1" si="203"/>
        <v>258</v>
      </c>
      <c r="AD348" s="43">
        <f t="shared" ca="1" si="186"/>
        <v>0.3401365132779367</v>
      </c>
      <c r="AE348" s="8">
        <v>1</v>
      </c>
      <c r="AF348" s="42">
        <f t="shared" ca="1" si="204"/>
        <v>292</v>
      </c>
      <c r="AH348" s="43">
        <f t="shared" ca="1" si="187"/>
        <v>0.99564337764768274</v>
      </c>
      <c r="AI348" s="8">
        <v>1</v>
      </c>
      <c r="AJ348" s="42">
        <f t="shared" ca="1" si="205"/>
        <v>290</v>
      </c>
      <c r="AL348" s="43">
        <f t="shared" ca="1" si="188"/>
        <v>0.88502935955755802</v>
      </c>
      <c r="AM348" s="8">
        <v>1</v>
      </c>
      <c r="AN348" s="42">
        <f t="shared" ca="1" si="206"/>
        <v>307</v>
      </c>
      <c r="AP348" s="43">
        <f t="shared" ca="1" si="189"/>
        <v>0.94301839481383576</v>
      </c>
      <c r="AQ348" s="8">
        <v>1</v>
      </c>
      <c r="AR348" s="42">
        <f t="shared" ca="1" si="207"/>
        <v>282</v>
      </c>
      <c r="AT348" s="43">
        <f t="shared" ca="1" si="190"/>
        <v>2.9242840874177944E-2</v>
      </c>
      <c r="AU348" s="8">
        <v>1</v>
      </c>
      <c r="AV348" s="42">
        <f t="shared" ca="1" si="208"/>
        <v>102</v>
      </c>
      <c r="AX348" s="43">
        <f t="shared" ca="1" si="191"/>
        <v>0.93741835195711787</v>
      </c>
      <c r="AY348" s="8">
        <v>1</v>
      </c>
      <c r="AZ348" s="42">
        <f t="shared" ca="1" si="209"/>
        <v>330</v>
      </c>
      <c r="BB348" s="43">
        <f t="shared" ca="1" si="192"/>
        <v>0.1611308983940869</v>
      </c>
      <c r="BC348" s="8">
        <v>1</v>
      </c>
      <c r="BD348" s="42">
        <f t="shared" ca="1" si="210"/>
        <v>148</v>
      </c>
      <c r="BF348" s="43">
        <f t="shared" ca="1" si="193"/>
        <v>0.64931522916215412</v>
      </c>
      <c r="BG348" s="8">
        <v>1</v>
      </c>
      <c r="BH348" s="42">
        <f t="shared" ca="1" si="211"/>
        <v>186</v>
      </c>
      <c r="BJ348" s="43">
        <f t="shared" ca="1" si="194"/>
        <v>0.57000290293384537</v>
      </c>
      <c r="BK348" s="8">
        <v>1</v>
      </c>
      <c r="BL348" s="42">
        <f t="shared" ca="1" si="212"/>
        <v>226</v>
      </c>
      <c r="BN348" s="43">
        <f t="shared" ca="1" si="195"/>
        <v>0.62532534116515026</v>
      </c>
      <c r="BO348" s="8">
        <v>1</v>
      </c>
      <c r="BP348" s="42">
        <f t="shared" ca="1" si="213"/>
        <v>175</v>
      </c>
      <c r="BR348" s="43">
        <f t="shared" ca="1" si="196"/>
        <v>0.73942832692356331</v>
      </c>
      <c r="BS348" s="8">
        <v>1</v>
      </c>
      <c r="BT348" s="42">
        <f t="shared" ca="1" si="214"/>
        <v>257</v>
      </c>
    </row>
    <row r="349" spans="1:72" x14ac:dyDescent="0.2">
      <c r="A349" s="22">
        <v>44896</v>
      </c>
      <c r="B349" s="43">
        <f t="shared" ca="1" si="179"/>
        <v>0.48720809767764128</v>
      </c>
      <c r="C349" s="8">
        <v>1</v>
      </c>
      <c r="D349" s="42">
        <f t="shared" ca="1" si="197"/>
        <v>100</v>
      </c>
      <c r="F349" s="43">
        <f t="shared" ca="1" si="180"/>
        <v>0.37551054408254569</v>
      </c>
      <c r="G349" s="8">
        <v>1</v>
      </c>
      <c r="H349" s="42">
        <f t="shared" ca="1" si="198"/>
        <v>198</v>
      </c>
      <c r="J349" s="43">
        <f t="shared" ca="1" si="181"/>
        <v>0.52777139476902435</v>
      </c>
      <c r="K349" s="8">
        <v>1</v>
      </c>
      <c r="L349" s="42">
        <f t="shared" ca="1" si="199"/>
        <v>153</v>
      </c>
      <c r="N349" s="43">
        <f t="shared" ca="1" si="182"/>
        <v>0.68559470031988223</v>
      </c>
      <c r="O349" s="8">
        <v>1</v>
      </c>
      <c r="P349" s="42">
        <f t="shared" ca="1" si="200"/>
        <v>259</v>
      </c>
      <c r="R349" s="43">
        <f t="shared" ca="1" si="183"/>
        <v>8.8320046774658212E-2</v>
      </c>
      <c r="S349" s="8">
        <v>1</v>
      </c>
      <c r="T349" s="42">
        <f t="shared" ca="1" si="201"/>
        <v>89</v>
      </c>
      <c r="V349" s="43">
        <f t="shared" ca="1" si="184"/>
        <v>0.32832884917984817</v>
      </c>
      <c r="W349" s="8">
        <v>1</v>
      </c>
      <c r="X349" s="42">
        <f t="shared" ca="1" si="202"/>
        <v>199</v>
      </c>
      <c r="Z349" s="43">
        <f t="shared" ca="1" si="185"/>
        <v>0.94012733840830676</v>
      </c>
      <c r="AA349" s="8">
        <v>1</v>
      </c>
      <c r="AB349" s="42">
        <f t="shared" ca="1" si="203"/>
        <v>383</v>
      </c>
      <c r="AD349" s="43">
        <f t="shared" ca="1" si="186"/>
        <v>0.40932373196808647</v>
      </c>
      <c r="AE349" s="8">
        <v>1</v>
      </c>
      <c r="AF349" s="42">
        <f t="shared" ca="1" si="204"/>
        <v>308</v>
      </c>
      <c r="AH349" s="43">
        <f t="shared" ca="1" si="187"/>
        <v>8.1170868621739833E-2</v>
      </c>
      <c r="AI349" s="8">
        <v>1</v>
      </c>
      <c r="AJ349" s="42">
        <f t="shared" ca="1" si="205"/>
        <v>107</v>
      </c>
      <c r="AL349" s="43">
        <f t="shared" ca="1" si="188"/>
        <v>0.58518711679345348</v>
      </c>
      <c r="AM349" s="8">
        <v>1</v>
      </c>
      <c r="AN349" s="42">
        <f t="shared" ca="1" si="206"/>
        <v>246</v>
      </c>
      <c r="AP349" s="43">
        <f t="shared" ca="1" si="189"/>
        <v>0.77387471430866961</v>
      </c>
      <c r="AQ349" s="8">
        <v>1</v>
      </c>
      <c r="AR349" s="42">
        <f t="shared" ca="1" si="207"/>
        <v>238</v>
      </c>
      <c r="AT349" s="43">
        <f t="shared" ca="1" si="190"/>
        <v>0.7943417482992311</v>
      </c>
      <c r="AU349" s="8">
        <v>1</v>
      </c>
      <c r="AV349" s="42">
        <f t="shared" ca="1" si="208"/>
        <v>251</v>
      </c>
      <c r="AX349" s="43">
        <f t="shared" ca="1" si="191"/>
        <v>0.51986752315062112</v>
      </c>
      <c r="AY349" s="8">
        <v>1</v>
      </c>
      <c r="AZ349" s="42">
        <f t="shared" ca="1" si="209"/>
        <v>237</v>
      </c>
      <c r="BB349" s="43">
        <f t="shared" ca="1" si="192"/>
        <v>0.69660129546101923</v>
      </c>
      <c r="BC349" s="8">
        <v>1</v>
      </c>
      <c r="BD349" s="42">
        <f t="shared" ca="1" si="210"/>
        <v>229</v>
      </c>
      <c r="BF349" s="43">
        <f t="shared" ca="1" si="193"/>
        <v>0.70137136442653358</v>
      </c>
      <c r="BG349" s="8">
        <v>1</v>
      </c>
      <c r="BH349" s="42">
        <f t="shared" ca="1" si="211"/>
        <v>193</v>
      </c>
      <c r="BJ349" s="43">
        <f t="shared" ca="1" si="194"/>
        <v>0.13425255951782378</v>
      </c>
      <c r="BK349" s="8">
        <v>1</v>
      </c>
      <c r="BL349" s="42">
        <f t="shared" ca="1" si="212"/>
        <v>153</v>
      </c>
      <c r="BN349" s="43">
        <f t="shared" ca="1" si="195"/>
        <v>0.96577059473555038</v>
      </c>
      <c r="BO349" s="8">
        <v>1</v>
      </c>
      <c r="BP349" s="42">
        <f t="shared" ca="1" si="213"/>
        <v>239</v>
      </c>
      <c r="BR349" s="43">
        <f t="shared" ca="1" si="196"/>
        <v>0.82611385316653063</v>
      </c>
      <c r="BS349" s="8">
        <v>1</v>
      </c>
      <c r="BT349" s="42">
        <f t="shared" ca="1" si="214"/>
        <v>275</v>
      </c>
    </row>
    <row r="350" spans="1:72" x14ac:dyDescent="0.2">
      <c r="A350" s="22">
        <v>44897</v>
      </c>
      <c r="B350" s="43">
        <f t="shared" ca="1" si="179"/>
        <v>0.34039467210231433</v>
      </c>
      <c r="C350" s="8">
        <v>1</v>
      </c>
      <c r="D350" s="42">
        <f t="shared" ca="1" si="197"/>
        <v>92</v>
      </c>
      <c r="F350" s="43">
        <f t="shared" ca="1" si="180"/>
        <v>0.89302699902506288</v>
      </c>
      <c r="G350" s="8">
        <v>1</v>
      </c>
      <c r="H350" s="42">
        <f t="shared" ca="1" si="198"/>
        <v>287</v>
      </c>
      <c r="J350" s="43">
        <f t="shared" ca="1" si="181"/>
        <v>5.2376580846587806E-2</v>
      </c>
      <c r="K350" s="8">
        <v>1</v>
      </c>
      <c r="L350" s="42">
        <f t="shared" ca="1" si="199"/>
        <v>86</v>
      </c>
      <c r="N350" s="43">
        <f t="shared" ca="1" si="182"/>
        <v>0.14908702528257523</v>
      </c>
      <c r="O350" s="8">
        <v>1</v>
      </c>
      <c r="P350" s="42">
        <f t="shared" ca="1" si="200"/>
        <v>166</v>
      </c>
      <c r="R350" s="43">
        <f t="shared" ca="1" si="183"/>
        <v>0.81678085367078046</v>
      </c>
      <c r="S350" s="8">
        <v>1</v>
      </c>
      <c r="T350" s="42">
        <f t="shared" ca="1" si="201"/>
        <v>173</v>
      </c>
      <c r="V350" s="43">
        <f t="shared" ca="1" si="184"/>
        <v>0.73556846432159939</v>
      </c>
      <c r="W350" s="8">
        <v>1</v>
      </c>
      <c r="X350" s="42">
        <f t="shared" ca="1" si="202"/>
        <v>263</v>
      </c>
      <c r="Z350" s="43">
        <f t="shared" ca="1" si="185"/>
        <v>0.76263213811788522</v>
      </c>
      <c r="AA350" s="8">
        <v>1</v>
      </c>
      <c r="AB350" s="42">
        <f t="shared" ca="1" si="203"/>
        <v>322</v>
      </c>
      <c r="AD350" s="43">
        <f t="shared" ca="1" si="186"/>
        <v>0.80950983090984951</v>
      </c>
      <c r="AE350" s="8">
        <v>1</v>
      </c>
      <c r="AF350" s="42">
        <f t="shared" ca="1" si="204"/>
        <v>404</v>
      </c>
      <c r="AH350" s="43">
        <f t="shared" ca="1" si="187"/>
        <v>0.58659025498911688</v>
      </c>
      <c r="AI350" s="8">
        <v>1</v>
      </c>
      <c r="AJ350" s="42">
        <f t="shared" ca="1" si="205"/>
        <v>181</v>
      </c>
      <c r="AL350" s="43">
        <f t="shared" ca="1" si="188"/>
        <v>0.86678800867543349</v>
      </c>
      <c r="AM350" s="8">
        <v>1</v>
      </c>
      <c r="AN350" s="42">
        <f t="shared" ca="1" si="206"/>
        <v>301</v>
      </c>
      <c r="AP350" s="43">
        <f t="shared" ca="1" si="189"/>
        <v>0.43300126215063628</v>
      </c>
      <c r="AQ350" s="8">
        <v>1</v>
      </c>
      <c r="AR350" s="42">
        <f t="shared" ca="1" si="207"/>
        <v>190</v>
      </c>
      <c r="AT350" s="43">
        <f t="shared" ca="1" si="190"/>
        <v>0.37127660485363911</v>
      </c>
      <c r="AU350" s="8">
        <v>1</v>
      </c>
      <c r="AV350" s="42">
        <f t="shared" ca="1" si="208"/>
        <v>188</v>
      </c>
      <c r="AX350" s="43">
        <f t="shared" ca="1" si="191"/>
        <v>0.19073158869719276</v>
      </c>
      <c r="AY350" s="8">
        <v>1</v>
      </c>
      <c r="AZ350" s="42">
        <f t="shared" ca="1" si="209"/>
        <v>180</v>
      </c>
      <c r="BB350" s="43">
        <f t="shared" ca="1" si="192"/>
        <v>2.5327499271023401E-2</v>
      </c>
      <c r="BC350" s="8">
        <v>1</v>
      </c>
      <c r="BD350" s="42">
        <f t="shared" ca="1" si="210"/>
        <v>97</v>
      </c>
      <c r="BF350" s="43">
        <f t="shared" ca="1" si="193"/>
        <v>0.45833841831890332</v>
      </c>
      <c r="BG350" s="8">
        <v>1</v>
      </c>
      <c r="BH350" s="42">
        <f t="shared" ca="1" si="211"/>
        <v>164</v>
      </c>
      <c r="BJ350" s="43">
        <f t="shared" ca="1" si="194"/>
        <v>0.89683263993254969</v>
      </c>
      <c r="BK350" s="8">
        <v>1</v>
      </c>
      <c r="BL350" s="42">
        <f t="shared" ca="1" si="212"/>
        <v>289</v>
      </c>
      <c r="BN350" s="43">
        <f t="shared" ca="1" si="195"/>
        <v>2.9515225494764707E-2</v>
      </c>
      <c r="BO350" s="8">
        <v>1</v>
      </c>
      <c r="BP350" s="42">
        <f t="shared" ca="1" si="213"/>
        <v>80</v>
      </c>
      <c r="BR350" s="43">
        <f t="shared" ca="1" si="196"/>
        <v>0.39027109968996609</v>
      </c>
      <c r="BS350" s="8">
        <v>1</v>
      </c>
      <c r="BT350" s="42">
        <f t="shared" ca="1" si="214"/>
        <v>204</v>
      </c>
    </row>
    <row r="351" spans="1:72" x14ac:dyDescent="0.2">
      <c r="A351" s="22">
        <v>44898</v>
      </c>
      <c r="B351" s="43">
        <f t="shared" ca="1" si="179"/>
        <v>0.86598218426879547</v>
      </c>
      <c r="C351" s="8">
        <v>1</v>
      </c>
      <c r="D351" s="42">
        <f t="shared" ca="1" si="197"/>
        <v>123</v>
      </c>
      <c r="F351" s="43">
        <f t="shared" ca="1" si="180"/>
        <v>0.16198263032356464</v>
      </c>
      <c r="G351" s="8">
        <v>1</v>
      </c>
      <c r="H351" s="42">
        <f t="shared" ca="1" si="198"/>
        <v>159</v>
      </c>
      <c r="J351" s="43">
        <f t="shared" ca="1" si="181"/>
        <v>0.52421281939182962</v>
      </c>
      <c r="K351" s="8">
        <v>1</v>
      </c>
      <c r="L351" s="42">
        <f t="shared" ca="1" si="199"/>
        <v>153</v>
      </c>
      <c r="N351" s="43">
        <f t="shared" ca="1" si="182"/>
        <v>0.18056671797380375</v>
      </c>
      <c r="O351" s="8">
        <v>1</v>
      </c>
      <c r="P351" s="42">
        <f t="shared" ca="1" si="200"/>
        <v>174</v>
      </c>
      <c r="R351" s="43">
        <f t="shared" ca="1" si="183"/>
        <v>4.5960634590893834E-2</v>
      </c>
      <c r="S351" s="8">
        <v>1</v>
      </c>
      <c r="T351" s="42">
        <f t="shared" ca="1" si="201"/>
        <v>77</v>
      </c>
      <c r="V351" s="43">
        <f t="shared" ca="1" si="184"/>
        <v>0.2757865824889798</v>
      </c>
      <c r="W351" s="8">
        <v>1</v>
      </c>
      <c r="X351" s="42">
        <f t="shared" ca="1" si="202"/>
        <v>190</v>
      </c>
      <c r="Z351" s="43">
        <f t="shared" ca="1" si="185"/>
        <v>0.29856069347499903</v>
      </c>
      <c r="AA351" s="8">
        <v>1</v>
      </c>
      <c r="AB351" s="42">
        <f t="shared" ca="1" si="203"/>
        <v>232</v>
      </c>
      <c r="AD351" s="43">
        <f t="shared" ca="1" si="186"/>
        <v>0.9005809784797485</v>
      </c>
      <c r="AE351" s="8">
        <v>1</v>
      </c>
      <c r="AF351" s="42">
        <f t="shared" ca="1" si="204"/>
        <v>440</v>
      </c>
      <c r="AH351" s="43">
        <f t="shared" ca="1" si="187"/>
        <v>0.72293632012007036</v>
      </c>
      <c r="AI351" s="8">
        <v>1</v>
      </c>
      <c r="AJ351" s="42">
        <f t="shared" ca="1" si="205"/>
        <v>198</v>
      </c>
      <c r="AL351" s="43">
        <f t="shared" ca="1" si="188"/>
        <v>0.732815377614081</v>
      </c>
      <c r="AM351" s="8">
        <v>1</v>
      </c>
      <c r="AN351" s="42">
        <f t="shared" ca="1" si="206"/>
        <v>271</v>
      </c>
      <c r="AP351" s="43">
        <f t="shared" ca="1" si="189"/>
        <v>0.20887394172745288</v>
      </c>
      <c r="AQ351" s="8">
        <v>1</v>
      </c>
      <c r="AR351" s="42">
        <f t="shared" ca="1" si="207"/>
        <v>156</v>
      </c>
      <c r="AT351" s="43">
        <f t="shared" ca="1" si="190"/>
        <v>0.87591543503294389</v>
      </c>
      <c r="AU351" s="8">
        <v>1</v>
      </c>
      <c r="AV351" s="42">
        <f t="shared" ca="1" si="208"/>
        <v>269</v>
      </c>
      <c r="AX351" s="43">
        <f t="shared" ca="1" si="191"/>
        <v>0.62059708676784642</v>
      </c>
      <c r="AY351" s="8">
        <v>1</v>
      </c>
      <c r="AZ351" s="42">
        <f t="shared" ca="1" si="209"/>
        <v>253</v>
      </c>
      <c r="BB351" s="43">
        <f t="shared" ca="1" si="192"/>
        <v>0.69530107570383382</v>
      </c>
      <c r="BC351" s="8">
        <v>1</v>
      </c>
      <c r="BD351" s="42">
        <f t="shared" ca="1" si="210"/>
        <v>228</v>
      </c>
      <c r="BF351" s="43">
        <f t="shared" ca="1" si="193"/>
        <v>0.82937009756175417</v>
      </c>
      <c r="BG351" s="8">
        <v>1</v>
      </c>
      <c r="BH351" s="42">
        <f t="shared" ca="1" si="211"/>
        <v>212</v>
      </c>
      <c r="BJ351" s="43">
        <f t="shared" ca="1" si="194"/>
        <v>0.31013693544865495</v>
      </c>
      <c r="BK351" s="8">
        <v>1</v>
      </c>
      <c r="BL351" s="42">
        <f t="shared" ca="1" si="212"/>
        <v>188</v>
      </c>
      <c r="BN351" s="43">
        <f t="shared" ca="1" si="195"/>
        <v>0.74233619765634606</v>
      </c>
      <c r="BO351" s="8">
        <v>1</v>
      </c>
      <c r="BP351" s="42">
        <f t="shared" ca="1" si="213"/>
        <v>189</v>
      </c>
      <c r="BR351" s="43">
        <f t="shared" ca="1" si="196"/>
        <v>0.49677425933505204</v>
      </c>
      <c r="BS351" s="8">
        <v>1</v>
      </c>
      <c r="BT351" s="42">
        <f t="shared" ca="1" si="214"/>
        <v>219</v>
      </c>
    </row>
    <row r="352" spans="1:72" x14ac:dyDescent="0.2">
      <c r="A352" s="22">
        <v>44899</v>
      </c>
      <c r="B352" s="43">
        <f t="shared" ca="1" si="179"/>
        <v>7.2942922338670946E-2</v>
      </c>
      <c r="C352" s="8">
        <v>1</v>
      </c>
      <c r="D352" s="42">
        <f t="shared" ca="1" si="197"/>
        <v>71</v>
      </c>
      <c r="F352" s="43">
        <f t="shared" ca="1" si="180"/>
        <v>0.51993730576773722</v>
      </c>
      <c r="G352" s="8">
        <v>1</v>
      </c>
      <c r="H352" s="42">
        <f t="shared" ca="1" si="198"/>
        <v>219</v>
      </c>
      <c r="J352" s="43">
        <f t="shared" ca="1" si="181"/>
        <v>0.42786262967849753</v>
      </c>
      <c r="K352" s="8">
        <v>1</v>
      </c>
      <c r="L352" s="42">
        <f t="shared" ca="1" si="199"/>
        <v>143</v>
      </c>
      <c r="N352" s="43">
        <f t="shared" ca="1" si="182"/>
        <v>0.4650700178454209</v>
      </c>
      <c r="O352" s="8">
        <v>1</v>
      </c>
      <c r="P352" s="42">
        <f t="shared" ca="1" si="200"/>
        <v>224</v>
      </c>
      <c r="R352" s="43">
        <f t="shared" ca="1" si="183"/>
        <v>0.4169678130996628</v>
      </c>
      <c r="S352" s="8">
        <v>1</v>
      </c>
      <c r="T352" s="42">
        <f t="shared" ca="1" si="201"/>
        <v>131</v>
      </c>
      <c r="V352" s="43">
        <f t="shared" ca="1" si="184"/>
        <v>3.7894895676621632E-2</v>
      </c>
      <c r="W352" s="8">
        <v>1</v>
      </c>
      <c r="X352" s="42">
        <f t="shared" ca="1" si="202"/>
        <v>119</v>
      </c>
      <c r="Z352" s="43">
        <f t="shared" ca="1" si="185"/>
        <v>0.41699288053471273</v>
      </c>
      <c r="AA352" s="8">
        <v>1</v>
      </c>
      <c r="AB352" s="42">
        <f t="shared" ca="1" si="203"/>
        <v>255</v>
      </c>
      <c r="AD352" s="43">
        <f t="shared" ca="1" si="186"/>
        <v>0.12550872886970388</v>
      </c>
      <c r="AE352" s="8">
        <v>1</v>
      </c>
      <c r="AF352" s="42">
        <f t="shared" ca="1" si="204"/>
        <v>227</v>
      </c>
      <c r="AH352" s="43">
        <f t="shared" ca="1" si="187"/>
        <v>0.87146159572181103</v>
      </c>
      <c r="AI352" s="8">
        <v>1</v>
      </c>
      <c r="AJ352" s="42">
        <f t="shared" ca="1" si="205"/>
        <v>222</v>
      </c>
      <c r="AL352" s="43">
        <f t="shared" ca="1" si="188"/>
        <v>0.2202915979799277</v>
      </c>
      <c r="AM352" s="8">
        <v>1</v>
      </c>
      <c r="AN352" s="42">
        <f t="shared" ca="1" si="206"/>
        <v>185</v>
      </c>
      <c r="AP352" s="43">
        <f t="shared" ca="1" si="189"/>
        <v>0.16897215565822266</v>
      </c>
      <c r="AQ352" s="8">
        <v>1</v>
      </c>
      <c r="AR352" s="42">
        <f t="shared" ca="1" si="207"/>
        <v>148</v>
      </c>
      <c r="AT352" s="43">
        <f t="shared" ca="1" si="190"/>
        <v>0.61577147126561382</v>
      </c>
      <c r="AU352" s="8">
        <v>1</v>
      </c>
      <c r="AV352" s="42">
        <f t="shared" ca="1" si="208"/>
        <v>222</v>
      </c>
      <c r="AX352" s="43">
        <f t="shared" ca="1" si="191"/>
        <v>5.4499513435185332E-2</v>
      </c>
      <c r="AY352" s="8">
        <v>1</v>
      </c>
      <c r="AZ352" s="42">
        <f t="shared" ca="1" si="209"/>
        <v>134</v>
      </c>
      <c r="BB352" s="43">
        <f t="shared" ca="1" si="192"/>
        <v>2.6358139290007965E-2</v>
      </c>
      <c r="BC352" s="8">
        <v>1</v>
      </c>
      <c r="BD352" s="42">
        <f t="shared" ca="1" si="210"/>
        <v>97</v>
      </c>
      <c r="BF352" s="43">
        <f t="shared" ca="1" si="193"/>
        <v>0.97771415505415471</v>
      </c>
      <c r="BG352" s="8">
        <v>1</v>
      </c>
      <c r="BH352" s="42">
        <f t="shared" ca="1" si="211"/>
        <v>259</v>
      </c>
      <c r="BJ352" s="43">
        <f t="shared" ca="1" si="194"/>
        <v>0.58966414494917996</v>
      </c>
      <c r="BK352" s="8">
        <v>1</v>
      </c>
      <c r="BL352" s="42">
        <f t="shared" ca="1" si="212"/>
        <v>229</v>
      </c>
      <c r="BN352" s="43">
        <f t="shared" ca="1" si="195"/>
        <v>0.95201443385272544</v>
      </c>
      <c r="BO352" s="8">
        <v>1</v>
      </c>
      <c r="BP352" s="42">
        <f t="shared" ca="1" si="213"/>
        <v>232</v>
      </c>
      <c r="BR352" s="43">
        <f t="shared" ca="1" si="196"/>
        <v>5.4641499057224818E-2</v>
      </c>
      <c r="BS352" s="8">
        <v>1</v>
      </c>
      <c r="BT352" s="42">
        <f t="shared" ca="1" si="214"/>
        <v>126</v>
      </c>
    </row>
    <row r="353" spans="1:72" x14ac:dyDescent="0.2">
      <c r="A353" s="22">
        <v>44900</v>
      </c>
      <c r="B353" s="43">
        <f t="shared" ca="1" si="179"/>
        <v>0.39413576071182554</v>
      </c>
      <c r="C353" s="8">
        <v>1</v>
      </c>
      <c r="D353" s="42">
        <f t="shared" ca="1" si="197"/>
        <v>95</v>
      </c>
      <c r="F353" s="43">
        <f t="shared" ca="1" si="180"/>
        <v>0.38718521330463518</v>
      </c>
      <c r="G353" s="8">
        <v>1</v>
      </c>
      <c r="H353" s="42">
        <f t="shared" ca="1" si="198"/>
        <v>199</v>
      </c>
      <c r="J353" s="43">
        <f t="shared" ca="1" si="181"/>
        <v>0.5443162185644691</v>
      </c>
      <c r="K353" s="8">
        <v>1</v>
      </c>
      <c r="L353" s="42">
        <f t="shared" ca="1" si="199"/>
        <v>155</v>
      </c>
      <c r="N353" s="43">
        <f t="shared" ca="1" si="182"/>
        <v>0.36638484099188329</v>
      </c>
      <c r="O353" s="8">
        <v>1</v>
      </c>
      <c r="P353" s="42">
        <f t="shared" ca="1" si="200"/>
        <v>209</v>
      </c>
      <c r="R353" s="43">
        <f t="shared" ca="1" si="183"/>
        <v>0.8151943350041766</v>
      </c>
      <c r="S353" s="8">
        <v>1</v>
      </c>
      <c r="T353" s="42">
        <f t="shared" ca="1" si="201"/>
        <v>172</v>
      </c>
      <c r="V353" s="43">
        <f t="shared" ca="1" si="184"/>
        <v>0.61295591289136231</v>
      </c>
      <c r="W353" s="8">
        <v>1</v>
      </c>
      <c r="X353" s="42">
        <f t="shared" ca="1" si="202"/>
        <v>243</v>
      </c>
      <c r="Z353" s="43">
        <f t="shared" ca="1" si="185"/>
        <v>0.38083195850872664</v>
      </c>
      <c r="AA353" s="8">
        <v>1</v>
      </c>
      <c r="AB353" s="42">
        <f t="shared" ca="1" si="203"/>
        <v>249</v>
      </c>
      <c r="AD353" s="43">
        <f t="shared" ca="1" si="186"/>
        <v>0.64190977612699995</v>
      </c>
      <c r="AE353" s="8">
        <v>1</v>
      </c>
      <c r="AF353" s="42">
        <f t="shared" ca="1" si="204"/>
        <v>359</v>
      </c>
      <c r="AH353" s="43">
        <f t="shared" ca="1" si="187"/>
        <v>0.68507605860204757</v>
      </c>
      <c r="AI353" s="8">
        <v>1</v>
      </c>
      <c r="AJ353" s="42">
        <f t="shared" ca="1" si="205"/>
        <v>193</v>
      </c>
      <c r="AL353" s="43">
        <f t="shared" ca="1" si="188"/>
        <v>6.9264361003665731E-2</v>
      </c>
      <c r="AM353" s="8">
        <v>1</v>
      </c>
      <c r="AN353" s="42">
        <f t="shared" ca="1" si="206"/>
        <v>141</v>
      </c>
      <c r="AP353" s="43">
        <f t="shared" ca="1" si="189"/>
        <v>0.28287491689207855</v>
      </c>
      <c r="AQ353" s="8">
        <v>1</v>
      </c>
      <c r="AR353" s="42">
        <f t="shared" ca="1" si="207"/>
        <v>168</v>
      </c>
      <c r="AT353" s="43">
        <f t="shared" ca="1" si="190"/>
        <v>0.61876484212367688</v>
      </c>
      <c r="AU353" s="8">
        <v>1</v>
      </c>
      <c r="AV353" s="42">
        <f t="shared" ca="1" si="208"/>
        <v>223</v>
      </c>
      <c r="AX353" s="43">
        <f t="shared" ca="1" si="191"/>
        <v>0.53662214048892565</v>
      </c>
      <c r="AY353" s="8">
        <v>1</v>
      </c>
      <c r="AZ353" s="42">
        <f t="shared" ca="1" si="209"/>
        <v>240</v>
      </c>
      <c r="BB353" s="43">
        <f t="shared" ca="1" si="192"/>
        <v>0.10924115319166272</v>
      </c>
      <c r="BC353" s="8">
        <v>1</v>
      </c>
      <c r="BD353" s="42">
        <f t="shared" ca="1" si="210"/>
        <v>135</v>
      </c>
      <c r="BF353" s="43">
        <f t="shared" ca="1" si="193"/>
        <v>0.30545887622315071</v>
      </c>
      <c r="BG353" s="8">
        <v>1</v>
      </c>
      <c r="BH353" s="42">
        <f t="shared" ca="1" si="211"/>
        <v>146</v>
      </c>
      <c r="BJ353" s="43">
        <f t="shared" ca="1" si="194"/>
        <v>0.56725861499397445</v>
      </c>
      <c r="BK353" s="8">
        <v>1</v>
      </c>
      <c r="BL353" s="42">
        <f t="shared" ca="1" si="212"/>
        <v>226</v>
      </c>
      <c r="BN353" s="43">
        <f t="shared" ca="1" si="195"/>
        <v>0.56255505568500286</v>
      </c>
      <c r="BO353" s="8">
        <v>1</v>
      </c>
      <c r="BP353" s="42">
        <f t="shared" ca="1" si="213"/>
        <v>168</v>
      </c>
      <c r="BR353" s="43">
        <f t="shared" ca="1" si="196"/>
        <v>0.47503990217173409</v>
      </c>
      <c r="BS353" s="8">
        <v>1</v>
      </c>
      <c r="BT353" s="42">
        <f t="shared" ca="1" si="214"/>
        <v>216</v>
      </c>
    </row>
    <row r="354" spans="1:72" x14ac:dyDescent="0.2">
      <c r="A354" s="22">
        <v>44901</v>
      </c>
      <c r="B354" s="43">
        <f t="shared" ca="1" si="179"/>
        <v>0.54749438453999189</v>
      </c>
      <c r="C354" s="8">
        <v>1</v>
      </c>
      <c r="D354" s="42">
        <f t="shared" ca="1" si="197"/>
        <v>103</v>
      </c>
      <c r="F354" s="43">
        <f t="shared" ca="1" si="180"/>
        <v>0.95374092302648572</v>
      </c>
      <c r="G354" s="8">
        <v>1</v>
      </c>
      <c r="H354" s="42">
        <f t="shared" ca="1" si="198"/>
        <v>313</v>
      </c>
      <c r="J354" s="43">
        <f t="shared" ca="1" si="181"/>
        <v>0.51504920937068321</v>
      </c>
      <c r="K354" s="8">
        <v>1</v>
      </c>
      <c r="L354" s="42">
        <f t="shared" ca="1" si="199"/>
        <v>152</v>
      </c>
      <c r="N354" s="43">
        <f t="shared" ca="1" si="182"/>
        <v>0.40558905408568524</v>
      </c>
      <c r="O354" s="8">
        <v>1</v>
      </c>
      <c r="P354" s="42">
        <f t="shared" ca="1" si="200"/>
        <v>215</v>
      </c>
      <c r="R354" s="43">
        <f t="shared" ca="1" si="183"/>
        <v>0.61303768784463863</v>
      </c>
      <c r="S354" s="8">
        <v>1</v>
      </c>
      <c r="T354" s="42">
        <f t="shared" ca="1" si="201"/>
        <v>150</v>
      </c>
      <c r="V354" s="43">
        <f t="shared" ca="1" si="184"/>
        <v>0.18595651559756021</v>
      </c>
      <c r="W354" s="8">
        <v>1</v>
      </c>
      <c r="X354" s="42">
        <f t="shared" ca="1" si="202"/>
        <v>172</v>
      </c>
      <c r="Z354" s="43">
        <f t="shared" ca="1" si="185"/>
        <v>0.78925125380196037</v>
      </c>
      <c r="AA354" s="8">
        <v>1</v>
      </c>
      <c r="AB354" s="42">
        <f t="shared" ca="1" si="203"/>
        <v>328</v>
      </c>
      <c r="AD354" s="43">
        <f t="shared" ca="1" si="186"/>
        <v>2.3347896597172402E-2</v>
      </c>
      <c r="AE354" s="8">
        <v>1</v>
      </c>
      <c r="AF354" s="42">
        <f t="shared" ca="1" si="204"/>
        <v>154</v>
      </c>
      <c r="AH354" s="43">
        <f t="shared" ca="1" si="187"/>
        <v>0.7147561421390467</v>
      </c>
      <c r="AI354" s="8">
        <v>1</v>
      </c>
      <c r="AJ354" s="42">
        <f t="shared" ca="1" si="205"/>
        <v>197</v>
      </c>
      <c r="AL354" s="43">
        <f t="shared" ca="1" si="188"/>
        <v>0.60119532658369546</v>
      </c>
      <c r="AM354" s="8">
        <v>1</v>
      </c>
      <c r="AN354" s="42">
        <f t="shared" ca="1" si="206"/>
        <v>248</v>
      </c>
      <c r="AP354" s="43">
        <f t="shared" ca="1" si="189"/>
        <v>0.41940621607799</v>
      </c>
      <c r="AQ354" s="8">
        <v>1</v>
      </c>
      <c r="AR354" s="42">
        <f t="shared" ca="1" si="207"/>
        <v>188</v>
      </c>
      <c r="AT354" s="43">
        <f t="shared" ca="1" si="190"/>
        <v>0.5332730632515057</v>
      </c>
      <c r="AU354" s="8">
        <v>1</v>
      </c>
      <c r="AV354" s="42">
        <f t="shared" ca="1" si="208"/>
        <v>211</v>
      </c>
      <c r="AX354" s="43">
        <f t="shared" ca="1" si="191"/>
        <v>0.41061724593129567</v>
      </c>
      <c r="AY354" s="8">
        <v>1</v>
      </c>
      <c r="AZ354" s="42">
        <f t="shared" ca="1" si="209"/>
        <v>220</v>
      </c>
      <c r="BB354" s="43">
        <f t="shared" ca="1" si="192"/>
        <v>0.11161999057798666</v>
      </c>
      <c r="BC354" s="8">
        <v>1</v>
      </c>
      <c r="BD354" s="42">
        <f t="shared" ca="1" si="210"/>
        <v>136</v>
      </c>
      <c r="BF354" s="43">
        <f t="shared" ca="1" si="193"/>
        <v>0.50962186944654386</v>
      </c>
      <c r="BG354" s="8">
        <v>1</v>
      </c>
      <c r="BH354" s="42">
        <f t="shared" ca="1" si="211"/>
        <v>170</v>
      </c>
      <c r="BJ354" s="43">
        <f t="shared" ca="1" si="194"/>
        <v>0.4348587613308611</v>
      </c>
      <c r="BK354" s="8">
        <v>1</v>
      </c>
      <c r="BL354" s="42">
        <f t="shared" ca="1" si="212"/>
        <v>207</v>
      </c>
      <c r="BN354" s="43">
        <f t="shared" ca="1" si="195"/>
        <v>0.77316756828431021</v>
      </c>
      <c r="BO354" s="8">
        <v>1</v>
      </c>
      <c r="BP354" s="42">
        <f t="shared" ca="1" si="213"/>
        <v>193</v>
      </c>
      <c r="BR354" s="43">
        <f t="shared" ca="1" si="196"/>
        <v>4.1323662594775823E-2</v>
      </c>
      <c r="BS354" s="8">
        <v>1</v>
      </c>
      <c r="BT354" s="42">
        <f t="shared" ca="1" si="214"/>
        <v>118</v>
      </c>
    </row>
    <row r="355" spans="1:72" x14ac:dyDescent="0.2">
      <c r="A355" s="22">
        <v>44902</v>
      </c>
      <c r="B355" s="43">
        <f t="shared" ca="1" si="179"/>
        <v>0.33557295579714219</v>
      </c>
      <c r="C355" s="8">
        <v>1</v>
      </c>
      <c r="D355" s="42">
        <f t="shared" ca="1" si="197"/>
        <v>92</v>
      </c>
      <c r="F355" s="43">
        <f t="shared" ca="1" si="180"/>
        <v>0.16218181330291292</v>
      </c>
      <c r="G355" s="8">
        <v>1</v>
      </c>
      <c r="H355" s="42">
        <f t="shared" ca="1" si="198"/>
        <v>159</v>
      </c>
      <c r="J355" s="43">
        <f t="shared" ca="1" si="181"/>
        <v>0.83278204701548197</v>
      </c>
      <c r="K355" s="8">
        <v>1</v>
      </c>
      <c r="L355" s="42">
        <f t="shared" ca="1" si="199"/>
        <v>189</v>
      </c>
      <c r="N355" s="43">
        <f t="shared" ca="1" si="182"/>
        <v>0.21489982266817775</v>
      </c>
      <c r="O355" s="8">
        <v>1</v>
      </c>
      <c r="P355" s="42">
        <f t="shared" ca="1" si="200"/>
        <v>182</v>
      </c>
      <c r="R355" s="43">
        <f t="shared" ca="1" si="183"/>
        <v>0.21029831987473846</v>
      </c>
      <c r="S355" s="8">
        <v>1</v>
      </c>
      <c r="T355" s="42">
        <f t="shared" ca="1" si="201"/>
        <v>109</v>
      </c>
      <c r="V355" s="43">
        <f t="shared" ca="1" si="184"/>
        <v>0.45424874437253104</v>
      </c>
      <c r="W355" s="8">
        <v>1</v>
      </c>
      <c r="X355" s="42">
        <f t="shared" ca="1" si="202"/>
        <v>219</v>
      </c>
      <c r="Z355" s="43">
        <f t="shared" ca="1" si="185"/>
        <v>0.90108711088697502</v>
      </c>
      <c r="AA355" s="8">
        <v>1</v>
      </c>
      <c r="AB355" s="42">
        <f t="shared" ca="1" si="203"/>
        <v>363</v>
      </c>
      <c r="AD355" s="43">
        <f t="shared" ca="1" si="186"/>
        <v>0.27486822194955129</v>
      </c>
      <c r="AE355" s="8">
        <v>1</v>
      </c>
      <c r="AF355" s="42">
        <f t="shared" ca="1" si="204"/>
        <v>275</v>
      </c>
      <c r="AH355" s="43">
        <f t="shared" ca="1" si="187"/>
        <v>0.12138151956908538</v>
      </c>
      <c r="AI355" s="8">
        <v>1</v>
      </c>
      <c r="AJ355" s="42">
        <f t="shared" ca="1" si="205"/>
        <v>118</v>
      </c>
      <c r="AL355" s="43">
        <f t="shared" ca="1" si="188"/>
        <v>0.61711174621657772</v>
      </c>
      <c r="AM355" s="8">
        <v>1</v>
      </c>
      <c r="AN355" s="42">
        <f t="shared" ca="1" si="206"/>
        <v>251</v>
      </c>
      <c r="AP355" s="43">
        <f t="shared" ca="1" si="189"/>
        <v>0.37935539539122265</v>
      </c>
      <c r="AQ355" s="8">
        <v>1</v>
      </c>
      <c r="AR355" s="42">
        <f t="shared" ca="1" si="207"/>
        <v>182</v>
      </c>
      <c r="AT355" s="43">
        <f t="shared" ca="1" si="190"/>
        <v>0.27267688556337055</v>
      </c>
      <c r="AU355" s="8">
        <v>1</v>
      </c>
      <c r="AV355" s="42">
        <f t="shared" ca="1" si="208"/>
        <v>173</v>
      </c>
      <c r="AX355" s="43">
        <f t="shared" ca="1" si="191"/>
        <v>0.31902724942894489</v>
      </c>
      <c r="AY355" s="8">
        <v>1</v>
      </c>
      <c r="AZ355" s="42">
        <f t="shared" ca="1" si="209"/>
        <v>205</v>
      </c>
      <c r="BB355" s="43">
        <f t="shared" ca="1" si="192"/>
        <v>0.15281412156143215</v>
      </c>
      <c r="BC355" s="8">
        <v>1</v>
      </c>
      <c r="BD355" s="42">
        <f t="shared" ca="1" si="210"/>
        <v>146</v>
      </c>
      <c r="BF355" s="43">
        <f t="shared" ca="1" si="193"/>
        <v>0.42245167607894996</v>
      </c>
      <c r="BG355" s="8">
        <v>1</v>
      </c>
      <c r="BH355" s="42">
        <f t="shared" ca="1" si="211"/>
        <v>160</v>
      </c>
      <c r="BJ355" s="43">
        <f t="shared" ca="1" si="194"/>
        <v>0.94728154074440163</v>
      </c>
      <c r="BK355" s="8">
        <v>1</v>
      </c>
      <c r="BL355" s="42">
        <f t="shared" ca="1" si="212"/>
        <v>309</v>
      </c>
      <c r="BN355" s="43">
        <f t="shared" ca="1" si="195"/>
        <v>0.51548920338311854</v>
      </c>
      <c r="BO355" s="8">
        <v>1</v>
      </c>
      <c r="BP355" s="42">
        <f t="shared" ca="1" si="213"/>
        <v>163</v>
      </c>
      <c r="BR355" s="43">
        <f t="shared" ca="1" si="196"/>
        <v>0.9138138467888054</v>
      </c>
      <c r="BS355" s="8">
        <v>1</v>
      </c>
      <c r="BT355" s="42">
        <f t="shared" ca="1" si="214"/>
        <v>300</v>
      </c>
    </row>
    <row r="356" spans="1:72" x14ac:dyDescent="0.2">
      <c r="A356" s="22">
        <v>44903</v>
      </c>
      <c r="B356" s="43">
        <f t="shared" ca="1" si="179"/>
        <v>0.85834531584574081</v>
      </c>
      <c r="C356" s="8">
        <v>1</v>
      </c>
      <c r="D356" s="42">
        <f t="shared" ca="1" si="197"/>
        <v>122</v>
      </c>
      <c r="F356" s="43">
        <f t="shared" ca="1" si="180"/>
        <v>0.35178615293447191</v>
      </c>
      <c r="G356" s="8">
        <v>1</v>
      </c>
      <c r="H356" s="42">
        <f t="shared" ca="1" si="198"/>
        <v>194</v>
      </c>
      <c r="J356" s="43">
        <f t="shared" ca="1" si="181"/>
        <v>0.78777117309289091</v>
      </c>
      <c r="K356" s="8">
        <v>1</v>
      </c>
      <c r="L356" s="42">
        <f t="shared" ca="1" si="199"/>
        <v>182</v>
      </c>
      <c r="N356" s="43">
        <f t="shared" ca="1" si="182"/>
        <v>0.68021863279736317</v>
      </c>
      <c r="O356" s="8">
        <v>1</v>
      </c>
      <c r="P356" s="42">
        <f t="shared" ca="1" si="200"/>
        <v>258</v>
      </c>
      <c r="R356" s="43">
        <f t="shared" ca="1" si="183"/>
        <v>0.5580872979458944</v>
      </c>
      <c r="S356" s="8">
        <v>1</v>
      </c>
      <c r="T356" s="42">
        <f t="shared" ca="1" si="201"/>
        <v>145</v>
      </c>
      <c r="V356" s="43">
        <f t="shared" ca="1" si="184"/>
        <v>0.71453122757178811</v>
      </c>
      <c r="W356" s="8">
        <v>1</v>
      </c>
      <c r="X356" s="42">
        <f t="shared" ca="1" si="202"/>
        <v>260</v>
      </c>
      <c r="Z356" s="43">
        <f t="shared" ca="1" si="185"/>
        <v>9.4255712567001382E-2</v>
      </c>
      <c r="AA356" s="8">
        <v>1</v>
      </c>
      <c r="AB356" s="42">
        <f t="shared" ca="1" si="203"/>
        <v>176</v>
      </c>
      <c r="AD356" s="43">
        <f t="shared" ca="1" si="186"/>
        <v>0.56710519392348235</v>
      </c>
      <c r="AE356" s="8">
        <v>1</v>
      </c>
      <c r="AF356" s="42">
        <f t="shared" ca="1" si="204"/>
        <v>342</v>
      </c>
      <c r="AH356" s="43">
        <f t="shared" ca="1" si="187"/>
        <v>0.21935368837007818</v>
      </c>
      <c r="AI356" s="8">
        <v>1</v>
      </c>
      <c r="AJ356" s="42">
        <f t="shared" ca="1" si="205"/>
        <v>136</v>
      </c>
      <c r="AL356" s="43">
        <f t="shared" ca="1" si="188"/>
        <v>7.1758633669142702E-2</v>
      </c>
      <c r="AM356" s="8">
        <v>1</v>
      </c>
      <c r="AN356" s="42">
        <f t="shared" ca="1" si="206"/>
        <v>142</v>
      </c>
      <c r="AP356" s="43">
        <f t="shared" ca="1" si="189"/>
        <v>0.67672986996433981</v>
      </c>
      <c r="AQ356" s="8">
        <v>1</v>
      </c>
      <c r="AR356" s="42">
        <f t="shared" ca="1" si="207"/>
        <v>223</v>
      </c>
      <c r="AT356" s="43">
        <f t="shared" ca="1" si="190"/>
        <v>0.90532997348009869</v>
      </c>
      <c r="AU356" s="8">
        <v>1</v>
      </c>
      <c r="AV356" s="42">
        <f t="shared" ca="1" si="208"/>
        <v>278</v>
      </c>
      <c r="AX356" s="43">
        <f t="shared" ca="1" si="191"/>
        <v>7.1621869195224508E-2</v>
      </c>
      <c r="AY356" s="8">
        <v>1</v>
      </c>
      <c r="AZ356" s="42">
        <f t="shared" ca="1" si="209"/>
        <v>143</v>
      </c>
      <c r="BB356" s="43">
        <f t="shared" ca="1" si="192"/>
        <v>0.66796666574825203</v>
      </c>
      <c r="BC356" s="8">
        <v>1</v>
      </c>
      <c r="BD356" s="42">
        <f t="shared" ca="1" si="210"/>
        <v>224</v>
      </c>
      <c r="BF356" s="43">
        <f t="shared" ca="1" si="193"/>
        <v>0.5248382989514675</v>
      </c>
      <c r="BG356" s="8">
        <v>1</v>
      </c>
      <c r="BH356" s="42">
        <f t="shared" ca="1" si="211"/>
        <v>172</v>
      </c>
      <c r="BJ356" s="43">
        <f t="shared" ca="1" si="194"/>
        <v>0.49826716156249795</v>
      </c>
      <c r="BK356" s="8">
        <v>1</v>
      </c>
      <c r="BL356" s="42">
        <f t="shared" ca="1" si="212"/>
        <v>216</v>
      </c>
      <c r="BN356" s="43">
        <f t="shared" ca="1" si="195"/>
        <v>0.30641800980705236</v>
      </c>
      <c r="BO356" s="8">
        <v>1</v>
      </c>
      <c r="BP356" s="42">
        <f t="shared" ca="1" si="213"/>
        <v>139</v>
      </c>
      <c r="BR356" s="43">
        <f t="shared" ca="1" si="196"/>
        <v>0.46984586401712625</v>
      </c>
      <c r="BS356" s="8">
        <v>1</v>
      </c>
      <c r="BT356" s="42">
        <f t="shared" ca="1" si="214"/>
        <v>215</v>
      </c>
    </row>
    <row r="357" spans="1:72" x14ac:dyDescent="0.2">
      <c r="A357" s="22">
        <v>44904</v>
      </c>
      <c r="B357" s="43">
        <f t="shared" ca="1" si="179"/>
        <v>0.48881142096781727</v>
      </c>
      <c r="C357" s="8">
        <v>1</v>
      </c>
      <c r="D357" s="42">
        <f t="shared" ca="1" si="197"/>
        <v>100</v>
      </c>
      <c r="F357" s="43">
        <f t="shared" ca="1" si="180"/>
        <v>0.6995134265863876</v>
      </c>
      <c r="G357" s="8">
        <v>1</v>
      </c>
      <c r="H357" s="42">
        <f t="shared" ca="1" si="198"/>
        <v>246</v>
      </c>
      <c r="J357" s="43">
        <f t="shared" ca="1" si="181"/>
        <v>0.51732013700546886</v>
      </c>
      <c r="K357" s="8">
        <v>1</v>
      </c>
      <c r="L357" s="42">
        <f t="shared" ca="1" si="199"/>
        <v>152</v>
      </c>
      <c r="N357" s="43">
        <f t="shared" ca="1" si="182"/>
        <v>0.48295058262013546</v>
      </c>
      <c r="O357" s="8">
        <v>1</v>
      </c>
      <c r="P357" s="42">
        <f t="shared" ca="1" si="200"/>
        <v>227</v>
      </c>
      <c r="R357" s="43">
        <f t="shared" ca="1" si="183"/>
        <v>0.97605459614789891</v>
      </c>
      <c r="S357" s="8">
        <v>1</v>
      </c>
      <c r="T357" s="42">
        <f t="shared" ca="1" si="201"/>
        <v>212</v>
      </c>
      <c r="V357" s="43">
        <f t="shared" ca="1" si="184"/>
        <v>0.35004309723844984</v>
      </c>
      <c r="W357" s="8">
        <v>1</v>
      </c>
      <c r="X357" s="42">
        <f t="shared" ca="1" si="202"/>
        <v>202</v>
      </c>
      <c r="Z357" s="43">
        <f t="shared" ca="1" si="185"/>
        <v>0.37663980039409151</v>
      </c>
      <c r="AA357" s="8">
        <v>1</v>
      </c>
      <c r="AB357" s="42">
        <f t="shared" ca="1" si="203"/>
        <v>248</v>
      </c>
      <c r="AD357" s="43">
        <f t="shared" ca="1" si="186"/>
        <v>6.7530213537155381E-2</v>
      </c>
      <c r="AE357" s="8">
        <v>1</v>
      </c>
      <c r="AF357" s="42">
        <f t="shared" ca="1" si="204"/>
        <v>197</v>
      </c>
      <c r="AH357" s="43">
        <f t="shared" ca="1" si="187"/>
        <v>0.1199484547700147</v>
      </c>
      <c r="AI357" s="8">
        <v>1</v>
      </c>
      <c r="AJ357" s="42">
        <f t="shared" ca="1" si="205"/>
        <v>117</v>
      </c>
      <c r="AL357" s="43">
        <f t="shared" ca="1" si="188"/>
        <v>3.0000006679020697E-2</v>
      </c>
      <c r="AM357" s="8">
        <v>1</v>
      </c>
      <c r="AN357" s="42">
        <f t="shared" ca="1" si="206"/>
        <v>116</v>
      </c>
      <c r="AP357" s="43">
        <f t="shared" ca="1" si="189"/>
        <v>0.55435813034287107</v>
      </c>
      <c r="AQ357" s="8">
        <v>1</v>
      </c>
      <c r="AR357" s="42">
        <f t="shared" ca="1" si="207"/>
        <v>206</v>
      </c>
      <c r="AT357" s="43">
        <f t="shared" ca="1" si="190"/>
        <v>0.65913152562946964</v>
      </c>
      <c r="AU357" s="8">
        <v>1</v>
      </c>
      <c r="AV357" s="42">
        <f t="shared" ca="1" si="208"/>
        <v>228</v>
      </c>
      <c r="AX357" s="43">
        <f t="shared" ca="1" si="191"/>
        <v>0.55782902643247523</v>
      </c>
      <c r="AY357" s="8">
        <v>1</v>
      </c>
      <c r="AZ357" s="42">
        <f t="shared" ca="1" si="209"/>
        <v>243</v>
      </c>
      <c r="BB357" s="43">
        <f t="shared" ca="1" si="192"/>
        <v>0.90005783862900912</v>
      </c>
      <c r="BC357" s="8">
        <v>1</v>
      </c>
      <c r="BD357" s="42">
        <f t="shared" ca="1" si="210"/>
        <v>270</v>
      </c>
      <c r="BF357" s="43">
        <f t="shared" ca="1" si="193"/>
        <v>0.45648639348013831</v>
      </c>
      <c r="BG357" s="8">
        <v>1</v>
      </c>
      <c r="BH357" s="42">
        <f t="shared" ca="1" si="211"/>
        <v>164</v>
      </c>
      <c r="BJ357" s="43">
        <f t="shared" ca="1" si="194"/>
        <v>0.28113386084906689</v>
      </c>
      <c r="BK357" s="8">
        <v>1</v>
      </c>
      <c r="BL357" s="42">
        <f t="shared" ca="1" si="212"/>
        <v>183</v>
      </c>
      <c r="BN357" s="43">
        <f t="shared" ca="1" si="195"/>
        <v>0.15023505012159344</v>
      </c>
      <c r="BO357" s="8">
        <v>1</v>
      </c>
      <c r="BP357" s="42">
        <f t="shared" ca="1" si="213"/>
        <v>117</v>
      </c>
      <c r="BR357" s="43">
        <f t="shared" ca="1" si="196"/>
        <v>0.88650738789947603</v>
      </c>
      <c r="BS357" s="8">
        <v>1</v>
      </c>
      <c r="BT357" s="42">
        <f t="shared" ca="1" si="214"/>
        <v>290</v>
      </c>
    </row>
    <row r="358" spans="1:72" x14ac:dyDescent="0.2">
      <c r="A358" s="22">
        <v>44905</v>
      </c>
      <c r="B358" s="43">
        <f t="shared" ca="1" si="179"/>
        <v>4.6163383093476229E-2</v>
      </c>
      <c r="C358" s="8">
        <v>1</v>
      </c>
      <c r="D358" s="42">
        <f t="shared" ca="1" si="197"/>
        <v>67</v>
      </c>
      <c r="F358" s="43">
        <f t="shared" ca="1" si="180"/>
        <v>0.22754972932268724</v>
      </c>
      <c r="G358" s="8">
        <v>1</v>
      </c>
      <c r="H358" s="42">
        <f t="shared" ca="1" si="198"/>
        <v>173</v>
      </c>
      <c r="J358" s="43">
        <f t="shared" ca="1" si="181"/>
        <v>0.4478047770493736</v>
      </c>
      <c r="K358" s="8">
        <v>1</v>
      </c>
      <c r="L358" s="42">
        <f t="shared" ca="1" si="199"/>
        <v>145</v>
      </c>
      <c r="N358" s="43">
        <f t="shared" ca="1" si="182"/>
        <v>0.88644344781817486</v>
      </c>
      <c r="O358" s="8">
        <v>1</v>
      </c>
      <c r="P358" s="42">
        <f t="shared" ca="1" si="200"/>
        <v>304</v>
      </c>
      <c r="R358" s="43">
        <f t="shared" ca="1" si="183"/>
        <v>0.36131966032992358</v>
      </c>
      <c r="S358" s="8">
        <v>1</v>
      </c>
      <c r="T358" s="42">
        <f t="shared" ca="1" si="201"/>
        <v>126</v>
      </c>
      <c r="V358" s="43">
        <f t="shared" ca="1" si="184"/>
        <v>0.1868876610934801</v>
      </c>
      <c r="W358" s="8">
        <v>1</v>
      </c>
      <c r="X358" s="42">
        <f t="shared" ca="1" si="202"/>
        <v>172</v>
      </c>
      <c r="Z358" s="43">
        <f t="shared" ca="1" si="185"/>
        <v>0.69733059845077361</v>
      </c>
      <c r="AA358" s="8">
        <v>1</v>
      </c>
      <c r="AB358" s="42">
        <f t="shared" ca="1" si="203"/>
        <v>308</v>
      </c>
      <c r="AD358" s="43">
        <f t="shared" ca="1" si="186"/>
        <v>0.13066347763112163</v>
      </c>
      <c r="AE358" s="8">
        <v>1</v>
      </c>
      <c r="AF358" s="42">
        <f t="shared" ca="1" si="204"/>
        <v>230</v>
      </c>
      <c r="AH358" s="43">
        <f t="shared" ca="1" si="187"/>
        <v>0.40218342409203878</v>
      </c>
      <c r="AI358" s="8">
        <v>1</v>
      </c>
      <c r="AJ358" s="42">
        <f t="shared" ca="1" si="205"/>
        <v>160</v>
      </c>
      <c r="AL358" s="43">
        <f t="shared" ca="1" si="188"/>
        <v>0.26568827814938467</v>
      </c>
      <c r="AM358" s="8">
        <v>1</v>
      </c>
      <c r="AN358" s="42">
        <f t="shared" ca="1" si="206"/>
        <v>194</v>
      </c>
      <c r="AP358" s="43">
        <f t="shared" ca="1" si="189"/>
        <v>0.39005771636567166</v>
      </c>
      <c r="AQ358" s="8">
        <v>1</v>
      </c>
      <c r="AR358" s="42">
        <f t="shared" ca="1" si="207"/>
        <v>184</v>
      </c>
      <c r="AT358" s="43">
        <f t="shared" ca="1" si="190"/>
        <v>0.55342642289059973</v>
      </c>
      <c r="AU358" s="8">
        <v>1</v>
      </c>
      <c r="AV358" s="42">
        <f t="shared" ca="1" si="208"/>
        <v>213</v>
      </c>
      <c r="AX358" s="43">
        <f t="shared" ca="1" si="191"/>
        <v>3.4259627577213125E-2</v>
      </c>
      <c r="AY358" s="8">
        <v>1</v>
      </c>
      <c r="AZ358" s="42">
        <f t="shared" ca="1" si="209"/>
        <v>121</v>
      </c>
      <c r="BB358" s="43">
        <f t="shared" ca="1" si="192"/>
        <v>0.14170904530391826</v>
      </c>
      <c r="BC358" s="8">
        <v>1</v>
      </c>
      <c r="BD358" s="42">
        <f t="shared" ca="1" si="210"/>
        <v>144</v>
      </c>
      <c r="BF358" s="43">
        <f t="shared" ca="1" si="193"/>
        <v>0.43675721103186083</v>
      </c>
      <c r="BG358" s="8">
        <v>1</v>
      </c>
      <c r="BH358" s="42">
        <f t="shared" ca="1" si="211"/>
        <v>162</v>
      </c>
      <c r="BJ358" s="43">
        <f t="shared" ca="1" si="194"/>
        <v>0.79117862255524285</v>
      </c>
      <c r="BK358" s="8">
        <v>1</v>
      </c>
      <c r="BL358" s="42">
        <f t="shared" ca="1" si="212"/>
        <v>263</v>
      </c>
      <c r="BN358" s="43">
        <f t="shared" ca="1" si="195"/>
        <v>8.2999545167371847E-2</v>
      </c>
      <c r="BO358" s="8">
        <v>1</v>
      </c>
      <c r="BP358" s="42">
        <f t="shared" ca="1" si="213"/>
        <v>102</v>
      </c>
      <c r="BR358" s="43">
        <f t="shared" ca="1" si="196"/>
        <v>0.44048259809919987</v>
      </c>
      <c r="BS358" s="8">
        <v>1</v>
      </c>
      <c r="BT358" s="42">
        <f t="shared" ca="1" si="214"/>
        <v>211</v>
      </c>
    </row>
    <row r="359" spans="1:72" x14ac:dyDescent="0.2">
      <c r="A359" s="22">
        <v>44906</v>
      </c>
      <c r="B359" s="43">
        <f t="shared" ca="1" si="179"/>
        <v>1.1352732267286392E-2</v>
      </c>
      <c r="C359" s="8">
        <v>1</v>
      </c>
      <c r="D359" s="42">
        <f t="shared" ca="1" si="197"/>
        <v>55</v>
      </c>
      <c r="F359" s="43">
        <f t="shared" ca="1" si="180"/>
        <v>0.68622525712241411</v>
      </c>
      <c r="G359" s="8">
        <v>1</v>
      </c>
      <c r="H359" s="42">
        <f t="shared" ca="1" si="198"/>
        <v>244</v>
      </c>
      <c r="J359" s="43">
        <f t="shared" ca="1" si="181"/>
        <v>0.66813534700326149</v>
      </c>
      <c r="K359" s="8">
        <v>1</v>
      </c>
      <c r="L359" s="42">
        <f t="shared" ca="1" si="199"/>
        <v>168</v>
      </c>
      <c r="N359" s="43">
        <f t="shared" ca="1" si="182"/>
        <v>4.2005299109395211E-2</v>
      </c>
      <c r="O359" s="8">
        <v>1</v>
      </c>
      <c r="P359" s="42">
        <f t="shared" ca="1" si="200"/>
        <v>124</v>
      </c>
      <c r="R359" s="43">
        <f t="shared" ca="1" si="183"/>
        <v>2.60868045563869E-2</v>
      </c>
      <c r="S359" s="8">
        <v>1</v>
      </c>
      <c r="T359" s="42">
        <f t="shared" ca="1" si="201"/>
        <v>67</v>
      </c>
      <c r="V359" s="43">
        <f t="shared" ca="1" si="184"/>
        <v>0.14316446219874568</v>
      </c>
      <c r="W359" s="8">
        <v>1</v>
      </c>
      <c r="X359" s="42">
        <f t="shared" ca="1" si="202"/>
        <v>162</v>
      </c>
      <c r="Z359" s="43">
        <f t="shared" ca="1" si="185"/>
        <v>0.19947872102711783</v>
      </c>
      <c r="AA359" s="8">
        <v>1</v>
      </c>
      <c r="AB359" s="42">
        <f t="shared" ca="1" si="203"/>
        <v>210</v>
      </c>
      <c r="AD359" s="43">
        <f t="shared" ca="1" si="186"/>
        <v>0.62540606722710568</v>
      </c>
      <c r="AE359" s="8">
        <v>1</v>
      </c>
      <c r="AF359" s="42">
        <f t="shared" ca="1" si="204"/>
        <v>355</v>
      </c>
      <c r="AH359" s="43">
        <f t="shared" ca="1" si="187"/>
        <v>0.17938528962500033</v>
      </c>
      <c r="AI359" s="8">
        <v>1</v>
      </c>
      <c r="AJ359" s="42">
        <f t="shared" ca="1" si="205"/>
        <v>129</v>
      </c>
      <c r="AL359" s="43">
        <f t="shared" ca="1" si="188"/>
        <v>0.64610495555890335</v>
      </c>
      <c r="AM359" s="8">
        <v>1</v>
      </c>
      <c r="AN359" s="42">
        <f t="shared" ca="1" si="206"/>
        <v>256</v>
      </c>
      <c r="AP359" s="43">
        <f t="shared" ca="1" si="189"/>
        <v>0.13888193475543809</v>
      </c>
      <c r="AQ359" s="8">
        <v>1</v>
      </c>
      <c r="AR359" s="42">
        <f t="shared" ca="1" si="207"/>
        <v>141</v>
      </c>
      <c r="AT359" s="43">
        <f t="shared" ca="1" si="190"/>
        <v>7.9586639228730216E-2</v>
      </c>
      <c r="AU359" s="8">
        <v>1</v>
      </c>
      <c r="AV359" s="42">
        <f t="shared" ca="1" si="208"/>
        <v>129</v>
      </c>
      <c r="AX359" s="43">
        <f t="shared" ca="1" si="191"/>
        <v>0.93553543655336246</v>
      </c>
      <c r="AY359" s="8">
        <v>1</v>
      </c>
      <c r="AZ359" s="42">
        <f t="shared" ca="1" si="209"/>
        <v>329</v>
      </c>
      <c r="BB359" s="43">
        <f t="shared" ca="1" si="192"/>
        <v>0.1855605627321627</v>
      </c>
      <c r="BC359" s="8">
        <v>1</v>
      </c>
      <c r="BD359" s="42">
        <f t="shared" ca="1" si="210"/>
        <v>153</v>
      </c>
      <c r="BF359" s="43">
        <f t="shared" ca="1" si="193"/>
        <v>0.99174239946443066</v>
      </c>
      <c r="BG359" s="8">
        <v>1</v>
      </c>
      <c r="BH359" s="42">
        <f t="shared" ca="1" si="211"/>
        <v>277</v>
      </c>
      <c r="BJ359" s="43">
        <f t="shared" ca="1" si="194"/>
        <v>8.8381740488079674E-2</v>
      </c>
      <c r="BK359" s="8">
        <v>1</v>
      </c>
      <c r="BL359" s="42">
        <f t="shared" ca="1" si="212"/>
        <v>139</v>
      </c>
      <c r="BN359" s="43">
        <f t="shared" ca="1" si="195"/>
        <v>0.31905552443971807</v>
      </c>
      <c r="BO359" s="8">
        <v>1</v>
      </c>
      <c r="BP359" s="42">
        <f t="shared" ca="1" si="213"/>
        <v>141</v>
      </c>
      <c r="BR359" s="43">
        <f t="shared" ca="1" si="196"/>
        <v>0.50787251810453615</v>
      </c>
      <c r="BS359" s="8">
        <v>1</v>
      </c>
      <c r="BT359" s="42">
        <f t="shared" ca="1" si="214"/>
        <v>221</v>
      </c>
    </row>
    <row r="360" spans="1:72" x14ac:dyDescent="0.2">
      <c r="A360" s="22">
        <v>44907</v>
      </c>
      <c r="B360" s="43">
        <f t="shared" ca="1" si="179"/>
        <v>0.90885840152777753</v>
      </c>
      <c r="C360" s="8">
        <v>1</v>
      </c>
      <c r="D360" s="42">
        <f t="shared" ca="1" si="197"/>
        <v>127</v>
      </c>
      <c r="F360" s="43">
        <f t="shared" ca="1" si="180"/>
        <v>0.49672982522498599</v>
      </c>
      <c r="G360" s="8">
        <v>1</v>
      </c>
      <c r="H360" s="42">
        <f t="shared" ca="1" si="198"/>
        <v>215</v>
      </c>
      <c r="J360" s="43">
        <f t="shared" ca="1" si="181"/>
        <v>0.21566326866196073</v>
      </c>
      <c r="K360" s="8">
        <v>1</v>
      </c>
      <c r="L360" s="42">
        <f t="shared" ca="1" si="199"/>
        <v>119</v>
      </c>
      <c r="N360" s="43">
        <f t="shared" ca="1" si="182"/>
        <v>0.11812766323106316</v>
      </c>
      <c r="O360" s="8">
        <v>1</v>
      </c>
      <c r="P360" s="42">
        <f t="shared" ca="1" si="200"/>
        <v>157</v>
      </c>
      <c r="R360" s="43">
        <f t="shared" ca="1" si="183"/>
        <v>0.51921547982569838</v>
      </c>
      <c r="S360" s="8">
        <v>1</v>
      </c>
      <c r="T360" s="42">
        <f t="shared" ca="1" si="201"/>
        <v>141</v>
      </c>
      <c r="V360" s="43">
        <f t="shared" ca="1" si="184"/>
        <v>7.1109809020550085E-2</v>
      </c>
      <c r="W360" s="8">
        <v>1</v>
      </c>
      <c r="X360" s="42">
        <f t="shared" ca="1" si="202"/>
        <v>137</v>
      </c>
      <c r="Z360" s="43">
        <f t="shared" ca="1" si="185"/>
        <v>0.78207986926563966</v>
      </c>
      <c r="AA360" s="8">
        <v>1</v>
      </c>
      <c r="AB360" s="42">
        <f t="shared" ca="1" si="203"/>
        <v>327</v>
      </c>
      <c r="AD360" s="43">
        <f t="shared" ca="1" si="186"/>
        <v>0.3092123552807815</v>
      </c>
      <c r="AE360" s="8">
        <v>1</v>
      </c>
      <c r="AF360" s="42">
        <f t="shared" ca="1" si="204"/>
        <v>284</v>
      </c>
      <c r="AH360" s="43">
        <f t="shared" ca="1" si="187"/>
        <v>0.93757359644177551</v>
      </c>
      <c r="AI360" s="8">
        <v>1</v>
      </c>
      <c r="AJ360" s="42">
        <f t="shared" ca="1" si="205"/>
        <v>241</v>
      </c>
      <c r="AL360" s="43">
        <f t="shared" ca="1" si="188"/>
        <v>0.71321727900437681</v>
      </c>
      <c r="AM360" s="8">
        <v>1</v>
      </c>
      <c r="AN360" s="42">
        <f t="shared" ca="1" si="206"/>
        <v>267</v>
      </c>
      <c r="AP360" s="43">
        <f t="shared" ca="1" si="189"/>
        <v>8.0642610368677925E-2</v>
      </c>
      <c r="AQ360" s="8">
        <v>1</v>
      </c>
      <c r="AR360" s="42">
        <f t="shared" ca="1" si="207"/>
        <v>125</v>
      </c>
      <c r="AT360" s="43">
        <f t="shared" ca="1" si="190"/>
        <v>0.41880282736264607</v>
      </c>
      <c r="AU360" s="8">
        <v>1</v>
      </c>
      <c r="AV360" s="42">
        <f t="shared" ca="1" si="208"/>
        <v>195</v>
      </c>
      <c r="AX360" s="43">
        <f t="shared" ca="1" si="191"/>
        <v>0.1147196390392512</v>
      </c>
      <c r="AY360" s="8">
        <v>1</v>
      </c>
      <c r="AZ360" s="42">
        <f t="shared" ca="1" si="209"/>
        <v>159</v>
      </c>
      <c r="BB360" s="43">
        <f t="shared" ca="1" si="192"/>
        <v>0.88348044622892485</v>
      </c>
      <c r="BC360" s="8">
        <v>1</v>
      </c>
      <c r="BD360" s="42">
        <f t="shared" ca="1" si="210"/>
        <v>265</v>
      </c>
      <c r="BF360" s="43">
        <f t="shared" ca="1" si="193"/>
        <v>3.5539461386103199E-2</v>
      </c>
      <c r="BG360" s="8">
        <v>1</v>
      </c>
      <c r="BH360" s="42">
        <f t="shared" ca="1" si="211"/>
        <v>88</v>
      </c>
      <c r="BJ360" s="43">
        <f t="shared" ca="1" si="194"/>
        <v>0.26377537307496191</v>
      </c>
      <c r="BK360" s="8">
        <v>1</v>
      </c>
      <c r="BL360" s="42">
        <f t="shared" ca="1" si="212"/>
        <v>180</v>
      </c>
      <c r="BN360" s="43">
        <f t="shared" ca="1" si="195"/>
        <v>0.14555685330970036</v>
      </c>
      <c r="BO360" s="8">
        <v>1</v>
      </c>
      <c r="BP360" s="42">
        <f t="shared" ca="1" si="213"/>
        <v>116</v>
      </c>
      <c r="BR360" s="43">
        <f t="shared" ca="1" si="196"/>
        <v>0.25419468888923002</v>
      </c>
      <c r="BS360" s="8">
        <v>1</v>
      </c>
      <c r="BT360" s="42">
        <f t="shared" ca="1" si="214"/>
        <v>181</v>
      </c>
    </row>
    <row r="361" spans="1:72" x14ac:dyDescent="0.2">
      <c r="A361" s="22">
        <v>44908</v>
      </c>
      <c r="B361" s="43">
        <f t="shared" ca="1" si="179"/>
        <v>0.81112921859149645</v>
      </c>
      <c r="C361" s="8">
        <v>1</v>
      </c>
      <c r="D361" s="42">
        <f t="shared" ca="1" si="197"/>
        <v>118</v>
      </c>
      <c r="F361" s="43">
        <f t="shared" ca="1" si="180"/>
        <v>0.27857021860657361</v>
      </c>
      <c r="G361" s="8">
        <v>1</v>
      </c>
      <c r="H361" s="42">
        <f t="shared" ca="1" si="198"/>
        <v>182</v>
      </c>
      <c r="J361" s="43">
        <f t="shared" ca="1" si="181"/>
        <v>0.54515984858960587</v>
      </c>
      <c r="K361" s="8">
        <v>1</v>
      </c>
      <c r="L361" s="42">
        <f t="shared" ca="1" si="199"/>
        <v>155</v>
      </c>
      <c r="N361" s="43">
        <f t="shared" ca="1" si="182"/>
        <v>0.88917476618977209</v>
      </c>
      <c r="O361" s="8">
        <v>1</v>
      </c>
      <c r="P361" s="42">
        <f t="shared" ca="1" si="200"/>
        <v>305</v>
      </c>
      <c r="R361" s="43">
        <f t="shared" ca="1" si="183"/>
        <v>0.45550145574215251</v>
      </c>
      <c r="S361" s="8">
        <v>1</v>
      </c>
      <c r="T361" s="42">
        <f t="shared" ca="1" si="201"/>
        <v>135</v>
      </c>
      <c r="V361" s="43">
        <f t="shared" ca="1" si="184"/>
        <v>0.62238974733732977</v>
      </c>
      <c r="W361" s="8">
        <v>1</v>
      </c>
      <c r="X361" s="42">
        <f t="shared" ca="1" si="202"/>
        <v>244</v>
      </c>
      <c r="Z361" s="43">
        <f t="shared" ca="1" si="185"/>
        <v>0.93814866617057735</v>
      </c>
      <c r="AA361" s="8">
        <v>1</v>
      </c>
      <c r="AB361" s="42">
        <f t="shared" ca="1" si="203"/>
        <v>381</v>
      </c>
      <c r="AD361" s="43">
        <f t="shared" ca="1" si="186"/>
        <v>0.62006302300242855</v>
      </c>
      <c r="AE361" s="8">
        <v>1</v>
      </c>
      <c r="AF361" s="42">
        <f t="shared" ca="1" si="204"/>
        <v>354</v>
      </c>
      <c r="AH361" s="43">
        <f t="shared" ca="1" si="187"/>
        <v>0.46428487868880541</v>
      </c>
      <c r="AI361" s="8">
        <v>1</v>
      </c>
      <c r="AJ361" s="42">
        <f t="shared" ca="1" si="205"/>
        <v>167</v>
      </c>
      <c r="AL361" s="43">
        <f t="shared" ca="1" si="188"/>
        <v>7.8914348588254635E-2</v>
      </c>
      <c r="AM361" s="8">
        <v>1</v>
      </c>
      <c r="AN361" s="42">
        <f t="shared" ca="1" si="206"/>
        <v>145</v>
      </c>
      <c r="AP361" s="43">
        <f t="shared" ca="1" si="189"/>
        <v>0.29898591418332765</v>
      </c>
      <c r="AQ361" s="8">
        <v>1</v>
      </c>
      <c r="AR361" s="42">
        <f t="shared" ca="1" si="207"/>
        <v>171</v>
      </c>
      <c r="AT361" s="43">
        <f t="shared" ca="1" si="190"/>
        <v>0.42026808968802021</v>
      </c>
      <c r="AU361" s="8">
        <v>1</v>
      </c>
      <c r="AV361" s="42">
        <f t="shared" ca="1" si="208"/>
        <v>195</v>
      </c>
      <c r="AX361" s="43">
        <f t="shared" ca="1" si="191"/>
        <v>0.92649193695487653</v>
      </c>
      <c r="AY361" s="8">
        <v>1</v>
      </c>
      <c r="AZ361" s="42">
        <f t="shared" ca="1" si="209"/>
        <v>324</v>
      </c>
      <c r="BB361" s="43">
        <f t="shared" ca="1" si="192"/>
        <v>0.80080871766692985</v>
      </c>
      <c r="BC361" s="8">
        <v>1</v>
      </c>
      <c r="BD361" s="42">
        <f t="shared" ca="1" si="210"/>
        <v>246</v>
      </c>
      <c r="BF361" s="43">
        <f t="shared" ca="1" si="193"/>
        <v>0.33122040178434908</v>
      </c>
      <c r="BG361" s="8">
        <v>1</v>
      </c>
      <c r="BH361" s="42">
        <f t="shared" ca="1" si="211"/>
        <v>149</v>
      </c>
      <c r="BJ361" s="43">
        <f t="shared" ca="1" si="194"/>
        <v>0.96137517155276164</v>
      </c>
      <c r="BK361" s="8">
        <v>1</v>
      </c>
      <c r="BL361" s="42">
        <f t="shared" ca="1" si="212"/>
        <v>318</v>
      </c>
      <c r="BN361" s="43">
        <f t="shared" ca="1" si="195"/>
        <v>0.84244126057205848</v>
      </c>
      <c r="BO361" s="8">
        <v>1</v>
      </c>
      <c r="BP361" s="42">
        <f t="shared" ca="1" si="213"/>
        <v>204</v>
      </c>
      <c r="BR361" s="43">
        <f t="shared" ca="1" si="196"/>
        <v>0.39924730081063453</v>
      </c>
      <c r="BS361" s="8">
        <v>1</v>
      </c>
      <c r="BT361" s="42">
        <f t="shared" ca="1" si="214"/>
        <v>205</v>
      </c>
    </row>
    <row r="362" spans="1:72" x14ac:dyDescent="0.2">
      <c r="A362" s="22">
        <v>44909</v>
      </c>
      <c r="B362" s="43">
        <f t="shared" ca="1" si="179"/>
        <v>0.85380802472126993</v>
      </c>
      <c r="C362" s="8">
        <v>1</v>
      </c>
      <c r="D362" s="42">
        <f t="shared" ca="1" si="197"/>
        <v>122</v>
      </c>
      <c r="F362" s="43">
        <f t="shared" ca="1" si="180"/>
        <v>0.6003167716802551</v>
      </c>
      <c r="G362" s="8">
        <v>1</v>
      </c>
      <c r="H362" s="42">
        <f t="shared" ca="1" si="198"/>
        <v>230</v>
      </c>
      <c r="J362" s="43">
        <f t="shared" ca="1" si="181"/>
        <v>5.2950863676077931E-2</v>
      </c>
      <c r="K362" s="8">
        <v>1</v>
      </c>
      <c r="L362" s="42">
        <f t="shared" ca="1" si="199"/>
        <v>86</v>
      </c>
      <c r="N362" s="43">
        <f t="shared" ca="1" si="182"/>
        <v>0.43460696091804685</v>
      </c>
      <c r="O362" s="8">
        <v>1</v>
      </c>
      <c r="P362" s="42">
        <f t="shared" ca="1" si="200"/>
        <v>220</v>
      </c>
      <c r="R362" s="43">
        <f t="shared" ca="1" si="183"/>
        <v>0.50126020620889389</v>
      </c>
      <c r="S362" s="8">
        <v>1</v>
      </c>
      <c r="T362" s="42">
        <f t="shared" ca="1" si="201"/>
        <v>139</v>
      </c>
      <c r="V362" s="43">
        <f t="shared" ca="1" si="184"/>
        <v>0.93486588211100119</v>
      </c>
      <c r="W362" s="8">
        <v>1</v>
      </c>
      <c r="X362" s="42">
        <f t="shared" ca="1" si="202"/>
        <v>316</v>
      </c>
      <c r="Z362" s="43">
        <f t="shared" ca="1" si="185"/>
        <v>0.53844000244416346</v>
      </c>
      <c r="AA362" s="8">
        <v>1</v>
      </c>
      <c r="AB362" s="42">
        <f t="shared" ca="1" si="203"/>
        <v>277</v>
      </c>
      <c r="AD362" s="43">
        <f t="shared" ca="1" si="186"/>
        <v>0.8845165474220763</v>
      </c>
      <c r="AE362" s="8">
        <v>1</v>
      </c>
      <c r="AF362" s="42">
        <f t="shared" ca="1" si="204"/>
        <v>432</v>
      </c>
      <c r="AH362" s="43">
        <f t="shared" ca="1" si="187"/>
        <v>0.38142379319091568</v>
      </c>
      <c r="AI362" s="8">
        <v>1</v>
      </c>
      <c r="AJ362" s="42">
        <f t="shared" ca="1" si="205"/>
        <v>157</v>
      </c>
      <c r="AL362" s="43">
        <f t="shared" ca="1" si="188"/>
        <v>0.76984726231877465</v>
      </c>
      <c r="AM362" s="8">
        <v>1</v>
      </c>
      <c r="AN362" s="42">
        <f t="shared" ca="1" si="206"/>
        <v>278</v>
      </c>
      <c r="AP362" s="43">
        <f t="shared" ca="1" si="189"/>
        <v>0.82138823346714829</v>
      </c>
      <c r="AQ362" s="8">
        <v>1</v>
      </c>
      <c r="AR362" s="42">
        <f t="shared" ca="1" si="207"/>
        <v>247</v>
      </c>
      <c r="AT362" s="43">
        <f t="shared" ca="1" si="190"/>
        <v>0.12452616979558728</v>
      </c>
      <c r="AU362" s="8">
        <v>1</v>
      </c>
      <c r="AV362" s="42">
        <f t="shared" ca="1" si="208"/>
        <v>143</v>
      </c>
      <c r="AX362" s="43">
        <f t="shared" ca="1" si="191"/>
        <v>0.78189802383802598</v>
      </c>
      <c r="AY362" s="8">
        <v>1</v>
      </c>
      <c r="AZ362" s="42">
        <f t="shared" ca="1" si="209"/>
        <v>283</v>
      </c>
      <c r="BB362" s="43">
        <f t="shared" ca="1" si="192"/>
        <v>0.85049747049377711</v>
      </c>
      <c r="BC362" s="8">
        <v>1</v>
      </c>
      <c r="BD362" s="42">
        <f t="shared" ca="1" si="210"/>
        <v>257</v>
      </c>
      <c r="BF362" s="43">
        <f t="shared" ca="1" si="193"/>
        <v>0.47813154692662563</v>
      </c>
      <c r="BG362" s="8">
        <v>1</v>
      </c>
      <c r="BH362" s="42">
        <f t="shared" ca="1" si="211"/>
        <v>167</v>
      </c>
      <c r="BJ362" s="43">
        <f t="shared" ca="1" si="194"/>
        <v>1.5669963353790117E-2</v>
      </c>
      <c r="BK362" s="8">
        <v>1</v>
      </c>
      <c r="BL362" s="42">
        <f t="shared" ca="1" si="212"/>
        <v>92</v>
      </c>
      <c r="BN362" s="43">
        <f t="shared" ca="1" si="195"/>
        <v>0.42477504976486757</v>
      </c>
      <c r="BO362" s="8">
        <v>1</v>
      </c>
      <c r="BP362" s="42">
        <f t="shared" ca="1" si="213"/>
        <v>153</v>
      </c>
      <c r="BR362" s="43">
        <f t="shared" ca="1" si="196"/>
        <v>0.95863990715596825</v>
      </c>
      <c r="BS362" s="8">
        <v>1</v>
      </c>
      <c r="BT362" s="42">
        <f t="shared" ca="1" si="214"/>
        <v>321</v>
      </c>
    </row>
    <row r="363" spans="1:72" x14ac:dyDescent="0.2">
      <c r="A363" s="22">
        <v>44910</v>
      </c>
      <c r="B363" s="43">
        <f t="shared" ca="1" si="179"/>
        <v>0.43649335019963065</v>
      </c>
      <c r="C363" s="8">
        <v>1</v>
      </c>
      <c r="D363" s="42">
        <f t="shared" ca="1" si="197"/>
        <v>97</v>
      </c>
      <c r="F363" s="43">
        <f t="shared" ca="1" si="180"/>
        <v>0.91901816257051638</v>
      </c>
      <c r="G363" s="8">
        <v>1</v>
      </c>
      <c r="H363" s="42">
        <f t="shared" ca="1" si="198"/>
        <v>296</v>
      </c>
      <c r="J363" s="43">
        <f t="shared" ca="1" si="181"/>
        <v>0.15331016574939027</v>
      </c>
      <c r="K363" s="8">
        <v>1</v>
      </c>
      <c r="L363" s="42">
        <f t="shared" ca="1" si="199"/>
        <v>110</v>
      </c>
      <c r="N363" s="43">
        <f t="shared" ca="1" si="182"/>
        <v>0.30739275649614728</v>
      </c>
      <c r="O363" s="8">
        <v>1</v>
      </c>
      <c r="P363" s="42">
        <f t="shared" ca="1" si="200"/>
        <v>199</v>
      </c>
      <c r="R363" s="43">
        <f t="shared" ca="1" si="183"/>
        <v>0.58025191001055443</v>
      </c>
      <c r="S363" s="8">
        <v>1</v>
      </c>
      <c r="T363" s="42">
        <f t="shared" ca="1" si="201"/>
        <v>147</v>
      </c>
      <c r="V363" s="43">
        <f t="shared" ca="1" si="184"/>
        <v>3.9728064559702347E-2</v>
      </c>
      <c r="W363" s="8">
        <v>1</v>
      </c>
      <c r="X363" s="42">
        <f t="shared" ca="1" si="202"/>
        <v>120</v>
      </c>
      <c r="Z363" s="43">
        <f t="shared" ca="1" si="185"/>
        <v>5.1780625089728471E-2</v>
      </c>
      <c r="AA363" s="8">
        <v>1</v>
      </c>
      <c r="AB363" s="42">
        <f t="shared" ca="1" si="203"/>
        <v>153</v>
      </c>
      <c r="AD363" s="43">
        <f t="shared" ca="1" si="186"/>
        <v>0.12277518012311128</v>
      </c>
      <c r="AE363" s="8">
        <v>1</v>
      </c>
      <c r="AF363" s="42">
        <f t="shared" ca="1" si="204"/>
        <v>226</v>
      </c>
      <c r="AH363" s="43">
        <f t="shared" ca="1" si="187"/>
        <v>2.8247293140242435E-2</v>
      </c>
      <c r="AI363" s="8">
        <v>1</v>
      </c>
      <c r="AJ363" s="42">
        <f t="shared" ca="1" si="205"/>
        <v>84</v>
      </c>
      <c r="AL363" s="43">
        <f t="shared" ca="1" si="188"/>
        <v>0.88520386075191781</v>
      </c>
      <c r="AM363" s="8">
        <v>1</v>
      </c>
      <c r="AN363" s="42">
        <f t="shared" ca="1" si="206"/>
        <v>307</v>
      </c>
      <c r="AP363" s="43">
        <f t="shared" ca="1" si="189"/>
        <v>0.81953133557922886</v>
      </c>
      <c r="AQ363" s="8">
        <v>1</v>
      </c>
      <c r="AR363" s="42">
        <f t="shared" ca="1" si="207"/>
        <v>247</v>
      </c>
      <c r="AT363" s="43">
        <f t="shared" ca="1" si="190"/>
        <v>9.2549406276922097E-2</v>
      </c>
      <c r="AU363" s="8">
        <v>1</v>
      </c>
      <c r="AV363" s="42">
        <f t="shared" ca="1" si="208"/>
        <v>133</v>
      </c>
      <c r="AX363" s="43">
        <f t="shared" ca="1" si="191"/>
        <v>0.37447567794100489</v>
      </c>
      <c r="AY363" s="8">
        <v>1</v>
      </c>
      <c r="AZ363" s="42">
        <f t="shared" ca="1" si="209"/>
        <v>214</v>
      </c>
      <c r="BB363" s="43">
        <f t="shared" ca="1" si="192"/>
        <v>0.66961612709360918</v>
      </c>
      <c r="BC363" s="8">
        <v>1</v>
      </c>
      <c r="BD363" s="42">
        <f t="shared" ca="1" si="210"/>
        <v>225</v>
      </c>
      <c r="BF363" s="43">
        <f t="shared" ca="1" si="193"/>
        <v>0.1519320050207511</v>
      </c>
      <c r="BG363" s="8">
        <v>1</v>
      </c>
      <c r="BH363" s="42">
        <f t="shared" ca="1" si="211"/>
        <v>123</v>
      </c>
      <c r="BJ363" s="43">
        <f t="shared" ca="1" si="194"/>
        <v>0.27376078679167526</v>
      </c>
      <c r="BK363" s="8">
        <v>1</v>
      </c>
      <c r="BL363" s="42">
        <f t="shared" ca="1" si="212"/>
        <v>182</v>
      </c>
      <c r="BN363" s="43">
        <f t="shared" ca="1" si="195"/>
        <v>0.13230157543673837</v>
      </c>
      <c r="BO363" s="8">
        <v>1</v>
      </c>
      <c r="BP363" s="42">
        <f t="shared" ca="1" si="213"/>
        <v>113</v>
      </c>
      <c r="BR363" s="43">
        <f t="shared" ca="1" si="196"/>
        <v>0.53224797258339229</v>
      </c>
      <c r="BS363" s="8">
        <v>1</v>
      </c>
      <c r="BT363" s="42">
        <f t="shared" ca="1" si="214"/>
        <v>225</v>
      </c>
    </row>
    <row r="364" spans="1:72" x14ac:dyDescent="0.2">
      <c r="A364" s="22">
        <v>44911</v>
      </c>
      <c r="B364" s="43">
        <f t="shared" ca="1" si="179"/>
        <v>0.2422244436883465</v>
      </c>
      <c r="C364" s="8">
        <v>1</v>
      </c>
      <c r="D364" s="42">
        <f t="shared" ca="1" si="197"/>
        <v>87</v>
      </c>
      <c r="F364" s="43">
        <f t="shared" ca="1" si="180"/>
        <v>0.22982877006979541</v>
      </c>
      <c r="G364" s="8">
        <v>1</v>
      </c>
      <c r="H364" s="42">
        <f t="shared" ca="1" si="198"/>
        <v>173</v>
      </c>
      <c r="J364" s="43">
        <f t="shared" ca="1" si="181"/>
        <v>0.77025050875351564</v>
      </c>
      <c r="K364" s="8">
        <v>1</v>
      </c>
      <c r="L364" s="42">
        <f t="shared" ca="1" si="199"/>
        <v>180</v>
      </c>
      <c r="N364" s="43">
        <f t="shared" ca="1" si="182"/>
        <v>0.87053195251210336</v>
      </c>
      <c r="O364" s="8">
        <v>1</v>
      </c>
      <c r="P364" s="42">
        <f t="shared" ca="1" si="200"/>
        <v>299</v>
      </c>
      <c r="R364" s="43">
        <f t="shared" ca="1" si="183"/>
        <v>0.78554435803322409</v>
      </c>
      <c r="S364" s="8">
        <v>1</v>
      </c>
      <c r="T364" s="42">
        <f t="shared" ca="1" si="201"/>
        <v>169</v>
      </c>
      <c r="V364" s="43">
        <f t="shared" ca="1" si="184"/>
        <v>0.96855641615676225</v>
      </c>
      <c r="W364" s="8">
        <v>1</v>
      </c>
      <c r="X364" s="42">
        <f t="shared" ca="1" si="202"/>
        <v>337</v>
      </c>
      <c r="Z364" s="43">
        <f t="shared" ca="1" si="185"/>
        <v>0.93265433346299931</v>
      </c>
      <c r="AA364" s="8">
        <v>1</v>
      </c>
      <c r="AB364" s="42">
        <f t="shared" ca="1" si="203"/>
        <v>378</v>
      </c>
      <c r="AD364" s="43">
        <f t="shared" ca="1" si="186"/>
        <v>0.57437736761674751</v>
      </c>
      <c r="AE364" s="8">
        <v>1</v>
      </c>
      <c r="AF364" s="42">
        <f t="shared" ca="1" si="204"/>
        <v>344</v>
      </c>
      <c r="AH364" s="43">
        <f t="shared" ca="1" si="187"/>
        <v>0.18273904065294322</v>
      </c>
      <c r="AI364" s="8">
        <v>1</v>
      </c>
      <c r="AJ364" s="42">
        <f t="shared" ca="1" si="205"/>
        <v>130</v>
      </c>
      <c r="AL364" s="43">
        <f t="shared" ca="1" si="188"/>
        <v>0.44686968183773035</v>
      </c>
      <c r="AM364" s="8">
        <v>1</v>
      </c>
      <c r="AN364" s="42">
        <f t="shared" ca="1" si="206"/>
        <v>224</v>
      </c>
      <c r="AP364" s="43">
        <f t="shared" ca="1" si="189"/>
        <v>0.90874693173698395</v>
      </c>
      <c r="AQ364" s="8">
        <v>1</v>
      </c>
      <c r="AR364" s="42">
        <f t="shared" ca="1" si="207"/>
        <v>269</v>
      </c>
      <c r="AT364" s="43">
        <f t="shared" ca="1" si="190"/>
        <v>0.14939095849695039</v>
      </c>
      <c r="AU364" s="8">
        <v>1</v>
      </c>
      <c r="AV364" s="42">
        <f t="shared" ca="1" si="208"/>
        <v>149</v>
      </c>
      <c r="AX364" s="43">
        <f t="shared" ca="1" si="191"/>
        <v>0.80554921953965974</v>
      </c>
      <c r="AY364" s="8">
        <v>1</v>
      </c>
      <c r="AZ364" s="42">
        <f t="shared" ca="1" si="209"/>
        <v>288</v>
      </c>
      <c r="BB364" s="43">
        <f t="shared" ca="1" si="192"/>
        <v>0.15667237908073739</v>
      </c>
      <c r="BC364" s="8">
        <v>1</v>
      </c>
      <c r="BD364" s="42">
        <f t="shared" ca="1" si="210"/>
        <v>147</v>
      </c>
      <c r="BF364" s="43">
        <f t="shared" ca="1" si="193"/>
        <v>0.58114607694338449</v>
      </c>
      <c r="BG364" s="8">
        <v>1</v>
      </c>
      <c r="BH364" s="42">
        <f t="shared" ca="1" si="211"/>
        <v>178</v>
      </c>
      <c r="BJ364" s="43">
        <f t="shared" ca="1" si="194"/>
        <v>4.3047237410727579E-2</v>
      </c>
      <c r="BK364" s="8">
        <v>1</v>
      </c>
      <c r="BL364" s="42">
        <f t="shared" ca="1" si="212"/>
        <v>117</v>
      </c>
      <c r="BN364" s="43">
        <f t="shared" ca="1" si="195"/>
        <v>0.44911183715427072</v>
      </c>
      <c r="BO364" s="8">
        <v>1</v>
      </c>
      <c r="BP364" s="42">
        <f t="shared" ca="1" si="213"/>
        <v>156</v>
      </c>
      <c r="BR364" s="43">
        <f t="shared" ca="1" si="196"/>
        <v>0.33471978725432217</v>
      </c>
      <c r="BS364" s="8">
        <v>1</v>
      </c>
      <c r="BT364" s="42">
        <f t="shared" ca="1" si="214"/>
        <v>195</v>
      </c>
    </row>
    <row r="365" spans="1:72" x14ac:dyDescent="0.2">
      <c r="A365" s="22">
        <v>44912</v>
      </c>
      <c r="B365" s="43">
        <f t="shared" ca="1" si="179"/>
        <v>0.11066595197338003</v>
      </c>
      <c r="C365" s="8">
        <v>1</v>
      </c>
      <c r="D365" s="42">
        <f t="shared" ca="1" si="197"/>
        <v>76</v>
      </c>
      <c r="F365" s="43">
        <f t="shared" ca="1" si="180"/>
        <v>0.16413376464495344</v>
      </c>
      <c r="G365" s="8">
        <v>1</v>
      </c>
      <c r="H365" s="42">
        <f t="shared" ca="1" si="198"/>
        <v>160</v>
      </c>
      <c r="J365" s="43">
        <f t="shared" ca="1" si="181"/>
        <v>0.26600992430814374</v>
      </c>
      <c r="K365" s="8">
        <v>1</v>
      </c>
      <c r="L365" s="42">
        <f t="shared" ca="1" si="199"/>
        <v>126</v>
      </c>
      <c r="N365" s="43">
        <f t="shared" ca="1" si="182"/>
        <v>0.87933312731417357</v>
      </c>
      <c r="O365" s="8">
        <v>1</v>
      </c>
      <c r="P365" s="42">
        <f t="shared" ca="1" si="200"/>
        <v>302</v>
      </c>
      <c r="R365" s="43">
        <f t="shared" ca="1" si="183"/>
        <v>0.3901830869575369</v>
      </c>
      <c r="S365" s="8">
        <v>1</v>
      </c>
      <c r="T365" s="42">
        <f t="shared" ca="1" si="201"/>
        <v>129</v>
      </c>
      <c r="V365" s="43">
        <f t="shared" ca="1" si="184"/>
        <v>0.57850901257579856</v>
      </c>
      <c r="W365" s="8">
        <v>1</v>
      </c>
      <c r="X365" s="42">
        <f t="shared" ca="1" si="202"/>
        <v>237</v>
      </c>
      <c r="Z365" s="43">
        <f t="shared" ca="1" si="185"/>
        <v>3.9715067362597889E-2</v>
      </c>
      <c r="AA365" s="8">
        <v>1</v>
      </c>
      <c r="AB365" s="42">
        <f t="shared" ca="1" si="203"/>
        <v>144</v>
      </c>
      <c r="AD365" s="43">
        <f t="shared" ca="1" si="186"/>
        <v>0.7021138421011266</v>
      </c>
      <c r="AE365" s="8">
        <v>1</v>
      </c>
      <c r="AF365" s="42">
        <f t="shared" ca="1" si="204"/>
        <v>374</v>
      </c>
      <c r="AH365" s="43">
        <f t="shared" ca="1" si="187"/>
        <v>0.57280292349320561</v>
      </c>
      <c r="AI365" s="8">
        <v>1</v>
      </c>
      <c r="AJ365" s="42">
        <f t="shared" ca="1" si="205"/>
        <v>179</v>
      </c>
      <c r="AL365" s="43">
        <f t="shared" ca="1" si="188"/>
        <v>0.55834865398795852</v>
      </c>
      <c r="AM365" s="8">
        <v>1</v>
      </c>
      <c r="AN365" s="42">
        <f t="shared" ca="1" si="206"/>
        <v>242</v>
      </c>
      <c r="AP365" s="43">
        <f t="shared" ca="1" si="189"/>
        <v>0.76448062909242243</v>
      </c>
      <c r="AQ365" s="8">
        <v>1</v>
      </c>
      <c r="AR365" s="42">
        <f t="shared" ca="1" si="207"/>
        <v>237</v>
      </c>
      <c r="AT365" s="43">
        <f t="shared" ca="1" si="190"/>
        <v>0.44845241688581294</v>
      </c>
      <c r="AU365" s="8">
        <v>1</v>
      </c>
      <c r="AV365" s="42">
        <f t="shared" ca="1" si="208"/>
        <v>199</v>
      </c>
      <c r="AX365" s="43">
        <f t="shared" ca="1" si="191"/>
        <v>0.30453667095417158</v>
      </c>
      <c r="AY365" s="8">
        <v>1</v>
      </c>
      <c r="AZ365" s="42">
        <f t="shared" ca="1" si="209"/>
        <v>202</v>
      </c>
      <c r="BB365" s="43">
        <f t="shared" ca="1" si="192"/>
        <v>0.68031191593564011</v>
      </c>
      <c r="BC365" s="8">
        <v>1</v>
      </c>
      <c r="BD365" s="42">
        <f t="shared" ca="1" si="210"/>
        <v>226</v>
      </c>
      <c r="BF365" s="43">
        <f t="shared" ca="1" si="193"/>
        <v>0.67240869229087619</v>
      </c>
      <c r="BG365" s="8">
        <v>1</v>
      </c>
      <c r="BH365" s="42">
        <f t="shared" ca="1" si="211"/>
        <v>189</v>
      </c>
      <c r="BJ365" s="43">
        <f t="shared" ca="1" si="194"/>
        <v>0.85905573289810999</v>
      </c>
      <c r="BK365" s="8">
        <v>1</v>
      </c>
      <c r="BL365" s="42">
        <f t="shared" ca="1" si="212"/>
        <v>278</v>
      </c>
      <c r="BN365" s="43">
        <f t="shared" ca="1" si="195"/>
        <v>0.21535248797203344</v>
      </c>
      <c r="BO365" s="8">
        <v>1</v>
      </c>
      <c r="BP365" s="42">
        <f t="shared" ca="1" si="213"/>
        <v>127</v>
      </c>
      <c r="BR365" s="43">
        <f t="shared" ca="1" si="196"/>
        <v>0.70163513081642881</v>
      </c>
      <c r="BS365" s="8">
        <v>1</v>
      </c>
      <c r="BT365" s="42">
        <f t="shared" ca="1" si="214"/>
        <v>251</v>
      </c>
    </row>
    <row r="366" spans="1:72" x14ac:dyDescent="0.2">
      <c r="A366" s="22">
        <v>44913</v>
      </c>
      <c r="B366" s="43">
        <f t="shared" ca="1" si="179"/>
        <v>3.1966294056797628E-2</v>
      </c>
      <c r="C366" s="8">
        <v>1</v>
      </c>
      <c r="D366" s="42">
        <f t="shared" ca="1" si="197"/>
        <v>63</v>
      </c>
      <c r="F366" s="43">
        <f t="shared" ca="1" si="180"/>
        <v>0.33031635738992216</v>
      </c>
      <c r="G366" s="8">
        <v>1</v>
      </c>
      <c r="H366" s="42">
        <f t="shared" ca="1" si="198"/>
        <v>191</v>
      </c>
      <c r="J366" s="43">
        <f t="shared" ca="1" si="181"/>
        <v>0.88761427841488916</v>
      </c>
      <c r="K366" s="8">
        <v>1</v>
      </c>
      <c r="L366" s="42">
        <f t="shared" ca="1" si="199"/>
        <v>199</v>
      </c>
      <c r="N366" s="43">
        <f t="shared" ca="1" si="182"/>
        <v>0.57170696384309927</v>
      </c>
      <c r="O366" s="8">
        <v>1</v>
      </c>
      <c r="P366" s="42">
        <f t="shared" ca="1" si="200"/>
        <v>241</v>
      </c>
      <c r="R366" s="43">
        <f t="shared" ca="1" si="183"/>
        <v>0.15033369739557778</v>
      </c>
      <c r="S366" s="8">
        <v>1</v>
      </c>
      <c r="T366" s="42">
        <f t="shared" ca="1" si="201"/>
        <v>101</v>
      </c>
      <c r="V366" s="43">
        <f t="shared" ca="1" si="184"/>
        <v>0.5513642654579809</v>
      </c>
      <c r="W366" s="8">
        <v>1</v>
      </c>
      <c r="X366" s="42">
        <f t="shared" ca="1" si="202"/>
        <v>233</v>
      </c>
      <c r="Z366" s="43">
        <f t="shared" ca="1" si="185"/>
        <v>0.97077381921416261</v>
      </c>
      <c r="AA366" s="8">
        <v>1</v>
      </c>
      <c r="AB366" s="42">
        <f t="shared" ca="1" si="203"/>
        <v>407</v>
      </c>
      <c r="AD366" s="43">
        <f t="shared" ca="1" si="186"/>
        <v>0.94381446665111879</v>
      </c>
      <c r="AE366" s="8">
        <v>1</v>
      </c>
      <c r="AF366" s="42">
        <f t="shared" ca="1" si="204"/>
        <v>466</v>
      </c>
      <c r="AH366" s="43">
        <f t="shared" ca="1" si="187"/>
        <v>0.83449662277340264</v>
      </c>
      <c r="AI366" s="8">
        <v>1</v>
      </c>
      <c r="AJ366" s="42">
        <f t="shared" ca="1" si="205"/>
        <v>215</v>
      </c>
      <c r="AL366" s="43">
        <f t="shared" ca="1" si="188"/>
        <v>0.83664709393050263</v>
      </c>
      <c r="AM366" s="8">
        <v>1</v>
      </c>
      <c r="AN366" s="42">
        <f t="shared" ca="1" si="206"/>
        <v>293</v>
      </c>
      <c r="AP366" s="43">
        <f t="shared" ca="1" si="189"/>
        <v>0.46016118624568281</v>
      </c>
      <c r="AQ366" s="8">
        <v>1</v>
      </c>
      <c r="AR366" s="42">
        <f t="shared" ca="1" si="207"/>
        <v>193</v>
      </c>
      <c r="AT366" s="43">
        <f t="shared" ca="1" si="190"/>
        <v>0.1401410559641898</v>
      </c>
      <c r="AU366" s="8">
        <v>1</v>
      </c>
      <c r="AV366" s="42">
        <f t="shared" ca="1" si="208"/>
        <v>147</v>
      </c>
      <c r="AX366" s="43">
        <f t="shared" ca="1" si="191"/>
        <v>0.1517609476972378</v>
      </c>
      <c r="AY366" s="8">
        <v>1</v>
      </c>
      <c r="AZ366" s="42">
        <f t="shared" ca="1" si="209"/>
        <v>170</v>
      </c>
      <c r="BB366" s="43">
        <f t="shared" ca="1" si="192"/>
        <v>0.34129686926130554</v>
      </c>
      <c r="BC366" s="8">
        <v>1</v>
      </c>
      <c r="BD366" s="42">
        <f t="shared" ca="1" si="210"/>
        <v>179</v>
      </c>
      <c r="BF366" s="43">
        <f t="shared" ca="1" si="193"/>
        <v>0.30040802786776022</v>
      </c>
      <c r="BG366" s="8">
        <v>1</v>
      </c>
      <c r="BH366" s="42">
        <f t="shared" ca="1" si="211"/>
        <v>146</v>
      </c>
      <c r="BJ366" s="43">
        <f t="shared" ca="1" si="194"/>
        <v>0.80591873732010455</v>
      </c>
      <c r="BK366" s="8">
        <v>1</v>
      </c>
      <c r="BL366" s="42">
        <f t="shared" ca="1" si="212"/>
        <v>266</v>
      </c>
      <c r="BN366" s="43">
        <f t="shared" ca="1" si="195"/>
        <v>0.90909297131288436</v>
      </c>
      <c r="BO366" s="8">
        <v>1</v>
      </c>
      <c r="BP366" s="42">
        <f t="shared" ca="1" si="213"/>
        <v>218</v>
      </c>
      <c r="BR366" s="43">
        <f t="shared" ca="1" si="196"/>
        <v>0.86193584167798132</v>
      </c>
      <c r="BS366" s="8">
        <v>1</v>
      </c>
      <c r="BT366" s="42">
        <f t="shared" ca="1" si="214"/>
        <v>283</v>
      </c>
    </row>
    <row r="367" spans="1:72" x14ac:dyDescent="0.2">
      <c r="A367" s="22">
        <v>44914</v>
      </c>
      <c r="B367" s="43">
        <f t="shared" ca="1" si="179"/>
        <v>0.74646914540620468</v>
      </c>
      <c r="C367" s="8">
        <v>1</v>
      </c>
      <c r="D367" s="42">
        <v>0</v>
      </c>
      <c r="F367" s="43">
        <f t="shared" ca="1" si="180"/>
        <v>0.45031983079286531</v>
      </c>
      <c r="G367" s="8">
        <v>1</v>
      </c>
      <c r="H367" s="42">
        <v>0</v>
      </c>
      <c r="J367" s="43">
        <f t="shared" ca="1" si="181"/>
        <v>0.59493108346948065</v>
      </c>
      <c r="K367" s="8">
        <v>1</v>
      </c>
      <c r="L367" s="42">
        <v>0</v>
      </c>
      <c r="N367" s="43">
        <f t="shared" ca="1" si="182"/>
        <v>0.96924045345420573</v>
      </c>
      <c r="O367" s="8">
        <v>1</v>
      </c>
      <c r="P367" s="42">
        <v>0</v>
      </c>
      <c r="R367" s="43">
        <f t="shared" ca="1" si="183"/>
        <v>0.30561512106807498</v>
      </c>
      <c r="S367" s="8">
        <v>1</v>
      </c>
      <c r="T367" s="42">
        <v>0</v>
      </c>
      <c r="V367" s="43">
        <f t="shared" ca="1" si="184"/>
        <v>9.2080770075306462E-2</v>
      </c>
      <c r="W367" s="8">
        <v>1</v>
      </c>
      <c r="X367" s="42">
        <v>0</v>
      </c>
      <c r="Z367" s="43">
        <f t="shared" ca="1" si="185"/>
        <v>0.1667120528652033</v>
      </c>
      <c r="AA367" s="8">
        <v>1</v>
      </c>
      <c r="AB367" s="42">
        <v>0</v>
      </c>
      <c r="AD367" s="43">
        <f t="shared" ca="1" si="186"/>
        <v>0.17744385251913541</v>
      </c>
      <c r="AE367" s="8">
        <v>1</v>
      </c>
      <c r="AF367" s="42">
        <v>0</v>
      </c>
      <c r="AH367" s="43">
        <f t="shared" ca="1" si="187"/>
        <v>0.42891331068185046</v>
      </c>
      <c r="AI367" s="8">
        <v>1</v>
      </c>
      <c r="AJ367" s="42">
        <v>0</v>
      </c>
      <c r="AL367" s="43">
        <f t="shared" ca="1" si="188"/>
        <v>0.13090634123114109</v>
      </c>
      <c r="AM367" s="8">
        <v>1</v>
      </c>
      <c r="AN367" s="42">
        <v>0</v>
      </c>
      <c r="AP367" s="43">
        <f t="shared" ca="1" si="189"/>
        <v>0.98005483230692436</v>
      </c>
      <c r="AQ367" s="8">
        <v>1</v>
      </c>
      <c r="AR367" s="42">
        <v>0</v>
      </c>
      <c r="AT367" s="43">
        <f t="shared" ca="1" si="190"/>
        <v>6.6196847492093092E-2</v>
      </c>
      <c r="AU367" s="8">
        <v>1</v>
      </c>
      <c r="AV367" s="42">
        <v>0</v>
      </c>
      <c r="AX367" s="43">
        <f t="shared" ca="1" si="191"/>
        <v>0.46468756277949563</v>
      </c>
      <c r="AY367" s="8">
        <v>1</v>
      </c>
      <c r="AZ367" s="42">
        <v>0</v>
      </c>
      <c r="BB367" s="43">
        <f t="shared" ca="1" si="192"/>
        <v>0.23123814172122104</v>
      </c>
      <c r="BC367" s="8">
        <v>1</v>
      </c>
      <c r="BD367" s="42">
        <v>0</v>
      </c>
      <c r="BF367" s="43">
        <f t="shared" ca="1" si="193"/>
        <v>0.15634127137542131</v>
      </c>
      <c r="BG367" s="8">
        <v>1</v>
      </c>
      <c r="BH367" s="42">
        <v>0</v>
      </c>
      <c r="BJ367" s="43">
        <f t="shared" ca="1" si="194"/>
        <v>0.54575521392692106</v>
      </c>
      <c r="BK367" s="8">
        <v>1</v>
      </c>
      <c r="BL367" s="42">
        <v>0</v>
      </c>
      <c r="BN367" s="43">
        <f t="shared" ca="1" si="195"/>
        <v>0.62726303099403224</v>
      </c>
      <c r="BO367" s="8">
        <v>1</v>
      </c>
      <c r="BP367" s="42">
        <v>0</v>
      </c>
      <c r="BR367" s="43">
        <f t="shared" ca="1" si="196"/>
        <v>0.20623241108954626</v>
      </c>
      <c r="BS367" s="8">
        <v>1</v>
      </c>
      <c r="BT367" s="42">
        <v>0</v>
      </c>
    </row>
    <row r="368" spans="1:72" x14ac:dyDescent="0.2">
      <c r="A368" s="22">
        <v>44915</v>
      </c>
      <c r="B368" s="43">
        <f t="shared" ca="1" si="179"/>
        <v>0.7167788425749102</v>
      </c>
      <c r="C368" s="8">
        <v>1</v>
      </c>
      <c r="D368" s="42">
        <v>0</v>
      </c>
      <c r="F368" s="43">
        <f t="shared" ca="1" si="180"/>
        <v>0.51980526277789152</v>
      </c>
      <c r="G368" s="8">
        <v>1</v>
      </c>
      <c r="H368" s="42">
        <v>0</v>
      </c>
      <c r="J368" s="43">
        <f t="shared" ca="1" si="181"/>
        <v>0.70197458559533432</v>
      </c>
      <c r="K368" s="8">
        <v>1</v>
      </c>
      <c r="L368" s="42">
        <v>0</v>
      </c>
      <c r="N368" s="43">
        <f t="shared" ca="1" si="182"/>
        <v>0.11239802998372106</v>
      </c>
      <c r="O368" s="8">
        <v>1</v>
      </c>
      <c r="P368" s="42">
        <v>0</v>
      </c>
      <c r="R368" s="43">
        <f t="shared" ca="1" si="183"/>
        <v>0.8753482503661979</v>
      </c>
      <c r="S368" s="8">
        <v>1</v>
      </c>
      <c r="T368" s="42">
        <v>0</v>
      </c>
      <c r="V368" s="43">
        <f t="shared" ca="1" si="184"/>
        <v>0.14146496294082578</v>
      </c>
      <c r="W368" s="8">
        <v>1</v>
      </c>
      <c r="X368" s="42">
        <v>0</v>
      </c>
      <c r="Z368" s="43">
        <f t="shared" ca="1" si="185"/>
        <v>9.483871452146142E-2</v>
      </c>
      <c r="AA368" s="8">
        <v>1</v>
      </c>
      <c r="AB368" s="42">
        <v>0</v>
      </c>
      <c r="AD368" s="43">
        <f t="shared" ca="1" si="186"/>
        <v>0.20574867244258921</v>
      </c>
      <c r="AE368" s="8">
        <v>1</v>
      </c>
      <c r="AF368" s="42">
        <v>0</v>
      </c>
      <c r="AH368" s="43">
        <f t="shared" ca="1" si="187"/>
        <v>0.61931527993185886</v>
      </c>
      <c r="AI368" s="8">
        <v>1</v>
      </c>
      <c r="AJ368" s="42">
        <v>0</v>
      </c>
      <c r="AL368" s="43">
        <f t="shared" ca="1" si="188"/>
        <v>8.3153655703089857E-3</v>
      </c>
      <c r="AM368" s="8">
        <v>1</v>
      </c>
      <c r="AN368" s="42">
        <v>0</v>
      </c>
      <c r="AP368" s="43">
        <f t="shared" ca="1" si="189"/>
        <v>0.88875058965479303</v>
      </c>
      <c r="AQ368" s="8">
        <v>1</v>
      </c>
      <c r="AR368" s="42">
        <v>0</v>
      </c>
      <c r="AT368" s="43">
        <f t="shared" ca="1" si="190"/>
        <v>0.71475958707461418</v>
      </c>
      <c r="AU368" s="8">
        <v>1</v>
      </c>
      <c r="AV368" s="42">
        <v>0</v>
      </c>
      <c r="AX368" s="43">
        <f t="shared" ca="1" si="191"/>
        <v>0.24436979162890982</v>
      </c>
      <c r="AY368" s="8">
        <v>1</v>
      </c>
      <c r="AZ368" s="42">
        <v>0</v>
      </c>
      <c r="BB368" s="43">
        <f t="shared" ca="1" si="192"/>
        <v>0.70939418306386082</v>
      </c>
      <c r="BC368" s="8">
        <v>1</v>
      </c>
      <c r="BD368" s="42">
        <v>0</v>
      </c>
      <c r="BF368" s="43">
        <f t="shared" ca="1" si="193"/>
        <v>0.23454346147813421</v>
      </c>
      <c r="BG368" s="8">
        <v>1</v>
      </c>
      <c r="BH368" s="42">
        <v>0</v>
      </c>
      <c r="BJ368" s="43">
        <f t="shared" ca="1" si="194"/>
        <v>0.95738077706171454</v>
      </c>
      <c r="BK368" s="8">
        <v>1</v>
      </c>
      <c r="BL368" s="42">
        <v>0</v>
      </c>
      <c r="BN368" s="43">
        <f t="shared" ca="1" si="195"/>
        <v>0.4763109897282185</v>
      </c>
      <c r="BO368" s="8">
        <v>1</v>
      </c>
      <c r="BP368" s="42">
        <v>0</v>
      </c>
      <c r="BR368" s="43">
        <f t="shared" ca="1" si="196"/>
        <v>0.96258491014285952</v>
      </c>
      <c r="BS368" s="8">
        <v>1</v>
      </c>
      <c r="BT368" s="42">
        <v>0</v>
      </c>
    </row>
    <row r="369" spans="1:72" x14ac:dyDescent="0.2">
      <c r="A369" s="22">
        <v>44916</v>
      </c>
      <c r="B369" s="43">
        <f t="shared" ca="1" si="179"/>
        <v>0.35543674133019365</v>
      </c>
      <c r="C369" s="8">
        <v>1</v>
      </c>
      <c r="D369" s="42">
        <v>0</v>
      </c>
      <c r="F369" s="43">
        <f t="shared" ca="1" si="180"/>
        <v>0.53724566299839005</v>
      </c>
      <c r="G369" s="8">
        <v>1</v>
      </c>
      <c r="H369" s="42">
        <v>0</v>
      </c>
      <c r="J369" s="43">
        <f t="shared" ca="1" si="181"/>
        <v>0.42427236236496069</v>
      </c>
      <c r="K369" s="8">
        <v>1</v>
      </c>
      <c r="L369" s="42">
        <v>0</v>
      </c>
      <c r="N369" s="43">
        <f t="shared" ca="1" si="182"/>
        <v>2.3170618687335498E-2</v>
      </c>
      <c r="O369" s="8">
        <v>1</v>
      </c>
      <c r="P369" s="42">
        <v>0</v>
      </c>
      <c r="R369" s="43">
        <f t="shared" ca="1" si="183"/>
        <v>0.15189850475287703</v>
      </c>
      <c r="S369" s="8">
        <v>1</v>
      </c>
      <c r="T369" s="42">
        <v>0</v>
      </c>
      <c r="V369" s="43">
        <f t="shared" ca="1" si="184"/>
        <v>6.3779813590037149E-2</v>
      </c>
      <c r="W369" s="8">
        <v>1</v>
      </c>
      <c r="X369" s="42">
        <v>0</v>
      </c>
      <c r="Z369" s="43">
        <f t="shared" ca="1" si="185"/>
        <v>0.63121662407776813</v>
      </c>
      <c r="AA369" s="8">
        <v>1</v>
      </c>
      <c r="AB369" s="42">
        <v>0</v>
      </c>
      <c r="AD369" s="43">
        <f t="shared" ca="1" si="186"/>
        <v>1.2660573245516726E-2</v>
      </c>
      <c r="AE369" s="8">
        <v>1</v>
      </c>
      <c r="AF369" s="42">
        <v>0</v>
      </c>
      <c r="AH369" s="43">
        <f t="shared" ca="1" si="187"/>
        <v>0.79900486062126319</v>
      </c>
      <c r="AI369" s="8">
        <v>1</v>
      </c>
      <c r="AJ369" s="42">
        <v>0</v>
      </c>
      <c r="AL369" s="43">
        <f t="shared" ca="1" si="188"/>
        <v>0.20101477286530778</v>
      </c>
      <c r="AM369" s="8">
        <v>1</v>
      </c>
      <c r="AN369" s="42">
        <v>0</v>
      </c>
      <c r="AP369" s="43">
        <f t="shared" ca="1" si="189"/>
        <v>7.5788809636536447E-2</v>
      </c>
      <c r="AQ369" s="8">
        <v>1</v>
      </c>
      <c r="AR369" s="42">
        <v>0</v>
      </c>
      <c r="AT369" s="43">
        <f t="shared" ca="1" si="190"/>
        <v>0.71366006550970962</v>
      </c>
      <c r="AU369" s="8">
        <v>1</v>
      </c>
      <c r="AV369" s="42">
        <v>0</v>
      </c>
      <c r="AX369" s="43">
        <f t="shared" ca="1" si="191"/>
        <v>0.49727109685639825</v>
      </c>
      <c r="AY369" s="8">
        <v>1</v>
      </c>
      <c r="AZ369" s="42">
        <v>0</v>
      </c>
      <c r="BB369" s="43">
        <f t="shared" ca="1" si="192"/>
        <v>0.34324246503481048</v>
      </c>
      <c r="BC369" s="8">
        <v>1</v>
      </c>
      <c r="BD369" s="42">
        <v>0</v>
      </c>
      <c r="BF369" s="43">
        <f t="shared" ca="1" si="193"/>
        <v>0.42079797144190823</v>
      </c>
      <c r="BG369" s="8">
        <v>1</v>
      </c>
      <c r="BH369" s="42">
        <v>0</v>
      </c>
      <c r="BJ369" s="43">
        <f t="shared" ca="1" si="194"/>
        <v>0.16683097975658101</v>
      </c>
      <c r="BK369" s="8">
        <v>1</v>
      </c>
      <c r="BL369" s="42">
        <v>0</v>
      </c>
      <c r="BN369" s="43">
        <f t="shared" ca="1" si="195"/>
        <v>0.59385251854697363</v>
      </c>
      <c r="BO369" s="8">
        <v>1</v>
      </c>
      <c r="BP369" s="42">
        <v>0</v>
      </c>
      <c r="BR369" s="43">
        <f t="shared" ca="1" si="196"/>
        <v>2.0745930845786797E-2</v>
      </c>
      <c r="BS369" s="8">
        <v>1</v>
      </c>
      <c r="BT369" s="42">
        <v>0</v>
      </c>
    </row>
    <row r="370" spans="1:72" x14ac:dyDescent="0.2">
      <c r="A370" s="22">
        <v>44917</v>
      </c>
      <c r="B370" s="43">
        <f t="shared" ca="1" si="179"/>
        <v>0.83424980981202401</v>
      </c>
      <c r="C370" s="8">
        <v>1</v>
      </c>
      <c r="D370" s="42">
        <v>0</v>
      </c>
      <c r="F370" s="43">
        <f t="shared" ca="1" si="180"/>
        <v>0.46048140229218082</v>
      </c>
      <c r="G370" s="8">
        <v>1</v>
      </c>
      <c r="H370" s="42">
        <v>0</v>
      </c>
      <c r="J370" s="43">
        <f t="shared" ca="1" si="181"/>
        <v>0.14835297303882855</v>
      </c>
      <c r="K370" s="8">
        <v>1</v>
      </c>
      <c r="L370" s="42">
        <v>0</v>
      </c>
      <c r="N370" s="43">
        <f t="shared" ca="1" si="182"/>
        <v>0.17635174983933899</v>
      </c>
      <c r="O370" s="8">
        <v>1</v>
      </c>
      <c r="P370" s="42">
        <v>0</v>
      </c>
      <c r="R370" s="43">
        <f t="shared" ca="1" si="183"/>
        <v>0.42960037607345569</v>
      </c>
      <c r="S370" s="8">
        <v>1</v>
      </c>
      <c r="T370" s="42">
        <v>0</v>
      </c>
      <c r="V370" s="43">
        <f t="shared" ca="1" si="184"/>
        <v>0.64005206365365175</v>
      </c>
      <c r="W370" s="8">
        <v>1</v>
      </c>
      <c r="X370" s="42">
        <v>0</v>
      </c>
      <c r="Z370" s="43">
        <f t="shared" ca="1" si="185"/>
        <v>0.93824422992656542</v>
      </c>
      <c r="AA370" s="8">
        <v>1</v>
      </c>
      <c r="AB370" s="42">
        <v>0</v>
      </c>
      <c r="AD370" s="43">
        <f t="shared" ca="1" si="186"/>
        <v>0.54584904094809983</v>
      </c>
      <c r="AE370" s="8">
        <v>1</v>
      </c>
      <c r="AF370" s="42">
        <v>0</v>
      </c>
      <c r="AH370" s="43">
        <f t="shared" ca="1" si="187"/>
        <v>0.74741122497089596</v>
      </c>
      <c r="AI370" s="8">
        <v>1</v>
      </c>
      <c r="AJ370" s="42">
        <v>0</v>
      </c>
      <c r="AL370" s="43">
        <f t="shared" ca="1" si="188"/>
        <v>0.18021072066613353</v>
      </c>
      <c r="AM370" s="8">
        <v>1</v>
      </c>
      <c r="AN370" s="42">
        <v>0</v>
      </c>
      <c r="AP370" s="43">
        <f t="shared" ca="1" si="189"/>
        <v>0.91208019208599245</v>
      </c>
      <c r="AQ370" s="8">
        <v>1</v>
      </c>
      <c r="AR370" s="42">
        <v>0</v>
      </c>
      <c r="AT370" s="43">
        <f t="shared" ca="1" si="190"/>
        <v>0.73824870223550576</v>
      </c>
      <c r="AU370" s="8">
        <v>1</v>
      </c>
      <c r="AV370" s="42">
        <v>0</v>
      </c>
      <c r="AX370" s="43">
        <f t="shared" ca="1" si="191"/>
        <v>0.76536102878948864</v>
      </c>
      <c r="AY370" s="8">
        <v>1</v>
      </c>
      <c r="AZ370" s="42">
        <v>0</v>
      </c>
      <c r="BB370" s="43">
        <f t="shared" ca="1" si="192"/>
        <v>0.21428897464401964</v>
      </c>
      <c r="BC370" s="8">
        <v>1</v>
      </c>
      <c r="BD370" s="42">
        <v>0</v>
      </c>
      <c r="BF370" s="43">
        <f t="shared" ca="1" si="193"/>
        <v>0.67127128694718641</v>
      </c>
      <c r="BG370" s="8">
        <v>1</v>
      </c>
      <c r="BH370" s="42">
        <v>0</v>
      </c>
      <c r="BJ370" s="43">
        <f t="shared" ca="1" si="194"/>
        <v>0.62446491210195021</v>
      </c>
      <c r="BK370" s="8">
        <v>1</v>
      </c>
      <c r="BL370" s="42">
        <v>0</v>
      </c>
      <c r="BN370" s="43">
        <f t="shared" ca="1" si="195"/>
        <v>0.98384403042732183</v>
      </c>
      <c r="BO370" s="8">
        <v>1</v>
      </c>
      <c r="BP370" s="42">
        <v>0</v>
      </c>
      <c r="BR370" s="43">
        <f t="shared" ca="1" si="196"/>
        <v>0.60060677347099789</v>
      </c>
      <c r="BS370" s="8">
        <v>1</v>
      </c>
      <c r="BT370" s="42">
        <v>0</v>
      </c>
    </row>
    <row r="371" spans="1:72" x14ac:dyDescent="0.2">
      <c r="A371" s="22">
        <v>44918</v>
      </c>
      <c r="B371" s="43">
        <f t="shared" ca="1" si="179"/>
        <v>0.32846618670523753</v>
      </c>
      <c r="C371" s="8">
        <v>1</v>
      </c>
      <c r="D371" s="42">
        <v>0</v>
      </c>
      <c r="F371" s="43">
        <f t="shared" ca="1" si="180"/>
        <v>0.87952684697308925</v>
      </c>
      <c r="G371" s="8">
        <v>1</v>
      </c>
      <c r="H371" s="42">
        <v>0</v>
      </c>
      <c r="J371" s="43">
        <f t="shared" ca="1" si="181"/>
        <v>5.3070115561089981E-2</v>
      </c>
      <c r="K371" s="8">
        <v>1</v>
      </c>
      <c r="L371" s="42">
        <v>0</v>
      </c>
      <c r="N371" s="43">
        <f t="shared" ca="1" si="182"/>
        <v>0.72821959393529045</v>
      </c>
      <c r="O371" s="8">
        <v>1</v>
      </c>
      <c r="P371" s="42">
        <v>0</v>
      </c>
      <c r="R371" s="43">
        <f t="shared" ca="1" si="183"/>
        <v>0.56483638191467311</v>
      </c>
      <c r="S371" s="8">
        <v>1</v>
      </c>
      <c r="T371" s="42">
        <v>0</v>
      </c>
      <c r="V371" s="43">
        <f t="shared" ca="1" si="184"/>
        <v>0.22851281690717451</v>
      </c>
      <c r="W371" s="8">
        <v>1</v>
      </c>
      <c r="X371" s="42">
        <v>0</v>
      </c>
      <c r="Z371" s="43">
        <f t="shared" ca="1" si="185"/>
        <v>8.0043825228892418E-2</v>
      </c>
      <c r="AA371" s="8">
        <v>1</v>
      </c>
      <c r="AB371" s="42">
        <v>0</v>
      </c>
      <c r="AD371" s="43">
        <f t="shared" ca="1" si="186"/>
        <v>0.81567618694749433</v>
      </c>
      <c r="AE371" s="8">
        <v>1</v>
      </c>
      <c r="AF371" s="42">
        <v>0</v>
      </c>
      <c r="AH371" s="43">
        <f t="shared" ca="1" si="187"/>
        <v>0.31051635340930728</v>
      </c>
      <c r="AI371" s="8">
        <v>1</v>
      </c>
      <c r="AJ371" s="42">
        <v>0</v>
      </c>
      <c r="AL371" s="43">
        <f t="shared" ca="1" si="188"/>
        <v>1.6414900290612211E-2</v>
      </c>
      <c r="AM371" s="8">
        <v>1</v>
      </c>
      <c r="AN371" s="42">
        <v>0</v>
      </c>
      <c r="AP371" s="43">
        <f t="shared" ca="1" si="189"/>
        <v>0.54823571739316368</v>
      </c>
      <c r="AQ371" s="8">
        <v>1</v>
      </c>
      <c r="AR371" s="42">
        <v>0</v>
      </c>
      <c r="AT371" s="43">
        <f t="shared" ca="1" si="190"/>
        <v>0.4552619337176087</v>
      </c>
      <c r="AU371" s="8">
        <v>1</v>
      </c>
      <c r="AV371" s="42">
        <v>0</v>
      </c>
      <c r="AX371" s="43">
        <f t="shared" ca="1" si="191"/>
        <v>0.20384334290666595</v>
      </c>
      <c r="AY371" s="8">
        <v>1</v>
      </c>
      <c r="AZ371" s="42">
        <v>0</v>
      </c>
      <c r="BB371" s="43">
        <f t="shared" ca="1" si="192"/>
        <v>0.62021988153486429</v>
      </c>
      <c r="BC371" s="8">
        <v>1</v>
      </c>
      <c r="BD371" s="42">
        <v>0</v>
      </c>
      <c r="BF371" s="43">
        <f t="shared" ca="1" si="193"/>
        <v>0.27404673272010649</v>
      </c>
      <c r="BG371" s="8">
        <v>1</v>
      </c>
      <c r="BH371" s="42">
        <v>0</v>
      </c>
      <c r="BJ371" s="43">
        <f t="shared" ca="1" si="194"/>
        <v>0.44120512908180332</v>
      </c>
      <c r="BK371" s="8">
        <v>1</v>
      </c>
      <c r="BL371" s="42">
        <v>0</v>
      </c>
      <c r="BN371" s="43">
        <f t="shared" ca="1" si="195"/>
        <v>0.20324042486849392</v>
      </c>
      <c r="BO371" s="8">
        <v>1</v>
      </c>
      <c r="BP371" s="42">
        <v>0</v>
      </c>
      <c r="BR371" s="43">
        <f t="shared" ca="1" si="196"/>
        <v>0.62243673022307322</v>
      </c>
      <c r="BS371" s="8">
        <v>1</v>
      </c>
      <c r="BT371" s="42">
        <v>0</v>
      </c>
    </row>
    <row r="372" spans="1:72" x14ac:dyDescent="0.2">
      <c r="A372" s="22">
        <v>44919</v>
      </c>
      <c r="B372" s="43">
        <f t="shared" ca="1" si="179"/>
        <v>0.32984387840626805</v>
      </c>
      <c r="C372" s="8">
        <v>1</v>
      </c>
      <c r="D372" s="42">
        <v>0</v>
      </c>
      <c r="F372" s="43">
        <f t="shared" ca="1" si="180"/>
        <v>0.66994507894766764</v>
      </c>
      <c r="G372" s="8">
        <v>1</v>
      </c>
      <c r="H372" s="42">
        <v>0</v>
      </c>
      <c r="J372" s="43">
        <f t="shared" ca="1" si="181"/>
        <v>2.7701297832172234E-4</v>
      </c>
      <c r="K372" s="8">
        <v>1</v>
      </c>
      <c r="L372" s="42">
        <v>0</v>
      </c>
      <c r="N372" s="43">
        <f t="shared" ca="1" si="182"/>
        <v>0.46055325072401654</v>
      </c>
      <c r="O372" s="8">
        <v>1</v>
      </c>
      <c r="P372" s="42">
        <v>0</v>
      </c>
      <c r="R372" s="43">
        <f t="shared" ca="1" si="183"/>
        <v>2.1285650928082878E-2</v>
      </c>
      <c r="S372" s="8">
        <v>1</v>
      </c>
      <c r="T372" s="42">
        <v>0</v>
      </c>
      <c r="V372" s="43">
        <f t="shared" ca="1" si="184"/>
        <v>0.62110477101985062</v>
      </c>
      <c r="W372" s="8">
        <v>1</v>
      </c>
      <c r="X372" s="42">
        <v>0</v>
      </c>
      <c r="Z372" s="43">
        <f t="shared" ca="1" si="185"/>
        <v>0.30767296538976951</v>
      </c>
      <c r="AA372" s="8">
        <v>1</v>
      </c>
      <c r="AB372" s="42">
        <v>0</v>
      </c>
      <c r="AD372" s="43">
        <f t="shared" ca="1" si="186"/>
        <v>0.34540785150032371</v>
      </c>
      <c r="AE372" s="8">
        <v>1</v>
      </c>
      <c r="AF372" s="42">
        <v>0</v>
      </c>
      <c r="AH372" s="43">
        <f t="shared" ca="1" si="187"/>
        <v>0.42591478055271303</v>
      </c>
      <c r="AI372" s="8">
        <v>1</v>
      </c>
      <c r="AJ372" s="42">
        <v>0</v>
      </c>
      <c r="AL372" s="43">
        <f t="shared" ca="1" si="188"/>
        <v>0.91210870070230221</v>
      </c>
      <c r="AM372" s="8">
        <v>1</v>
      </c>
      <c r="AN372" s="42">
        <v>0</v>
      </c>
      <c r="AP372" s="43">
        <f t="shared" ca="1" si="189"/>
        <v>0.71989662301234403</v>
      </c>
      <c r="AQ372" s="8">
        <v>1</v>
      </c>
      <c r="AR372" s="42">
        <v>0</v>
      </c>
      <c r="AT372" s="43">
        <f t="shared" ca="1" si="190"/>
        <v>0.66553772655095844</v>
      </c>
      <c r="AU372" s="8">
        <v>1</v>
      </c>
      <c r="AV372" s="42">
        <v>0</v>
      </c>
      <c r="AX372" s="43">
        <f t="shared" ca="1" si="191"/>
        <v>0.18969001663348994</v>
      </c>
      <c r="AY372" s="8">
        <v>1</v>
      </c>
      <c r="AZ372" s="42">
        <v>0</v>
      </c>
      <c r="BB372" s="43">
        <f t="shared" ca="1" si="192"/>
        <v>0.36717816182498642</v>
      </c>
      <c r="BC372" s="8">
        <v>1</v>
      </c>
      <c r="BD372" s="42">
        <v>0</v>
      </c>
      <c r="BF372" s="43">
        <f t="shared" ca="1" si="193"/>
        <v>0.92472179401603771</v>
      </c>
      <c r="BG372" s="8">
        <v>1</v>
      </c>
      <c r="BH372" s="42">
        <v>0</v>
      </c>
      <c r="BJ372" s="43">
        <f t="shared" ca="1" si="194"/>
        <v>0.4094856290732577</v>
      </c>
      <c r="BK372" s="8">
        <v>1</v>
      </c>
      <c r="BL372" s="42">
        <v>0</v>
      </c>
      <c r="BN372" s="43">
        <f t="shared" ca="1" si="195"/>
        <v>0.83065318768364016</v>
      </c>
      <c r="BO372" s="8">
        <v>1</v>
      </c>
      <c r="BP372" s="42">
        <v>0</v>
      </c>
      <c r="BR372" s="43">
        <f t="shared" ca="1" si="196"/>
        <v>0.71790163128786599</v>
      </c>
      <c r="BS372" s="8">
        <v>1</v>
      </c>
      <c r="BT372" s="42">
        <v>0</v>
      </c>
    </row>
    <row r="373" spans="1:72" x14ac:dyDescent="0.2">
      <c r="A373" s="22">
        <v>44920</v>
      </c>
      <c r="B373" s="43">
        <f t="shared" ca="1" si="179"/>
        <v>0.72500263529244624</v>
      </c>
      <c r="C373" s="8">
        <v>1</v>
      </c>
      <c r="D373" s="42">
        <v>0</v>
      </c>
      <c r="F373" s="43">
        <f t="shared" ca="1" si="180"/>
        <v>0.46109641135192658</v>
      </c>
      <c r="G373" s="8">
        <v>1</v>
      </c>
      <c r="H373" s="42">
        <v>0</v>
      </c>
      <c r="J373" s="43">
        <f t="shared" ca="1" si="181"/>
        <v>8.1850171203233346E-2</v>
      </c>
      <c r="K373" s="8">
        <v>1</v>
      </c>
      <c r="L373" s="42">
        <v>0</v>
      </c>
      <c r="N373" s="43">
        <f t="shared" ca="1" si="182"/>
        <v>0.76571582647057845</v>
      </c>
      <c r="O373" s="8">
        <v>1</v>
      </c>
      <c r="P373" s="42">
        <v>0</v>
      </c>
      <c r="R373" s="43">
        <f t="shared" ca="1" si="183"/>
        <v>0.19001274475935181</v>
      </c>
      <c r="S373" s="8">
        <v>1</v>
      </c>
      <c r="T373" s="42">
        <v>0</v>
      </c>
      <c r="V373" s="43">
        <f t="shared" ca="1" si="184"/>
        <v>0.15921826906115111</v>
      </c>
      <c r="W373" s="8">
        <v>1</v>
      </c>
      <c r="X373" s="42">
        <v>0</v>
      </c>
      <c r="Z373" s="43">
        <f t="shared" ca="1" si="185"/>
        <v>7.8771704151875399E-3</v>
      </c>
      <c r="AA373" s="8">
        <v>1</v>
      </c>
      <c r="AB373" s="42">
        <v>0</v>
      </c>
      <c r="AD373" s="43">
        <f t="shared" ca="1" si="186"/>
        <v>0.81390709576358655</v>
      </c>
      <c r="AE373" s="8">
        <v>1</v>
      </c>
      <c r="AF373" s="42">
        <v>0</v>
      </c>
      <c r="AH373" s="43">
        <f t="shared" ca="1" si="187"/>
        <v>0.61734971074293243</v>
      </c>
      <c r="AI373" s="8">
        <v>1</v>
      </c>
      <c r="AJ373" s="42">
        <v>0</v>
      </c>
      <c r="AL373" s="43">
        <f t="shared" ca="1" si="188"/>
        <v>0.25861307120635357</v>
      </c>
      <c r="AM373" s="8">
        <v>1</v>
      </c>
      <c r="AN373" s="42">
        <v>0</v>
      </c>
      <c r="AP373" s="43">
        <f t="shared" ca="1" si="189"/>
        <v>0.13533638438098772</v>
      </c>
      <c r="AQ373" s="8">
        <v>1</v>
      </c>
      <c r="AR373" s="42">
        <v>0</v>
      </c>
      <c r="AT373" s="43">
        <f t="shared" ca="1" si="190"/>
        <v>0.29731494968043504</v>
      </c>
      <c r="AU373" s="8">
        <v>1</v>
      </c>
      <c r="AV373" s="42">
        <v>0</v>
      </c>
      <c r="AX373" s="43">
        <f t="shared" ca="1" si="191"/>
        <v>0.30382574053817912</v>
      </c>
      <c r="AY373" s="8">
        <v>1</v>
      </c>
      <c r="AZ373" s="42">
        <v>0</v>
      </c>
      <c r="BB373" s="43">
        <f t="shared" ca="1" si="192"/>
        <v>9.4711960015066987E-2</v>
      </c>
      <c r="BC373" s="8">
        <v>1</v>
      </c>
      <c r="BD373" s="42">
        <v>0</v>
      </c>
      <c r="BF373" s="43">
        <f t="shared" ca="1" si="193"/>
        <v>0.6490773650121604</v>
      </c>
      <c r="BG373" s="8">
        <v>1</v>
      </c>
      <c r="BH373" s="42">
        <v>0</v>
      </c>
      <c r="BJ373" s="43">
        <f t="shared" ca="1" si="194"/>
        <v>0.10086086477389855</v>
      </c>
      <c r="BK373" s="8">
        <v>1</v>
      </c>
      <c r="BL373" s="42">
        <v>0</v>
      </c>
      <c r="BN373" s="43">
        <f t="shared" ca="1" si="195"/>
        <v>0.35914808724808533</v>
      </c>
      <c r="BO373" s="8">
        <v>1</v>
      </c>
      <c r="BP373" s="42">
        <v>0</v>
      </c>
      <c r="BR373" s="43">
        <f t="shared" ca="1" si="196"/>
        <v>0.22672909310666234</v>
      </c>
      <c r="BS373" s="8">
        <v>1</v>
      </c>
      <c r="BT373" s="42">
        <v>0</v>
      </c>
    </row>
    <row r="374" spans="1:72" x14ac:dyDescent="0.2">
      <c r="A374" s="22">
        <v>44921</v>
      </c>
      <c r="B374" s="43">
        <f t="shared" ca="1" si="179"/>
        <v>0.55196837439011159</v>
      </c>
      <c r="C374" s="8">
        <v>1</v>
      </c>
      <c r="D374" s="42">
        <v>0</v>
      </c>
      <c r="F374" s="43">
        <f t="shared" ca="1" si="180"/>
        <v>0.41270816451029835</v>
      </c>
      <c r="G374" s="8">
        <v>1</v>
      </c>
      <c r="H374" s="42">
        <v>0</v>
      </c>
      <c r="J374" s="43">
        <f t="shared" ca="1" si="181"/>
        <v>0.84527245168120713</v>
      </c>
      <c r="K374" s="8">
        <v>1</v>
      </c>
      <c r="L374" s="42">
        <v>0</v>
      </c>
      <c r="N374" s="43">
        <f t="shared" ca="1" si="182"/>
        <v>0.23963006215883154</v>
      </c>
      <c r="O374" s="8">
        <v>1</v>
      </c>
      <c r="P374" s="42">
        <v>0</v>
      </c>
      <c r="R374" s="43">
        <f t="shared" ca="1" si="183"/>
        <v>0.97323589932134602</v>
      </c>
      <c r="S374" s="8">
        <v>1</v>
      </c>
      <c r="T374" s="42">
        <v>0</v>
      </c>
      <c r="V374" s="43">
        <f t="shared" ca="1" si="184"/>
        <v>0.26484759948844527</v>
      </c>
      <c r="W374" s="8">
        <v>1</v>
      </c>
      <c r="X374" s="42">
        <v>0</v>
      </c>
      <c r="Z374" s="43">
        <f t="shared" ca="1" si="185"/>
        <v>0.40607714851817456</v>
      </c>
      <c r="AA374" s="8">
        <v>1</v>
      </c>
      <c r="AB374" s="42">
        <v>0</v>
      </c>
      <c r="AD374" s="43">
        <f t="shared" ca="1" si="186"/>
        <v>0.39050950340618118</v>
      </c>
      <c r="AE374" s="8">
        <v>1</v>
      </c>
      <c r="AF374" s="42">
        <v>0</v>
      </c>
      <c r="AH374" s="43">
        <f t="shared" ca="1" si="187"/>
        <v>0.4326567024618525</v>
      </c>
      <c r="AI374" s="8">
        <v>1</v>
      </c>
      <c r="AJ374" s="42">
        <v>0</v>
      </c>
      <c r="AL374" s="43">
        <f t="shared" ca="1" si="188"/>
        <v>0.95564774998919622</v>
      </c>
      <c r="AM374" s="8">
        <v>1</v>
      </c>
      <c r="AN374" s="42">
        <v>0</v>
      </c>
      <c r="AP374" s="43">
        <f t="shared" ca="1" si="189"/>
        <v>0.54621397574650499</v>
      </c>
      <c r="AQ374" s="8">
        <v>1</v>
      </c>
      <c r="AR374" s="42">
        <v>0</v>
      </c>
      <c r="AT374" s="43">
        <f t="shared" ca="1" si="190"/>
        <v>0.70601033615819331</v>
      </c>
      <c r="AU374" s="8">
        <v>1</v>
      </c>
      <c r="AV374" s="42">
        <v>0</v>
      </c>
      <c r="AX374" s="43">
        <f t="shared" ca="1" si="191"/>
        <v>0.79522708595551228</v>
      </c>
      <c r="AY374" s="8">
        <v>1</v>
      </c>
      <c r="AZ374" s="42">
        <v>0</v>
      </c>
      <c r="BB374" s="43">
        <f t="shared" ca="1" si="192"/>
        <v>0.60218160085688821</v>
      </c>
      <c r="BC374" s="8">
        <v>1</v>
      </c>
      <c r="BD374" s="42">
        <v>0</v>
      </c>
      <c r="BF374" s="43">
        <f t="shared" ca="1" si="193"/>
        <v>0.72720813076386925</v>
      </c>
      <c r="BG374" s="8">
        <v>1</v>
      </c>
      <c r="BH374" s="42">
        <v>0</v>
      </c>
      <c r="BJ374" s="43">
        <f t="shared" ca="1" si="194"/>
        <v>0.19028699055750087</v>
      </c>
      <c r="BK374" s="8">
        <v>1</v>
      </c>
      <c r="BL374" s="42">
        <v>0</v>
      </c>
      <c r="BN374" s="43">
        <f t="shared" ca="1" si="195"/>
        <v>0.18677624739268339</v>
      </c>
      <c r="BO374" s="8">
        <v>1</v>
      </c>
      <c r="BP374" s="42">
        <v>0</v>
      </c>
      <c r="BR374" s="43">
        <f t="shared" ca="1" si="196"/>
        <v>0.52998009587958828</v>
      </c>
      <c r="BS374" s="8">
        <v>1</v>
      </c>
      <c r="BT374" s="42">
        <v>0</v>
      </c>
    </row>
    <row r="375" spans="1:72" x14ac:dyDescent="0.2">
      <c r="A375" s="22">
        <v>44922</v>
      </c>
      <c r="B375" s="43">
        <f t="shared" ca="1" si="179"/>
        <v>0.14226631020861313</v>
      </c>
      <c r="C375" s="8">
        <v>1</v>
      </c>
      <c r="D375" s="42">
        <v>0</v>
      </c>
      <c r="F375" s="43">
        <f t="shared" ca="1" si="180"/>
        <v>0.6274620791732638</v>
      </c>
      <c r="G375" s="8">
        <v>1</v>
      </c>
      <c r="H375" s="42">
        <v>0</v>
      </c>
      <c r="J375" s="43">
        <f t="shared" ca="1" si="181"/>
        <v>6.6719361354611539E-2</v>
      </c>
      <c r="K375" s="8">
        <v>1</v>
      </c>
      <c r="L375" s="42">
        <v>0</v>
      </c>
      <c r="N375" s="43">
        <f t="shared" ca="1" si="182"/>
        <v>0.929460943682068</v>
      </c>
      <c r="O375" s="8">
        <v>1</v>
      </c>
      <c r="P375" s="42">
        <v>0</v>
      </c>
      <c r="R375" s="43">
        <f t="shared" ca="1" si="183"/>
        <v>0.74740773933886462</v>
      </c>
      <c r="S375" s="8">
        <v>1</v>
      </c>
      <c r="T375" s="42">
        <v>0</v>
      </c>
      <c r="V375" s="43">
        <f t="shared" ca="1" si="184"/>
        <v>0.12860309030259753</v>
      </c>
      <c r="W375" s="8">
        <v>1</v>
      </c>
      <c r="X375" s="42">
        <v>0</v>
      </c>
      <c r="Z375" s="43">
        <f t="shared" ca="1" si="185"/>
        <v>0.68250682920923811</v>
      </c>
      <c r="AA375" s="8">
        <v>1</v>
      </c>
      <c r="AB375" s="42">
        <v>0</v>
      </c>
      <c r="AD375" s="43">
        <f t="shared" ca="1" si="186"/>
        <v>0.5145071097101146</v>
      </c>
      <c r="AE375" s="8">
        <v>1</v>
      </c>
      <c r="AF375" s="42">
        <v>0</v>
      </c>
      <c r="AH375" s="43">
        <f t="shared" ca="1" si="187"/>
        <v>0.4372126334157892</v>
      </c>
      <c r="AI375" s="8">
        <v>1</v>
      </c>
      <c r="AJ375" s="42">
        <v>0</v>
      </c>
      <c r="AL375" s="43">
        <f t="shared" ca="1" si="188"/>
        <v>0.78420950581868554</v>
      </c>
      <c r="AM375" s="8">
        <v>1</v>
      </c>
      <c r="AN375" s="42">
        <v>0</v>
      </c>
      <c r="AP375" s="43">
        <f t="shared" ca="1" si="189"/>
        <v>0.75808242575776441</v>
      </c>
      <c r="AQ375" s="8">
        <v>1</v>
      </c>
      <c r="AR375" s="42">
        <v>0</v>
      </c>
      <c r="AT375" s="43">
        <f t="shared" ca="1" si="190"/>
        <v>0.22139472634648016</v>
      </c>
      <c r="AU375" s="8">
        <v>1</v>
      </c>
      <c r="AV375" s="42">
        <v>0</v>
      </c>
      <c r="AX375" s="43">
        <f t="shared" ca="1" si="191"/>
        <v>0.23144670588205885</v>
      </c>
      <c r="AY375" s="8">
        <v>1</v>
      </c>
      <c r="AZ375" s="42">
        <v>0</v>
      </c>
      <c r="BB375" s="43">
        <f t="shared" ca="1" si="192"/>
        <v>0.23298841963431605</v>
      </c>
      <c r="BC375" s="8">
        <v>1</v>
      </c>
      <c r="BD375" s="42">
        <v>0</v>
      </c>
      <c r="BF375" s="43">
        <f t="shared" ca="1" si="193"/>
        <v>0.43447633061348989</v>
      </c>
      <c r="BG375" s="8">
        <v>1</v>
      </c>
      <c r="BH375" s="42">
        <v>0</v>
      </c>
      <c r="BJ375" s="43">
        <f t="shared" ca="1" si="194"/>
        <v>0.75446619562370243</v>
      </c>
      <c r="BK375" s="8">
        <v>1</v>
      </c>
      <c r="BL375" s="42">
        <v>0</v>
      </c>
      <c r="BN375" s="43">
        <f t="shared" ca="1" si="195"/>
        <v>0.24272375116592615</v>
      </c>
      <c r="BO375" s="8">
        <v>1</v>
      </c>
      <c r="BP375" s="42">
        <v>0</v>
      </c>
      <c r="BR375" s="43">
        <f t="shared" ca="1" si="196"/>
        <v>0.56242211118023644</v>
      </c>
      <c r="BS375" s="8">
        <v>1</v>
      </c>
      <c r="BT375" s="42">
        <v>0</v>
      </c>
    </row>
    <row r="376" spans="1:72" x14ac:dyDescent="0.2">
      <c r="A376" s="22">
        <v>44923</v>
      </c>
      <c r="B376" s="43">
        <f t="shared" ca="1" si="179"/>
        <v>0.28657105871173272</v>
      </c>
      <c r="C376" s="8">
        <v>1</v>
      </c>
      <c r="D376" s="42">
        <v>0</v>
      </c>
      <c r="F376" s="43">
        <f t="shared" ca="1" si="180"/>
        <v>0.5202483887324888</v>
      </c>
      <c r="G376" s="8">
        <v>1</v>
      </c>
      <c r="H376" s="42">
        <v>0</v>
      </c>
      <c r="J376" s="43">
        <f t="shared" ca="1" si="181"/>
        <v>0.16629892031423132</v>
      </c>
      <c r="K376" s="8">
        <v>1</v>
      </c>
      <c r="L376" s="42">
        <v>0</v>
      </c>
      <c r="N376" s="43">
        <f t="shared" ca="1" si="182"/>
        <v>1.8778367897593129E-2</v>
      </c>
      <c r="O376" s="8">
        <v>1</v>
      </c>
      <c r="P376" s="42">
        <v>0</v>
      </c>
      <c r="R376" s="43">
        <f t="shared" ca="1" si="183"/>
        <v>2.7146404527482293E-2</v>
      </c>
      <c r="S376" s="8">
        <v>1</v>
      </c>
      <c r="T376" s="42">
        <v>0</v>
      </c>
      <c r="V376" s="43">
        <f t="shared" ca="1" si="184"/>
        <v>0.42621490634134451</v>
      </c>
      <c r="W376" s="8">
        <v>1</v>
      </c>
      <c r="X376" s="42">
        <v>0</v>
      </c>
      <c r="Z376" s="43">
        <f t="shared" ca="1" si="185"/>
        <v>0.80031509174443127</v>
      </c>
      <c r="AA376" s="8">
        <v>1</v>
      </c>
      <c r="AB376" s="42">
        <v>0</v>
      </c>
      <c r="AD376" s="43">
        <f t="shared" ca="1" si="186"/>
        <v>0.31009680739229661</v>
      </c>
      <c r="AE376" s="8">
        <v>1</v>
      </c>
      <c r="AF376" s="42">
        <v>0</v>
      </c>
      <c r="AH376" s="43">
        <f t="shared" ca="1" si="187"/>
        <v>0.23946451278695557</v>
      </c>
      <c r="AI376" s="8">
        <v>1</v>
      </c>
      <c r="AJ376" s="42">
        <v>0</v>
      </c>
      <c r="AL376" s="43">
        <f t="shared" ca="1" si="188"/>
        <v>0.96850928158215377</v>
      </c>
      <c r="AM376" s="8">
        <v>1</v>
      </c>
      <c r="AN376" s="42">
        <v>0</v>
      </c>
      <c r="AP376" s="43">
        <f t="shared" ca="1" si="189"/>
        <v>0.1500298662269357</v>
      </c>
      <c r="AQ376" s="8">
        <v>1</v>
      </c>
      <c r="AR376" s="42">
        <v>0</v>
      </c>
      <c r="AT376" s="43">
        <f t="shared" ca="1" si="190"/>
        <v>1.4322714367598799E-2</v>
      </c>
      <c r="AU376" s="8">
        <v>1</v>
      </c>
      <c r="AV376" s="42">
        <v>0</v>
      </c>
      <c r="AX376" s="43">
        <f t="shared" ca="1" si="191"/>
        <v>0.70846619084277829</v>
      </c>
      <c r="AY376" s="8">
        <v>1</v>
      </c>
      <c r="AZ376" s="42">
        <v>0</v>
      </c>
      <c r="BB376" s="43">
        <f t="shared" ca="1" si="192"/>
        <v>0.77940790644041757</v>
      </c>
      <c r="BC376" s="8">
        <v>1</v>
      </c>
      <c r="BD376" s="42">
        <v>0</v>
      </c>
      <c r="BF376" s="43">
        <f t="shared" ca="1" si="193"/>
        <v>0.75584274931834627</v>
      </c>
      <c r="BG376" s="8">
        <v>1</v>
      </c>
      <c r="BH376" s="42">
        <v>0</v>
      </c>
      <c r="BJ376" s="43">
        <f t="shared" ca="1" si="194"/>
        <v>0.37109953343438495</v>
      </c>
      <c r="BK376" s="8">
        <v>1</v>
      </c>
      <c r="BL376" s="42">
        <v>0</v>
      </c>
      <c r="BN376" s="43">
        <f t="shared" ca="1" si="195"/>
        <v>0.89779160284015957</v>
      </c>
      <c r="BO376" s="8">
        <v>1</v>
      </c>
      <c r="BP376" s="42">
        <v>0</v>
      </c>
      <c r="BR376" s="43">
        <f t="shared" ca="1" si="196"/>
        <v>0.17622953455011092</v>
      </c>
      <c r="BS376" s="8">
        <v>1</v>
      </c>
      <c r="BT376" s="42">
        <v>0</v>
      </c>
    </row>
    <row r="377" spans="1:72" x14ac:dyDescent="0.2">
      <c r="A377" s="22">
        <v>44924</v>
      </c>
      <c r="B377" s="43">
        <f t="shared" ca="1" si="179"/>
        <v>0.49737735939471261</v>
      </c>
      <c r="C377" s="8">
        <v>1</v>
      </c>
      <c r="D377" s="42">
        <v>0</v>
      </c>
      <c r="F377" s="43">
        <f t="shared" ca="1" si="180"/>
        <v>0.78375029612386449</v>
      </c>
      <c r="G377" s="8">
        <v>1</v>
      </c>
      <c r="H377" s="42">
        <v>0</v>
      </c>
      <c r="J377" s="43">
        <f t="shared" ca="1" si="181"/>
        <v>0.55911074699809904</v>
      </c>
      <c r="K377" s="8">
        <v>1</v>
      </c>
      <c r="L377" s="42">
        <v>0</v>
      </c>
      <c r="N377" s="43">
        <f t="shared" ca="1" si="182"/>
        <v>0.79265770067602614</v>
      </c>
      <c r="O377" s="8">
        <v>1</v>
      </c>
      <c r="P377" s="42">
        <v>0</v>
      </c>
      <c r="R377" s="43">
        <f t="shared" ca="1" si="183"/>
        <v>0.54367217083707831</v>
      </c>
      <c r="S377" s="8">
        <v>1</v>
      </c>
      <c r="T377" s="42">
        <v>0</v>
      </c>
      <c r="V377" s="43">
        <f t="shared" ca="1" si="184"/>
        <v>9.3607824790486349E-2</v>
      </c>
      <c r="W377" s="8">
        <v>1</v>
      </c>
      <c r="X377" s="42">
        <v>0</v>
      </c>
      <c r="Z377" s="43">
        <f t="shared" ca="1" si="185"/>
        <v>0.49873740668317346</v>
      </c>
      <c r="AA377" s="8">
        <v>1</v>
      </c>
      <c r="AB377" s="42">
        <v>0</v>
      </c>
      <c r="AD377" s="43">
        <f t="shared" ca="1" si="186"/>
        <v>0.324502862135568</v>
      </c>
      <c r="AE377" s="8">
        <v>1</v>
      </c>
      <c r="AF377" s="42">
        <v>0</v>
      </c>
      <c r="AH377" s="43">
        <f t="shared" ca="1" si="187"/>
        <v>0.96526750965150565</v>
      </c>
      <c r="AI377" s="8">
        <v>1</v>
      </c>
      <c r="AJ377" s="42">
        <v>0</v>
      </c>
      <c r="AL377" s="43">
        <f t="shared" ca="1" si="188"/>
        <v>0.67594851756737528</v>
      </c>
      <c r="AM377" s="8">
        <v>1</v>
      </c>
      <c r="AN377" s="42">
        <v>0</v>
      </c>
      <c r="AP377" s="43">
        <f t="shared" ca="1" si="189"/>
        <v>0.94211179320070415</v>
      </c>
      <c r="AQ377" s="8">
        <v>1</v>
      </c>
      <c r="AR377" s="42">
        <v>0</v>
      </c>
      <c r="AT377" s="43">
        <f t="shared" ca="1" si="190"/>
        <v>0.97687429671135528</v>
      </c>
      <c r="AU377" s="8">
        <v>1</v>
      </c>
      <c r="AV377" s="42">
        <v>0</v>
      </c>
      <c r="AX377" s="43">
        <f t="shared" ca="1" si="191"/>
        <v>0.8237395510918647</v>
      </c>
      <c r="AY377" s="8">
        <v>1</v>
      </c>
      <c r="AZ377" s="42">
        <v>0</v>
      </c>
      <c r="BB377" s="43">
        <f t="shared" ca="1" si="192"/>
        <v>2.6516610230700732E-2</v>
      </c>
      <c r="BC377" s="8">
        <v>1</v>
      </c>
      <c r="BD377" s="42">
        <v>0</v>
      </c>
      <c r="BF377" s="43">
        <f t="shared" ca="1" si="193"/>
        <v>0.20203573212324477</v>
      </c>
      <c r="BG377" s="8">
        <v>1</v>
      </c>
      <c r="BH377" s="42">
        <v>0</v>
      </c>
      <c r="BJ377" s="43">
        <f t="shared" ca="1" si="194"/>
        <v>0.45249248018460075</v>
      </c>
      <c r="BK377" s="8">
        <v>1</v>
      </c>
      <c r="BL377" s="42">
        <v>0</v>
      </c>
      <c r="BN377" s="43">
        <f t="shared" ca="1" si="195"/>
        <v>0.51237389606998063</v>
      </c>
      <c r="BO377" s="8">
        <v>1</v>
      </c>
      <c r="BP377" s="42">
        <v>0</v>
      </c>
      <c r="BR377" s="43">
        <f t="shared" ca="1" si="196"/>
        <v>0.33179891290577568</v>
      </c>
      <c r="BS377" s="8">
        <v>1</v>
      </c>
      <c r="BT377" s="42">
        <v>0</v>
      </c>
    </row>
    <row r="378" spans="1:72" x14ac:dyDescent="0.2">
      <c r="A378" s="22">
        <v>44925</v>
      </c>
      <c r="B378" s="43">
        <f t="shared" ca="1" si="179"/>
        <v>4.0044442844569095E-2</v>
      </c>
      <c r="C378" s="8">
        <v>1</v>
      </c>
      <c r="D378" s="42">
        <v>0</v>
      </c>
      <c r="F378" s="43">
        <f t="shared" ca="1" si="180"/>
        <v>0.77683993307231214</v>
      </c>
      <c r="G378" s="8">
        <v>1</v>
      </c>
      <c r="H378" s="42">
        <v>0</v>
      </c>
      <c r="J378" s="43">
        <f t="shared" ca="1" si="181"/>
        <v>0.14381558331982713</v>
      </c>
      <c r="K378" s="8">
        <v>1</v>
      </c>
      <c r="L378" s="42">
        <v>0</v>
      </c>
      <c r="N378" s="43">
        <f t="shared" ca="1" si="182"/>
        <v>0.11423387460280177</v>
      </c>
      <c r="O378" s="8">
        <v>1</v>
      </c>
      <c r="P378" s="42">
        <v>0</v>
      </c>
      <c r="R378" s="43">
        <f t="shared" ca="1" si="183"/>
        <v>0.74443504760946577</v>
      </c>
      <c r="S378" s="8">
        <v>1</v>
      </c>
      <c r="T378" s="42">
        <v>0</v>
      </c>
      <c r="V378" s="43">
        <f t="shared" ca="1" si="184"/>
        <v>0.54878179424369433</v>
      </c>
      <c r="W378" s="8">
        <v>1</v>
      </c>
      <c r="X378" s="42">
        <v>0</v>
      </c>
      <c r="Z378" s="43">
        <f t="shared" ca="1" si="185"/>
        <v>0.76761372110132597</v>
      </c>
      <c r="AA378" s="8">
        <v>1</v>
      </c>
      <c r="AB378" s="42">
        <v>0</v>
      </c>
      <c r="AD378" s="43">
        <f t="shared" ca="1" si="186"/>
        <v>0.53172782223374537</v>
      </c>
      <c r="AE378" s="8">
        <v>1</v>
      </c>
      <c r="AF378" s="42">
        <v>0</v>
      </c>
      <c r="AH378" s="43">
        <f t="shared" ca="1" si="187"/>
        <v>0.25581536361919144</v>
      </c>
      <c r="AI378" s="8">
        <v>1</v>
      </c>
      <c r="AJ378" s="42">
        <v>0</v>
      </c>
      <c r="AL378" s="43">
        <f t="shared" ca="1" si="188"/>
        <v>0.59317620803723625</v>
      </c>
      <c r="AM378" s="8">
        <v>1</v>
      </c>
      <c r="AN378" s="42">
        <v>0</v>
      </c>
      <c r="AP378" s="43">
        <f t="shared" ca="1" si="189"/>
        <v>0.3554802900246089</v>
      </c>
      <c r="AQ378" s="8">
        <v>1</v>
      </c>
      <c r="AR378" s="42">
        <v>0</v>
      </c>
      <c r="AT378" s="43">
        <f t="shared" ca="1" si="190"/>
        <v>0.73723354493406901</v>
      </c>
      <c r="AU378" s="8">
        <v>1</v>
      </c>
      <c r="AV378" s="42">
        <v>0</v>
      </c>
      <c r="AX378" s="43">
        <f t="shared" ca="1" si="191"/>
        <v>0.28520231933649343</v>
      </c>
      <c r="AY378" s="8">
        <v>1</v>
      </c>
      <c r="AZ378" s="42">
        <v>0</v>
      </c>
      <c r="BB378" s="43">
        <f t="shared" ca="1" si="192"/>
        <v>0.10998012957902681</v>
      </c>
      <c r="BC378" s="8">
        <v>1</v>
      </c>
      <c r="BD378" s="42">
        <v>0</v>
      </c>
      <c r="BF378" s="43">
        <f t="shared" ca="1" si="193"/>
        <v>5.7350221877262464E-2</v>
      </c>
      <c r="BG378" s="8">
        <v>1</v>
      </c>
      <c r="BH378" s="42">
        <v>0</v>
      </c>
      <c r="BJ378" s="43">
        <f t="shared" ca="1" si="194"/>
        <v>0.96193019993147255</v>
      </c>
      <c r="BK378" s="8">
        <v>1</v>
      </c>
      <c r="BL378" s="42">
        <v>0</v>
      </c>
      <c r="BN378" s="43">
        <f t="shared" ca="1" si="195"/>
        <v>0.53056077669206791</v>
      </c>
      <c r="BO378" s="8">
        <v>1</v>
      </c>
      <c r="BP378" s="42">
        <v>0</v>
      </c>
      <c r="BR378" s="43">
        <f t="shared" ca="1" si="196"/>
        <v>0.1200075372024294</v>
      </c>
      <c r="BS378" s="8">
        <v>1</v>
      </c>
      <c r="BT378" s="42">
        <v>0</v>
      </c>
    </row>
    <row r="379" spans="1:72" x14ac:dyDescent="0.2">
      <c r="A379" s="23">
        <v>44926</v>
      </c>
      <c r="B379" s="43">
        <f t="shared" ca="1" si="179"/>
        <v>0.51737231531520878</v>
      </c>
      <c r="C379" s="8">
        <v>1</v>
      </c>
      <c r="D379" s="42">
        <v>0</v>
      </c>
      <c r="F379" s="43">
        <f t="shared" ca="1" si="180"/>
        <v>0.64573591397340779</v>
      </c>
      <c r="G379" s="8">
        <v>1</v>
      </c>
      <c r="H379" s="42">
        <v>0</v>
      </c>
      <c r="J379" s="43">
        <f t="shared" ca="1" si="181"/>
        <v>0.29790748823468338</v>
      </c>
      <c r="K379" s="8">
        <v>1</v>
      </c>
      <c r="L379" s="42">
        <v>0</v>
      </c>
      <c r="N379" s="43">
        <f t="shared" ca="1" si="182"/>
        <v>0.5804699132172797</v>
      </c>
      <c r="O379" s="8">
        <v>1</v>
      </c>
      <c r="P379" s="42">
        <v>0</v>
      </c>
      <c r="R379" s="43">
        <f t="shared" ca="1" si="183"/>
        <v>5.6128751949118594E-2</v>
      </c>
      <c r="S379" s="8">
        <v>1</v>
      </c>
      <c r="T379" s="42">
        <v>0</v>
      </c>
      <c r="V379" s="43">
        <f t="shared" ca="1" si="184"/>
        <v>0.83071938989284966</v>
      </c>
      <c r="W379" s="8">
        <v>1</v>
      </c>
      <c r="X379" s="42">
        <v>0</v>
      </c>
      <c r="Z379" s="43">
        <f t="shared" ca="1" si="185"/>
        <v>0.28953156326802576</v>
      </c>
      <c r="AA379" s="8">
        <v>1</v>
      </c>
      <c r="AB379" s="42">
        <v>0</v>
      </c>
      <c r="AD379" s="43">
        <f t="shared" ca="1" si="186"/>
        <v>0.85671695680878734</v>
      </c>
      <c r="AE379" s="8">
        <v>1</v>
      </c>
      <c r="AF379" s="42">
        <v>0</v>
      </c>
      <c r="AH379" s="43">
        <f t="shared" ca="1" si="187"/>
        <v>0.5514114859751732</v>
      </c>
      <c r="AI379" s="8">
        <v>1</v>
      </c>
      <c r="AJ379" s="42">
        <v>0</v>
      </c>
      <c r="AL379" s="43">
        <f t="shared" ca="1" si="188"/>
        <v>8.5574870539189218E-2</v>
      </c>
      <c r="AM379" s="8">
        <v>1</v>
      </c>
      <c r="AN379" s="42">
        <v>0</v>
      </c>
      <c r="AP379" s="43">
        <f t="shared" ca="1" si="189"/>
        <v>0.38954246028728168</v>
      </c>
      <c r="AQ379" s="8">
        <v>1</v>
      </c>
      <c r="AR379" s="42">
        <v>0</v>
      </c>
      <c r="AT379" s="43">
        <f t="shared" ca="1" si="190"/>
        <v>0.20435313033365909</v>
      </c>
      <c r="AU379" s="8">
        <v>1</v>
      </c>
      <c r="AV379" s="42">
        <v>0</v>
      </c>
      <c r="AX379" s="43">
        <f t="shared" ca="1" si="191"/>
        <v>0.56766351449095764</v>
      </c>
      <c r="AY379" s="8">
        <v>1</v>
      </c>
      <c r="AZ379" s="42">
        <v>0</v>
      </c>
      <c r="BB379" s="43">
        <f t="shared" ca="1" si="192"/>
        <v>9.6647779843756831E-2</v>
      </c>
      <c r="BC379" s="8">
        <v>1</v>
      </c>
      <c r="BD379" s="42">
        <v>0</v>
      </c>
      <c r="BF379" s="43">
        <f t="shared" ca="1" si="193"/>
        <v>0.72596381407976207</v>
      </c>
      <c r="BG379" s="8">
        <v>1</v>
      </c>
      <c r="BH379" s="42">
        <v>0</v>
      </c>
      <c r="BJ379" s="43">
        <f t="shared" ca="1" si="194"/>
        <v>0.54015732514507186</v>
      </c>
      <c r="BK379" s="8">
        <v>1</v>
      </c>
      <c r="BL379" s="42">
        <v>0</v>
      </c>
      <c r="BN379" s="43">
        <f t="shared" ca="1" si="195"/>
        <v>0.1032433197040229</v>
      </c>
      <c r="BO379" s="8">
        <v>1</v>
      </c>
      <c r="BP379" s="42">
        <v>0</v>
      </c>
      <c r="BR379" s="43">
        <f t="shared" ca="1" si="196"/>
        <v>0.5653329378407933</v>
      </c>
      <c r="BS379" s="8">
        <v>1</v>
      </c>
      <c r="BT379" s="42">
        <v>0</v>
      </c>
    </row>
  </sheetData>
  <autoFilter ref="A14:D379"/>
  <mergeCells count="18">
    <mergeCell ref="V13:W13"/>
    <mergeCell ref="B13:C13"/>
    <mergeCell ref="F13:G13"/>
    <mergeCell ref="J13:K13"/>
    <mergeCell ref="N13:O13"/>
    <mergeCell ref="R13:S13"/>
    <mergeCell ref="BR13:BS13"/>
    <mergeCell ref="Z13:AA13"/>
    <mergeCell ref="AD13:AE13"/>
    <mergeCell ref="AH13:AI13"/>
    <mergeCell ref="AL13:AM13"/>
    <mergeCell ref="AP13:AQ13"/>
    <mergeCell ref="AT13:AU13"/>
    <mergeCell ref="AX13:AY13"/>
    <mergeCell ref="BB13:BC13"/>
    <mergeCell ref="BF13:BG13"/>
    <mergeCell ref="BJ13:BK13"/>
    <mergeCell ref="BN13:BO1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3:G22"/>
  <sheetViews>
    <sheetView workbookViewId="0">
      <selection activeCell="B12" sqref="B12"/>
    </sheetView>
  </sheetViews>
  <sheetFormatPr baseColWidth="10" defaultRowHeight="12.75" x14ac:dyDescent="0.2"/>
  <cols>
    <col min="2" max="2" width="18.42578125" bestFit="1" customWidth="1"/>
    <col min="3" max="3" width="27" bestFit="1" customWidth="1"/>
    <col min="4" max="4" width="15.85546875" bestFit="1" customWidth="1"/>
    <col min="5" max="5" width="14" bestFit="1" customWidth="1"/>
  </cols>
  <sheetData>
    <row r="3" spans="1:7" x14ac:dyDescent="0.2">
      <c r="B3" s="8" t="s">
        <v>10</v>
      </c>
    </row>
    <row r="4" spans="1:7" ht="15.75" x14ac:dyDescent="0.3">
      <c r="B4" s="8" t="s">
        <v>11</v>
      </c>
      <c r="C4" s="9" t="s">
        <v>21</v>
      </c>
      <c r="D4" s="9" t="s">
        <v>12</v>
      </c>
      <c r="E4" s="11" t="s">
        <v>22</v>
      </c>
      <c r="F4" s="11" t="s">
        <v>38</v>
      </c>
      <c r="G4" s="11" t="s">
        <v>39</v>
      </c>
    </row>
    <row r="5" spans="1:7" x14ac:dyDescent="0.2">
      <c r="A5">
        <v>1</v>
      </c>
      <c r="B5" s="9" t="s">
        <v>13</v>
      </c>
      <c r="C5" s="10">
        <f>D5+200</f>
        <v>500</v>
      </c>
      <c r="D5" s="10">
        <v>300</v>
      </c>
      <c r="E5" s="12">
        <f>DATE(2022,1,1)</f>
        <v>44562</v>
      </c>
      <c r="F5" s="44">
        <f>ROUND('Real Model'!C$4,0)</f>
        <v>100</v>
      </c>
      <c r="G5" s="10">
        <f ca="1">RAND()</f>
        <v>0.34717779236511936</v>
      </c>
    </row>
    <row r="6" spans="1:7" x14ac:dyDescent="0.2">
      <c r="A6">
        <v>2</v>
      </c>
      <c r="B6" s="9" t="s">
        <v>14</v>
      </c>
      <c r="C6" s="10">
        <f>D6</f>
        <v>1436</v>
      </c>
      <c r="D6" s="10">
        <v>1436</v>
      </c>
      <c r="E6" s="12">
        <f>DATE(2022,5,1)</f>
        <v>44682</v>
      </c>
      <c r="F6" s="44">
        <f>ROUND('Real Model'!G4,0)</f>
        <v>215</v>
      </c>
      <c r="G6" s="10">
        <f t="shared" ref="G6:G22" ca="1" si="0">RAND()</f>
        <v>0.833277027619171</v>
      </c>
    </row>
    <row r="7" spans="1:7" x14ac:dyDescent="0.2">
      <c r="A7" s="40">
        <v>3</v>
      </c>
      <c r="B7" s="9" t="s">
        <v>15</v>
      </c>
      <c r="C7" s="10">
        <f>D7</f>
        <v>1000</v>
      </c>
      <c r="D7" s="10">
        <v>1000</v>
      </c>
      <c r="E7" s="12">
        <f>DATE(2022,9,1)</f>
        <v>44805</v>
      </c>
      <c r="F7" s="44">
        <f>ROUND('Real Model'!K4,0)</f>
        <v>150</v>
      </c>
      <c r="G7" s="10">
        <f t="shared" ca="1" si="0"/>
        <v>0.66091533038049877</v>
      </c>
    </row>
    <row r="8" spans="1:7" x14ac:dyDescent="0.2">
      <c r="A8" s="40">
        <v>4</v>
      </c>
      <c r="B8" s="9" t="s">
        <v>16</v>
      </c>
      <c r="C8" s="10">
        <f>D8+169</f>
        <v>1529</v>
      </c>
      <c r="D8" s="10">
        <v>1360</v>
      </c>
      <c r="E8" s="12">
        <f>DATE(2022,9,1)</f>
        <v>44805</v>
      </c>
      <c r="F8" s="44">
        <f>ROUND('Real Model'!O4,0)</f>
        <v>229</v>
      </c>
      <c r="G8" s="10">
        <f t="shared" ca="1" si="0"/>
        <v>0.46657038525812922</v>
      </c>
    </row>
    <row r="9" spans="1:7" x14ac:dyDescent="0.2">
      <c r="A9" s="40">
        <v>5</v>
      </c>
      <c r="B9" s="9" t="s">
        <v>17</v>
      </c>
      <c r="C9" s="10">
        <f>D9+103</f>
        <v>925</v>
      </c>
      <c r="D9" s="10">
        <v>822</v>
      </c>
      <c r="E9" s="12">
        <f>DATE(2022,9,1)</f>
        <v>44805</v>
      </c>
      <c r="F9" s="44">
        <f>ROUND('Real Model'!S4,0)</f>
        <v>139</v>
      </c>
      <c r="G9" s="10">
        <f t="shared" ca="1" si="0"/>
        <v>9.0079276168918199E-2</v>
      </c>
    </row>
    <row r="10" spans="1:7" x14ac:dyDescent="0.2">
      <c r="A10" s="40">
        <v>6</v>
      </c>
      <c r="B10" s="9" t="s">
        <v>18</v>
      </c>
      <c r="C10" s="10">
        <f>D10</f>
        <v>1500</v>
      </c>
      <c r="D10" s="10">
        <v>1500</v>
      </c>
      <c r="E10" s="12">
        <f>DATE(2023,1,1)</f>
        <v>44927</v>
      </c>
      <c r="F10" s="44">
        <f>ROUND('Real Model'!W4,0)</f>
        <v>225</v>
      </c>
      <c r="G10" s="10">
        <f t="shared" ca="1" si="0"/>
        <v>0.36723536854400785</v>
      </c>
    </row>
    <row r="11" spans="1:7" x14ac:dyDescent="0.2">
      <c r="A11" s="40">
        <v>7</v>
      </c>
      <c r="B11" s="9" t="s">
        <v>19</v>
      </c>
      <c r="C11" s="10">
        <f>D11</f>
        <v>1800</v>
      </c>
      <c r="D11" s="10">
        <v>1800</v>
      </c>
      <c r="E11" s="12">
        <f>E10</f>
        <v>44927</v>
      </c>
      <c r="F11" s="44">
        <f>ROUND('Real Model'!AA4,0)</f>
        <v>270</v>
      </c>
      <c r="G11" s="10">
        <f t="shared" ca="1" si="0"/>
        <v>0.23045469495794979</v>
      </c>
    </row>
    <row r="12" spans="1:7" x14ac:dyDescent="0.2">
      <c r="A12" s="40">
        <v>8</v>
      </c>
      <c r="B12" s="9" t="s">
        <v>20</v>
      </c>
      <c r="C12" s="10">
        <f>D12+180</f>
        <v>2180</v>
      </c>
      <c r="D12" s="10">
        <v>2000</v>
      </c>
      <c r="E12" s="12">
        <f>E11</f>
        <v>44927</v>
      </c>
      <c r="F12" s="44">
        <f>ROUND('Real Model'!AE4,0)</f>
        <v>327</v>
      </c>
      <c r="G12" s="10">
        <f t="shared" ca="1" si="0"/>
        <v>1.6058994315862885E-2</v>
      </c>
    </row>
    <row r="13" spans="1:7" x14ac:dyDescent="0.2">
      <c r="A13" s="40">
        <v>9</v>
      </c>
      <c r="B13" s="13" t="s">
        <v>23</v>
      </c>
      <c r="C13" s="10">
        <f ca="1">ROUNDUP(_xlfn.NORM.INV(G13,1200,200),0)</f>
        <v>1136</v>
      </c>
      <c r="D13" s="10">
        <f ca="1">C13</f>
        <v>1136</v>
      </c>
      <c r="E13" s="12">
        <f>DATE(2023,3,1)</f>
        <v>44986</v>
      </c>
      <c r="F13" s="44">
        <f ca="1">ROUND('Real Model'!AI4,0)</f>
        <v>170</v>
      </c>
      <c r="G13" s="10">
        <f t="shared" ca="1" si="0"/>
        <v>0.37418000250562966</v>
      </c>
    </row>
    <row r="14" spans="1:7" x14ac:dyDescent="0.2">
      <c r="A14" s="40">
        <v>10</v>
      </c>
      <c r="B14" s="13" t="s">
        <v>24</v>
      </c>
      <c r="C14" s="10">
        <f ca="1">ROUNDUP(_xlfn.NORM.INV(G14,1200,200),0)</f>
        <v>1547</v>
      </c>
      <c r="D14" s="10">
        <f t="shared" ref="D14:D22" ca="1" si="1">C14</f>
        <v>1547</v>
      </c>
      <c r="E14" s="12">
        <f>DATE(2023,5,1)</f>
        <v>45047</v>
      </c>
      <c r="F14" s="44">
        <f ca="1">ROUND('Real Model'!AM4,0)</f>
        <v>232</v>
      </c>
      <c r="G14" s="10">
        <f t="shared" ca="1" si="0"/>
        <v>0.95828211816806796</v>
      </c>
    </row>
    <row r="15" spans="1:7" x14ac:dyDescent="0.2">
      <c r="A15" s="40">
        <v>11</v>
      </c>
      <c r="B15" s="13" t="s">
        <v>25</v>
      </c>
      <c r="C15" s="10">
        <f ca="1">ROUNDUP(_xlfn.NORM.INV(G15,1200,200),0)</f>
        <v>1320</v>
      </c>
      <c r="D15" s="10">
        <f t="shared" ca="1" si="1"/>
        <v>1320</v>
      </c>
      <c r="E15" s="12">
        <f>DATE(2023,9,1)</f>
        <v>45170</v>
      </c>
      <c r="F15" s="44">
        <f ca="1">ROUND('Real Model'!AQ4,0)</f>
        <v>198</v>
      </c>
      <c r="G15" s="10">
        <f t="shared" ca="1" si="0"/>
        <v>0.72573053848499391</v>
      </c>
    </row>
    <row r="16" spans="1:7" x14ac:dyDescent="0.2">
      <c r="A16" s="40">
        <v>12</v>
      </c>
      <c r="B16" s="13" t="s">
        <v>26</v>
      </c>
      <c r="C16" s="10">
        <f t="shared" ref="C16:C22" ca="1" si="2">ROUNDUP(_xlfn.NORM.INV(G16,1200,200),0)</f>
        <v>1370</v>
      </c>
      <c r="D16" s="10">
        <f t="shared" ca="1" si="1"/>
        <v>1370</v>
      </c>
      <c r="E16" s="12">
        <f>E15+DATE(0,2,0)</f>
        <v>45201</v>
      </c>
      <c r="F16" s="44">
        <f ca="1">ROUND('Real Model'!AU4,0)</f>
        <v>206</v>
      </c>
      <c r="G16" s="10">
        <f t="shared" ca="1" si="0"/>
        <v>0.80115124887206368</v>
      </c>
    </row>
    <row r="17" spans="1:7" x14ac:dyDescent="0.2">
      <c r="A17" s="40">
        <v>13</v>
      </c>
      <c r="B17" s="13" t="s">
        <v>27</v>
      </c>
      <c r="C17" s="10">
        <f t="shared" ca="1" si="2"/>
        <v>1557</v>
      </c>
      <c r="D17" s="10">
        <f t="shared" ca="1" si="1"/>
        <v>1557</v>
      </c>
      <c r="E17" s="12">
        <f t="shared" ref="E17:E22" si="3">E16+DATE(0,2,0)</f>
        <v>45232</v>
      </c>
      <c r="F17" s="44">
        <f ca="1">ROUND('Real Model'!AY4,0)</f>
        <v>234</v>
      </c>
      <c r="G17" s="10">
        <f t="shared" ca="1" si="0"/>
        <v>0.96275592494303763</v>
      </c>
    </row>
    <row r="18" spans="1:7" x14ac:dyDescent="0.2">
      <c r="A18" s="40">
        <v>14</v>
      </c>
      <c r="B18" s="13" t="s">
        <v>28</v>
      </c>
      <c r="C18" s="10">
        <f t="shared" ca="1" si="2"/>
        <v>1337</v>
      </c>
      <c r="D18" s="10">
        <f t="shared" ca="1" si="1"/>
        <v>1337</v>
      </c>
      <c r="E18" s="12">
        <f t="shared" si="3"/>
        <v>45263</v>
      </c>
      <c r="F18" s="44">
        <f ca="1">ROUND('Real Model'!BC4,0)</f>
        <v>201</v>
      </c>
      <c r="G18" s="10">
        <f t="shared" ca="1" si="0"/>
        <v>0.75283507988782372</v>
      </c>
    </row>
    <row r="19" spans="1:7" x14ac:dyDescent="0.2">
      <c r="A19" s="40">
        <v>15</v>
      </c>
      <c r="B19" s="13" t="s">
        <v>29</v>
      </c>
      <c r="C19" s="10">
        <f t="shared" ca="1" si="2"/>
        <v>1124</v>
      </c>
      <c r="D19" s="10">
        <f t="shared" ca="1" si="1"/>
        <v>1124</v>
      </c>
      <c r="E19" s="12">
        <f>E18+DATE(0,2,0)</f>
        <v>45294</v>
      </c>
      <c r="F19" s="44">
        <f ca="1">ROUND('Real Model'!BG4,0)</f>
        <v>169</v>
      </c>
      <c r="G19" s="10">
        <f t="shared" ca="1" si="0"/>
        <v>0.35160646269271534</v>
      </c>
    </row>
    <row r="20" spans="1:7" x14ac:dyDescent="0.2">
      <c r="A20" s="40">
        <v>16</v>
      </c>
      <c r="B20" s="13" t="s">
        <v>30</v>
      </c>
      <c r="C20" s="10">
        <f t="shared" ca="1" si="2"/>
        <v>1438</v>
      </c>
      <c r="D20" s="10">
        <f t="shared" ca="1" si="1"/>
        <v>1438</v>
      </c>
      <c r="E20" s="12">
        <f t="shared" si="3"/>
        <v>45325</v>
      </c>
      <c r="F20" s="44">
        <f ca="1">ROUND('Real Model'!BK4,0)</f>
        <v>216</v>
      </c>
      <c r="G20" s="10">
        <f t="shared" ca="1" si="0"/>
        <v>0.88277940508174979</v>
      </c>
    </row>
    <row r="21" spans="1:7" x14ac:dyDescent="0.2">
      <c r="A21" s="40">
        <v>17</v>
      </c>
      <c r="B21" s="13" t="s">
        <v>31</v>
      </c>
      <c r="C21" s="10">
        <f t="shared" ca="1" si="2"/>
        <v>1071</v>
      </c>
      <c r="D21" s="10">
        <f t="shared" ca="1" si="1"/>
        <v>1071</v>
      </c>
      <c r="E21" s="12">
        <f t="shared" si="3"/>
        <v>45356</v>
      </c>
      <c r="F21" s="44">
        <f ca="1">ROUND('Real Model'!BO4,0)</f>
        <v>161</v>
      </c>
      <c r="G21" s="10">
        <f t="shared" ca="1" si="0"/>
        <v>0.25891195388740706</v>
      </c>
    </row>
    <row r="22" spans="1:7" x14ac:dyDescent="0.2">
      <c r="A22" s="40">
        <v>18</v>
      </c>
      <c r="B22" s="13" t="s">
        <v>32</v>
      </c>
      <c r="C22" s="10">
        <f t="shared" ca="1" si="2"/>
        <v>1462</v>
      </c>
      <c r="D22" s="10">
        <f t="shared" ca="1" si="1"/>
        <v>1462</v>
      </c>
      <c r="E22" s="12">
        <f t="shared" si="3"/>
        <v>45387</v>
      </c>
      <c r="F22" s="44">
        <f ca="1">ROUND('Real Model'!BS4,0)</f>
        <v>219</v>
      </c>
      <c r="G22" s="10">
        <f t="shared" ca="1" si="0"/>
        <v>0.90461302073312766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4:D104"/>
  <sheetViews>
    <sheetView workbookViewId="0">
      <selection activeCell="F13" sqref="F13"/>
    </sheetView>
  </sheetViews>
  <sheetFormatPr baseColWidth="10" defaultRowHeight="12.75" x14ac:dyDescent="0.2"/>
  <sheetData>
    <row r="4" spans="2:4" x14ac:dyDescent="0.2">
      <c r="B4" s="17" t="s">
        <v>34</v>
      </c>
    </row>
    <row r="5" spans="2:4" x14ac:dyDescent="0.2">
      <c r="B5">
        <v>2022</v>
      </c>
      <c r="C5">
        <v>2023</v>
      </c>
      <c r="D5">
        <v>2024</v>
      </c>
    </row>
    <row r="6" spans="2:4" x14ac:dyDescent="0.2">
      <c r="B6" s="14">
        <v>44562</v>
      </c>
      <c r="C6" s="18">
        <f>DATE(YEAR(B6)+1,MONTH(B6),DAY(B6))</f>
        <v>44927</v>
      </c>
      <c r="D6" s="18">
        <f>DATE(YEAR(C6)+1,MONTH(C6),DAY(C6))</f>
        <v>45292</v>
      </c>
    </row>
    <row r="7" spans="2:4" x14ac:dyDescent="0.2">
      <c r="B7" s="15">
        <v>44563</v>
      </c>
      <c r="C7" s="19">
        <f t="shared" ref="C7:D7" si="0">DATE(YEAR(B7)+1,MONTH(B7),DAY(B7))</f>
        <v>44928</v>
      </c>
      <c r="D7" s="19">
        <f t="shared" si="0"/>
        <v>45293</v>
      </c>
    </row>
    <row r="8" spans="2:4" x14ac:dyDescent="0.2">
      <c r="B8" s="16">
        <v>44564</v>
      </c>
      <c r="C8" s="20">
        <f t="shared" ref="C8:D8" si="1">DATE(YEAR(B8)+1,MONTH(B8),DAY(B8))</f>
        <v>44929</v>
      </c>
      <c r="D8" s="20">
        <f t="shared" si="1"/>
        <v>45294</v>
      </c>
    </row>
    <row r="9" spans="2:4" x14ac:dyDescent="0.2">
      <c r="B9" s="21">
        <v>44598</v>
      </c>
      <c r="C9" s="18">
        <f t="shared" ref="C9:D9" si="2">DATE(YEAR(B9)+1,MONTH(B9),DAY(B9))</f>
        <v>44963</v>
      </c>
      <c r="D9" s="18">
        <f t="shared" si="2"/>
        <v>45328</v>
      </c>
    </row>
    <row r="10" spans="2:4" x14ac:dyDescent="0.2">
      <c r="B10" s="22">
        <v>44599</v>
      </c>
      <c r="C10" s="19">
        <f t="shared" ref="C10:D10" si="3">DATE(YEAR(B10)+1,MONTH(B10),DAY(B10))</f>
        <v>44964</v>
      </c>
      <c r="D10" s="19">
        <f t="shared" si="3"/>
        <v>45329</v>
      </c>
    </row>
    <row r="11" spans="2:4" x14ac:dyDescent="0.2">
      <c r="B11" s="22">
        <v>44600</v>
      </c>
      <c r="C11" s="19">
        <f t="shared" ref="C11:D11" si="4">DATE(YEAR(B11)+1,MONTH(B11),DAY(B11))</f>
        <v>44965</v>
      </c>
      <c r="D11" s="19">
        <f t="shared" si="4"/>
        <v>45330</v>
      </c>
    </row>
    <row r="12" spans="2:4" x14ac:dyDescent="0.2">
      <c r="B12" s="22">
        <v>44601</v>
      </c>
      <c r="C12" s="19">
        <f t="shared" ref="C12:D12" si="5">DATE(YEAR(B12)+1,MONTH(B12),DAY(B12))</f>
        <v>44966</v>
      </c>
      <c r="D12" s="19">
        <f t="shared" si="5"/>
        <v>45331</v>
      </c>
    </row>
    <row r="13" spans="2:4" x14ac:dyDescent="0.2">
      <c r="B13" s="22">
        <v>44602</v>
      </c>
      <c r="C13" s="19">
        <f t="shared" ref="C13:D13" si="6">DATE(YEAR(B13)+1,MONTH(B13),DAY(B13))</f>
        <v>44967</v>
      </c>
      <c r="D13" s="19">
        <f t="shared" si="6"/>
        <v>45332</v>
      </c>
    </row>
    <row r="14" spans="2:4" x14ac:dyDescent="0.2">
      <c r="B14" s="22">
        <v>44603</v>
      </c>
      <c r="C14" s="19">
        <f t="shared" ref="C14:D14" si="7">DATE(YEAR(B14)+1,MONTH(B14),DAY(B14))</f>
        <v>44968</v>
      </c>
      <c r="D14" s="19">
        <f t="shared" si="7"/>
        <v>45333</v>
      </c>
    </row>
    <row r="15" spans="2:4" x14ac:dyDescent="0.2">
      <c r="B15" s="22">
        <v>44604</v>
      </c>
      <c r="C15" s="19">
        <f t="shared" ref="C15:D15" si="8">DATE(YEAR(B15)+1,MONTH(B15),DAY(B15))</f>
        <v>44969</v>
      </c>
      <c r="D15" s="19">
        <f t="shared" si="8"/>
        <v>45334</v>
      </c>
    </row>
    <row r="16" spans="2:4" x14ac:dyDescent="0.2">
      <c r="B16" s="22">
        <v>44605</v>
      </c>
      <c r="C16" s="19">
        <f t="shared" ref="C16:D16" si="9">DATE(YEAR(B16)+1,MONTH(B16),DAY(B16))</f>
        <v>44970</v>
      </c>
      <c r="D16" s="19">
        <f t="shared" si="9"/>
        <v>45335</v>
      </c>
    </row>
    <row r="17" spans="2:4" x14ac:dyDescent="0.2">
      <c r="B17" s="23">
        <v>44606</v>
      </c>
      <c r="C17" s="20">
        <f t="shared" ref="C17:D17" si="10">DATE(YEAR(B17)+1,MONTH(B17),DAY(B17))</f>
        <v>44971</v>
      </c>
      <c r="D17" s="20">
        <f t="shared" si="10"/>
        <v>45336</v>
      </c>
    </row>
    <row r="18" spans="2:4" x14ac:dyDescent="0.2">
      <c r="B18" s="21">
        <v>44661</v>
      </c>
      <c r="C18" s="18">
        <f t="shared" ref="C18:D18" si="11">DATE(YEAR(B18)+1,MONTH(B18),DAY(B18))</f>
        <v>45026</v>
      </c>
      <c r="D18" s="18">
        <f t="shared" si="11"/>
        <v>45392</v>
      </c>
    </row>
    <row r="19" spans="2:4" x14ac:dyDescent="0.2">
      <c r="B19" s="22">
        <v>44662</v>
      </c>
      <c r="C19" s="19">
        <f t="shared" ref="C19:D19" si="12">DATE(YEAR(B19)+1,MONTH(B19),DAY(B19))</f>
        <v>45027</v>
      </c>
      <c r="D19" s="19">
        <f t="shared" si="12"/>
        <v>45393</v>
      </c>
    </row>
    <row r="20" spans="2:4" x14ac:dyDescent="0.2">
      <c r="B20" s="22">
        <v>44663</v>
      </c>
      <c r="C20" s="19">
        <f t="shared" ref="C20:D20" si="13">DATE(YEAR(B20)+1,MONTH(B20),DAY(B20))</f>
        <v>45028</v>
      </c>
      <c r="D20" s="19">
        <f t="shared" si="13"/>
        <v>45394</v>
      </c>
    </row>
    <row r="21" spans="2:4" x14ac:dyDescent="0.2">
      <c r="B21" s="22">
        <v>44664</v>
      </c>
      <c r="C21" s="19">
        <f t="shared" ref="C21:D21" si="14">DATE(YEAR(B21)+1,MONTH(B21),DAY(B21))</f>
        <v>45029</v>
      </c>
      <c r="D21" s="19">
        <f t="shared" si="14"/>
        <v>45395</v>
      </c>
    </row>
    <row r="22" spans="2:4" x14ac:dyDescent="0.2">
      <c r="B22" s="22">
        <v>44665</v>
      </c>
      <c r="C22" s="19">
        <f t="shared" ref="C22:D22" si="15">DATE(YEAR(B22)+1,MONTH(B22),DAY(B22))</f>
        <v>45030</v>
      </c>
      <c r="D22" s="19">
        <f t="shared" si="15"/>
        <v>45396</v>
      </c>
    </row>
    <row r="23" spans="2:4" x14ac:dyDescent="0.2">
      <c r="B23" s="22">
        <v>44666</v>
      </c>
      <c r="C23" s="19">
        <f t="shared" ref="C23:D23" si="16">DATE(YEAR(B23)+1,MONTH(B23),DAY(B23))</f>
        <v>45031</v>
      </c>
      <c r="D23" s="19">
        <f t="shared" si="16"/>
        <v>45397</v>
      </c>
    </row>
    <row r="24" spans="2:4" x14ac:dyDescent="0.2">
      <c r="B24" s="22">
        <v>44667</v>
      </c>
      <c r="C24" s="19">
        <f t="shared" ref="C24:D24" si="17">DATE(YEAR(B24)+1,MONTH(B24),DAY(B24))</f>
        <v>45032</v>
      </c>
      <c r="D24" s="19">
        <f t="shared" si="17"/>
        <v>45398</v>
      </c>
    </row>
    <row r="25" spans="2:4" x14ac:dyDescent="0.2">
      <c r="B25" s="22">
        <v>44668</v>
      </c>
      <c r="C25" s="19">
        <f t="shared" ref="C25:D25" si="18">DATE(YEAR(B25)+1,MONTH(B25),DAY(B25))</f>
        <v>45033</v>
      </c>
      <c r="D25" s="19">
        <f t="shared" si="18"/>
        <v>45399</v>
      </c>
    </row>
    <row r="26" spans="2:4" x14ac:dyDescent="0.2">
      <c r="B26" s="23">
        <v>44669</v>
      </c>
      <c r="C26" s="20">
        <f t="shared" ref="C26:D26" si="19">DATE(YEAR(B26)+1,MONTH(B26),DAY(B26))</f>
        <v>45034</v>
      </c>
      <c r="D26" s="20">
        <f t="shared" si="19"/>
        <v>45400</v>
      </c>
    </row>
    <row r="27" spans="2:4" x14ac:dyDescent="0.2">
      <c r="B27" s="21">
        <v>44749</v>
      </c>
      <c r="C27" s="18">
        <f t="shared" ref="C27:D27" si="20">DATE(YEAR(B27)+1,MONTH(B27),DAY(B27))</f>
        <v>45114</v>
      </c>
      <c r="D27" s="18">
        <f t="shared" si="20"/>
        <v>45480</v>
      </c>
    </row>
    <row r="28" spans="2:4" x14ac:dyDescent="0.2">
      <c r="B28" s="22">
        <v>44750</v>
      </c>
      <c r="C28" s="19">
        <f t="shared" ref="C28:D28" si="21">DATE(YEAR(B28)+1,MONTH(B28),DAY(B28))</f>
        <v>45115</v>
      </c>
      <c r="D28" s="19">
        <f t="shared" si="21"/>
        <v>45481</v>
      </c>
    </row>
    <row r="29" spans="2:4" x14ac:dyDescent="0.2">
      <c r="B29" s="22">
        <v>44751</v>
      </c>
      <c r="C29" s="19">
        <f t="shared" ref="C29:D29" si="22">DATE(YEAR(B29)+1,MONTH(B29),DAY(B29))</f>
        <v>45116</v>
      </c>
      <c r="D29" s="19">
        <f t="shared" si="22"/>
        <v>45482</v>
      </c>
    </row>
    <row r="30" spans="2:4" x14ac:dyDescent="0.2">
      <c r="B30" s="22">
        <v>44752</v>
      </c>
      <c r="C30" s="19">
        <f t="shared" ref="C30:D30" si="23">DATE(YEAR(B30)+1,MONTH(B30),DAY(B30))</f>
        <v>45117</v>
      </c>
      <c r="D30" s="19">
        <f t="shared" si="23"/>
        <v>45483</v>
      </c>
    </row>
    <row r="31" spans="2:4" x14ac:dyDescent="0.2">
      <c r="B31" s="22">
        <v>44753</v>
      </c>
      <c r="C31" s="19">
        <f t="shared" ref="C31:D31" si="24">DATE(YEAR(B31)+1,MONTH(B31),DAY(B31))</f>
        <v>45118</v>
      </c>
      <c r="D31" s="19">
        <f t="shared" si="24"/>
        <v>45484</v>
      </c>
    </row>
    <row r="32" spans="2:4" x14ac:dyDescent="0.2">
      <c r="B32" s="22">
        <v>44754</v>
      </c>
      <c r="C32" s="19">
        <f t="shared" ref="C32:D32" si="25">DATE(YEAR(B32)+1,MONTH(B32),DAY(B32))</f>
        <v>45119</v>
      </c>
      <c r="D32" s="19">
        <f t="shared" si="25"/>
        <v>45485</v>
      </c>
    </row>
    <row r="33" spans="2:4" x14ac:dyDescent="0.2">
      <c r="B33" s="22">
        <v>44755</v>
      </c>
      <c r="C33" s="19">
        <f t="shared" ref="C33:D33" si="26">DATE(YEAR(B33)+1,MONTH(B33),DAY(B33))</f>
        <v>45120</v>
      </c>
      <c r="D33" s="19">
        <f t="shared" si="26"/>
        <v>45486</v>
      </c>
    </row>
    <row r="34" spans="2:4" x14ac:dyDescent="0.2">
      <c r="B34" s="22">
        <v>44756</v>
      </c>
      <c r="C34" s="19">
        <f t="shared" ref="C34:D34" si="27">DATE(YEAR(B34)+1,MONTH(B34),DAY(B34))</f>
        <v>45121</v>
      </c>
      <c r="D34" s="19">
        <f t="shared" si="27"/>
        <v>45487</v>
      </c>
    </row>
    <row r="35" spans="2:4" x14ac:dyDescent="0.2">
      <c r="B35" s="22">
        <v>44757</v>
      </c>
      <c r="C35" s="19">
        <f t="shared" ref="C35:D35" si="28">DATE(YEAR(B35)+1,MONTH(B35),DAY(B35))</f>
        <v>45122</v>
      </c>
      <c r="D35" s="19">
        <f t="shared" si="28"/>
        <v>45488</v>
      </c>
    </row>
    <row r="36" spans="2:4" x14ac:dyDescent="0.2">
      <c r="B36" s="22">
        <v>44758</v>
      </c>
      <c r="C36" s="19">
        <f t="shared" ref="C36:D36" si="29">DATE(YEAR(B36)+1,MONTH(B36),DAY(B36))</f>
        <v>45123</v>
      </c>
      <c r="D36" s="19">
        <f t="shared" si="29"/>
        <v>45489</v>
      </c>
    </row>
    <row r="37" spans="2:4" x14ac:dyDescent="0.2">
      <c r="B37" s="22">
        <v>44759</v>
      </c>
      <c r="C37" s="19">
        <f t="shared" ref="C37:D37" si="30">DATE(YEAR(B37)+1,MONTH(B37),DAY(B37))</f>
        <v>45124</v>
      </c>
      <c r="D37" s="19">
        <f t="shared" si="30"/>
        <v>45490</v>
      </c>
    </row>
    <row r="38" spans="2:4" x14ac:dyDescent="0.2">
      <c r="B38" s="22">
        <v>44760</v>
      </c>
      <c r="C38" s="19">
        <f t="shared" ref="C38:D38" si="31">DATE(YEAR(B38)+1,MONTH(B38),DAY(B38))</f>
        <v>45125</v>
      </c>
      <c r="D38" s="19">
        <f t="shared" si="31"/>
        <v>45491</v>
      </c>
    </row>
    <row r="39" spans="2:4" x14ac:dyDescent="0.2">
      <c r="B39" s="22">
        <v>44761</v>
      </c>
      <c r="C39" s="19">
        <f t="shared" ref="C39:D39" si="32">DATE(YEAR(B39)+1,MONTH(B39),DAY(B39))</f>
        <v>45126</v>
      </c>
      <c r="D39" s="19">
        <f t="shared" si="32"/>
        <v>45492</v>
      </c>
    </row>
    <row r="40" spans="2:4" x14ac:dyDescent="0.2">
      <c r="B40" s="22">
        <v>44762</v>
      </c>
      <c r="C40" s="19">
        <f t="shared" ref="C40:D40" si="33">DATE(YEAR(B40)+1,MONTH(B40),DAY(B40))</f>
        <v>45127</v>
      </c>
      <c r="D40" s="19">
        <f t="shared" si="33"/>
        <v>45493</v>
      </c>
    </row>
    <row r="41" spans="2:4" x14ac:dyDescent="0.2">
      <c r="B41" s="22">
        <v>44763</v>
      </c>
      <c r="C41" s="19">
        <f t="shared" ref="C41:D41" si="34">DATE(YEAR(B41)+1,MONTH(B41),DAY(B41))</f>
        <v>45128</v>
      </c>
      <c r="D41" s="19">
        <f t="shared" si="34"/>
        <v>45494</v>
      </c>
    </row>
    <row r="42" spans="2:4" x14ac:dyDescent="0.2">
      <c r="B42" s="22">
        <v>44764</v>
      </c>
      <c r="C42" s="19">
        <f t="shared" ref="C42:D42" si="35">DATE(YEAR(B42)+1,MONTH(B42),DAY(B42))</f>
        <v>45129</v>
      </c>
      <c r="D42" s="19">
        <f t="shared" si="35"/>
        <v>45495</v>
      </c>
    </row>
    <row r="43" spans="2:4" x14ac:dyDescent="0.2">
      <c r="B43" s="22">
        <v>44765</v>
      </c>
      <c r="C43" s="19">
        <f t="shared" ref="C43:D43" si="36">DATE(YEAR(B43)+1,MONTH(B43),DAY(B43))</f>
        <v>45130</v>
      </c>
      <c r="D43" s="19">
        <f t="shared" si="36"/>
        <v>45496</v>
      </c>
    </row>
    <row r="44" spans="2:4" x14ac:dyDescent="0.2">
      <c r="B44" s="22">
        <v>44766</v>
      </c>
      <c r="C44" s="19">
        <f t="shared" ref="C44:D44" si="37">DATE(YEAR(B44)+1,MONTH(B44),DAY(B44))</f>
        <v>45131</v>
      </c>
      <c r="D44" s="19">
        <f t="shared" si="37"/>
        <v>45497</v>
      </c>
    </row>
    <row r="45" spans="2:4" x14ac:dyDescent="0.2">
      <c r="B45" s="22">
        <v>44767</v>
      </c>
      <c r="C45" s="19">
        <f t="shared" ref="C45:D45" si="38">DATE(YEAR(B45)+1,MONTH(B45),DAY(B45))</f>
        <v>45132</v>
      </c>
      <c r="D45" s="19">
        <f t="shared" si="38"/>
        <v>45498</v>
      </c>
    </row>
    <row r="46" spans="2:4" x14ac:dyDescent="0.2">
      <c r="B46" s="22">
        <v>44768</v>
      </c>
      <c r="C46" s="19">
        <f t="shared" ref="C46:D46" si="39">DATE(YEAR(B46)+1,MONTH(B46),DAY(B46))</f>
        <v>45133</v>
      </c>
      <c r="D46" s="19">
        <f t="shared" si="39"/>
        <v>45499</v>
      </c>
    </row>
    <row r="47" spans="2:4" x14ac:dyDescent="0.2">
      <c r="B47" s="22">
        <v>44769</v>
      </c>
      <c r="C47" s="19">
        <f t="shared" ref="C47:D47" si="40">DATE(YEAR(B47)+1,MONTH(B47),DAY(B47))</f>
        <v>45134</v>
      </c>
      <c r="D47" s="19">
        <f t="shared" si="40"/>
        <v>45500</v>
      </c>
    </row>
    <row r="48" spans="2:4" x14ac:dyDescent="0.2">
      <c r="B48" s="22">
        <v>44770</v>
      </c>
      <c r="C48" s="19">
        <f t="shared" ref="C48:D48" si="41">DATE(YEAR(B48)+1,MONTH(B48),DAY(B48))</f>
        <v>45135</v>
      </c>
      <c r="D48" s="19">
        <f t="shared" si="41"/>
        <v>45501</v>
      </c>
    </row>
    <row r="49" spans="2:4" x14ac:dyDescent="0.2">
      <c r="B49" s="22">
        <v>44771</v>
      </c>
      <c r="C49" s="19">
        <f t="shared" ref="C49:D49" si="42">DATE(YEAR(B49)+1,MONTH(B49),DAY(B49))</f>
        <v>45136</v>
      </c>
      <c r="D49" s="19">
        <f t="shared" si="42"/>
        <v>45502</v>
      </c>
    </row>
    <row r="50" spans="2:4" x14ac:dyDescent="0.2">
      <c r="B50" s="22">
        <v>44772</v>
      </c>
      <c r="C50" s="19">
        <f t="shared" ref="C50:D50" si="43">DATE(YEAR(B50)+1,MONTH(B50),DAY(B50))</f>
        <v>45137</v>
      </c>
      <c r="D50" s="19">
        <f t="shared" si="43"/>
        <v>45503</v>
      </c>
    </row>
    <row r="51" spans="2:4" x14ac:dyDescent="0.2">
      <c r="B51" s="22">
        <v>44773</v>
      </c>
      <c r="C51" s="19">
        <f t="shared" ref="C51:D51" si="44">DATE(YEAR(B51)+1,MONTH(B51),DAY(B51))</f>
        <v>45138</v>
      </c>
      <c r="D51" s="19">
        <f t="shared" si="44"/>
        <v>45504</v>
      </c>
    </row>
    <row r="52" spans="2:4" x14ac:dyDescent="0.2">
      <c r="B52" s="22">
        <v>44774</v>
      </c>
      <c r="C52" s="19">
        <f t="shared" ref="C52:D52" si="45">DATE(YEAR(B52)+1,MONTH(B52),DAY(B52))</f>
        <v>45139</v>
      </c>
      <c r="D52" s="19">
        <f t="shared" si="45"/>
        <v>45505</v>
      </c>
    </row>
    <row r="53" spans="2:4" x14ac:dyDescent="0.2">
      <c r="B53" s="22">
        <v>44775</v>
      </c>
      <c r="C53" s="19">
        <f t="shared" ref="C53:D53" si="46">DATE(YEAR(B53)+1,MONTH(B53),DAY(B53))</f>
        <v>45140</v>
      </c>
      <c r="D53" s="19">
        <f t="shared" si="46"/>
        <v>45506</v>
      </c>
    </row>
    <row r="54" spans="2:4" x14ac:dyDescent="0.2">
      <c r="B54" s="22">
        <v>44776</v>
      </c>
      <c r="C54" s="19">
        <f t="shared" ref="C54:D54" si="47">DATE(YEAR(B54)+1,MONTH(B54),DAY(B54))</f>
        <v>45141</v>
      </c>
      <c r="D54" s="19">
        <f t="shared" si="47"/>
        <v>45507</v>
      </c>
    </row>
    <row r="55" spans="2:4" x14ac:dyDescent="0.2">
      <c r="B55" s="22">
        <v>44777</v>
      </c>
      <c r="C55" s="19">
        <f t="shared" ref="C55:D55" si="48">DATE(YEAR(B55)+1,MONTH(B55),DAY(B55))</f>
        <v>45142</v>
      </c>
      <c r="D55" s="19">
        <f t="shared" si="48"/>
        <v>45508</v>
      </c>
    </row>
    <row r="56" spans="2:4" x14ac:dyDescent="0.2">
      <c r="B56" s="22">
        <v>44778</v>
      </c>
      <c r="C56" s="19">
        <f t="shared" ref="C56:D56" si="49">DATE(YEAR(B56)+1,MONTH(B56),DAY(B56))</f>
        <v>45143</v>
      </c>
      <c r="D56" s="19">
        <f t="shared" si="49"/>
        <v>45509</v>
      </c>
    </row>
    <row r="57" spans="2:4" x14ac:dyDescent="0.2">
      <c r="B57" s="22">
        <v>44779</v>
      </c>
      <c r="C57" s="19">
        <f t="shared" ref="C57:D57" si="50">DATE(YEAR(B57)+1,MONTH(B57),DAY(B57))</f>
        <v>45144</v>
      </c>
      <c r="D57" s="19">
        <f t="shared" si="50"/>
        <v>45510</v>
      </c>
    </row>
    <row r="58" spans="2:4" x14ac:dyDescent="0.2">
      <c r="B58" s="22">
        <v>44780</v>
      </c>
      <c r="C58" s="19">
        <f t="shared" ref="C58:D58" si="51">DATE(YEAR(B58)+1,MONTH(B58),DAY(B58))</f>
        <v>45145</v>
      </c>
      <c r="D58" s="19">
        <f t="shared" si="51"/>
        <v>45511</v>
      </c>
    </row>
    <row r="59" spans="2:4" x14ac:dyDescent="0.2">
      <c r="B59" s="22">
        <v>44781</v>
      </c>
      <c r="C59" s="19">
        <f t="shared" ref="C59:D59" si="52">DATE(YEAR(B59)+1,MONTH(B59),DAY(B59))</f>
        <v>45146</v>
      </c>
      <c r="D59" s="19">
        <f t="shared" si="52"/>
        <v>45512</v>
      </c>
    </row>
    <row r="60" spans="2:4" x14ac:dyDescent="0.2">
      <c r="B60" s="22">
        <v>44782</v>
      </c>
      <c r="C60" s="19">
        <f t="shared" ref="C60:D60" si="53">DATE(YEAR(B60)+1,MONTH(B60),DAY(B60))</f>
        <v>45147</v>
      </c>
      <c r="D60" s="19">
        <f t="shared" si="53"/>
        <v>45513</v>
      </c>
    </row>
    <row r="61" spans="2:4" x14ac:dyDescent="0.2">
      <c r="B61" s="22">
        <v>44783</v>
      </c>
      <c r="C61" s="19">
        <f t="shared" ref="C61:D61" si="54">DATE(YEAR(B61)+1,MONTH(B61),DAY(B61))</f>
        <v>45148</v>
      </c>
      <c r="D61" s="19">
        <f t="shared" si="54"/>
        <v>45514</v>
      </c>
    </row>
    <row r="62" spans="2:4" x14ac:dyDescent="0.2">
      <c r="B62" s="22">
        <v>44784</v>
      </c>
      <c r="C62" s="19">
        <f t="shared" ref="C62:D62" si="55">DATE(YEAR(B62)+1,MONTH(B62),DAY(B62))</f>
        <v>45149</v>
      </c>
      <c r="D62" s="19">
        <f t="shared" si="55"/>
        <v>45515</v>
      </c>
    </row>
    <row r="63" spans="2:4" x14ac:dyDescent="0.2">
      <c r="B63" s="22">
        <v>44785</v>
      </c>
      <c r="C63" s="19">
        <f t="shared" ref="C63:D63" si="56">DATE(YEAR(B63)+1,MONTH(B63),DAY(B63))</f>
        <v>45150</v>
      </c>
      <c r="D63" s="19">
        <f t="shared" si="56"/>
        <v>45516</v>
      </c>
    </row>
    <row r="64" spans="2:4" x14ac:dyDescent="0.2">
      <c r="B64" s="22">
        <v>44786</v>
      </c>
      <c r="C64" s="19">
        <f t="shared" ref="C64:D64" si="57">DATE(YEAR(B64)+1,MONTH(B64),DAY(B64))</f>
        <v>45151</v>
      </c>
      <c r="D64" s="19">
        <f t="shared" si="57"/>
        <v>45517</v>
      </c>
    </row>
    <row r="65" spans="2:4" x14ac:dyDescent="0.2">
      <c r="B65" s="22">
        <v>44787</v>
      </c>
      <c r="C65" s="19">
        <f t="shared" ref="C65:D65" si="58">DATE(YEAR(B65)+1,MONTH(B65),DAY(B65))</f>
        <v>45152</v>
      </c>
      <c r="D65" s="19">
        <f t="shared" si="58"/>
        <v>45518</v>
      </c>
    </row>
    <row r="66" spans="2:4" x14ac:dyDescent="0.2">
      <c r="B66" s="22">
        <v>44788</v>
      </c>
      <c r="C66" s="19">
        <f t="shared" ref="C66:D66" si="59">DATE(YEAR(B66)+1,MONTH(B66),DAY(B66))</f>
        <v>45153</v>
      </c>
      <c r="D66" s="19">
        <f t="shared" si="59"/>
        <v>45519</v>
      </c>
    </row>
    <row r="67" spans="2:4" x14ac:dyDescent="0.2">
      <c r="B67" s="22">
        <v>44789</v>
      </c>
      <c r="C67" s="19">
        <f t="shared" ref="C67:D67" si="60">DATE(YEAR(B67)+1,MONTH(B67),DAY(B67))</f>
        <v>45154</v>
      </c>
      <c r="D67" s="19">
        <f t="shared" si="60"/>
        <v>45520</v>
      </c>
    </row>
    <row r="68" spans="2:4" x14ac:dyDescent="0.2">
      <c r="B68" s="22">
        <v>44790</v>
      </c>
      <c r="C68" s="19">
        <f t="shared" ref="C68:D68" si="61">DATE(YEAR(B68)+1,MONTH(B68),DAY(B68))</f>
        <v>45155</v>
      </c>
      <c r="D68" s="19">
        <f t="shared" si="61"/>
        <v>45521</v>
      </c>
    </row>
    <row r="69" spans="2:4" x14ac:dyDescent="0.2">
      <c r="B69" s="22">
        <v>44791</v>
      </c>
      <c r="C69" s="19">
        <f t="shared" ref="C69:D69" si="62">DATE(YEAR(B69)+1,MONTH(B69),DAY(B69))</f>
        <v>45156</v>
      </c>
      <c r="D69" s="19">
        <f t="shared" si="62"/>
        <v>45522</v>
      </c>
    </row>
    <row r="70" spans="2:4" x14ac:dyDescent="0.2">
      <c r="B70" s="22">
        <v>44792</v>
      </c>
      <c r="C70" s="19">
        <f t="shared" ref="C70:D70" si="63">DATE(YEAR(B70)+1,MONTH(B70),DAY(B70))</f>
        <v>45157</v>
      </c>
      <c r="D70" s="19">
        <f t="shared" si="63"/>
        <v>45523</v>
      </c>
    </row>
    <row r="71" spans="2:4" x14ac:dyDescent="0.2">
      <c r="B71" s="22">
        <v>44793</v>
      </c>
      <c r="C71" s="19">
        <f t="shared" ref="C71:D71" si="64">DATE(YEAR(B71)+1,MONTH(B71),DAY(B71))</f>
        <v>45158</v>
      </c>
      <c r="D71" s="19">
        <f t="shared" si="64"/>
        <v>45524</v>
      </c>
    </row>
    <row r="72" spans="2:4" x14ac:dyDescent="0.2">
      <c r="B72" s="22">
        <v>44794</v>
      </c>
      <c r="C72" s="19">
        <f t="shared" ref="C72:D72" si="65">DATE(YEAR(B72)+1,MONTH(B72),DAY(B72))</f>
        <v>45159</v>
      </c>
      <c r="D72" s="19">
        <f t="shared" si="65"/>
        <v>45525</v>
      </c>
    </row>
    <row r="73" spans="2:4" x14ac:dyDescent="0.2">
      <c r="B73" s="22">
        <v>44795</v>
      </c>
      <c r="C73" s="19">
        <f t="shared" ref="C73:D73" si="66">DATE(YEAR(B73)+1,MONTH(B73),DAY(B73))</f>
        <v>45160</v>
      </c>
      <c r="D73" s="19">
        <f t="shared" si="66"/>
        <v>45526</v>
      </c>
    </row>
    <row r="74" spans="2:4" x14ac:dyDescent="0.2">
      <c r="B74" s="22">
        <v>44796</v>
      </c>
      <c r="C74" s="19">
        <f t="shared" ref="C74:D74" si="67">DATE(YEAR(B74)+1,MONTH(B74),DAY(B74))</f>
        <v>45161</v>
      </c>
      <c r="D74" s="19">
        <f t="shared" si="67"/>
        <v>45527</v>
      </c>
    </row>
    <row r="75" spans="2:4" x14ac:dyDescent="0.2">
      <c r="B75" s="22">
        <v>44797</v>
      </c>
      <c r="C75" s="19">
        <f t="shared" ref="C75:D75" si="68">DATE(YEAR(B75)+1,MONTH(B75),DAY(B75))</f>
        <v>45162</v>
      </c>
      <c r="D75" s="19">
        <f t="shared" si="68"/>
        <v>45528</v>
      </c>
    </row>
    <row r="76" spans="2:4" x14ac:dyDescent="0.2">
      <c r="B76" s="22">
        <v>44798</v>
      </c>
      <c r="C76" s="19">
        <f t="shared" ref="C76:D76" si="69">DATE(YEAR(B76)+1,MONTH(B76),DAY(B76))</f>
        <v>45163</v>
      </c>
      <c r="D76" s="19">
        <f t="shared" si="69"/>
        <v>45529</v>
      </c>
    </row>
    <row r="77" spans="2:4" x14ac:dyDescent="0.2">
      <c r="B77" s="22">
        <v>44799</v>
      </c>
      <c r="C77" s="19">
        <f t="shared" ref="C77:D77" si="70">DATE(YEAR(B77)+1,MONTH(B77),DAY(B77))</f>
        <v>45164</v>
      </c>
      <c r="D77" s="19">
        <f t="shared" si="70"/>
        <v>45530</v>
      </c>
    </row>
    <row r="78" spans="2:4" x14ac:dyDescent="0.2">
      <c r="B78" s="22">
        <v>44800</v>
      </c>
      <c r="C78" s="19">
        <f t="shared" ref="C78:D78" si="71">DATE(YEAR(B78)+1,MONTH(B78),DAY(B78))</f>
        <v>45165</v>
      </c>
      <c r="D78" s="19">
        <f t="shared" si="71"/>
        <v>45531</v>
      </c>
    </row>
    <row r="79" spans="2:4" x14ac:dyDescent="0.2">
      <c r="B79" s="22">
        <v>44801</v>
      </c>
      <c r="C79" s="19">
        <f t="shared" ref="C79:D79" si="72">DATE(YEAR(B79)+1,MONTH(B79),DAY(B79))</f>
        <v>45166</v>
      </c>
      <c r="D79" s="19">
        <f t="shared" si="72"/>
        <v>45532</v>
      </c>
    </row>
    <row r="80" spans="2:4" x14ac:dyDescent="0.2">
      <c r="B80" s="22">
        <v>44802</v>
      </c>
      <c r="C80" s="19">
        <f t="shared" ref="C80:D80" si="73">DATE(YEAR(B80)+1,MONTH(B80),DAY(B80))</f>
        <v>45167</v>
      </c>
      <c r="D80" s="19">
        <f t="shared" si="73"/>
        <v>45533</v>
      </c>
    </row>
    <row r="81" spans="2:4" x14ac:dyDescent="0.2">
      <c r="B81" s="22">
        <v>44803</v>
      </c>
      <c r="C81" s="19">
        <f t="shared" ref="C81:D81" si="74">DATE(YEAR(B81)+1,MONTH(B81),DAY(B81))</f>
        <v>45168</v>
      </c>
      <c r="D81" s="19">
        <f t="shared" si="74"/>
        <v>45534</v>
      </c>
    </row>
    <row r="82" spans="2:4" x14ac:dyDescent="0.2">
      <c r="B82" s="23">
        <v>44804</v>
      </c>
      <c r="C82" s="19">
        <f t="shared" ref="C82:D82" si="75">DATE(YEAR(B82)+1,MONTH(B82),DAY(B82))</f>
        <v>45169</v>
      </c>
      <c r="D82" s="19">
        <f t="shared" si="75"/>
        <v>45535</v>
      </c>
    </row>
    <row r="83" spans="2:4" x14ac:dyDescent="0.2">
      <c r="B83" s="21">
        <v>44851</v>
      </c>
      <c r="C83" s="18">
        <f t="shared" ref="C83:D83" si="76">DATE(YEAR(B83)+1,MONTH(B83),DAY(B83))</f>
        <v>45216</v>
      </c>
      <c r="D83" s="18">
        <f t="shared" si="76"/>
        <v>45582</v>
      </c>
    </row>
    <row r="84" spans="2:4" x14ac:dyDescent="0.2">
      <c r="B84" s="22">
        <v>44852</v>
      </c>
      <c r="C84" s="19">
        <f t="shared" ref="C84:D84" si="77">DATE(YEAR(B84)+1,MONTH(B84),DAY(B84))</f>
        <v>45217</v>
      </c>
      <c r="D84" s="19">
        <f t="shared" si="77"/>
        <v>45583</v>
      </c>
    </row>
    <row r="85" spans="2:4" x14ac:dyDescent="0.2">
      <c r="B85" s="22">
        <v>44853</v>
      </c>
      <c r="C85" s="19">
        <f t="shared" ref="C85:D85" si="78">DATE(YEAR(B85)+1,MONTH(B85),DAY(B85))</f>
        <v>45218</v>
      </c>
      <c r="D85" s="19">
        <f t="shared" si="78"/>
        <v>45584</v>
      </c>
    </row>
    <row r="86" spans="2:4" x14ac:dyDescent="0.2">
      <c r="B86" s="22">
        <v>44854</v>
      </c>
      <c r="C86" s="19">
        <f t="shared" ref="C86:D86" si="79">DATE(YEAR(B86)+1,MONTH(B86),DAY(B86))</f>
        <v>45219</v>
      </c>
      <c r="D86" s="19">
        <f t="shared" si="79"/>
        <v>45585</v>
      </c>
    </row>
    <row r="87" spans="2:4" x14ac:dyDescent="0.2">
      <c r="B87" s="22">
        <v>44855</v>
      </c>
      <c r="C87" s="19">
        <f t="shared" ref="C87:D87" si="80">DATE(YEAR(B87)+1,MONTH(B87),DAY(B87))</f>
        <v>45220</v>
      </c>
      <c r="D87" s="19">
        <f t="shared" si="80"/>
        <v>45586</v>
      </c>
    </row>
    <row r="88" spans="2:4" x14ac:dyDescent="0.2">
      <c r="B88" s="22">
        <v>44856</v>
      </c>
      <c r="C88" s="19">
        <f t="shared" ref="C88:D88" si="81">DATE(YEAR(B88)+1,MONTH(B88),DAY(B88))</f>
        <v>45221</v>
      </c>
      <c r="D88" s="19">
        <f t="shared" si="81"/>
        <v>45587</v>
      </c>
    </row>
    <row r="89" spans="2:4" x14ac:dyDescent="0.2">
      <c r="B89" s="22">
        <v>44857</v>
      </c>
      <c r="C89" s="19">
        <f t="shared" ref="C89:D89" si="82">DATE(YEAR(B89)+1,MONTH(B89),DAY(B89))</f>
        <v>45222</v>
      </c>
      <c r="D89" s="19">
        <f t="shared" si="82"/>
        <v>45588</v>
      </c>
    </row>
    <row r="90" spans="2:4" x14ac:dyDescent="0.2">
      <c r="B90" s="22">
        <v>44858</v>
      </c>
      <c r="C90" s="19">
        <f t="shared" ref="C90:D90" si="83">DATE(YEAR(B90)+1,MONTH(B90),DAY(B90))</f>
        <v>45223</v>
      </c>
      <c r="D90" s="19">
        <f t="shared" si="83"/>
        <v>45589</v>
      </c>
    </row>
    <row r="91" spans="2:4" x14ac:dyDescent="0.2">
      <c r="B91" s="23">
        <v>44859</v>
      </c>
      <c r="C91" s="20">
        <f t="shared" ref="C91:D91" si="84">DATE(YEAR(B91)+1,MONTH(B91),DAY(B91))</f>
        <v>45224</v>
      </c>
      <c r="D91" s="20">
        <f t="shared" si="84"/>
        <v>45590</v>
      </c>
    </row>
    <row r="92" spans="2:4" x14ac:dyDescent="0.2">
      <c r="B92" s="21">
        <v>44914</v>
      </c>
      <c r="C92" s="18">
        <f t="shared" ref="C92:D92" si="85">DATE(YEAR(B92)+1,MONTH(B92),DAY(B92))</f>
        <v>45279</v>
      </c>
      <c r="D92" s="18">
        <f t="shared" si="85"/>
        <v>45645</v>
      </c>
    </row>
    <row r="93" spans="2:4" x14ac:dyDescent="0.2">
      <c r="B93" s="22">
        <v>44915</v>
      </c>
      <c r="C93" s="19">
        <f t="shared" ref="C93:D93" si="86">DATE(YEAR(B93)+1,MONTH(B93),DAY(B93))</f>
        <v>45280</v>
      </c>
      <c r="D93" s="19">
        <f t="shared" si="86"/>
        <v>45646</v>
      </c>
    </row>
    <row r="94" spans="2:4" x14ac:dyDescent="0.2">
      <c r="B94" s="22">
        <v>44916</v>
      </c>
      <c r="C94" s="19">
        <f t="shared" ref="C94:D94" si="87">DATE(YEAR(B94)+1,MONTH(B94),DAY(B94))</f>
        <v>45281</v>
      </c>
      <c r="D94" s="19">
        <f t="shared" si="87"/>
        <v>45647</v>
      </c>
    </row>
    <row r="95" spans="2:4" x14ac:dyDescent="0.2">
      <c r="B95" s="22">
        <v>44917</v>
      </c>
      <c r="C95" s="19">
        <f t="shared" ref="C95:D95" si="88">DATE(YEAR(B95)+1,MONTH(B95),DAY(B95))</f>
        <v>45282</v>
      </c>
      <c r="D95" s="19">
        <f t="shared" si="88"/>
        <v>45648</v>
      </c>
    </row>
    <row r="96" spans="2:4" x14ac:dyDescent="0.2">
      <c r="B96" s="22">
        <v>44918</v>
      </c>
      <c r="C96" s="19">
        <f t="shared" ref="C96:D96" si="89">DATE(YEAR(B96)+1,MONTH(B96),DAY(B96))</f>
        <v>45283</v>
      </c>
      <c r="D96" s="19">
        <f t="shared" si="89"/>
        <v>45649</v>
      </c>
    </row>
    <row r="97" spans="2:4" x14ac:dyDescent="0.2">
      <c r="B97" s="22">
        <v>44919</v>
      </c>
      <c r="C97" s="19">
        <f t="shared" ref="C97:D97" si="90">DATE(YEAR(B97)+1,MONTH(B97),DAY(B97))</f>
        <v>45284</v>
      </c>
      <c r="D97" s="19">
        <f t="shared" si="90"/>
        <v>45650</v>
      </c>
    </row>
    <row r="98" spans="2:4" x14ac:dyDescent="0.2">
      <c r="B98" s="22">
        <v>44920</v>
      </c>
      <c r="C98" s="19">
        <f t="shared" ref="C98:D98" si="91">DATE(YEAR(B98)+1,MONTH(B98),DAY(B98))</f>
        <v>45285</v>
      </c>
      <c r="D98" s="19">
        <f t="shared" si="91"/>
        <v>45651</v>
      </c>
    </row>
    <row r="99" spans="2:4" x14ac:dyDescent="0.2">
      <c r="B99" s="22">
        <v>44921</v>
      </c>
      <c r="C99" s="19">
        <f t="shared" ref="C99:D99" si="92">DATE(YEAR(B99)+1,MONTH(B99),DAY(B99))</f>
        <v>45286</v>
      </c>
      <c r="D99" s="19">
        <f t="shared" si="92"/>
        <v>45652</v>
      </c>
    </row>
    <row r="100" spans="2:4" x14ac:dyDescent="0.2">
      <c r="B100" s="22">
        <v>44922</v>
      </c>
      <c r="C100" s="19">
        <f t="shared" ref="C100:D100" si="93">DATE(YEAR(B100)+1,MONTH(B100),DAY(B100))</f>
        <v>45287</v>
      </c>
      <c r="D100" s="19">
        <f t="shared" si="93"/>
        <v>45653</v>
      </c>
    </row>
    <row r="101" spans="2:4" x14ac:dyDescent="0.2">
      <c r="B101" s="22">
        <v>44923</v>
      </c>
      <c r="C101" s="19">
        <f t="shared" ref="C101:D101" si="94">DATE(YEAR(B101)+1,MONTH(B101),DAY(B101))</f>
        <v>45288</v>
      </c>
      <c r="D101" s="19">
        <f t="shared" si="94"/>
        <v>45654</v>
      </c>
    </row>
    <row r="102" spans="2:4" x14ac:dyDescent="0.2">
      <c r="B102" s="22">
        <v>44924</v>
      </c>
      <c r="C102" s="19">
        <f t="shared" ref="C102:D102" si="95">DATE(YEAR(B102)+1,MONTH(B102),DAY(B102))</f>
        <v>45289</v>
      </c>
      <c r="D102" s="19">
        <f t="shared" si="95"/>
        <v>45655</v>
      </c>
    </row>
    <row r="103" spans="2:4" x14ac:dyDescent="0.2">
      <c r="B103" s="22">
        <v>44925</v>
      </c>
      <c r="C103" s="19">
        <f t="shared" ref="C103:D103" si="96">DATE(YEAR(B103)+1,MONTH(B103),DAY(B103))</f>
        <v>45290</v>
      </c>
      <c r="D103" s="19">
        <f t="shared" si="96"/>
        <v>45656</v>
      </c>
    </row>
    <row r="104" spans="2:4" x14ac:dyDescent="0.2">
      <c r="B104" s="23">
        <v>44926</v>
      </c>
      <c r="C104" s="20">
        <f t="shared" ref="C104:D104" si="97">DATE(YEAR(B104)+1,MONTH(B104),DAY(B104))</f>
        <v>45291</v>
      </c>
      <c r="D104" s="20">
        <f t="shared" si="97"/>
        <v>45657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Simplified Model</vt:lpstr>
      <vt:lpstr>Real Model</vt:lpstr>
      <vt:lpstr>Nombre campus</vt:lpstr>
      <vt:lpstr>Calendrier</vt:lpstr>
      <vt:lpstr>commandes</vt:lpstr>
      <vt:lpstr>Dates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JB RUBIO</dc:creator>
  <cp:lastModifiedBy>JB RUBIO</cp:lastModifiedBy>
  <cp:lastPrinted>2021-03-05T11:13:48Z</cp:lastPrinted>
  <dcterms:created xsi:type="dcterms:W3CDTF">2021-01-28T09:19:19Z</dcterms:created>
  <dcterms:modified xsi:type="dcterms:W3CDTF">2021-03-07T22:37:53Z</dcterms:modified>
</cp:coreProperties>
</file>